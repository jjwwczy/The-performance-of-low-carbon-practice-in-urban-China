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68" windowHeight="13380"/>
  </bookViews>
  <sheets>
    <sheet name="得分变量数据" sheetId="1" r:id="rId1"/>
    <sheet name="修正系数k值" sheetId="2" r:id="rId2"/>
    <sheet name="9.1分组" sheetId="3" r:id="rId3"/>
  </sheets>
  <definedNames>
    <definedName name="_xlnm._FilterDatabase" localSheetId="2" hidden="1">'9.1分组'!$J$1:$J$299</definedName>
  </definedNames>
  <calcPr calcId="144525"/>
</workbook>
</file>

<file path=xl/sharedStrings.xml><?xml version="1.0" encoding="utf-8"?>
<sst xmlns="http://schemas.openxmlformats.org/spreadsheetml/2006/main" count="4307" uniqueCount="412">
  <si>
    <t>P</t>
  </si>
  <si>
    <t>I</t>
  </si>
  <si>
    <t>C</t>
  </si>
  <si>
    <t>O</t>
  </si>
  <si>
    <t>F</t>
  </si>
  <si>
    <t>能源结构维度总平均分</t>
  </si>
  <si>
    <t>城市</t>
  </si>
  <si>
    <t>非化石能源发展和应用的规划目标</t>
  </si>
  <si>
    <t>非化石能源发展和应用的规划内容</t>
  </si>
  <si>
    <t>P修正前平均分</t>
  </si>
  <si>
    <t>P修正后平均分</t>
  </si>
  <si>
    <t>相关实施规章制度的完善程度</t>
  </si>
  <si>
    <t>优化能源结构的资金投入力度</t>
  </si>
  <si>
    <t>优化能源结构的人力资源保障程度</t>
  </si>
  <si>
    <t>优化能源结构的技术条件保障程度</t>
  </si>
  <si>
    <t>I平均分</t>
  </si>
  <si>
    <t>相关监督规章制度的完善程度</t>
  </si>
  <si>
    <t>监督资金保障程度</t>
  </si>
  <si>
    <t>监督人力资源保障程度</t>
  </si>
  <si>
    <t>监督技术条件保障程度</t>
  </si>
  <si>
    <t>C平均分</t>
  </si>
  <si>
    <t>非化石能源占一次能源消费比重（%）</t>
  </si>
  <si>
    <t>煤炭占一次能源消费比重（%）</t>
  </si>
  <si>
    <t>O修正前平均分</t>
  </si>
  <si>
    <t>O修正后平均分</t>
  </si>
  <si>
    <t>对通过优化能源结构产生减排效果的主体给予激励</t>
  </si>
  <si>
    <t>对没有采取优化能源结构而无法减排的主体施以处罚</t>
  </si>
  <si>
    <t>制定优化能源结构实现减排的进一步措施和方案</t>
  </si>
  <si>
    <t>F平均分</t>
  </si>
  <si>
    <t>排名</t>
  </si>
  <si>
    <t>七台河市</t>
  </si>
  <si>
    <t>60</t>
  </si>
  <si>
    <t>50</t>
  </si>
  <si>
    <t>25</t>
  </si>
  <si>
    <t>75</t>
  </si>
  <si>
    <t>北京</t>
  </si>
  <si>
    <t>三亚市</t>
  </si>
  <si>
    <t>20</t>
  </si>
  <si>
    <t>100</t>
  </si>
  <si>
    <t>杭州</t>
  </si>
  <si>
    <t>三明市</t>
  </si>
  <si>
    <t>40</t>
  </si>
  <si>
    <t>上海</t>
  </si>
  <si>
    <t>三门峡市</t>
  </si>
  <si>
    <t>天津</t>
  </si>
  <si>
    <t>80</t>
  </si>
  <si>
    <t>南京</t>
  </si>
  <si>
    <t>上饶市</t>
  </si>
  <si>
    <t>深圳市</t>
  </si>
  <si>
    <t>东莞市</t>
  </si>
  <si>
    <t>广州</t>
  </si>
  <si>
    <t>东营市</t>
  </si>
  <si>
    <t>西宁</t>
  </si>
  <si>
    <t>中卫市</t>
  </si>
  <si>
    <t>德阳市</t>
  </si>
  <si>
    <t>中山市</t>
  </si>
  <si>
    <t>宁波市</t>
  </si>
  <si>
    <t>临汾市</t>
  </si>
  <si>
    <t>昆明</t>
  </si>
  <si>
    <t>临沂市</t>
  </si>
  <si>
    <t>扬州市</t>
  </si>
  <si>
    <t>临沧市</t>
  </si>
  <si>
    <t>佛山市</t>
  </si>
  <si>
    <t>丹东市</t>
  </si>
  <si>
    <t>台州市</t>
  </si>
  <si>
    <t>丽水市</t>
  </si>
  <si>
    <t>温州市</t>
  </si>
  <si>
    <t>丽江市</t>
  </si>
  <si>
    <t>海口</t>
  </si>
  <si>
    <t>乌兰察布市</t>
  </si>
  <si>
    <t>武汉</t>
  </si>
  <si>
    <t>乌鲁木齐</t>
  </si>
  <si>
    <t>太原</t>
  </si>
  <si>
    <t>乐山市</t>
  </si>
  <si>
    <t>阜新市</t>
  </si>
  <si>
    <t>九江市</t>
  </si>
  <si>
    <t>衢州市</t>
  </si>
  <si>
    <t>云浮市</t>
  </si>
  <si>
    <t>芜湖市</t>
  </si>
  <si>
    <t>亳州市</t>
  </si>
  <si>
    <t>荆门市</t>
  </si>
  <si>
    <t>伊春市</t>
  </si>
  <si>
    <t>湛江市</t>
  </si>
  <si>
    <t>乌海市</t>
  </si>
  <si>
    <t>厦门市</t>
  </si>
  <si>
    <t>聊城市</t>
  </si>
  <si>
    <t>佳木斯市</t>
  </si>
  <si>
    <t>六安市</t>
  </si>
  <si>
    <t>保定市</t>
  </si>
  <si>
    <t>汉中市</t>
  </si>
  <si>
    <t>保山市</t>
  </si>
  <si>
    <t>信阳市</t>
  </si>
  <si>
    <t>钦州市</t>
  </si>
  <si>
    <t>儋州市</t>
  </si>
  <si>
    <t>毕节市</t>
  </si>
  <si>
    <t>克拉玛依市</t>
  </si>
  <si>
    <t>嘉兴市</t>
  </si>
  <si>
    <t>固原市</t>
  </si>
  <si>
    <t>六盘水市</t>
  </si>
  <si>
    <t>淮南市</t>
  </si>
  <si>
    <t>兰州</t>
  </si>
  <si>
    <t>龙岩市</t>
  </si>
  <si>
    <t>内江市</t>
  </si>
  <si>
    <t>绍兴市</t>
  </si>
  <si>
    <t>包头市</t>
  </si>
  <si>
    <t>荆州市</t>
  </si>
  <si>
    <t>吉安市</t>
  </si>
  <si>
    <t>北海市</t>
  </si>
  <si>
    <t>宜昌市</t>
  </si>
  <si>
    <t>十堰市</t>
  </si>
  <si>
    <t>徐州市</t>
  </si>
  <si>
    <t>贵阳</t>
  </si>
  <si>
    <t>南充市</t>
  </si>
  <si>
    <t>安庆市</t>
  </si>
  <si>
    <t>南宁</t>
  </si>
  <si>
    <t>抚州市</t>
  </si>
  <si>
    <t>南平市</t>
  </si>
  <si>
    <t>白银市</t>
  </si>
  <si>
    <t>南昌</t>
  </si>
  <si>
    <t>蚌埠市</t>
  </si>
  <si>
    <t>南通市</t>
  </si>
  <si>
    <t>银川</t>
  </si>
  <si>
    <t>南阳市</t>
  </si>
  <si>
    <t>大连市</t>
  </si>
  <si>
    <t>大同市</t>
  </si>
  <si>
    <t>双鸭山市</t>
  </si>
  <si>
    <t>拉萨</t>
  </si>
  <si>
    <t>哈尔滨</t>
  </si>
  <si>
    <t>合肥</t>
  </si>
  <si>
    <t>青岛市</t>
  </si>
  <si>
    <t>吉林市</t>
  </si>
  <si>
    <t>阳江市</t>
  </si>
  <si>
    <t>吐鲁番市</t>
  </si>
  <si>
    <t>郑州</t>
  </si>
  <si>
    <t>吕梁市</t>
  </si>
  <si>
    <t>宿迁市</t>
  </si>
  <si>
    <t>吴忠市</t>
  </si>
  <si>
    <t>周口市</t>
  </si>
  <si>
    <t>无锡市</t>
  </si>
  <si>
    <t>呼伦贝尔市</t>
  </si>
  <si>
    <t>长沙</t>
  </si>
  <si>
    <t>呼和浩特</t>
  </si>
  <si>
    <t>湘潭市</t>
  </si>
  <si>
    <t>咸宁市</t>
  </si>
  <si>
    <t>咸阳市</t>
  </si>
  <si>
    <t>沈阳</t>
  </si>
  <si>
    <t>哈密市</t>
  </si>
  <si>
    <t>唐山市</t>
  </si>
  <si>
    <t>昌都市</t>
  </si>
  <si>
    <t>商丘市</t>
  </si>
  <si>
    <t>柳州市</t>
  </si>
  <si>
    <t>商洛市</t>
  </si>
  <si>
    <t>滁州市</t>
  </si>
  <si>
    <t>襄阳市</t>
  </si>
  <si>
    <t>嘉峪关市</t>
  </si>
  <si>
    <t>成都</t>
  </si>
  <si>
    <t>四平市</t>
  </si>
  <si>
    <t>天水市</t>
  </si>
  <si>
    <t>娄底市</t>
  </si>
  <si>
    <t>大庆市</t>
  </si>
  <si>
    <t>许昌市</t>
  </si>
  <si>
    <t>通辽市</t>
  </si>
  <si>
    <t>桂林市</t>
  </si>
  <si>
    <t>威海市</t>
  </si>
  <si>
    <t>河源市</t>
  </si>
  <si>
    <t>孝感市</t>
  </si>
  <si>
    <t>泉州市</t>
  </si>
  <si>
    <t>宁德市</t>
  </si>
  <si>
    <t>岳阳市</t>
  </si>
  <si>
    <t>榆林市</t>
  </si>
  <si>
    <t>潍坊市</t>
  </si>
  <si>
    <t>安康市</t>
  </si>
  <si>
    <t>漯河市</t>
  </si>
  <si>
    <t>安阳市</t>
  </si>
  <si>
    <t>济南</t>
  </si>
  <si>
    <t>安顺市</t>
  </si>
  <si>
    <t>赣州市</t>
  </si>
  <si>
    <t>定西市</t>
  </si>
  <si>
    <t>莆田市</t>
  </si>
  <si>
    <t>宜宾市</t>
  </si>
  <si>
    <t>广元市</t>
  </si>
  <si>
    <t>宜春市</t>
  </si>
  <si>
    <t>宝鸡市</t>
  </si>
  <si>
    <t>汕头市</t>
  </si>
  <si>
    <t>宣城市</t>
  </si>
  <si>
    <t>宿州市</t>
  </si>
  <si>
    <t>长治市</t>
  </si>
  <si>
    <t>山南市</t>
  </si>
  <si>
    <t>鹰潭市</t>
  </si>
  <si>
    <t>金昌市</t>
  </si>
  <si>
    <t>崇左市</t>
  </si>
  <si>
    <t>自贡市</t>
  </si>
  <si>
    <t>巴中市</t>
  </si>
  <si>
    <t>来宾市</t>
  </si>
  <si>
    <t>巴彦淖尔市</t>
  </si>
  <si>
    <t>晋城市</t>
  </si>
  <si>
    <t>普洱市</t>
  </si>
  <si>
    <t>金华市</t>
  </si>
  <si>
    <t>常州市</t>
  </si>
  <si>
    <t>济宁市</t>
  </si>
  <si>
    <t>常德市</t>
  </si>
  <si>
    <t>枣庄市</t>
  </si>
  <si>
    <t>平凉市</t>
  </si>
  <si>
    <t>福州</t>
  </si>
  <si>
    <t>平顶山市</t>
  </si>
  <si>
    <t>广安市</t>
  </si>
  <si>
    <t>武威市</t>
  </si>
  <si>
    <t>庆阳市</t>
  </si>
  <si>
    <t>茂名市</t>
  </si>
  <si>
    <t>廊坊市</t>
  </si>
  <si>
    <t>承德市</t>
  </si>
  <si>
    <t>延安市</t>
  </si>
  <si>
    <t>开封市</t>
  </si>
  <si>
    <t>怀化市</t>
  </si>
  <si>
    <t>张家口市</t>
  </si>
  <si>
    <t>益阳市</t>
  </si>
  <si>
    <t>张家界市</t>
  </si>
  <si>
    <t>邵阳市</t>
  </si>
  <si>
    <t>张掖市</t>
  </si>
  <si>
    <t>鄂尔多斯市</t>
  </si>
  <si>
    <t>德州市</t>
  </si>
  <si>
    <t>焦作市</t>
  </si>
  <si>
    <t>泰安市</t>
  </si>
  <si>
    <t>忻州市</t>
  </si>
  <si>
    <t>重庆</t>
  </si>
  <si>
    <t>绵阳市</t>
  </si>
  <si>
    <t>惠州市</t>
  </si>
  <si>
    <t>辽源市</t>
  </si>
  <si>
    <t>石嘴山市</t>
  </si>
  <si>
    <t>抚顺市</t>
  </si>
  <si>
    <t>滨州市</t>
  </si>
  <si>
    <t>揭阳市</t>
  </si>
  <si>
    <t>攀枝花市</t>
  </si>
  <si>
    <t>曲靖市</t>
  </si>
  <si>
    <t>新乡市</t>
  </si>
  <si>
    <t>那曲市</t>
  </si>
  <si>
    <t>新余市</t>
  </si>
  <si>
    <t>衡阳市</t>
  </si>
  <si>
    <t>日喀则市</t>
  </si>
  <si>
    <t>日照市</t>
  </si>
  <si>
    <t>驻马店市</t>
  </si>
  <si>
    <t>资阳市</t>
  </si>
  <si>
    <t>长春</t>
  </si>
  <si>
    <t>贺州市</t>
  </si>
  <si>
    <t>昭通市</t>
  </si>
  <si>
    <t>晋中市</t>
  </si>
  <si>
    <t>江门市</t>
  </si>
  <si>
    <t>遂宁市</t>
  </si>
  <si>
    <t>景德镇市</t>
  </si>
  <si>
    <t>朔州市</t>
  </si>
  <si>
    <t>达州市</t>
  </si>
  <si>
    <t>朝阳市</t>
  </si>
  <si>
    <t>眉山市</t>
  </si>
  <si>
    <t>本溪市</t>
  </si>
  <si>
    <t>林芝市</t>
  </si>
  <si>
    <t>镇江市</t>
  </si>
  <si>
    <t>松原市</t>
  </si>
  <si>
    <t>湖州市</t>
  </si>
  <si>
    <t>株洲市</t>
  </si>
  <si>
    <t>白山市</t>
  </si>
  <si>
    <t>西安</t>
  </si>
  <si>
    <t>梅州市</t>
  </si>
  <si>
    <t>玉林市</t>
  </si>
  <si>
    <t>梧州市</t>
  </si>
  <si>
    <t>海东市</t>
  </si>
  <si>
    <t>石家庄</t>
  </si>
  <si>
    <t>永州市</t>
  </si>
  <si>
    <t>鄂州市</t>
  </si>
  <si>
    <t>汕尾市</t>
  </si>
  <si>
    <t>舟山市</t>
  </si>
  <si>
    <t>葫芦岛市</t>
  </si>
  <si>
    <t>池州市</t>
  </si>
  <si>
    <t>菏泽市</t>
  </si>
  <si>
    <t>沧州市</t>
  </si>
  <si>
    <t>河池市</t>
  </si>
  <si>
    <t>铜仁市</t>
  </si>
  <si>
    <t>酒泉市</t>
  </si>
  <si>
    <t>泰州市</t>
  </si>
  <si>
    <t>泸州市</t>
  </si>
  <si>
    <t>洛阳市</t>
  </si>
  <si>
    <t>盘锦市</t>
  </si>
  <si>
    <t>黄冈市</t>
  </si>
  <si>
    <t>淄博市</t>
  </si>
  <si>
    <t>淮北市</t>
  </si>
  <si>
    <t>珠海市</t>
  </si>
  <si>
    <t>淮安市</t>
  </si>
  <si>
    <t>百色市</t>
  </si>
  <si>
    <t>清远市</t>
  </si>
  <si>
    <t>渭南市</t>
  </si>
  <si>
    <t>苏州市</t>
  </si>
  <si>
    <t>遵义市</t>
  </si>
  <si>
    <t>马鞍山市</t>
  </si>
  <si>
    <t>漳州市</t>
  </si>
  <si>
    <t>潮州市</t>
  </si>
  <si>
    <t>盐城市</t>
  </si>
  <si>
    <t>濮阳市</t>
  </si>
  <si>
    <t>烟台市</t>
  </si>
  <si>
    <t>齐齐哈尔市</t>
  </si>
  <si>
    <t>牡丹江市</t>
  </si>
  <si>
    <t>玉溪市</t>
  </si>
  <si>
    <t>阜阳市</t>
  </si>
  <si>
    <t>白城市</t>
  </si>
  <si>
    <t>铜川市</t>
  </si>
  <si>
    <t>铜陵市</t>
  </si>
  <si>
    <t>连云港市</t>
  </si>
  <si>
    <t>衡水市</t>
  </si>
  <si>
    <t>阳泉市</t>
  </si>
  <si>
    <t>秦皇岛市</t>
  </si>
  <si>
    <t>郴州市</t>
  </si>
  <si>
    <t>绥化市</t>
  </si>
  <si>
    <t>雅安市</t>
  </si>
  <si>
    <t>通化市</t>
  </si>
  <si>
    <t>肇庆市</t>
  </si>
  <si>
    <t>黄石市</t>
  </si>
  <si>
    <t>黄山市</t>
  </si>
  <si>
    <t>随州市</t>
  </si>
  <si>
    <t>陇南市</t>
  </si>
  <si>
    <t>萍乡市</t>
  </si>
  <si>
    <t>营口市</t>
  </si>
  <si>
    <t>邯郸市</t>
  </si>
  <si>
    <t>贵港市</t>
  </si>
  <si>
    <t>防城港市</t>
  </si>
  <si>
    <t>赤峰市</t>
  </si>
  <si>
    <t>辽阳市</t>
  </si>
  <si>
    <t>运城市</t>
  </si>
  <si>
    <t>鸡西市</t>
  </si>
  <si>
    <t>鹤壁市</t>
  </si>
  <si>
    <t>邢台市</t>
  </si>
  <si>
    <t>铁岭市</t>
  </si>
  <si>
    <t>鞍山市</t>
  </si>
  <si>
    <t>锦州市</t>
  </si>
  <si>
    <t>鹤岗市</t>
  </si>
  <si>
    <t>黑河市</t>
  </si>
  <si>
    <t>韶关市</t>
  </si>
  <si>
    <t>0</t>
  </si>
  <si>
    <t>城市特征指标值数据</t>
  </si>
  <si>
    <t>αEn</t>
  </si>
  <si>
    <r>
      <rPr>
        <b/>
        <sz val="12"/>
        <color theme="1"/>
        <rFont val="宋体"/>
        <charset val="134"/>
      </rPr>
      <t>城市</t>
    </r>
  </si>
  <si>
    <r>
      <rPr>
        <b/>
        <sz val="12"/>
        <color theme="1"/>
        <rFont val="宋体"/>
        <charset val="134"/>
      </rPr>
      <t>能源</t>
    </r>
    <r>
      <rPr>
        <b/>
        <sz val="12"/>
        <color theme="1"/>
        <rFont val="Times New Roman"/>
        <charset val="134"/>
      </rPr>
      <t>En</t>
    </r>
  </si>
  <si>
    <t>按ln值</t>
  </si>
  <si>
    <t>ln(k)</t>
  </si>
  <si>
    <t>Median</t>
  </si>
  <si>
    <t>均值</t>
  </si>
  <si>
    <t>方差</t>
  </si>
  <si>
    <r>
      <rPr>
        <sz val="11"/>
        <color theme="1"/>
        <rFont val="宋体"/>
        <charset val="134"/>
        <scheme val="minor"/>
      </rPr>
      <t>μ+</t>
    </r>
    <r>
      <rPr>
        <sz val="11"/>
        <color theme="1"/>
        <rFont val="宋体"/>
        <charset val="134"/>
        <scheme val="minor"/>
      </rPr>
      <t>σ</t>
    </r>
  </si>
  <si>
    <t>max</t>
  </si>
  <si>
    <t>μ-σ</t>
  </si>
  <si>
    <t>min</t>
  </si>
  <si>
    <t>最大值</t>
  </si>
  <si>
    <t>最小值</t>
  </si>
  <si>
    <t>最终修正系数</t>
  </si>
  <si>
    <t>三沙市</t>
  </si>
  <si>
    <t>昌吉市</t>
  </si>
  <si>
    <t>伊犁哈萨克自治州</t>
  </si>
  <si>
    <t>巴音郭楞</t>
  </si>
  <si>
    <t>城市名</t>
  </si>
  <si>
    <t>分类</t>
  </si>
  <si>
    <t>P(规划)</t>
  </si>
  <si>
    <t>P（修正后）</t>
  </si>
  <si>
    <t>I(实施)</t>
  </si>
  <si>
    <t>C(检查)</t>
  </si>
  <si>
    <t>O(结果)</t>
  </si>
  <si>
    <t>O（修正后）</t>
  </si>
  <si>
    <t>F(反馈)</t>
  </si>
  <si>
    <t>score</t>
  </si>
  <si>
    <t>得分分组</t>
  </si>
  <si>
    <t>北京市</t>
  </si>
  <si>
    <t>第一梯队</t>
  </si>
  <si>
    <t>1/4分位（25%）</t>
  </si>
  <si>
    <t>杭州市</t>
  </si>
  <si>
    <t>2/4分位（50%）</t>
  </si>
  <si>
    <t>上海市</t>
  </si>
  <si>
    <t>3/4分位（75%）</t>
  </si>
  <si>
    <t>昆明市</t>
  </si>
  <si>
    <t>西宁市</t>
  </si>
  <si>
    <t>广州市</t>
  </si>
  <si>
    <t>城市数量</t>
  </si>
  <si>
    <t>第二梯队</t>
  </si>
  <si>
    <t>第三梯队</t>
  </si>
  <si>
    <t>第四梯队</t>
  </si>
  <si>
    <t>合计</t>
  </si>
  <si>
    <t>一类城市</t>
  </si>
  <si>
    <t>二类城市</t>
  </si>
  <si>
    <t>三类城市</t>
  </si>
  <si>
    <t>四类城市</t>
  </si>
  <si>
    <t>天津市</t>
  </si>
  <si>
    <t>南京市</t>
  </si>
  <si>
    <t>海口市</t>
  </si>
  <si>
    <t>成都市</t>
  </si>
  <si>
    <t>武汉市</t>
  </si>
  <si>
    <t>拉萨市</t>
  </si>
  <si>
    <t>太原市</t>
  </si>
  <si>
    <t>长沙市</t>
  </si>
  <si>
    <t>银川市</t>
  </si>
  <si>
    <t>郑州市</t>
  </si>
  <si>
    <t>兰州市</t>
  </si>
  <si>
    <t>贵阳市</t>
  </si>
  <si>
    <t>重庆市</t>
  </si>
  <si>
    <t>福州市</t>
  </si>
  <si>
    <t>哈尔滨市</t>
  </si>
  <si>
    <t>南昌市</t>
  </si>
  <si>
    <t>济南市</t>
  </si>
  <si>
    <t>沈阳市</t>
  </si>
  <si>
    <t>合肥市</t>
  </si>
  <si>
    <t>乌鲁木齐市</t>
  </si>
  <si>
    <t>西安市</t>
  </si>
  <si>
    <t>长春市</t>
  </si>
  <si>
    <t>南宁市</t>
  </si>
  <si>
    <t>呼和浩特市</t>
  </si>
  <si>
    <t>石家庄市</t>
  </si>
  <si>
    <t>平均分</t>
  </si>
  <si>
    <t>标准差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</si>
</sst>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3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Times New Roman"/>
      <charset val="134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theme="1"/>
      <name val="宋体"/>
      <charset val="134"/>
    </font>
    <font>
      <sz val="8"/>
      <color rgb="FFFF0000"/>
      <name val="Arial"/>
      <charset val="134"/>
    </font>
    <font>
      <sz val="11"/>
      <color indexed="8"/>
      <name val="宋体"/>
      <charset val="134"/>
    </font>
    <font>
      <sz val="12"/>
      <color rgb="FFFF0000"/>
      <name val="Times New Roman"/>
      <charset val="134"/>
    </font>
    <font>
      <sz val="10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26" fillId="13" borderId="11" applyNumberFormat="0" applyAlignment="0" applyProtection="0">
      <alignment vertical="center"/>
    </xf>
    <xf numFmtId="0" fontId="27" fillId="14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/>
    <xf numFmtId="176" fontId="0" fillId="0" borderId="0" xfId="0" applyNumberFormat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2" borderId="0" xfId="0" applyFont="1" applyFill="1" applyAlignment="1"/>
    <xf numFmtId="176" fontId="0" fillId="2" borderId="0" xfId="0" applyNumberForma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/>
    <xf numFmtId="176" fontId="0" fillId="2" borderId="2" xfId="0" applyNumberFormat="1" applyFill="1" applyBorder="1" applyAlignment="1">
      <alignment horizontal="center" vertical="center"/>
    </xf>
    <xf numFmtId="176" fontId="0" fillId="2" borderId="2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/>
    <xf numFmtId="176" fontId="0" fillId="3" borderId="0" xfId="0" applyNumberForma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/>
    <xf numFmtId="176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/>
    <xf numFmtId="176" fontId="0" fillId="4" borderId="0" xfId="0" applyNumberFormat="1" applyFill="1" applyAlignment="1">
      <alignment horizontal="center" vertical="center"/>
    </xf>
    <xf numFmtId="176" fontId="0" fillId="4" borderId="0" xfId="0" applyNumberFormat="1" applyFont="1" applyFill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/>
    <xf numFmtId="176" fontId="0" fillId="4" borderId="2" xfId="0" applyNumberFormat="1" applyFill="1" applyBorder="1" applyAlignment="1">
      <alignment horizontal="center" vertical="center"/>
    </xf>
    <xf numFmtId="176" fontId="0" fillId="4" borderId="2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5" borderId="0" xfId="0" applyFont="1" applyFill="1" applyAlignment="1"/>
    <xf numFmtId="176" fontId="0" fillId="5" borderId="0" xfId="0" applyNumberFormat="1" applyFill="1" applyAlignment="1">
      <alignment horizontal="center" vertical="center"/>
    </xf>
    <xf numFmtId="176" fontId="0" fillId="5" borderId="0" xfId="0" applyNumberFormat="1" applyFont="1" applyFill="1" applyAlignment="1">
      <alignment horizontal="center" vertical="center"/>
    </xf>
    <xf numFmtId="0" fontId="0" fillId="5" borderId="2" xfId="0" applyNumberFormat="1" applyFont="1" applyFill="1" applyBorder="1" applyAlignment="1">
      <alignment horizontal="center" vertical="center"/>
    </xf>
    <xf numFmtId="0" fontId="0" fillId="5" borderId="2" xfId="0" applyFont="1" applyFill="1" applyBorder="1" applyAlignment="1"/>
    <xf numFmtId="176" fontId="0" fillId="5" borderId="2" xfId="0" applyNumberFormat="1" applyFill="1" applyBorder="1" applyAlignment="1">
      <alignment horizontal="center" vertical="center"/>
    </xf>
    <xf numFmtId="176" fontId="0" fillId="5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0" xfId="0" applyNumberFormat="1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7" fillId="0" borderId="0" xfId="0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10" fontId="8" fillId="0" borderId="0" xfId="0" applyNumberFormat="1" applyFont="1" applyFill="1" applyBorder="1" applyAlignment="1" applyProtection="1">
      <alignment horizontal="center" vertical="center"/>
    </xf>
    <xf numFmtId="177" fontId="9" fillId="0" borderId="0" xfId="0" applyNumberFormat="1" applyFont="1" applyBorder="1" applyAlignment="1">
      <alignment horizontal="center" vertical="top" wrapText="1"/>
    </xf>
    <xf numFmtId="177" fontId="10" fillId="0" borderId="0" xfId="0" applyNumberFormat="1" applyFont="1">
      <alignment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176" fontId="13" fillId="7" borderId="1" xfId="0" applyNumberFormat="1" applyFont="1" applyFill="1" applyBorder="1" applyAlignment="1">
      <alignment horizontal="center" vertical="center"/>
    </xf>
    <xf numFmtId="176" fontId="13" fillId="8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76" fontId="13" fillId="9" borderId="1" xfId="0" applyNumberFormat="1" applyFont="1" applyFill="1" applyBorder="1" applyAlignment="1">
      <alignment horizontal="center" vertical="center"/>
    </xf>
    <xf numFmtId="176" fontId="13" fillId="4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176" fontId="14" fillId="7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4" fillId="8" borderId="1" xfId="0" applyNumberFormat="1" applyFont="1" applyFill="1" applyBorder="1" applyAlignment="1">
      <alignment horizontal="center" vertical="center"/>
    </xf>
    <xf numFmtId="176" fontId="14" fillId="9" borderId="4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 wrapText="1"/>
    </xf>
    <xf numFmtId="176" fontId="1" fillId="8" borderId="1" xfId="0" applyNumberFormat="1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176" fontId="14" fillId="9" borderId="5" xfId="0" applyNumberFormat="1" applyFont="1" applyFill="1" applyBorder="1" applyAlignment="1">
      <alignment horizontal="center" vertical="center"/>
    </xf>
    <xf numFmtId="176" fontId="14" fillId="4" borderId="1" xfId="0" applyNumberFormat="1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9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'9.1分组'!$M$8</c:f>
              <c:strCache>
                <c:ptCount val="1"/>
                <c:pt idx="0">
                  <c:v>一类城市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'9.1分组'!$N$7:$Q$7</c:f>
              <c:strCache>
                <c:ptCount val="4"/>
                <c:pt idx="0" c:formatCode="0.00_);[Red]\(0.00\)">
                  <c:v>第一梯队</c:v>
                </c:pt>
                <c:pt idx="1" c:formatCode="0.00_);[Red]\(0.00\)">
                  <c:v>第二梯队</c:v>
                </c:pt>
                <c:pt idx="2" c:formatCode="0.00_);[Red]\(0.00\)">
                  <c:v>第三梯队</c:v>
                </c:pt>
                <c:pt idx="3" c:formatCode="0.00_);[Red]\(0.00\)">
                  <c:v>第四梯队</c:v>
                </c:pt>
              </c:strCache>
            </c:strRef>
          </c:cat>
          <c:val>
            <c:numRef>
              <c:f>'9.1分组'!$N$8:$Q$8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'9.1分组'!$M$9</c:f>
              <c:strCache>
                <c:ptCount val="1"/>
                <c:pt idx="0">
                  <c:v>二类城市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'9.1分组'!$N$7:$Q$7</c:f>
              <c:strCache>
                <c:ptCount val="4"/>
                <c:pt idx="0" c:formatCode="0.00_);[Red]\(0.00\)">
                  <c:v>第一梯队</c:v>
                </c:pt>
                <c:pt idx="1" c:formatCode="0.00_);[Red]\(0.00\)">
                  <c:v>第二梯队</c:v>
                </c:pt>
                <c:pt idx="2" c:formatCode="0.00_);[Red]\(0.00\)">
                  <c:v>第三梯队</c:v>
                </c:pt>
                <c:pt idx="3" c:formatCode="0.00_);[Red]\(0.00\)">
                  <c:v>第四梯队</c:v>
                </c:pt>
              </c:strCache>
            </c:strRef>
          </c:cat>
          <c:val>
            <c:numRef>
              <c:f>'9.1分组'!$N$9:$Q$9</c:f>
              <c:numCache>
                <c:formatCode>General</c:formatCode>
                <c:ptCount val="4"/>
                <c:pt idx="0">
                  <c:v>11</c:v>
                </c:pt>
                <c:pt idx="1">
                  <c:v>59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</c:ser>
        <c:ser>
          <c:idx val="2"/>
          <c:order val="2"/>
          <c:tx>
            <c:strRef>
              <c:f>'9.1分组'!$M$10</c:f>
              <c:strCache>
                <c:ptCount val="1"/>
                <c:pt idx="0">
                  <c:v>三类城市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'9.1分组'!$N$7:$Q$7</c:f>
              <c:strCache>
                <c:ptCount val="4"/>
                <c:pt idx="0" c:formatCode="0.00_);[Red]\(0.00\)">
                  <c:v>第一梯队</c:v>
                </c:pt>
                <c:pt idx="1" c:formatCode="0.00_);[Red]\(0.00\)">
                  <c:v>第二梯队</c:v>
                </c:pt>
                <c:pt idx="2" c:formatCode="0.00_);[Red]\(0.00\)">
                  <c:v>第三梯队</c:v>
                </c:pt>
                <c:pt idx="3" c:formatCode="0.00_);[Red]\(0.00\)">
                  <c:v>第四梯队</c:v>
                </c:pt>
              </c:strCache>
            </c:strRef>
          </c:cat>
          <c:val>
            <c:numRef>
              <c:f>'9.1分组'!$N$10:$Q$10</c:f>
              <c:numCache>
                <c:formatCode>General</c:formatCode>
                <c:ptCount val="4"/>
                <c:pt idx="0">
                  <c:v>13</c:v>
                </c:pt>
                <c:pt idx="1">
                  <c:v>74</c:v>
                </c:pt>
                <c:pt idx="2">
                  <c:v>20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'9.1分组'!$M$11</c:f>
              <c:strCache>
                <c:ptCount val="1"/>
                <c:pt idx="0">
                  <c:v>四类城市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'9.1分组'!$N$7:$Q$7</c:f>
              <c:strCache>
                <c:ptCount val="4"/>
                <c:pt idx="0" c:formatCode="0.00_);[Red]\(0.00\)">
                  <c:v>第一梯队</c:v>
                </c:pt>
                <c:pt idx="1" c:formatCode="0.00_);[Red]\(0.00\)">
                  <c:v>第二梯队</c:v>
                </c:pt>
                <c:pt idx="2" c:formatCode="0.00_);[Red]\(0.00\)">
                  <c:v>第三梯队</c:v>
                </c:pt>
                <c:pt idx="3" c:formatCode="0.00_);[Red]\(0.00\)">
                  <c:v>第四梯队</c:v>
                </c:pt>
              </c:strCache>
            </c:strRef>
          </c:cat>
          <c:val>
            <c:numRef>
              <c:f>'9.1分组'!$N$11:$Q$11</c:f>
              <c:numCache>
                <c:formatCode>General</c:formatCode>
                <c:ptCount val="4"/>
                <c:pt idx="0">
                  <c:v>9</c:v>
                </c:pt>
                <c:pt idx="1">
                  <c:v>57</c:v>
                </c:pt>
                <c:pt idx="2">
                  <c:v>14</c:v>
                </c:pt>
                <c:pt idx="3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491734"/>
        <c:axId val="268287403"/>
      </c:barChart>
      <c:catAx>
        <c:axId val="13349173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68287403"/>
        <c:crosses val="autoZero"/>
        <c:auto val="1"/>
        <c:lblAlgn val="ctr"/>
        <c:lblOffset val="100"/>
        <c:noMultiLvlLbl val="0"/>
      </c:catAx>
      <c:valAx>
        <c:axId val="2682874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334917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663575</xdr:colOff>
      <xdr:row>15</xdr:row>
      <xdr:rowOff>31750</xdr:rowOff>
    </xdr:from>
    <xdr:to>
      <xdr:col>18</xdr:col>
      <xdr:colOff>434975</xdr:colOff>
      <xdr:row>31</xdr:row>
      <xdr:rowOff>31750</xdr:rowOff>
    </xdr:to>
    <xdr:graphicFrame>
      <xdr:nvGraphicFramePr>
        <xdr:cNvPr id="4" name="图表 3"/>
        <xdr:cNvGraphicFramePr/>
      </xdr:nvGraphicFramePr>
      <xdr:xfrm>
        <a:off x="9149080" y="2774950"/>
        <a:ext cx="459295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603885</xdr:colOff>
      <xdr:row>34</xdr:row>
      <xdr:rowOff>75565</xdr:rowOff>
    </xdr:from>
    <xdr:to>
      <xdr:col>22</xdr:col>
      <xdr:colOff>552450</xdr:colOff>
      <xdr:row>51</xdr:row>
      <xdr:rowOff>29845</xdr:rowOff>
    </xdr:to>
    <xdr:pic>
      <xdr:nvPicPr>
        <xdr:cNvPr id="3" name="图片 2" descr="4ce72492ed0a7447bc587953813a80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35745" y="6293485"/>
          <a:ext cx="7192645" cy="3063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8"/>
  <sheetViews>
    <sheetView tabSelected="1" zoomScale="85" zoomScaleNormal="85" topLeftCell="J1" workbookViewId="0">
      <selection activeCell="Z15" sqref="Z15"/>
    </sheetView>
  </sheetViews>
  <sheetFormatPr defaultColWidth="9" defaultRowHeight="14.4"/>
  <cols>
    <col min="1" max="3" width="15.8796296296296" style="69" customWidth="1"/>
    <col min="4" max="4" width="17.1296296296296" style="70" customWidth="1"/>
    <col min="5" max="5" width="17.1296296296296" style="71" customWidth="1"/>
    <col min="6" max="6" width="13.25" style="72" customWidth="1"/>
    <col min="7" max="7" width="13.1296296296296" style="72" customWidth="1"/>
    <col min="8" max="8" width="14.25" style="72" customWidth="1"/>
    <col min="9" max="9" width="14.8796296296296" style="72" customWidth="1"/>
    <col min="10" max="10" width="13.6296296296296" style="73" customWidth="1"/>
    <col min="11" max="11" width="15.2962962962963" style="72" customWidth="1"/>
    <col min="12" max="12" width="13.6296296296296" style="72" customWidth="1"/>
    <col min="13" max="13" width="13.3796296296296" style="72" customWidth="1"/>
    <col min="14" max="14" width="13" style="72" customWidth="1"/>
    <col min="15" max="15" width="13" style="74" customWidth="1"/>
    <col min="16" max="16" width="16.25" style="72" customWidth="1"/>
    <col min="17" max="17" width="14" style="72" customWidth="1"/>
    <col min="18" max="18" width="14" style="75" customWidth="1"/>
    <col min="19" max="19" width="17.1296296296296" style="76" customWidth="1"/>
    <col min="20" max="20" width="17.1296296296296" style="72" customWidth="1"/>
    <col min="21" max="21" width="18.3796296296296" style="72" customWidth="1"/>
    <col min="22" max="22" width="15.8796296296296" style="72" customWidth="1"/>
    <col min="23" max="23" width="13.1296296296296" style="77" customWidth="1"/>
    <col min="24" max="24" width="20.75" style="78" customWidth="1"/>
    <col min="25" max="25" width="3.12962962962963" style="68" customWidth="1"/>
    <col min="26" max="26" width="15.8796296296296" style="69" customWidth="1"/>
    <col min="27" max="27" width="12.2037037037037" style="68" customWidth="1"/>
    <col min="28" max="28" width="8.96296296296296" style="68" customWidth="1"/>
    <col min="29" max="16384" width="9" style="68"/>
  </cols>
  <sheetData>
    <row r="1" ht="21" customHeight="1" spans="2:24">
      <c r="B1" s="79" t="s">
        <v>0</v>
      </c>
      <c r="C1" s="80"/>
      <c r="D1" s="80"/>
      <c r="E1" s="80"/>
      <c r="F1" s="81" t="s">
        <v>1</v>
      </c>
      <c r="G1" s="81"/>
      <c r="H1" s="81"/>
      <c r="I1" s="81"/>
      <c r="J1" s="81"/>
      <c r="K1" s="86" t="s">
        <v>2</v>
      </c>
      <c r="L1" s="86"/>
      <c r="M1" s="86"/>
      <c r="N1" s="86"/>
      <c r="O1" s="86"/>
      <c r="P1" s="87" t="s">
        <v>3</v>
      </c>
      <c r="Q1" s="91"/>
      <c r="R1" s="91"/>
      <c r="S1" s="91"/>
      <c r="T1" s="92" t="s">
        <v>4</v>
      </c>
      <c r="U1" s="92"/>
      <c r="V1" s="92"/>
      <c r="W1" s="92"/>
      <c r="X1" s="93" t="s">
        <v>5</v>
      </c>
    </row>
    <row r="2" s="67" customFormat="1" ht="57" customHeight="1" spans="1:28">
      <c r="A2" s="82" t="s">
        <v>6</v>
      </c>
      <c r="B2" s="82" t="s">
        <v>7</v>
      </c>
      <c r="C2" s="82" t="s">
        <v>8</v>
      </c>
      <c r="D2" s="83" t="s">
        <v>9</v>
      </c>
      <c r="E2" s="84" t="s">
        <v>10</v>
      </c>
      <c r="F2" s="85" t="s">
        <v>11</v>
      </c>
      <c r="G2" s="85" t="s">
        <v>12</v>
      </c>
      <c r="H2" s="85" t="s">
        <v>13</v>
      </c>
      <c r="I2" s="85" t="s">
        <v>14</v>
      </c>
      <c r="J2" s="88" t="s">
        <v>15</v>
      </c>
      <c r="K2" s="85" t="s">
        <v>16</v>
      </c>
      <c r="L2" s="85" t="s">
        <v>17</v>
      </c>
      <c r="M2" s="85" t="s">
        <v>18</v>
      </c>
      <c r="N2" s="85" t="s">
        <v>19</v>
      </c>
      <c r="O2" s="89" t="s">
        <v>20</v>
      </c>
      <c r="P2" s="90" t="s">
        <v>21</v>
      </c>
      <c r="Q2" s="85" t="s">
        <v>22</v>
      </c>
      <c r="R2" s="94" t="s">
        <v>23</v>
      </c>
      <c r="S2" s="95" t="s">
        <v>24</v>
      </c>
      <c r="T2" s="85" t="s">
        <v>25</v>
      </c>
      <c r="U2" s="85" t="s">
        <v>26</v>
      </c>
      <c r="V2" s="85" t="s">
        <v>27</v>
      </c>
      <c r="W2" s="96" t="s">
        <v>28</v>
      </c>
      <c r="X2" s="97"/>
      <c r="Z2" s="82" t="s">
        <v>6</v>
      </c>
      <c r="AA2" s="98" t="s">
        <v>5</v>
      </c>
      <c r="AB2" s="98" t="s">
        <v>29</v>
      </c>
    </row>
    <row r="3" spans="1:28">
      <c r="A3" s="69" t="s">
        <v>30</v>
      </c>
      <c r="B3" s="69" t="s">
        <v>31</v>
      </c>
      <c r="C3" s="69">
        <v>40</v>
      </c>
      <c r="D3" s="70">
        <f>(B3+C3)/2</f>
        <v>50</v>
      </c>
      <c r="E3" s="71">
        <f>D3*1.013</f>
        <v>50.65</v>
      </c>
      <c r="F3" s="72" t="s">
        <v>32</v>
      </c>
      <c r="G3" s="72">
        <v>25</v>
      </c>
      <c r="H3" s="72">
        <v>25</v>
      </c>
      <c r="I3" s="72">
        <v>25</v>
      </c>
      <c r="J3" s="73">
        <f>(F3+G3+H3+I3)/4</f>
        <v>31.25</v>
      </c>
      <c r="K3" s="72" t="s">
        <v>33</v>
      </c>
      <c r="L3" s="72">
        <v>0</v>
      </c>
      <c r="M3" s="72" t="s">
        <v>34</v>
      </c>
      <c r="N3" s="72" t="s">
        <v>33</v>
      </c>
      <c r="O3" s="74">
        <f>(K3+L3+M3+N3)/4</f>
        <v>31.25</v>
      </c>
      <c r="P3" s="72">
        <v>24.3663274605783</v>
      </c>
      <c r="Q3" s="72">
        <v>37.7663918618064</v>
      </c>
      <c r="R3" s="75">
        <f>(P3+Q3)/2</f>
        <v>31.0663596611924</v>
      </c>
      <c r="S3" s="76">
        <v>31.4605395738813</v>
      </c>
      <c r="T3" s="72">
        <v>75</v>
      </c>
      <c r="U3" s="72">
        <v>25</v>
      </c>
      <c r="V3" s="72" t="s">
        <v>33</v>
      </c>
      <c r="W3" s="77">
        <f>(T3+U3+V3)/3</f>
        <v>41.6666666666667</v>
      </c>
      <c r="X3" s="78">
        <f>(E3+J3+O3+S3+W3)/5</f>
        <v>37.2554412481096</v>
      </c>
      <c r="Z3" s="69" t="s">
        <v>35</v>
      </c>
      <c r="AA3" s="68">
        <v>72.0027201868457</v>
      </c>
      <c r="AB3" s="68">
        <v>1</v>
      </c>
    </row>
    <row r="4" spans="1:28">
      <c r="A4" s="69" t="s">
        <v>36</v>
      </c>
      <c r="B4" s="69" t="s">
        <v>37</v>
      </c>
      <c r="C4" s="69" t="s">
        <v>31</v>
      </c>
      <c r="D4" s="70">
        <f>(B4+C4)/2</f>
        <v>40</v>
      </c>
      <c r="E4" s="71">
        <v>35.9885784987068</v>
      </c>
      <c r="F4" s="72" t="s">
        <v>34</v>
      </c>
      <c r="G4" s="72" t="s">
        <v>38</v>
      </c>
      <c r="H4" s="72" t="s">
        <v>38</v>
      </c>
      <c r="I4" s="72" t="s">
        <v>34</v>
      </c>
      <c r="J4" s="73">
        <f>(F4+G4+H4+I4)/4</f>
        <v>87.5</v>
      </c>
      <c r="K4" s="72" t="s">
        <v>33</v>
      </c>
      <c r="L4" s="72" t="s">
        <v>33</v>
      </c>
      <c r="M4" s="72" t="s">
        <v>38</v>
      </c>
      <c r="N4" s="72">
        <v>0</v>
      </c>
      <c r="O4" s="74">
        <f>(K4+L4+M4+N4)/4</f>
        <v>37.5</v>
      </c>
      <c r="P4" s="72">
        <v>32.3552872837187</v>
      </c>
      <c r="Q4" s="72">
        <v>60.8458535551325</v>
      </c>
      <c r="R4" s="75">
        <f>(P4+Q4)/2</f>
        <v>46.6005704194256</v>
      </c>
      <c r="S4" s="76">
        <v>41.9272071656003</v>
      </c>
      <c r="T4" s="72">
        <v>75</v>
      </c>
      <c r="U4" s="72" t="s">
        <v>34</v>
      </c>
      <c r="V4" s="72" t="s">
        <v>34</v>
      </c>
      <c r="W4" s="77">
        <f>(T4+U4+V4)/3</f>
        <v>75</v>
      </c>
      <c r="X4" s="78">
        <f>(E4+J4+O4+S4+W4)/5</f>
        <v>55.5831571328614</v>
      </c>
      <c r="Z4" s="69" t="s">
        <v>39</v>
      </c>
      <c r="AA4" s="68">
        <v>71.967052801013</v>
      </c>
      <c r="AB4" s="68">
        <v>2</v>
      </c>
    </row>
    <row r="5" spans="1:28">
      <c r="A5" s="69" t="s">
        <v>40</v>
      </c>
      <c r="B5" s="69" t="s">
        <v>37</v>
      </c>
      <c r="C5" s="69" t="s">
        <v>41</v>
      </c>
      <c r="D5" s="70">
        <f>(B5+C5)/2</f>
        <v>30</v>
      </c>
      <c r="E5" s="71">
        <v>26.7128968930269</v>
      </c>
      <c r="F5" s="72" t="s">
        <v>32</v>
      </c>
      <c r="G5" s="72" t="s">
        <v>32</v>
      </c>
      <c r="H5" s="72" t="s">
        <v>34</v>
      </c>
      <c r="I5" s="72">
        <v>75</v>
      </c>
      <c r="J5" s="73">
        <f>(F5+G5+H5+I5)/4</f>
        <v>62.5</v>
      </c>
      <c r="K5" s="72">
        <v>0</v>
      </c>
      <c r="L5" s="72">
        <v>0</v>
      </c>
      <c r="M5" s="72" t="s">
        <v>32</v>
      </c>
      <c r="N5" s="72">
        <v>0</v>
      </c>
      <c r="O5" s="74">
        <f>(K5+L5+M5+N5)/4</f>
        <v>12.5</v>
      </c>
      <c r="P5" s="72">
        <v>45.1376230007434</v>
      </c>
      <c r="Q5" s="72">
        <v>62.3145465719805</v>
      </c>
      <c r="R5" s="75">
        <f>(P5+Q5)/2</f>
        <v>53.726084786362</v>
      </c>
      <c r="S5" s="76">
        <v>47.8393121121369</v>
      </c>
      <c r="T5" s="72" t="s">
        <v>34</v>
      </c>
      <c r="U5" s="72" t="s">
        <v>33</v>
      </c>
      <c r="V5" s="72" t="s">
        <v>33</v>
      </c>
      <c r="W5" s="77">
        <f>(T5+U5+V5)/3</f>
        <v>41.6666666666667</v>
      </c>
      <c r="X5" s="78">
        <f>(E5+J5+O5+S5+W5)/5</f>
        <v>38.2437751343661</v>
      </c>
      <c r="Z5" s="69" t="s">
        <v>42</v>
      </c>
      <c r="AA5" s="68">
        <v>66.7878917466433</v>
      </c>
      <c r="AB5" s="68">
        <v>3</v>
      </c>
    </row>
    <row r="6" spans="1:28">
      <c r="A6" s="69" t="s">
        <v>43</v>
      </c>
      <c r="B6" s="69" t="s">
        <v>37</v>
      </c>
      <c r="C6" s="69" t="s">
        <v>31</v>
      </c>
      <c r="D6" s="70">
        <f t="shared" ref="D6:D66" si="0">(B6+C6)/2</f>
        <v>40</v>
      </c>
      <c r="E6" s="71">
        <v>41.037240141408</v>
      </c>
      <c r="F6" s="72" t="s">
        <v>34</v>
      </c>
      <c r="G6" s="72">
        <v>50</v>
      </c>
      <c r="H6" s="72">
        <v>75</v>
      </c>
      <c r="I6" s="72">
        <v>75</v>
      </c>
      <c r="J6" s="73">
        <f t="shared" ref="J6:J66" si="1">(F6+G6+H6+I6)/4</f>
        <v>68.75</v>
      </c>
      <c r="K6" s="72">
        <v>0</v>
      </c>
      <c r="L6" s="72">
        <v>0</v>
      </c>
      <c r="M6" s="72" t="s">
        <v>32</v>
      </c>
      <c r="N6" s="72" t="s">
        <v>33</v>
      </c>
      <c r="O6" s="74">
        <f t="shared" ref="O6:O66" si="2">(K6+L6+M6+N6)/4</f>
        <v>18.75</v>
      </c>
      <c r="P6" s="72">
        <v>20.7712955401651</v>
      </c>
      <c r="Q6" s="72">
        <v>34.3044726078074</v>
      </c>
      <c r="R6" s="75">
        <f t="shared" ref="R6:R66" si="3">(P6+Q6)/2</f>
        <v>27.5378840739862</v>
      </c>
      <c r="S6" s="76">
        <v>28.2519690432607</v>
      </c>
      <c r="T6" s="72">
        <v>75</v>
      </c>
      <c r="U6" s="72">
        <v>50</v>
      </c>
      <c r="V6" s="72" t="s">
        <v>33</v>
      </c>
      <c r="W6" s="77">
        <f t="shared" ref="W6:W66" si="4">(T6+U6+V6)/3</f>
        <v>50</v>
      </c>
      <c r="X6" s="78">
        <f t="shared" ref="X6:X66" si="5">(E6+J6+O6+S6+W6)/5</f>
        <v>41.3578418369337</v>
      </c>
      <c r="Z6" s="69" t="s">
        <v>44</v>
      </c>
      <c r="AA6" s="68">
        <v>63.1422845487118</v>
      </c>
      <c r="AB6" s="68">
        <v>4</v>
      </c>
    </row>
    <row r="7" s="68" customFormat="1" spans="1:28">
      <c r="A7" s="69" t="s">
        <v>42</v>
      </c>
      <c r="B7" s="69" t="s">
        <v>45</v>
      </c>
      <c r="C7" s="69">
        <v>100</v>
      </c>
      <c r="D7" s="70">
        <f t="shared" si="0"/>
        <v>90</v>
      </c>
      <c r="E7" s="71">
        <f>D7*0.8283</f>
        <v>74.547</v>
      </c>
      <c r="F7" s="72" t="s">
        <v>34</v>
      </c>
      <c r="G7" s="72" t="s">
        <v>38</v>
      </c>
      <c r="H7" s="72" t="s">
        <v>38</v>
      </c>
      <c r="I7" s="72">
        <v>100</v>
      </c>
      <c r="J7" s="73">
        <f t="shared" si="1"/>
        <v>93.75</v>
      </c>
      <c r="K7" s="72" t="s">
        <v>32</v>
      </c>
      <c r="L7" s="72">
        <v>0</v>
      </c>
      <c r="M7" s="72" t="s">
        <v>34</v>
      </c>
      <c r="N7" s="72" t="s">
        <v>33</v>
      </c>
      <c r="O7" s="74">
        <f t="shared" si="2"/>
        <v>37.5</v>
      </c>
      <c r="P7" s="72">
        <v>34.3525272395038</v>
      </c>
      <c r="Q7" s="72">
        <v>93.9657808718429</v>
      </c>
      <c r="R7" s="75">
        <f t="shared" si="3"/>
        <v>64.1591540556734</v>
      </c>
      <c r="S7" s="76">
        <v>53.1424587332167</v>
      </c>
      <c r="T7" s="72">
        <v>100</v>
      </c>
      <c r="U7" s="72" t="s">
        <v>38</v>
      </c>
      <c r="V7" s="72" t="s">
        <v>33</v>
      </c>
      <c r="W7" s="77">
        <f t="shared" si="4"/>
        <v>75</v>
      </c>
      <c r="X7" s="78">
        <f t="shared" si="5"/>
        <v>66.7878917466433</v>
      </c>
      <c r="Z7" s="69" t="s">
        <v>46</v>
      </c>
      <c r="AA7" s="68">
        <v>62.0186715019757</v>
      </c>
      <c r="AB7" s="68">
        <v>5</v>
      </c>
    </row>
    <row r="8" spans="1:28">
      <c r="A8" s="69" t="s">
        <v>47</v>
      </c>
      <c r="B8" s="69" t="s">
        <v>31</v>
      </c>
      <c r="C8" s="69" t="s">
        <v>31</v>
      </c>
      <c r="D8" s="70">
        <f t="shared" si="0"/>
        <v>60</v>
      </c>
      <c r="E8" s="71">
        <v>55.3617537090596</v>
      </c>
      <c r="F8" s="72" t="s">
        <v>32</v>
      </c>
      <c r="G8" s="72" t="s">
        <v>34</v>
      </c>
      <c r="H8" s="72">
        <v>75</v>
      </c>
      <c r="I8" s="72">
        <v>75</v>
      </c>
      <c r="J8" s="73">
        <f t="shared" si="1"/>
        <v>68.75</v>
      </c>
      <c r="K8" s="72">
        <v>0</v>
      </c>
      <c r="L8" s="72">
        <v>0</v>
      </c>
      <c r="M8" s="72" t="s">
        <v>32</v>
      </c>
      <c r="N8" s="72" t="s">
        <v>33</v>
      </c>
      <c r="O8" s="74">
        <f t="shared" si="2"/>
        <v>18.75</v>
      </c>
      <c r="P8" s="72">
        <v>33.3539072616113</v>
      </c>
      <c r="Q8" s="72">
        <v>56.9643077248912</v>
      </c>
      <c r="R8" s="75">
        <f t="shared" si="3"/>
        <v>45.1591074932512</v>
      </c>
      <c r="S8" s="76">
        <v>41.6681231127054</v>
      </c>
      <c r="T8" s="72">
        <v>75</v>
      </c>
      <c r="U8" s="72">
        <v>75</v>
      </c>
      <c r="V8" s="72" t="s">
        <v>33</v>
      </c>
      <c r="W8" s="77">
        <f t="shared" si="4"/>
        <v>58.3333333333333</v>
      </c>
      <c r="X8" s="78">
        <f t="shared" si="5"/>
        <v>48.5726420310197</v>
      </c>
      <c r="Z8" s="69" t="s">
        <v>48</v>
      </c>
      <c r="AA8" s="68">
        <v>61.8217441294887</v>
      </c>
      <c r="AB8" s="68">
        <v>6</v>
      </c>
    </row>
    <row r="9" spans="1:28">
      <c r="A9" s="69" t="s">
        <v>49</v>
      </c>
      <c r="B9" s="69" t="s">
        <v>45</v>
      </c>
      <c r="C9" s="69" t="s">
        <v>31</v>
      </c>
      <c r="D9" s="70">
        <f t="shared" si="0"/>
        <v>70</v>
      </c>
      <c r="E9" s="71">
        <v>57.9803796679926</v>
      </c>
      <c r="F9" s="72">
        <v>50</v>
      </c>
      <c r="G9" s="72">
        <v>25</v>
      </c>
      <c r="H9" s="72">
        <v>25</v>
      </c>
      <c r="I9" s="72">
        <v>25</v>
      </c>
      <c r="J9" s="73">
        <f t="shared" si="1"/>
        <v>31.25</v>
      </c>
      <c r="K9" s="72">
        <v>50</v>
      </c>
      <c r="L9" s="72">
        <v>25</v>
      </c>
      <c r="M9" s="72">
        <v>25</v>
      </c>
      <c r="N9" s="72">
        <v>25</v>
      </c>
      <c r="O9" s="74">
        <f t="shared" si="2"/>
        <v>31.25</v>
      </c>
      <c r="P9" s="72">
        <v>58.3194067089251</v>
      </c>
      <c r="Q9" s="72">
        <v>76.8965700964002</v>
      </c>
      <c r="R9" s="75">
        <f t="shared" si="3"/>
        <v>67.6079884026626</v>
      </c>
      <c r="S9" s="76">
        <v>55.9990976596517</v>
      </c>
      <c r="T9" s="72">
        <v>25</v>
      </c>
      <c r="U9" s="72">
        <v>25</v>
      </c>
      <c r="V9" s="72">
        <v>25</v>
      </c>
      <c r="W9" s="77">
        <f t="shared" si="4"/>
        <v>25</v>
      </c>
      <c r="X9" s="78">
        <f t="shared" si="5"/>
        <v>40.2958954655289</v>
      </c>
      <c r="Z9" s="69" t="s">
        <v>50</v>
      </c>
      <c r="AA9" s="68">
        <v>60.7743532743918</v>
      </c>
      <c r="AB9" s="68">
        <v>7</v>
      </c>
    </row>
    <row r="10" spans="1:28">
      <c r="A10" s="69" t="s">
        <v>51</v>
      </c>
      <c r="B10" s="69" t="s">
        <v>31</v>
      </c>
      <c r="C10" s="69" t="s">
        <v>31</v>
      </c>
      <c r="D10" s="70">
        <f t="shared" si="0"/>
        <v>60</v>
      </c>
      <c r="E10" s="71">
        <v>60.7612992001404</v>
      </c>
      <c r="F10" s="72" t="s">
        <v>34</v>
      </c>
      <c r="G10" s="72" t="s">
        <v>34</v>
      </c>
      <c r="H10" s="72">
        <v>75</v>
      </c>
      <c r="I10" s="72">
        <v>75</v>
      </c>
      <c r="J10" s="73">
        <f t="shared" si="1"/>
        <v>75</v>
      </c>
      <c r="K10" s="72">
        <v>0</v>
      </c>
      <c r="L10" s="72">
        <v>0</v>
      </c>
      <c r="M10" s="72">
        <v>0</v>
      </c>
      <c r="N10" s="72" t="s">
        <v>33</v>
      </c>
      <c r="O10" s="74">
        <f t="shared" si="2"/>
        <v>6.25</v>
      </c>
      <c r="P10" s="72">
        <v>13.1817837081817</v>
      </c>
      <c r="Q10" s="72">
        <v>37.7663918618064</v>
      </c>
      <c r="R10" s="75">
        <f t="shared" si="3"/>
        <v>25.474087784994</v>
      </c>
      <c r="S10" s="76">
        <v>25.7973111625778</v>
      </c>
      <c r="T10" s="72">
        <v>75</v>
      </c>
      <c r="U10" s="72" t="s">
        <v>34</v>
      </c>
      <c r="V10" s="72" t="s">
        <v>33</v>
      </c>
      <c r="W10" s="77">
        <f t="shared" si="4"/>
        <v>58.3333333333333</v>
      </c>
      <c r="X10" s="78">
        <f t="shared" si="5"/>
        <v>45.2283887392103</v>
      </c>
      <c r="Z10" s="69" t="s">
        <v>52</v>
      </c>
      <c r="AA10" s="68">
        <v>60.4327315389655</v>
      </c>
      <c r="AB10" s="68">
        <v>8</v>
      </c>
    </row>
    <row r="11" spans="1:28">
      <c r="A11" s="69" t="s">
        <v>53</v>
      </c>
      <c r="B11" s="69" t="s">
        <v>31</v>
      </c>
      <c r="C11" s="69" t="s">
        <v>31</v>
      </c>
      <c r="D11" s="70">
        <f t="shared" si="0"/>
        <v>60</v>
      </c>
      <c r="E11" s="71">
        <v>64.9561996693728</v>
      </c>
      <c r="F11" s="72" t="s">
        <v>34</v>
      </c>
      <c r="G11" s="72" t="s">
        <v>38</v>
      </c>
      <c r="H11" s="72" t="s">
        <v>38</v>
      </c>
      <c r="I11" s="72">
        <v>75</v>
      </c>
      <c r="J11" s="73">
        <f t="shared" si="1"/>
        <v>87.5</v>
      </c>
      <c r="K11" s="72" t="s">
        <v>32</v>
      </c>
      <c r="L11" s="72">
        <v>0</v>
      </c>
      <c r="M11" s="72" t="s">
        <v>34</v>
      </c>
      <c r="N11" s="72">
        <v>0</v>
      </c>
      <c r="O11" s="74">
        <f t="shared" si="2"/>
        <v>31.25</v>
      </c>
      <c r="P11" s="72">
        <v>31.7561152969832</v>
      </c>
      <c r="Q11" s="72">
        <v>17.204689625934</v>
      </c>
      <c r="R11" s="75">
        <f t="shared" si="3"/>
        <v>24.4804024614586</v>
      </c>
      <c r="S11" s="76">
        <v>26.5025651712185</v>
      </c>
      <c r="T11" s="72">
        <v>75</v>
      </c>
      <c r="U11" s="72" t="s">
        <v>32</v>
      </c>
      <c r="V11" s="72" t="s">
        <v>32</v>
      </c>
      <c r="W11" s="77">
        <f t="shared" si="4"/>
        <v>58.3333333333333</v>
      </c>
      <c r="X11" s="78">
        <f t="shared" si="5"/>
        <v>53.7084196347849</v>
      </c>
      <c r="Z11" s="69" t="s">
        <v>54</v>
      </c>
      <c r="AA11" s="68">
        <v>60.1567487128435</v>
      </c>
      <c r="AB11" s="68">
        <v>9</v>
      </c>
    </row>
    <row r="12" spans="1:28">
      <c r="A12" s="69" t="s">
        <v>55</v>
      </c>
      <c r="B12" s="69" t="s">
        <v>31</v>
      </c>
      <c r="C12" s="69" t="s">
        <v>31</v>
      </c>
      <c r="D12" s="70">
        <f t="shared" si="0"/>
        <v>60</v>
      </c>
      <c r="E12" s="71">
        <v>49.6974682868508</v>
      </c>
      <c r="F12" s="72">
        <v>50</v>
      </c>
      <c r="G12" s="72">
        <v>50</v>
      </c>
      <c r="H12" s="72">
        <v>25</v>
      </c>
      <c r="I12" s="72">
        <v>50</v>
      </c>
      <c r="J12" s="73">
        <f t="shared" si="1"/>
        <v>43.75</v>
      </c>
      <c r="K12" s="72">
        <v>50</v>
      </c>
      <c r="L12" s="72">
        <v>25</v>
      </c>
      <c r="M12" s="72">
        <v>25</v>
      </c>
      <c r="N12" s="72">
        <v>25</v>
      </c>
      <c r="O12" s="74">
        <f t="shared" si="2"/>
        <v>31.25</v>
      </c>
      <c r="P12" s="72">
        <v>32.5550112792972</v>
      </c>
      <c r="Q12" s="72">
        <v>74.3788106389464</v>
      </c>
      <c r="R12" s="75">
        <f t="shared" si="3"/>
        <v>53.4669109591218</v>
      </c>
      <c r="S12" s="76">
        <v>44.2861685297805</v>
      </c>
      <c r="T12" s="72">
        <v>50</v>
      </c>
      <c r="U12" s="72">
        <v>25</v>
      </c>
      <c r="V12" s="72">
        <v>25</v>
      </c>
      <c r="W12" s="77">
        <f t="shared" si="4"/>
        <v>33.3333333333333</v>
      </c>
      <c r="X12" s="78">
        <f t="shared" si="5"/>
        <v>40.4633940299929</v>
      </c>
      <c r="Z12" s="69" t="s">
        <v>56</v>
      </c>
      <c r="AA12" s="68">
        <v>59.3662355616233</v>
      </c>
      <c r="AB12" s="68">
        <v>10</v>
      </c>
    </row>
    <row r="13" spans="1:28">
      <c r="A13" s="69" t="s">
        <v>57</v>
      </c>
      <c r="B13" s="69" t="s">
        <v>31</v>
      </c>
      <c r="C13" s="69" t="s">
        <v>31</v>
      </c>
      <c r="D13" s="70">
        <f t="shared" si="0"/>
        <v>60</v>
      </c>
      <c r="E13" s="71">
        <v>65.0305872908508</v>
      </c>
      <c r="F13" s="72" t="s">
        <v>34</v>
      </c>
      <c r="G13" s="72" t="s">
        <v>38</v>
      </c>
      <c r="H13" s="72">
        <v>75</v>
      </c>
      <c r="I13" s="72">
        <v>75</v>
      </c>
      <c r="J13" s="73">
        <f t="shared" si="1"/>
        <v>81.25</v>
      </c>
      <c r="K13" s="72">
        <v>0</v>
      </c>
      <c r="L13" s="72">
        <v>0</v>
      </c>
      <c r="M13" s="72">
        <v>0</v>
      </c>
      <c r="N13" s="72" t="s">
        <v>33</v>
      </c>
      <c r="O13" s="74">
        <f t="shared" si="2"/>
        <v>6.25</v>
      </c>
      <c r="P13" s="72">
        <v>13.3815077037602</v>
      </c>
      <c r="Q13" s="72">
        <v>16.7850630496917</v>
      </c>
      <c r="R13" s="75">
        <f t="shared" si="3"/>
        <v>15.083285376726</v>
      </c>
      <c r="S13" s="76">
        <v>16.3479151053998</v>
      </c>
      <c r="T13" s="72">
        <v>75</v>
      </c>
      <c r="U13" s="72" t="s">
        <v>34</v>
      </c>
      <c r="V13" s="72" t="s">
        <v>32</v>
      </c>
      <c r="W13" s="77">
        <f t="shared" si="4"/>
        <v>66.6666666666667</v>
      </c>
      <c r="X13" s="78">
        <f t="shared" si="5"/>
        <v>47.1090338125835</v>
      </c>
      <c r="Z13" s="69" t="s">
        <v>58</v>
      </c>
      <c r="AA13" s="68">
        <v>58.9474444598563</v>
      </c>
      <c r="AB13" s="68">
        <v>11</v>
      </c>
    </row>
    <row r="14" spans="1:28">
      <c r="A14" s="69" t="s">
        <v>59</v>
      </c>
      <c r="B14" s="69" t="s">
        <v>45</v>
      </c>
      <c r="C14" s="69" t="s">
        <v>45</v>
      </c>
      <c r="D14" s="70">
        <f t="shared" si="0"/>
        <v>80</v>
      </c>
      <c r="E14" s="71">
        <v>80.7494634125272</v>
      </c>
      <c r="F14" s="72" t="s">
        <v>34</v>
      </c>
      <c r="G14" s="72" t="s">
        <v>34</v>
      </c>
      <c r="H14" s="72">
        <v>75</v>
      </c>
      <c r="I14" s="72">
        <v>75</v>
      </c>
      <c r="J14" s="73">
        <f t="shared" si="1"/>
        <v>75</v>
      </c>
      <c r="K14" s="72" t="s">
        <v>33</v>
      </c>
      <c r="L14" s="72">
        <v>0</v>
      </c>
      <c r="M14" s="72" t="s">
        <v>34</v>
      </c>
      <c r="N14" s="72" t="s">
        <v>33</v>
      </c>
      <c r="O14" s="74">
        <f t="shared" si="2"/>
        <v>31.25</v>
      </c>
      <c r="P14" s="72">
        <v>9.98619977892553</v>
      </c>
      <c r="Q14" s="72">
        <v>38.6056450142909</v>
      </c>
      <c r="R14" s="75">
        <f t="shared" si="3"/>
        <v>24.2959223966082</v>
      </c>
      <c r="S14" s="76">
        <v>24.5235337079814</v>
      </c>
      <c r="T14" s="72">
        <v>75</v>
      </c>
      <c r="U14" s="72" t="s">
        <v>34</v>
      </c>
      <c r="V14" s="72" t="s">
        <v>33</v>
      </c>
      <c r="W14" s="77">
        <f t="shared" si="4"/>
        <v>58.3333333333333</v>
      </c>
      <c r="X14" s="78">
        <f t="shared" si="5"/>
        <v>53.9712660907684</v>
      </c>
      <c r="Z14" s="69" t="s">
        <v>60</v>
      </c>
      <c r="AA14" s="68">
        <v>58.5703228425467</v>
      </c>
      <c r="AB14" s="68">
        <v>12</v>
      </c>
    </row>
    <row r="15" spans="1:28">
      <c r="A15" s="69" t="s">
        <v>61</v>
      </c>
      <c r="B15" s="69" t="s">
        <v>41</v>
      </c>
      <c r="C15" s="69" t="s">
        <v>31</v>
      </c>
      <c r="D15" s="70">
        <f t="shared" si="0"/>
        <v>50</v>
      </c>
      <c r="E15" s="71">
        <v>43.92267167755</v>
      </c>
      <c r="F15" s="72" t="s">
        <v>32</v>
      </c>
      <c r="G15" s="72" t="s">
        <v>34</v>
      </c>
      <c r="H15" s="72">
        <v>75</v>
      </c>
      <c r="I15" s="72" t="s">
        <v>34</v>
      </c>
      <c r="J15" s="73">
        <f t="shared" si="1"/>
        <v>68.75</v>
      </c>
      <c r="K15" s="72" t="s">
        <v>33</v>
      </c>
      <c r="L15" s="72">
        <v>0</v>
      </c>
      <c r="M15" s="72" t="s">
        <v>34</v>
      </c>
      <c r="N15" s="72" t="s">
        <v>33</v>
      </c>
      <c r="O15" s="74">
        <f t="shared" si="2"/>
        <v>31.25</v>
      </c>
      <c r="P15" s="72">
        <v>82.2862861783463</v>
      </c>
      <c r="Q15" s="72">
        <v>64.1294315142284</v>
      </c>
      <c r="R15" s="75">
        <f t="shared" si="3"/>
        <v>73.2078588462874</v>
      </c>
      <c r="S15" s="76">
        <v>64.3096949664381</v>
      </c>
      <c r="T15" s="72">
        <v>75</v>
      </c>
      <c r="U15" s="72" t="s">
        <v>34</v>
      </c>
      <c r="V15" s="72" t="s">
        <v>33</v>
      </c>
      <c r="W15" s="77">
        <f t="shared" si="4"/>
        <v>58.3333333333333</v>
      </c>
      <c r="X15" s="78">
        <f t="shared" si="5"/>
        <v>53.3131399954643</v>
      </c>
      <c r="Z15" s="69" t="s">
        <v>62</v>
      </c>
      <c r="AA15" s="68">
        <v>58.4742160264516</v>
      </c>
      <c r="AB15" s="68">
        <v>13</v>
      </c>
    </row>
    <row r="16" spans="1:28">
      <c r="A16" s="69" t="s">
        <v>63</v>
      </c>
      <c r="B16" s="69" t="s">
        <v>31</v>
      </c>
      <c r="C16" s="69" t="s">
        <v>31</v>
      </c>
      <c r="D16" s="70">
        <f t="shared" si="0"/>
        <v>60</v>
      </c>
      <c r="E16" s="71">
        <v>59.1150416249804</v>
      </c>
      <c r="F16" s="72" t="s">
        <v>32</v>
      </c>
      <c r="G16" s="72" t="s">
        <v>34</v>
      </c>
      <c r="H16" s="72" t="s">
        <v>34</v>
      </c>
      <c r="I16" s="72">
        <v>75</v>
      </c>
      <c r="J16" s="73">
        <f t="shared" si="1"/>
        <v>68.75</v>
      </c>
      <c r="K16" s="72">
        <v>0</v>
      </c>
      <c r="L16" s="72">
        <v>0</v>
      </c>
      <c r="M16" s="72" t="s">
        <v>33</v>
      </c>
      <c r="N16" s="72" t="s">
        <v>33</v>
      </c>
      <c r="O16" s="74">
        <f t="shared" si="2"/>
        <v>12.5</v>
      </c>
      <c r="P16" s="72">
        <v>15.5784716551238</v>
      </c>
      <c r="Q16" s="72">
        <v>44.3755104376225</v>
      </c>
      <c r="R16" s="75">
        <f t="shared" si="3"/>
        <v>29.9769910463732</v>
      </c>
      <c r="S16" s="76">
        <v>29.5348512249669</v>
      </c>
      <c r="T16" s="72" t="s">
        <v>34</v>
      </c>
      <c r="U16" s="72">
        <v>0</v>
      </c>
      <c r="V16" s="72" t="s">
        <v>33</v>
      </c>
      <c r="W16" s="77">
        <f t="shared" si="4"/>
        <v>33.3333333333333</v>
      </c>
      <c r="X16" s="78">
        <f t="shared" si="5"/>
        <v>40.6466452366561</v>
      </c>
      <c r="Z16" s="69" t="s">
        <v>64</v>
      </c>
      <c r="AA16" s="68">
        <v>58.3367098265684</v>
      </c>
      <c r="AB16" s="68">
        <v>14</v>
      </c>
    </row>
    <row r="17" spans="1:28">
      <c r="A17" s="69" t="s">
        <v>65</v>
      </c>
      <c r="B17" s="69" t="s">
        <v>41</v>
      </c>
      <c r="C17" s="69" t="s">
        <v>31</v>
      </c>
      <c r="D17" s="70">
        <f t="shared" si="0"/>
        <v>50</v>
      </c>
      <c r="E17" s="71">
        <v>45.3069597863853</v>
      </c>
      <c r="F17" s="72" t="s">
        <v>34</v>
      </c>
      <c r="G17" s="72" t="s">
        <v>34</v>
      </c>
      <c r="H17" s="72">
        <v>75</v>
      </c>
      <c r="I17" s="72">
        <v>75</v>
      </c>
      <c r="J17" s="73">
        <f t="shared" si="1"/>
        <v>75</v>
      </c>
      <c r="K17" s="72" t="s">
        <v>32</v>
      </c>
      <c r="L17" s="72">
        <v>0</v>
      </c>
      <c r="M17" s="72" t="s">
        <v>34</v>
      </c>
      <c r="N17" s="72" t="s">
        <v>33</v>
      </c>
      <c r="O17" s="74">
        <f t="shared" si="2"/>
        <v>37.5</v>
      </c>
      <c r="P17" s="72">
        <v>34.9516992262393</v>
      </c>
      <c r="Q17" s="72">
        <v>59.7967871145267</v>
      </c>
      <c r="R17" s="75">
        <f t="shared" si="3"/>
        <v>47.374243170383</v>
      </c>
      <c r="S17" s="76">
        <v>42.9276586046196</v>
      </c>
      <c r="T17" s="72">
        <v>75</v>
      </c>
      <c r="U17" s="72" t="s">
        <v>34</v>
      </c>
      <c r="V17" s="72" t="s">
        <v>32</v>
      </c>
      <c r="W17" s="77">
        <f t="shared" si="4"/>
        <v>66.6666666666667</v>
      </c>
      <c r="X17" s="78">
        <f t="shared" si="5"/>
        <v>53.4802570115343</v>
      </c>
      <c r="Z17" s="69" t="s">
        <v>66</v>
      </c>
      <c r="AA17" s="68">
        <v>58.2092020696564</v>
      </c>
      <c r="AB17" s="68">
        <v>16</v>
      </c>
    </row>
    <row r="18" spans="1:28">
      <c r="A18" s="69" t="s">
        <v>67</v>
      </c>
      <c r="B18" s="69" t="s">
        <v>41</v>
      </c>
      <c r="C18" s="69" t="s">
        <v>31</v>
      </c>
      <c r="D18" s="70">
        <f t="shared" si="0"/>
        <v>50</v>
      </c>
      <c r="E18" s="71">
        <v>43.92267167755</v>
      </c>
      <c r="F18" s="72" t="s">
        <v>32</v>
      </c>
      <c r="G18" s="72" t="s">
        <v>32</v>
      </c>
      <c r="H18" s="72" t="s">
        <v>38</v>
      </c>
      <c r="I18" s="72" t="s">
        <v>34</v>
      </c>
      <c r="J18" s="73">
        <f t="shared" si="1"/>
        <v>68.75</v>
      </c>
      <c r="K18" s="72">
        <v>0</v>
      </c>
      <c r="L18" s="72">
        <v>0</v>
      </c>
      <c r="M18" s="72" t="s">
        <v>32</v>
      </c>
      <c r="N18" s="72">
        <v>0</v>
      </c>
      <c r="O18" s="74">
        <f t="shared" si="2"/>
        <v>12.5</v>
      </c>
      <c r="P18" s="72">
        <v>82.2862861783463</v>
      </c>
      <c r="Q18" s="72">
        <v>64.1294315142284</v>
      </c>
      <c r="R18" s="75">
        <f t="shared" si="3"/>
        <v>73.2078588462874</v>
      </c>
      <c r="S18" s="76">
        <v>64.3096949664381</v>
      </c>
      <c r="T18" s="72">
        <v>75</v>
      </c>
      <c r="U18" s="72" t="s">
        <v>32</v>
      </c>
      <c r="V18" s="72" t="s">
        <v>33</v>
      </c>
      <c r="W18" s="77">
        <f t="shared" si="4"/>
        <v>50</v>
      </c>
      <c r="X18" s="78">
        <f t="shared" si="5"/>
        <v>47.8964733287976</v>
      </c>
      <c r="Z18" s="69" t="s">
        <v>68</v>
      </c>
      <c r="AA18" s="68">
        <v>58.1512341029058</v>
      </c>
      <c r="AB18" s="68">
        <v>17</v>
      </c>
    </row>
    <row r="19" spans="1:28">
      <c r="A19" s="69" t="s">
        <v>69</v>
      </c>
      <c r="B19" s="69" t="s">
        <v>31</v>
      </c>
      <c r="C19" s="69" t="s">
        <v>31</v>
      </c>
      <c r="D19" s="70">
        <f t="shared" si="0"/>
        <v>60</v>
      </c>
      <c r="E19" s="71">
        <v>61.8345594716712</v>
      </c>
      <c r="F19" s="72" t="s">
        <v>34</v>
      </c>
      <c r="G19" s="72" t="s">
        <v>34</v>
      </c>
      <c r="H19" s="72" t="s">
        <v>38</v>
      </c>
      <c r="I19" s="72" t="s">
        <v>34</v>
      </c>
      <c r="J19" s="73">
        <f t="shared" si="1"/>
        <v>81.25</v>
      </c>
      <c r="K19" s="72" t="s">
        <v>33</v>
      </c>
      <c r="L19" s="72">
        <v>0</v>
      </c>
      <c r="M19" s="72" t="s">
        <v>33</v>
      </c>
      <c r="N19" s="72" t="s">
        <v>33</v>
      </c>
      <c r="O19" s="74">
        <f t="shared" si="2"/>
        <v>18.75</v>
      </c>
      <c r="P19" s="72">
        <v>20.7712955401651</v>
      </c>
      <c r="Q19" s="72">
        <v>33.0455928790806</v>
      </c>
      <c r="R19" s="75">
        <f t="shared" si="3"/>
        <v>26.9084442096229</v>
      </c>
      <c r="S19" s="76">
        <v>27.7311965628345</v>
      </c>
      <c r="T19" s="72">
        <v>75</v>
      </c>
      <c r="U19" s="72" t="s">
        <v>33</v>
      </c>
      <c r="V19" s="72" t="s">
        <v>33</v>
      </c>
      <c r="W19" s="77">
        <f t="shared" si="4"/>
        <v>41.6666666666667</v>
      </c>
      <c r="X19" s="78">
        <f t="shared" si="5"/>
        <v>46.2464845402345</v>
      </c>
      <c r="Z19" s="69" t="s">
        <v>70</v>
      </c>
      <c r="AA19" s="68">
        <v>57.36982570552</v>
      </c>
      <c r="AB19" s="68">
        <v>22</v>
      </c>
    </row>
    <row r="20" spans="1:28">
      <c r="A20" s="69" t="s">
        <v>71</v>
      </c>
      <c r="B20" s="69" t="s">
        <v>31</v>
      </c>
      <c r="C20" s="69" t="s">
        <v>31</v>
      </c>
      <c r="D20" s="70">
        <f t="shared" si="0"/>
        <v>60</v>
      </c>
      <c r="E20" s="71">
        <v>62.8138849907622</v>
      </c>
      <c r="F20" s="72" t="s">
        <v>34</v>
      </c>
      <c r="G20" s="72" t="s">
        <v>34</v>
      </c>
      <c r="H20" s="72" t="s">
        <v>38</v>
      </c>
      <c r="I20" s="72">
        <v>75</v>
      </c>
      <c r="J20" s="73">
        <f t="shared" si="1"/>
        <v>81.25</v>
      </c>
      <c r="K20" s="72" t="s">
        <v>32</v>
      </c>
      <c r="L20" s="72">
        <v>0</v>
      </c>
      <c r="M20" s="72" t="s">
        <v>33</v>
      </c>
      <c r="N20" s="72">
        <v>0</v>
      </c>
      <c r="O20" s="74">
        <f t="shared" si="2"/>
        <v>18.75</v>
      </c>
      <c r="P20" s="72">
        <v>32.3552872837187</v>
      </c>
      <c r="Q20" s="72">
        <v>28.4297005404153</v>
      </c>
      <c r="R20" s="75">
        <f t="shared" si="3"/>
        <v>30.392493912067</v>
      </c>
      <c r="S20" s="76">
        <v>31.8178436195836</v>
      </c>
      <c r="T20" s="72">
        <v>75</v>
      </c>
      <c r="U20" s="72" t="s">
        <v>34</v>
      </c>
      <c r="V20" s="72" t="s">
        <v>33</v>
      </c>
      <c r="W20" s="77">
        <f t="shared" si="4"/>
        <v>58.3333333333333</v>
      </c>
      <c r="X20" s="78">
        <f t="shared" si="5"/>
        <v>50.5930123887358</v>
      </c>
      <c r="Z20" s="69" t="s">
        <v>72</v>
      </c>
      <c r="AA20" s="68">
        <v>56.5863178235765</v>
      </c>
      <c r="AB20" s="68">
        <v>31</v>
      </c>
    </row>
    <row r="21" spans="1:28">
      <c r="A21" s="69" t="s">
        <v>73</v>
      </c>
      <c r="B21" s="69" t="s">
        <v>41</v>
      </c>
      <c r="C21" s="69" t="s">
        <v>41</v>
      </c>
      <c r="D21" s="70">
        <f t="shared" si="0"/>
        <v>40</v>
      </c>
      <c r="E21" s="71">
        <v>33.1316455245672</v>
      </c>
      <c r="F21" s="72" t="s">
        <v>34</v>
      </c>
      <c r="G21" s="72" t="s">
        <v>34</v>
      </c>
      <c r="H21" s="72">
        <v>50</v>
      </c>
      <c r="I21" s="72">
        <v>75</v>
      </c>
      <c r="J21" s="73">
        <f t="shared" si="1"/>
        <v>68.75</v>
      </c>
      <c r="K21" s="72">
        <v>0</v>
      </c>
      <c r="L21" s="72">
        <v>0</v>
      </c>
      <c r="M21" s="72" t="s">
        <v>34</v>
      </c>
      <c r="N21" s="72" t="s">
        <v>33</v>
      </c>
      <c r="O21" s="74">
        <f t="shared" si="2"/>
        <v>25</v>
      </c>
      <c r="P21" s="72">
        <v>74.2973263552059</v>
      </c>
      <c r="Q21" s="72">
        <v>72.3855844017955</v>
      </c>
      <c r="R21" s="75">
        <f t="shared" si="3"/>
        <v>73.3414553785007</v>
      </c>
      <c r="S21" s="76">
        <v>60.7480775464087</v>
      </c>
      <c r="T21" s="72">
        <v>75</v>
      </c>
      <c r="U21" s="72">
        <v>50</v>
      </c>
      <c r="V21" s="72">
        <v>25</v>
      </c>
      <c r="W21" s="77">
        <f t="shared" si="4"/>
        <v>50</v>
      </c>
      <c r="X21" s="78">
        <f t="shared" si="5"/>
        <v>47.5259446141952</v>
      </c>
      <c r="Z21" s="69" t="s">
        <v>74</v>
      </c>
      <c r="AA21" s="68">
        <v>56.4799785699895</v>
      </c>
      <c r="AB21" s="68">
        <v>32</v>
      </c>
    </row>
    <row r="22" spans="1:28">
      <c r="A22" s="69" t="s">
        <v>75</v>
      </c>
      <c r="B22" s="69" t="s">
        <v>45</v>
      </c>
      <c r="C22" s="69" t="s">
        <v>45</v>
      </c>
      <c r="D22" s="70">
        <f t="shared" si="0"/>
        <v>80</v>
      </c>
      <c r="E22" s="71">
        <v>83.8349556056416</v>
      </c>
      <c r="F22" s="72" t="s">
        <v>34</v>
      </c>
      <c r="G22" s="72" t="s">
        <v>34</v>
      </c>
      <c r="H22" s="72">
        <v>50</v>
      </c>
      <c r="I22" s="72">
        <v>25</v>
      </c>
      <c r="J22" s="73">
        <f t="shared" si="1"/>
        <v>56.25</v>
      </c>
      <c r="K22" s="72" t="s">
        <v>33</v>
      </c>
      <c r="L22" s="72">
        <v>0</v>
      </c>
      <c r="M22" s="72" t="s">
        <v>32</v>
      </c>
      <c r="N22" s="72" t="s">
        <v>33</v>
      </c>
      <c r="O22" s="74">
        <f t="shared" si="2"/>
        <v>25</v>
      </c>
      <c r="P22" s="72">
        <v>21.9696395136362</v>
      </c>
      <c r="Q22" s="72">
        <v>28.1254712726397</v>
      </c>
      <c r="R22" s="75">
        <f t="shared" si="3"/>
        <v>25.0475553931379</v>
      </c>
      <c r="S22" s="76">
        <v>26.2482586801696</v>
      </c>
      <c r="T22" s="72" t="s">
        <v>34</v>
      </c>
      <c r="U22" s="72">
        <v>50</v>
      </c>
      <c r="V22" s="72" t="s">
        <v>34</v>
      </c>
      <c r="W22" s="77">
        <f t="shared" si="4"/>
        <v>66.6666666666667</v>
      </c>
      <c r="X22" s="78">
        <f t="shared" si="5"/>
        <v>51.5999761904956</v>
      </c>
      <c r="Z22" s="69" t="s">
        <v>76</v>
      </c>
      <c r="AA22" s="68">
        <v>56.3640133420657</v>
      </c>
      <c r="AB22" s="68">
        <v>34</v>
      </c>
    </row>
    <row r="23" spans="1:28">
      <c r="A23" s="69" t="s">
        <v>77</v>
      </c>
      <c r="B23" s="69" t="s">
        <v>31</v>
      </c>
      <c r="C23" s="69" t="s">
        <v>31</v>
      </c>
      <c r="D23" s="70">
        <f t="shared" si="0"/>
        <v>60</v>
      </c>
      <c r="E23" s="71">
        <v>62.6187577169514</v>
      </c>
      <c r="F23" s="72" t="s">
        <v>32</v>
      </c>
      <c r="G23" s="72" t="s">
        <v>32</v>
      </c>
      <c r="H23" s="72" t="s">
        <v>38</v>
      </c>
      <c r="I23" s="72" t="s">
        <v>34</v>
      </c>
      <c r="J23" s="73">
        <f t="shared" si="1"/>
        <v>68.75</v>
      </c>
      <c r="K23" s="72">
        <v>0</v>
      </c>
      <c r="L23" s="72">
        <v>0</v>
      </c>
      <c r="M23" s="72" t="s">
        <v>33</v>
      </c>
      <c r="N23" s="72">
        <v>0</v>
      </c>
      <c r="O23" s="74">
        <f t="shared" si="2"/>
        <v>6.25</v>
      </c>
      <c r="P23" s="72">
        <v>23.5674314782642</v>
      </c>
      <c r="Q23" s="72">
        <v>29.3738603369605</v>
      </c>
      <c r="R23" s="75">
        <f t="shared" si="3"/>
        <v>26.4706459076124</v>
      </c>
      <c r="S23" s="76">
        <v>27.6259827116665</v>
      </c>
      <c r="T23" s="72" t="s">
        <v>34</v>
      </c>
      <c r="U23" s="72" t="s">
        <v>32</v>
      </c>
      <c r="V23" s="72" t="s">
        <v>33</v>
      </c>
      <c r="W23" s="77">
        <f t="shared" si="4"/>
        <v>50</v>
      </c>
      <c r="X23" s="78">
        <f t="shared" si="5"/>
        <v>43.0489480857236</v>
      </c>
      <c r="Z23" s="69" t="s">
        <v>78</v>
      </c>
      <c r="AA23" s="68">
        <v>56.3376891131874</v>
      </c>
      <c r="AB23" s="68">
        <v>35</v>
      </c>
    </row>
    <row r="24" spans="1:28">
      <c r="A24" s="69" t="s">
        <v>79</v>
      </c>
      <c r="B24" s="69" t="s">
        <v>38</v>
      </c>
      <c r="C24" s="69" t="s">
        <v>45</v>
      </c>
      <c r="D24" s="70">
        <f t="shared" si="0"/>
        <v>90</v>
      </c>
      <c r="E24" s="71">
        <v>94.5097198494516</v>
      </c>
      <c r="F24" s="72" t="s">
        <v>33</v>
      </c>
      <c r="G24" s="72">
        <v>0</v>
      </c>
      <c r="H24" s="72">
        <v>25</v>
      </c>
      <c r="I24" s="72">
        <v>50</v>
      </c>
      <c r="J24" s="73">
        <f t="shared" si="1"/>
        <v>25</v>
      </c>
      <c r="K24" s="72">
        <v>0</v>
      </c>
      <c r="L24" s="72">
        <v>0</v>
      </c>
      <c r="M24" s="72" t="s">
        <v>33</v>
      </c>
      <c r="N24" s="72">
        <v>0</v>
      </c>
      <c r="O24" s="74">
        <f t="shared" si="2"/>
        <v>6.25</v>
      </c>
      <c r="P24" s="72">
        <v>29.099786155789</v>
      </c>
      <c r="Q24" s="72">
        <v>27.4855407438702</v>
      </c>
      <c r="R24" s="75">
        <f t="shared" si="3"/>
        <v>28.2926634498296</v>
      </c>
      <c r="S24" s="76">
        <v>29.7103521826468</v>
      </c>
      <c r="T24" s="72">
        <v>50</v>
      </c>
      <c r="U24" s="72">
        <v>25</v>
      </c>
      <c r="V24" s="72" t="s">
        <v>33</v>
      </c>
      <c r="W24" s="77">
        <f t="shared" si="4"/>
        <v>33.3333333333333</v>
      </c>
      <c r="X24" s="78">
        <f t="shared" si="5"/>
        <v>37.7606810730864</v>
      </c>
      <c r="Z24" s="69" t="s">
        <v>80</v>
      </c>
      <c r="AA24" s="68">
        <v>56.2542419612981</v>
      </c>
      <c r="AB24" s="68">
        <v>37</v>
      </c>
    </row>
    <row r="25" spans="1:28">
      <c r="A25" s="69" t="s">
        <v>81</v>
      </c>
      <c r="B25" s="69" t="s">
        <v>37</v>
      </c>
      <c r="C25" s="69" t="s">
        <v>31</v>
      </c>
      <c r="D25" s="70">
        <f t="shared" si="0"/>
        <v>40</v>
      </c>
      <c r="E25" s="71">
        <v>40.5075328000936</v>
      </c>
      <c r="F25" s="72" t="s">
        <v>32</v>
      </c>
      <c r="G25" s="72" t="s">
        <v>34</v>
      </c>
      <c r="H25" s="72" t="s">
        <v>38</v>
      </c>
      <c r="I25" s="72">
        <v>75</v>
      </c>
      <c r="J25" s="73">
        <f t="shared" si="1"/>
        <v>75</v>
      </c>
      <c r="K25" s="72">
        <v>0</v>
      </c>
      <c r="L25" s="72">
        <v>0</v>
      </c>
      <c r="M25" s="72">
        <v>0</v>
      </c>
      <c r="N25" s="72">
        <v>0</v>
      </c>
      <c r="O25" s="74">
        <f t="shared" si="2"/>
        <v>0</v>
      </c>
      <c r="P25" s="72">
        <v>24.3663274605783</v>
      </c>
      <c r="Q25" s="72">
        <v>37.7663918618064</v>
      </c>
      <c r="R25" s="75">
        <f t="shared" si="3"/>
        <v>31.0663596611924</v>
      </c>
      <c r="S25" s="76">
        <v>31.4605395738813</v>
      </c>
      <c r="T25" s="72" t="s">
        <v>34</v>
      </c>
      <c r="U25" s="72" t="s">
        <v>34</v>
      </c>
      <c r="V25" s="72" t="s">
        <v>33</v>
      </c>
      <c r="W25" s="77">
        <f t="shared" si="4"/>
        <v>58.3333333333333</v>
      </c>
      <c r="X25" s="78">
        <f t="shared" si="5"/>
        <v>41.0602811414617</v>
      </c>
      <c r="Z25" s="69" t="s">
        <v>82</v>
      </c>
      <c r="AA25" s="68">
        <v>56.0758188593999</v>
      </c>
      <c r="AB25" s="68">
        <v>40</v>
      </c>
    </row>
    <row r="26" s="68" customFormat="1" spans="1:28">
      <c r="A26" s="69" t="s">
        <v>83</v>
      </c>
      <c r="B26" s="69">
        <v>60</v>
      </c>
      <c r="C26" s="69">
        <v>60</v>
      </c>
      <c r="D26" s="70">
        <f t="shared" si="0"/>
        <v>60</v>
      </c>
      <c r="E26" s="71">
        <f>D26*1.099</f>
        <v>65.94</v>
      </c>
      <c r="F26" s="72">
        <v>0</v>
      </c>
      <c r="G26" s="72">
        <v>0</v>
      </c>
      <c r="H26" s="72">
        <v>0</v>
      </c>
      <c r="I26" s="72">
        <v>0</v>
      </c>
      <c r="J26" s="73">
        <f t="shared" si="1"/>
        <v>0</v>
      </c>
      <c r="K26" s="72">
        <v>0</v>
      </c>
      <c r="L26" s="72">
        <v>0</v>
      </c>
      <c r="M26" s="72">
        <v>0</v>
      </c>
      <c r="N26" s="72">
        <v>0</v>
      </c>
      <c r="O26" s="74">
        <v>0</v>
      </c>
      <c r="P26" s="72">
        <v>20.7712955401651</v>
      </c>
      <c r="Q26" s="72">
        <v>6.52519326056765</v>
      </c>
      <c r="R26" s="75">
        <f t="shared" si="3"/>
        <v>13.6482444003664</v>
      </c>
      <c r="S26" s="76">
        <f>R26*1.099</f>
        <v>14.9994205960026</v>
      </c>
      <c r="T26" s="72">
        <v>0</v>
      </c>
      <c r="U26" s="72">
        <v>0</v>
      </c>
      <c r="V26" s="72">
        <v>0</v>
      </c>
      <c r="W26" s="77">
        <v>0</v>
      </c>
      <c r="X26" s="78">
        <f t="shared" si="5"/>
        <v>16.1878841192005</v>
      </c>
      <c r="Z26" s="69" t="s">
        <v>84</v>
      </c>
      <c r="AA26" s="68">
        <v>55.9941439308588</v>
      </c>
      <c r="AB26" s="68">
        <v>41</v>
      </c>
    </row>
    <row r="27" spans="1:28">
      <c r="A27" s="69" t="s">
        <v>62</v>
      </c>
      <c r="B27" s="69" t="s">
        <v>31</v>
      </c>
      <c r="C27" s="69" t="s">
        <v>31</v>
      </c>
      <c r="D27" s="70">
        <f t="shared" si="0"/>
        <v>60</v>
      </c>
      <c r="E27" s="71">
        <v>49.6974682868508</v>
      </c>
      <c r="F27" s="72" t="s">
        <v>34</v>
      </c>
      <c r="G27" s="72">
        <v>75</v>
      </c>
      <c r="H27" s="72">
        <v>75</v>
      </c>
      <c r="I27" s="72">
        <v>75</v>
      </c>
      <c r="J27" s="73">
        <f t="shared" si="1"/>
        <v>75</v>
      </c>
      <c r="K27" s="72" t="s">
        <v>32</v>
      </c>
      <c r="L27" s="72">
        <v>0</v>
      </c>
      <c r="M27" s="72" t="s">
        <v>34</v>
      </c>
      <c r="N27" s="72" t="s">
        <v>33</v>
      </c>
      <c r="O27" s="74">
        <f t="shared" si="2"/>
        <v>37.5</v>
      </c>
      <c r="P27" s="72">
        <v>58.3194067089251</v>
      </c>
      <c r="Q27" s="72">
        <v>74.9033438592493</v>
      </c>
      <c r="R27" s="75">
        <f t="shared" si="3"/>
        <v>66.6113752840872</v>
      </c>
      <c r="S27" s="76">
        <v>55.1736118454074</v>
      </c>
      <c r="T27" s="72">
        <v>75</v>
      </c>
      <c r="U27" s="72">
        <v>75</v>
      </c>
      <c r="V27" s="72">
        <v>75</v>
      </c>
      <c r="W27" s="77">
        <f t="shared" si="4"/>
        <v>75</v>
      </c>
      <c r="X27" s="78">
        <f t="shared" si="5"/>
        <v>58.4742160264516</v>
      </c>
      <c r="Z27" s="69" t="s">
        <v>85</v>
      </c>
      <c r="AA27" s="68">
        <v>55.945089335114</v>
      </c>
      <c r="AB27" s="68">
        <v>42</v>
      </c>
    </row>
    <row r="28" spans="1:28">
      <c r="A28" s="69" t="s">
        <v>86</v>
      </c>
      <c r="B28" s="69" t="s">
        <v>41</v>
      </c>
      <c r="C28" s="69" t="s">
        <v>31</v>
      </c>
      <c r="D28" s="70">
        <f t="shared" si="0"/>
        <v>50</v>
      </c>
      <c r="E28" s="71">
        <v>50.634416000117</v>
      </c>
      <c r="F28" s="72" t="s">
        <v>34</v>
      </c>
      <c r="G28" s="72">
        <v>75</v>
      </c>
      <c r="H28" s="72">
        <v>50</v>
      </c>
      <c r="I28" s="72">
        <v>75</v>
      </c>
      <c r="J28" s="73">
        <f t="shared" si="1"/>
        <v>68.75</v>
      </c>
      <c r="K28" s="72">
        <v>0</v>
      </c>
      <c r="L28" s="72">
        <v>0</v>
      </c>
      <c r="M28" s="72" t="s">
        <v>33</v>
      </c>
      <c r="N28" s="72">
        <v>0</v>
      </c>
      <c r="O28" s="74">
        <f t="shared" si="2"/>
        <v>6.25</v>
      </c>
      <c r="P28" s="72">
        <v>24.3663274605783</v>
      </c>
      <c r="Q28" s="72">
        <v>37.7663918618064</v>
      </c>
      <c r="R28" s="75">
        <f t="shared" si="3"/>
        <v>31.0663596611924</v>
      </c>
      <c r="S28" s="76">
        <v>31.4605395738813</v>
      </c>
      <c r="T28" s="72">
        <v>50</v>
      </c>
      <c r="U28" s="72" t="s">
        <v>32</v>
      </c>
      <c r="V28" s="72" t="s">
        <v>32</v>
      </c>
      <c r="W28" s="77">
        <f t="shared" si="4"/>
        <v>50</v>
      </c>
      <c r="X28" s="78">
        <f t="shared" si="5"/>
        <v>41.4189911147997</v>
      </c>
      <c r="Z28" s="69" t="s">
        <v>87</v>
      </c>
      <c r="AA28" s="68">
        <v>55.7617304270614</v>
      </c>
      <c r="AB28" s="68">
        <v>43</v>
      </c>
    </row>
    <row r="29" spans="1:28">
      <c r="A29" s="69" t="s">
        <v>88</v>
      </c>
      <c r="B29" s="69" t="s">
        <v>41</v>
      </c>
      <c r="C29" s="69" t="s">
        <v>31</v>
      </c>
      <c r="D29" s="70">
        <f t="shared" si="0"/>
        <v>50</v>
      </c>
      <c r="E29" s="71">
        <v>53.6518369917785</v>
      </c>
      <c r="F29" s="72" t="s">
        <v>34</v>
      </c>
      <c r="G29" s="72" t="s">
        <v>34</v>
      </c>
      <c r="H29" s="72" t="s">
        <v>38</v>
      </c>
      <c r="I29" s="72">
        <v>75</v>
      </c>
      <c r="J29" s="73">
        <f t="shared" si="1"/>
        <v>81.25</v>
      </c>
      <c r="K29" s="72">
        <v>0</v>
      </c>
      <c r="L29" s="72">
        <v>0</v>
      </c>
      <c r="M29" s="72">
        <v>0</v>
      </c>
      <c r="N29" s="72" t="s">
        <v>33</v>
      </c>
      <c r="O29" s="74">
        <f t="shared" si="2"/>
        <v>6.25</v>
      </c>
      <c r="P29" s="72">
        <v>12.3828877258677</v>
      </c>
      <c r="Q29" s="72">
        <v>20.3728702765633</v>
      </c>
      <c r="R29" s="75">
        <f t="shared" si="3"/>
        <v>16.3778790012155</v>
      </c>
      <c r="S29" s="76">
        <v>17.5740658888857</v>
      </c>
      <c r="T29" s="72">
        <v>50</v>
      </c>
      <c r="U29" s="72" t="s">
        <v>34</v>
      </c>
      <c r="V29" s="72" t="s">
        <v>33</v>
      </c>
      <c r="W29" s="77">
        <f t="shared" si="4"/>
        <v>50</v>
      </c>
      <c r="X29" s="78">
        <f t="shared" si="5"/>
        <v>41.7451805761328</v>
      </c>
      <c r="Z29" s="69" t="s">
        <v>89</v>
      </c>
      <c r="AA29" s="68">
        <v>55.7279915096548</v>
      </c>
      <c r="AB29" s="68">
        <v>45</v>
      </c>
    </row>
    <row r="30" spans="1:28">
      <c r="A30" s="69" t="s">
        <v>90</v>
      </c>
      <c r="B30" s="69" t="s">
        <v>41</v>
      </c>
      <c r="C30" s="69" t="s">
        <v>31</v>
      </c>
      <c r="D30" s="70">
        <f t="shared" si="0"/>
        <v>50</v>
      </c>
      <c r="E30" s="71">
        <v>43.92267167755</v>
      </c>
      <c r="F30" s="72" t="s">
        <v>34</v>
      </c>
      <c r="G30" s="72">
        <v>75</v>
      </c>
      <c r="H30" s="72">
        <v>50</v>
      </c>
      <c r="I30" s="72">
        <v>50</v>
      </c>
      <c r="J30" s="73">
        <f t="shared" si="1"/>
        <v>62.5</v>
      </c>
      <c r="K30" s="72" t="s">
        <v>33</v>
      </c>
      <c r="L30" s="72">
        <v>0</v>
      </c>
      <c r="M30" s="72" t="s">
        <v>34</v>
      </c>
      <c r="N30" s="72" t="s">
        <v>32</v>
      </c>
      <c r="O30" s="74">
        <f t="shared" si="2"/>
        <v>37.5</v>
      </c>
      <c r="P30" s="72">
        <v>82.2862861783463</v>
      </c>
      <c r="Q30" s="72">
        <v>64.1294315142284</v>
      </c>
      <c r="R30" s="75">
        <f t="shared" si="3"/>
        <v>73.2078588462874</v>
      </c>
      <c r="S30" s="76">
        <v>64.3096949664381</v>
      </c>
      <c r="T30" s="72">
        <v>50</v>
      </c>
      <c r="U30" s="72">
        <v>50</v>
      </c>
      <c r="V30" s="72">
        <v>50</v>
      </c>
      <c r="W30" s="77">
        <f t="shared" si="4"/>
        <v>50</v>
      </c>
      <c r="X30" s="78">
        <f t="shared" si="5"/>
        <v>51.6464733287976</v>
      </c>
      <c r="Z30" s="69" t="s">
        <v>36</v>
      </c>
      <c r="AA30" s="68">
        <v>55.5831571328614</v>
      </c>
      <c r="AB30" s="68">
        <v>48</v>
      </c>
    </row>
    <row r="31" spans="1:28">
      <c r="A31" s="69" t="s">
        <v>91</v>
      </c>
      <c r="B31" s="69" t="s">
        <v>41</v>
      </c>
      <c r="C31" s="69" t="s">
        <v>31</v>
      </c>
      <c r="D31" s="70">
        <f t="shared" si="0"/>
        <v>50</v>
      </c>
      <c r="E31" s="71">
        <v>51.29655017676</v>
      </c>
      <c r="F31" s="72" t="s">
        <v>32</v>
      </c>
      <c r="G31" s="72" t="s">
        <v>34</v>
      </c>
      <c r="H31" s="72" t="s">
        <v>38</v>
      </c>
      <c r="I31" s="72">
        <v>75</v>
      </c>
      <c r="J31" s="73">
        <f t="shared" si="1"/>
        <v>75</v>
      </c>
      <c r="K31" s="72" t="s">
        <v>33</v>
      </c>
      <c r="L31" s="72">
        <v>0</v>
      </c>
      <c r="M31" s="72" t="s">
        <v>32</v>
      </c>
      <c r="N31" s="72" t="s">
        <v>33</v>
      </c>
      <c r="O31" s="74">
        <f t="shared" si="2"/>
        <v>25</v>
      </c>
      <c r="P31" s="72">
        <v>20.7712955401651</v>
      </c>
      <c r="Q31" s="72">
        <v>34.3044726078074</v>
      </c>
      <c r="R31" s="75">
        <f t="shared" si="3"/>
        <v>27.5378840739862</v>
      </c>
      <c r="S31" s="76">
        <v>28.2519690432607</v>
      </c>
      <c r="T31" s="72">
        <v>50</v>
      </c>
      <c r="U31" s="72" t="s">
        <v>32</v>
      </c>
      <c r="V31" s="72" t="s">
        <v>33</v>
      </c>
      <c r="W31" s="77">
        <f t="shared" si="4"/>
        <v>41.6666666666667</v>
      </c>
      <c r="X31" s="78">
        <f t="shared" si="5"/>
        <v>44.2430371773375</v>
      </c>
      <c r="Z31" s="69" t="s">
        <v>92</v>
      </c>
      <c r="AA31" s="68">
        <v>55.5812554103516</v>
      </c>
      <c r="AB31" s="68">
        <v>49</v>
      </c>
    </row>
    <row r="32" spans="1:28">
      <c r="A32" s="69" t="s">
        <v>93</v>
      </c>
      <c r="B32" s="69">
        <v>0</v>
      </c>
      <c r="C32" s="69" t="s">
        <v>41</v>
      </c>
      <c r="D32" s="70">
        <f t="shared" si="0"/>
        <v>20</v>
      </c>
      <c r="E32" s="71">
        <v>17.9942892493534</v>
      </c>
      <c r="F32" s="72" t="s">
        <v>32</v>
      </c>
      <c r="G32" s="72" t="s">
        <v>34</v>
      </c>
      <c r="H32" s="72" t="s">
        <v>38</v>
      </c>
      <c r="I32" s="72" t="s">
        <v>34</v>
      </c>
      <c r="J32" s="73">
        <f t="shared" si="1"/>
        <v>75</v>
      </c>
      <c r="K32" s="72">
        <v>0</v>
      </c>
      <c r="L32" s="72">
        <v>0</v>
      </c>
      <c r="M32" s="72" t="s">
        <v>34</v>
      </c>
      <c r="N32" s="72" t="s">
        <v>33</v>
      </c>
      <c r="O32" s="74">
        <f t="shared" si="2"/>
        <v>25</v>
      </c>
      <c r="P32" s="72">
        <v>32.3552872837187</v>
      </c>
      <c r="Q32" s="72">
        <v>60.8458535551325</v>
      </c>
      <c r="R32" s="75">
        <f t="shared" si="3"/>
        <v>46.6005704194256</v>
      </c>
      <c r="S32" s="76">
        <v>41.9272071656003</v>
      </c>
      <c r="T32" s="72">
        <v>50</v>
      </c>
      <c r="U32" s="72" t="s">
        <v>34</v>
      </c>
      <c r="V32" s="72" t="s">
        <v>33</v>
      </c>
      <c r="W32" s="77">
        <f t="shared" si="4"/>
        <v>50</v>
      </c>
      <c r="X32" s="78">
        <f t="shared" si="5"/>
        <v>41.9842992829907</v>
      </c>
      <c r="Z32" s="69" t="s">
        <v>94</v>
      </c>
      <c r="AA32" s="68">
        <v>55.5183757036762</v>
      </c>
      <c r="AB32" s="68">
        <v>50</v>
      </c>
    </row>
    <row r="33" spans="1:28">
      <c r="A33" s="69" t="s">
        <v>95</v>
      </c>
      <c r="B33" s="69" t="s">
        <v>31</v>
      </c>
      <c r="C33" s="69" t="s">
        <v>31</v>
      </c>
      <c r="D33" s="70">
        <f t="shared" si="0"/>
        <v>60</v>
      </c>
      <c r="E33" s="71">
        <v>65.0305872908508</v>
      </c>
      <c r="F33" s="72">
        <v>50</v>
      </c>
      <c r="G33" s="72">
        <v>50</v>
      </c>
      <c r="H33" s="72">
        <v>50</v>
      </c>
      <c r="I33" s="72">
        <v>50</v>
      </c>
      <c r="J33" s="73">
        <f t="shared" si="1"/>
        <v>50</v>
      </c>
      <c r="K33" s="72">
        <v>0</v>
      </c>
      <c r="L33" s="72">
        <v>0</v>
      </c>
      <c r="M33" s="72" t="s">
        <v>32</v>
      </c>
      <c r="N33" s="72" t="s">
        <v>33</v>
      </c>
      <c r="O33" s="74">
        <f t="shared" si="2"/>
        <v>18.75</v>
      </c>
      <c r="P33" s="72">
        <v>25.7643954296279</v>
      </c>
      <c r="Q33" s="72">
        <v>16.7850630496917</v>
      </c>
      <c r="R33" s="75">
        <f t="shared" si="3"/>
        <v>21.2747292396598</v>
      </c>
      <c r="S33" s="76">
        <v>23.0584689484819</v>
      </c>
      <c r="T33" s="72">
        <v>50</v>
      </c>
      <c r="U33" s="72" t="s">
        <v>33</v>
      </c>
      <c r="V33" s="72">
        <v>0</v>
      </c>
      <c r="W33" s="77">
        <f t="shared" si="4"/>
        <v>25</v>
      </c>
      <c r="X33" s="78">
        <f t="shared" si="5"/>
        <v>36.3678112478665</v>
      </c>
      <c r="Z33" s="69" t="s">
        <v>96</v>
      </c>
      <c r="AA33" s="68">
        <v>55.2925354029897</v>
      </c>
      <c r="AB33" s="68">
        <v>51</v>
      </c>
    </row>
    <row r="34" spans="1:28">
      <c r="A34" s="69" t="s">
        <v>87</v>
      </c>
      <c r="B34" s="69" t="s">
        <v>45</v>
      </c>
      <c r="C34" s="69" t="s">
        <v>31</v>
      </c>
      <c r="D34" s="70">
        <f t="shared" si="0"/>
        <v>70</v>
      </c>
      <c r="E34" s="71">
        <v>73.5075598829068</v>
      </c>
      <c r="F34" s="72" t="s">
        <v>34</v>
      </c>
      <c r="G34" s="72" t="s">
        <v>34</v>
      </c>
      <c r="H34" s="72" t="s">
        <v>38</v>
      </c>
      <c r="I34" s="72">
        <v>75</v>
      </c>
      <c r="J34" s="73">
        <f t="shared" si="1"/>
        <v>81.25</v>
      </c>
      <c r="K34" s="72" t="s">
        <v>32</v>
      </c>
      <c r="L34" s="72">
        <v>0</v>
      </c>
      <c r="M34" s="72" t="s">
        <v>34</v>
      </c>
      <c r="N34" s="72">
        <v>0</v>
      </c>
      <c r="O34" s="74">
        <f t="shared" si="2"/>
        <v>31.25</v>
      </c>
      <c r="P34" s="72">
        <v>22.2891979065618</v>
      </c>
      <c r="Q34" s="72">
        <v>27.4855407438702</v>
      </c>
      <c r="R34" s="75">
        <f t="shared" si="3"/>
        <v>24.887369325216</v>
      </c>
      <c r="S34" s="76">
        <v>26.1344255857333</v>
      </c>
      <c r="T34" s="72">
        <v>50</v>
      </c>
      <c r="U34" s="72">
        <v>75</v>
      </c>
      <c r="V34" s="72" t="s">
        <v>34</v>
      </c>
      <c r="W34" s="77">
        <f t="shared" si="4"/>
        <v>66.6666666666667</v>
      </c>
      <c r="X34" s="78">
        <f t="shared" si="5"/>
        <v>55.7617304270614</v>
      </c>
      <c r="Z34" s="69" t="s">
        <v>97</v>
      </c>
      <c r="AA34" s="68">
        <v>55.2722887936915</v>
      </c>
      <c r="AB34" s="68">
        <v>52</v>
      </c>
    </row>
    <row r="35" spans="1:28">
      <c r="A35" s="69" t="s">
        <v>98</v>
      </c>
      <c r="B35" s="69" t="s">
        <v>31</v>
      </c>
      <c r="C35" s="69" t="s">
        <v>41</v>
      </c>
      <c r="D35" s="70">
        <f t="shared" si="0"/>
        <v>50</v>
      </c>
      <c r="E35" s="71">
        <v>46.6004277787026</v>
      </c>
      <c r="F35" s="72" t="s">
        <v>34</v>
      </c>
      <c r="G35" s="72" t="s">
        <v>34</v>
      </c>
      <c r="H35" s="72" t="s">
        <v>38</v>
      </c>
      <c r="I35" s="72">
        <v>75</v>
      </c>
      <c r="J35" s="73">
        <f t="shared" si="1"/>
        <v>81.25</v>
      </c>
      <c r="K35" s="72" t="s">
        <v>33</v>
      </c>
      <c r="L35" s="72">
        <v>0</v>
      </c>
      <c r="M35" s="72">
        <v>0</v>
      </c>
      <c r="N35" s="72" t="s">
        <v>33</v>
      </c>
      <c r="O35" s="74">
        <f t="shared" si="2"/>
        <v>12.5</v>
      </c>
      <c r="P35" s="72">
        <v>74.2973263552059</v>
      </c>
      <c r="Q35" s="72">
        <v>55.2858014199221</v>
      </c>
      <c r="R35" s="75">
        <f t="shared" si="3"/>
        <v>64.791563887564</v>
      </c>
      <c r="S35" s="76">
        <v>60.3862918722324</v>
      </c>
      <c r="T35" s="72">
        <v>50</v>
      </c>
      <c r="U35" s="72" t="s">
        <v>32</v>
      </c>
      <c r="V35" s="72" t="s">
        <v>33</v>
      </c>
      <c r="W35" s="77">
        <f t="shared" si="4"/>
        <v>41.6666666666667</v>
      </c>
      <c r="X35" s="78">
        <f t="shared" si="5"/>
        <v>48.4806772635203</v>
      </c>
      <c r="Z35" s="69" t="s">
        <v>99</v>
      </c>
      <c r="AA35" s="68">
        <v>55.2539713110335</v>
      </c>
      <c r="AB35" s="68">
        <v>53</v>
      </c>
    </row>
    <row r="36" spans="1:28">
      <c r="A36" s="69" t="s">
        <v>100</v>
      </c>
      <c r="B36" s="69" t="s">
        <v>41</v>
      </c>
      <c r="C36" s="69" t="s">
        <v>31</v>
      </c>
      <c r="D36" s="70">
        <f t="shared" si="0"/>
        <v>50</v>
      </c>
      <c r="E36" s="71">
        <v>43.4076122531307</v>
      </c>
      <c r="F36" s="72" t="s">
        <v>34</v>
      </c>
      <c r="G36" s="72" t="s">
        <v>38</v>
      </c>
      <c r="H36" s="72" t="s">
        <v>38</v>
      </c>
      <c r="I36" s="72">
        <v>75</v>
      </c>
      <c r="J36" s="73">
        <f t="shared" si="1"/>
        <v>87.5</v>
      </c>
      <c r="K36" s="72">
        <v>0</v>
      </c>
      <c r="L36" s="72">
        <v>0</v>
      </c>
      <c r="M36" s="72" t="s">
        <v>32</v>
      </c>
      <c r="N36" s="72" t="s">
        <v>33</v>
      </c>
      <c r="O36" s="74">
        <f t="shared" si="2"/>
        <v>18.75</v>
      </c>
      <c r="P36" s="72">
        <v>51.6086804574871</v>
      </c>
      <c r="Q36" s="72">
        <v>65.6216707856192</v>
      </c>
      <c r="R36" s="75">
        <f t="shared" si="3"/>
        <v>58.6151756215531</v>
      </c>
      <c r="S36" s="76">
        <v>50.8868963105908</v>
      </c>
      <c r="T36" s="72">
        <v>50</v>
      </c>
      <c r="U36" s="72" t="s">
        <v>32</v>
      </c>
      <c r="V36" s="72" t="s">
        <v>34</v>
      </c>
      <c r="W36" s="77">
        <f t="shared" si="4"/>
        <v>58.3333333333333</v>
      </c>
      <c r="X36" s="78">
        <f t="shared" si="5"/>
        <v>51.775568379411</v>
      </c>
      <c r="Z36" s="69" t="s">
        <v>101</v>
      </c>
      <c r="AA36" s="68">
        <v>55.1127264709415</v>
      </c>
      <c r="AB36" s="68">
        <v>54</v>
      </c>
    </row>
    <row r="37" spans="1:28">
      <c r="A37" s="69" t="s">
        <v>102</v>
      </c>
      <c r="B37" s="69" t="s">
        <v>31</v>
      </c>
      <c r="C37" s="69" t="s">
        <v>31</v>
      </c>
      <c r="D37" s="70">
        <f t="shared" si="0"/>
        <v>60</v>
      </c>
      <c r="E37" s="71">
        <v>62.3988974080824</v>
      </c>
      <c r="F37" s="72" t="s">
        <v>34</v>
      </c>
      <c r="G37" s="72" t="s">
        <v>34</v>
      </c>
      <c r="H37" s="72" t="s">
        <v>38</v>
      </c>
      <c r="I37" s="72" t="s">
        <v>34</v>
      </c>
      <c r="J37" s="73">
        <f t="shared" si="1"/>
        <v>81.25</v>
      </c>
      <c r="K37" s="72" t="s">
        <v>33</v>
      </c>
      <c r="L37" s="72">
        <v>0</v>
      </c>
      <c r="M37" s="72" t="s">
        <v>32</v>
      </c>
      <c r="N37" s="72">
        <v>0</v>
      </c>
      <c r="O37" s="74">
        <f t="shared" si="2"/>
        <v>18.75</v>
      </c>
      <c r="P37" s="72">
        <v>23.1679834871072</v>
      </c>
      <c r="Q37" s="72">
        <v>30.4229267775662</v>
      </c>
      <c r="R37" s="75">
        <f t="shared" si="3"/>
        <v>26.7954551323367</v>
      </c>
      <c r="S37" s="76">
        <v>27.8667809300925</v>
      </c>
      <c r="T37" s="72">
        <v>50</v>
      </c>
      <c r="U37" s="72" t="s">
        <v>32</v>
      </c>
      <c r="V37" s="72" t="s">
        <v>33</v>
      </c>
      <c r="W37" s="77">
        <f t="shared" si="4"/>
        <v>41.6666666666667</v>
      </c>
      <c r="X37" s="78">
        <f t="shared" si="5"/>
        <v>46.3864690009683</v>
      </c>
      <c r="Z37" s="69" t="s">
        <v>103</v>
      </c>
      <c r="AA37" s="68">
        <v>54.9760015341706</v>
      </c>
      <c r="AB37" s="68">
        <v>59</v>
      </c>
    </row>
    <row r="38" spans="1:28">
      <c r="A38" s="69" t="s">
        <v>104</v>
      </c>
      <c r="B38" s="69" t="s">
        <v>31</v>
      </c>
      <c r="C38" s="69" t="s">
        <v>31</v>
      </c>
      <c r="D38" s="70">
        <f t="shared" si="0"/>
        <v>60</v>
      </c>
      <c r="E38" s="71">
        <v>65.7546479354958</v>
      </c>
      <c r="F38" s="72" t="s">
        <v>32</v>
      </c>
      <c r="G38" s="72" t="s">
        <v>34</v>
      </c>
      <c r="H38" s="72" t="s">
        <v>38</v>
      </c>
      <c r="I38" s="72">
        <v>75</v>
      </c>
      <c r="J38" s="73">
        <f t="shared" si="1"/>
        <v>75</v>
      </c>
      <c r="K38" s="72" t="s">
        <v>33</v>
      </c>
      <c r="L38" s="72">
        <v>0</v>
      </c>
      <c r="M38" s="72" t="s">
        <v>32</v>
      </c>
      <c r="N38" s="72" t="s">
        <v>33</v>
      </c>
      <c r="O38" s="74">
        <f t="shared" si="2"/>
        <v>25</v>
      </c>
      <c r="P38" s="72">
        <v>20.7712955401651</v>
      </c>
      <c r="Q38" s="72">
        <v>12.5887972872688</v>
      </c>
      <c r="R38" s="75">
        <f t="shared" si="3"/>
        <v>16.680046413717</v>
      </c>
      <c r="S38" s="76">
        <v>18.2798429913615</v>
      </c>
      <c r="T38" s="72">
        <v>75</v>
      </c>
      <c r="U38" s="72" t="s">
        <v>32</v>
      </c>
      <c r="V38" s="72" t="s">
        <v>34</v>
      </c>
      <c r="W38" s="77">
        <f t="shared" si="4"/>
        <v>66.6666666666667</v>
      </c>
      <c r="X38" s="78">
        <f t="shared" si="5"/>
        <v>50.1402315187048</v>
      </c>
      <c r="Z38" s="69" t="s">
        <v>105</v>
      </c>
      <c r="AA38" s="68">
        <v>54.9309522168272</v>
      </c>
      <c r="AB38" s="68">
        <v>60</v>
      </c>
    </row>
    <row r="39" s="68" customFormat="1" spans="1:28">
      <c r="A39" s="69" t="s">
        <v>35</v>
      </c>
      <c r="B39" s="69">
        <v>80</v>
      </c>
      <c r="C39" s="69">
        <v>80</v>
      </c>
      <c r="D39" s="70">
        <f t="shared" si="0"/>
        <v>80</v>
      </c>
      <c r="E39" s="71">
        <f>D39*0.8283</f>
        <v>66.264</v>
      </c>
      <c r="F39" s="72" t="s">
        <v>34</v>
      </c>
      <c r="G39" s="72" t="s">
        <v>38</v>
      </c>
      <c r="H39" s="72" t="s">
        <v>38</v>
      </c>
      <c r="I39" s="72">
        <v>100</v>
      </c>
      <c r="J39" s="73">
        <f t="shared" si="1"/>
        <v>93.75</v>
      </c>
      <c r="K39" s="72">
        <v>75</v>
      </c>
      <c r="L39" s="72">
        <v>50</v>
      </c>
      <c r="M39" s="72">
        <v>75</v>
      </c>
      <c r="N39" s="72">
        <v>50</v>
      </c>
      <c r="O39" s="74">
        <f t="shared" si="2"/>
        <v>62.5</v>
      </c>
      <c r="P39" s="72">
        <v>14.3801276816528</v>
      </c>
      <c r="Q39" s="72">
        <v>96.2885301333096</v>
      </c>
      <c r="R39" s="75">
        <f t="shared" si="3"/>
        <v>55.3343289074812</v>
      </c>
      <c r="S39" s="76">
        <v>45.832934267562</v>
      </c>
      <c r="T39" s="72">
        <v>100</v>
      </c>
      <c r="U39" s="72" t="s">
        <v>38</v>
      </c>
      <c r="V39" s="72" t="s">
        <v>34</v>
      </c>
      <c r="W39" s="77">
        <f t="shared" si="4"/>
        <v>91.6666666666667</v>
      </c>
      <c r="X39" s="78">
        <f t="shared" si="5"/>
        <v>72.0027201868457</v>
      </c>
      <c r="Z39" s="69" t="s">
        <v>106</v>
      </c>
      <c r="AA39" s="68">
        <v>54.9026057291005</v>
      </c>
      <c r="AB39" s="68">
        <v>61</v>
      </c>
    </row>
    <row r="40" spans="1:28">
      <c r="A40" s="69" t="s">
        <v>107</v>
      </c>
      <c r="B40" s="69" t="s">
        <v>41</v>
      </c>
      <c r="C40" s="69" t="s">
        <v>31</v>
      </c>
      <c r="D40" s="70">
        <f t="shared" si="0"/>
        <v>50</v>
      </c>
      <c r="E40" s="71">
        <v>48.2053003740296</v>
      </c>
      <c r="F40" s="72" t="s">
        <v>32</v>
      </c>
      <c r="G40" s="72" t="s">
        <v>34</v>
      </c>
      <c r="H40" s="72" t="s">
        <v>38</v>
      </c>
      <c r="I40" s="72" t="s">
        <v>34</v>
      </c>
      <c r="J40" s="73">
        <f t="shared" si="1"/>
        <v>75</v>
      </c>
      <c r="K40" s="72">
        <v>0</v>
      </c>
      <c r="L40" s="72">
        <v>0</v>
      </c>
      <c r="M40" s="72" t="s">
        <v>32</v>
      </c>
      <c r="N40" s="72">
        <v>0</v>
      </c>
      <c r="O40" s="74">
        <f t="shared" si="2"/>
        <v>12.5</v>
      </c>
      <c r="P40" s="72">
        <v>50.3304468857847</v>
      </c>
      <c r="Q40" s="72">
        <v>48.9914027762877</v>
      </c>
      <c r="R40" s="75">
        <f t="shared" si="3"/>
        <v>49.6609248310362</v>
      </c>
      <c r="S40" s="76">
        <v>47.8783959666441</v>
      </c>
      <c r="T40" s="72" t="s">
        <v>32</v>
      </c>
      <c r="U40" s="72" t="s">
        <v>32</v>
      </c>
      <c r="V40" s="72">
        <v>0</v>
      </c>
      <c r="W40" s="77">
        <f t="shared" si="4"/>
        <v>33.3333333333333</v>
      </c>
      <c r="X40" s="78">
        <f t="shared" si="5"/>
        <v>43.3834059348014</v>
      </c>
      <c r="Z40" s="69" t="s">
        <v>108</v>
      </c>
      <c r="AA40" s="68">
        <v>54.893037824216</v>
      </c>
      <c r="AB40" s="68">
        <v>62</v>
      </c>
    </row>
    <row r="41" spans="1:28">
      <c r="A41" s="69" t="s">
        <v>109</v>
      </c>
      <c r="B41" s="69" t="s">
        <v>45</v>
      </c>
      <c r="C41" s="69" t="s">
        <v>45</v>
      </c>
      <c r="D41" s="70">
        <f t="shared" si="0"/>
        <v>80</v>
      </c>
      <c r="E41" s="71">
        <v>75.3226814792402</v>
      </c>
      <c r="F41" s="72" t="s">
        <v>32</v>
      </c>
      <c r="G41" s="72">
        <v>75</v>
      </c>
      <c r="H41" s="72">
        <v>50</v>
      </c>
      <c r="I41" s="72">
        <v>75</v>
      </c>
      <c r="J41" s="73">
        <f t="shared" si="1"/>
        <v>62.5</v>
      </c>
      <c r="K41" s="72" t="s">
        <v>33</v>
      </c>
      <c r="L41" s="72">
        <v>0</v>
      </c>
      <c r="M41" s="72" t="s">
        <v>32</v>
      </c>
      <c r="N41" s="72" t="s">
        <v>33</v>
      </c>
      <c r="O41" s="74">
        <f t="shared" si="2"/>
        <v>25</v>
      </c>
      <c r="P41" s="72">
        <v>38.746455142231</v>
      </c>
      <c r="Q41" s="72">
        <v>53.5023884708923</v>
      </c>
      <c r="R41" s="75">
        <f t="shared" si="3"/>
        <v>46.1244218065616</v>
      </c>
      <c r="S41" s="76">
        <v>43.4276891518721</v>
      </c>
      <c r="T41" s="72">
        <v>75</v>
      </c>
      <c r="U41" s="72">
        <v>75</v>
      </c>
      <c r="V41" s="72" t="s">
        <v>33</v>
      </c>
      <c r="W41" s="77">
        <f t="shared" si="4"/>
        <v>58.3333333333333</v>
      </c>
      <c r="X41" s="78">
        <f t="shared" si="5"/>
        <v>52.9167407928891</v>
      </c>
      <c r="Z41" s="69" t="s">
        <v>110</v>
      </c>
      <c r="AA41" s="68">
        <v>54.7019311026988</v>
      </c>
      <c r="AB41" s="68">
        <v>64</v>
      </c>
    </row>
    <row r="42" s="68" customFormat="1" spans="1:28">
      <c r="A42" s="69" t="s">
        <v>46</v>
      </c>
      <c r="B42" s="69">
        <v>80</v>
      </c>
      <c r="C42" s="69" t="s">
        <v>31</v>
      </c>
      <c r="D42" s="70">
        <f t="shared" si="0"/>
        <v>70</v>
      </c>
      <c r="E42" s="71">
        <f>D42*0.8283</f>
        <v>57.981</v>
      </c>
      <c r="F42" s="72" t="s">
        <v>34</v>
      </c>
      <c r="G42" s="72" t="s">
        <v>32</v>
      </c>
      <c r="H42" s="72" t="s">
        <v>38</v>
      </c>
      <c r="I42" s="72">
        <v>100</v>
      </c>
      <c r="J42" s="73">
        <f t="shared" si="1"/>
        <v>81.25</v>
      </c>
      <c r="K42" s="72">
        <v>50</v>
      </c>
      <c r="L42" s="72">
        <v>50</v>
      </c>
      <c r="M42" s="72">
        <v>100</v>
      </c>
      <c r="N42" s="72">
        <v>25</v>
      </c>
      <c r="O42" s="74">
        <f t="shared" si="2"/>
        <v>56.25</v>
      </c>
      <c r="P42" s="72">
        <v>11.3842677479751</v>
      </c>
      <c r="Q42" s="72">
        <v>84.2641237102897</v>
      </c>
      <c r="R42" s="75">
        <f t="shared" si="3"/>
        <v>47.8241957291324</v>
      </c>
      <c r="S42" s="76">
        <v>39.6123575098784</v>
      </c>
      <c r="T42" s="72">
        <v>100</v>
      </c>
      <c r="U42" s="72" t="s">
        <v>38</v>
      </c>
      <c r="V42" s="72" t="s">
        <v>33</v>
      </c>
      <c r="W42" s="77">
        <f t="shared" si="4"/>
        <v>75</v>
      </c>
      <c r="X42" s="78">
        <f t="shared" si="5"/>
        <v>62.0186715019757</v>
      </c>
      <c r="Z42" s="69" t="s">
        <v>111</v>
      </c>
      <c r="AA42" s="68">
        <v>54.6978030951995</v>
      </c>
      <c r="AB42" s="68">
        <v>65</v>
      </c>
    </row>
    <row r="43" spans="1:28">
      <c r="A43" s="69" t="s">
        <v>112</v>
      </c>
      <c r="B43" s="69" t="s">
        <v>45</v>
      </c>
      <c r="C43" s="69" t="s">
        <v>31</v>
      </c>
      <c r="D43" s="70">
        <f t="shared" si="0"/>
        <v>70</v>
      </c>
      <c r="E43" s="71">
        <v>57.9803796679926</v>
      </c>
      <c r="F43" s="72" t="s">
        <v>34</v>
      </c>
      <c r="G43" s="72" t="s">
        <v>33</v>
      </c>
      <c r="H43" s="72" t="s">
        <v>38</v>
      </c>
      <c r="I43" s="72">
        <v>75</v>
      </c>
      <c r="J43" s="73">
        <f t="shared" si="1"/>
        <v>68.75</v>
      </c>
      <c r="K43" s="72">
        <v>0</v>
      </c>
      <c r="L43" s="72">
        <v>0</v>
      </c>
      <c r="M43" s="72" t="s">
        <v>33</v>
      </c>
      <c r="N43" s="72" t="s">
        <v>33</v>
      </c>
      <c r="O43" s="74">
        <f t="shared" si="2"/>
        <v>12.5</v>
      </c>
      <c r="P43" s="72">
        <v>74.2973263552059</v>
      </c>
      <c r="Q43" s="72">
        <v>91.2687803326987</v>
      </c>
      <c r="R43" s="75">
        <f t="shared" si="3"/>
        <v>82.7830533439523</v>
      </c>
      <c r="S43" s="76">
        <v>68.5684694708291</v>
      </c>
      <c r="T43" s="72">
        <v>75</v>
      </c>
      <c r="U43" s="72" t="s">
        <v>32</v>
      </c>
      <c r="V43" s="72" t="s">
        <v>32</v>
      </c>
      <c r="W43" s="77">
        <f t="shared" si="4"/>
        <v>58.3333333333333</v>
      </c>
      <c r="X43" s="78">
        <f t="shared" si="5"/>
        <v>53.226436494431</v>
      </c>
      <c r="Z43" s="69" t="s">
        <v>113</v>
      </c>
      <c r="AA43" s="68">
        <v>54.6662071880747</v>
      </c>
      <c r="AB43" s="68">
        <v>66</v>
      </c>
    </row>
    <row r="44" spans="1:28">
      <c r="A44" s="69" t="s">
        <v>114</v>
      </c>
      <c r="B44" s="69">
        <v>40</v>
      </c>
      <c r="C44" s="69" t="s">
        <v>31</v>
      </c>
      <c r="D44" s="70">
        <f t="shared" si="0"/>
        <v>50</v>
      </c>
      <c r="E44" s="71">
        <f>D44*1.01</f>
        <v>50.5</v>
      </c>
      <c r="F44" s="72" t="s">
        <v>34</v>
      </c>
      <c r="G44" s="72" t="s">
        <v>38</v>
      </c>
      <c r="H44" s="72" t="s">
        <v>38</v>
      </c>
      <c r="I44" s="72">
        <v>75</v>
      </c>
      <c r="J44" s="73">
        <f t="shared" si="1"/>
        <v>87.5</v>
      </c>
      <c r="K44" s="72">
        <v>0</v>
      </c>
      <c r="L44" s="72">
        <v>0</v>
      </c>
      <c r="M44" s="72" t="s">
        <v>32</v>
      </c>
      <c r="N44" s="72" t="s">
        <v>33</v>
      </c>
      <c r="O44" s="74">
        <f t="shared" si="2"/>
        <v>18.75</v>
      </c>
      <c r="P44" s="72">
        <v>23.5674314782642</v>
      </c>
      <c r="Q44" s="72">
        <v>38.3881590891172</v>
      </c>
      <c r="R44" s="75">
        <f t="shared" si="3"/>
        <v>30.9777952836907</v>
      </c>
      <c r="S44" s="76">
        <v>31.2947891752544</v>
      </c>
      <c r="T44" s="72">
        <v>75</v>
      </c>
      <c r="U44" s="72" t="s">
        <v>34</v>
      </c>
      <c r="V44" s="72" t="s">
        <v>33</v>
      </c>
      <c r="W44" s="77">
        <f t="shared" si="4"/>
        <v>58.3333333333333</v>
      </c>
      <c r="X44" s="78">
        <f t="shared" si="5"/>
        <v>49.2756245017176</v>
      </c>
      <c r="Z44" s="69" t="s">
        <v>115</v>
      </c>
      <c r="AA44" s="68">
        <v>54.5892258124387</v>
      </c>
      <c r="AB44" s="68">
        <v>67</v>
      </c>
    </row>
    <row r="45" spans="1:28">
      <c r="A45" s="69" t="s">
        <v>116</v>
      </c>
      <c r="B45" s="69" t="s">
        <v>41</v>
      </c>
      <c r="C45" s="69" t="s">
        <v>31</v>
      </c>
      <c r="D45" s="70">
        <f t="shared" si="0"/>
        <v>50</v>
      </c>
      <c r="E45" s="71">
        <v>47.874818405611</v>
      </c>
      <c r="F45" s="72" t="s">
        <v>33</v>
      </c>
      <c r="G45" s="72">
        <v>0</v>
      </c>
      <c r="H45" s="72" t="s">
        <v>32</v>
      </c>
      <c r="I45" s="72" t="s">
        <v>32</v>
      </c>
      <c r="J45" s="73">
        <f t="shared" si="1"/>
        <v>31.25</v>
      </c>
      <c r="K45" s="72">
        <v>0</v>
      </c>
      <c r="L45" s="72">
        <v>0</v>
      </c>
      <c r="M45" s="72">
        <v>0</v>
      </c>
      <c r="N45" s="72">
        <v>0</v>
      </c>
      <c r="O45" s="74">
        <f t="shared" si="2"/>
        <v>0</v>
      </c>
      <c r="P45" s="72">
        <v>45.1376230007434</v>
      </c>
      <c r="Q45" s="72">
        <v>50.3551891490751</v>
      </c>
      <c r="R45" s="75">
        <f t="shared" si="3"/>
        <v>47.7464060749093</v>
      </c>
      <c r="S45" s="76">
        <v>45.7170104071368</v>
      </c>
      <c r="T45" s="72">
        <v>0</v>
      </c>
      <c r="U45" s="72">
        <v>0</v>
      </c>
      <c r="V45" s="72">
        <v>0</v>
      </c>
      <c r="W45" s="77">
        <f t="shared" si="4"/>
        <v>0</v>
      </c>
      <c r="X45" s="78">
        <f t="shared" si="5"/>
        <v>24.9683657625496</v>
      </c>
      <c r="Z45" s="69" t="s">
        <v>117</v>
      </c>
      <c r="AA45" s="68">
        <v>54.5855929703229</v>
      </c>
      <c r="AB45" s="68">
        <v>68</v>
      </c>
    </row>
    <row r="46" spans="1:28">
      <c r="A46" s="69" t="s">
        <v>118</v>
      </c>
      <c r="B46" s="69" t="s">
        <v>31</v>
      </c>
      <c r="C46" s="69" t="s">
        <v>31</v>
      </c>
      <c r="D46" s="70">
        <f t="shared" si="0"/>
        <v>60</v>
      </c>
      <c r="E46" s="71">
        <v>49.6974682868508</v>
      </c>
      <c r="F46" s="72" t="s">
        <v>32</v>
      </c>
      <c r="G46" s="72" t="s">
        <v>38</v>
      </c>
      <c r="H46" s="72" t="s">
        <v>38</v>
      </c>
      <c r="I46" s="72">
        <v>75</v>
      </c>
      <c r="J46" s="73">
        <f t="shared" si="1"/>
        <v>81.25</v>
      </c>
      <c r="K46" s="72">
        <v>0</v>
      </c>
      <c r="L46" s="72">
        <v>0</v>
      </c>
      <c r="M46" s="72" t="s">
        <v>32</v>
      </c>
      <c r="N46" s="72" t="s">
        <v>33</v>
      </c>
      <c r="O46" s="74">
        <f t="shared" si="2"/>
        <v>18.75</v>
      </c>
      <c r="P46" s="72">
        <v>25.5646714340494</v>
      </c>
      <c r="Q46" s="72">
        <v>70.8964631130454</v>
      </c>
      <c r="R46" s="75">
        <f t="shared" si="3"/>
        <v>48.2305672735474</v>
      </c>
      <c r="S46" s="76">
        <v>39.9489514588991</v>
      </c>
      <c r="T46" s="72">
        <v>75</v>
      </c>
      <c r="U46" s="72" t="s">
        <v>34</v>
      </c>
      <c r="V46" s="72" t="s">
        <v>32</v>
      </c>
      <c r="W46" s="77">
        <f t="shared" si="4"/>
        <v>66.6666666666667</v>
      </c>
      <c r="X46" s="78">
        <f t="shared" si="5"/>
        <v>51.2626172824833</v>
      </c>
      <c r="Z46" s="69" t="s">
        <v>119</v>
      </c>
      <c r="AA46" s="68">
        <v>54.4375206410213</v>
      </c>
      <c r="AB46" s="68">
        <v>26</v>
      </c>
    </row>
    <row r="47" spans="1:28">
      <c r="A47" s="69" t="s">
        <v>120</v>
      </c>
      <c r="B47" s="69" t="s">
        <v>31</v>
      </c>
      <c r="C47" s="69" t="s">
        <v>31</v>
      </c>
      <c r="D47" s="70">
        <f t="shared" si="0"/>
        <v>60</v>
      </c>
      <c r="E47" s="71">
        <v>59.7374243299658</v>
      </c>
      <c r="F47" s="72" t="s">
        <v>34</v>
      </c>
      <c r="G47" s="72" t="s">
        <v>32</v>
      </c>
      <c r="H47" s="72" t="s">
        <v>38</v>
      </c>
      <c r="I47" s="72">
        <v>75</v>
      </c>
      <c r="J47" s="73">
        <f t="shared" si="1"/>
        <v>75</v>
      </c>
      <c r="K47" s="72">
        <v>0</v>
      </c>
      <c r="L47" s="72">
        <v>0</v>
      </c>
      <c r="M47" s="72" t="s">
        <v>33</v>
      </c>
      <c r="N47" s="72" t="s">
        <v>32</v>
      </c>
      <c r="O47" s="74">
        <f t="shared" si="2"/>
        <v>18.75</v>
      </c>
      <c r="P47" s="72">
        <v>20.3718475490081</v>
      </c>
      <c r="Q47" s="72">
        <v>41.9626576242293</v>
      </c>
      <c r="R47" s="75">
        <f t="shared" si="3"/>
        <v>31.1672525866187</v>
      </c>
      <c r="S47" s="76">
        <v>31.0308565494344</v>
      </c>
      <c r="T47" s="72">
        <v>75</v>
      </c>
      <c r="U47" s="72">
        <v>75</v>
      </c>
      <c r="V47" s="72" t="s">
        <v>33</v>
      </c>
      <c r="W47" s="77">
        <f t="shared" si="4"/>
        <v>58.3333333333333</v>
      </c>
      <c r="X47" s="78">
        <f t="shared" si="5"/>
        <v>48.5703228425467</v>
      </c>
      <c r="Z47" s="69" t="s">
        <v>121</v>
      </c>
      <c r="AA47" s="68">
        <v>54.4166131149828</v>
      </c>
      <c r="AB47" s="68">
        <v>70</v>
      </c>
    </row>
    <row r="48" spans="1:28">
      <c r="A48" s="69" t="s">
        <v>122</v>
      </c>
      <c r="B48" s="69" t="s">
        <v>31</v>
      </c>
      <c r="C48" s="69" t="s">
        <v>31</v>
      </c>
      <c r="D48" s="70">
        <f t="shared" si="0"/>
        <v>60</v>
      </c>
      <c r="E48" s="71">
        <v>61.555860212112</v>
      </c>
      <c r="F48" s="72" t="s">
        <v>34</v>
      </c>
      <c r="G48" s="72" t="s">
        <v>34</v>
      </c>
      <c r="H48" s="72" t="s">
        <v>38</v>
      </c>
      <c r="I48" s="72">
        <v>75</v>
      </c>
      <c r="J48" s="73">
        <f t="shared" si="1"/>
        <v>81.25</v>
      </c>
      <c r="K48" s="72">
        <v>0</v>
      </c>
      <c r="L48" s="72">
        <v>0</v>
      </c>
      <c r="M48" s="72">
        <v>0</v>
      </c>
      <c r="N48" s="72" t="s">
        <v>33</v>
      </c>
      <c r="O48" s="74">
        <f t="shared" si="2"/>
        <v>6.25</v>
      </c>
      <c r="P48" s="72">
        <v>22.9682594915287</v>
      </c>
      <c r="Q48" s="72">
        <v>34.3044726078074</v>
      </c>
      <c r="R48" s="75">
        <f t="shared" si="3"/>
        <v>28.636366049668</v>
      </c>
      <c r="S48" s="76">
        <v>29.3789357589373</v>
      </c>
      <c r="T48" s="72">
        <v>75</v>
      </c>
      <c r="U48" s="72" t="s">
        <v>38</v>
      </c>
      <c r="V48" s="72" t="s">
        <v>33</v>
      </c>
      <c r="W48" s="77">
        <f t="shared" si="4"/>
        <v>66.6666666666667</v>
      </c>
      <c r="X48" s="78">
        <f t="shared" si="5"/>
        <v>49.0202925275432</v>
      </c>
      <c r="Z48" s="69" t="s">
        <v>123</v>
      </c>
      <c r="AA48" s="68">
        <v>54.3096051043278</v>
      </c>
      <c r="AB48" s="68">
        <v>71</v>
      </c>
    </row>
    <row r="49" spans="1:28">
      <c r="A49" s="69" t="s">
        <v>84</v>
      </c>
      <c r="B49" s="69" t="s">
        <v>31</v>
      </c>
      <c r="C49" s="69" t="s">
        <v>31</v>
      </c>
      <c r="D49" s="70">
        <f t="shared" si="0"/>
        <v>60</v>
      </c>
      <c r="E49" s="71">
        <v>60.407808569145</v>
      </c>
      <c r="F49" s="72" t="s">
        <v>32</v>
      </c>
      <c r="G49" s="72" t="s">
        <v>38</v>
      </c>
      <c r="H49" s="72" t="s">
        <v>38</v>
      </c>
      <c r="I49" s="72">
        <v>75</v>
      </c>
      <c r="J49" s="73">
        <f t="shared" si="1"/>
        <v>81.25</v>
      </c>
      <c r="K49" s="72" t="s">
        <v>32</v>
      </c>
      <c r="L49" s="72">
        <v>0</v>
      </c>
      <c r="M49" s="72" t="s">
        <v>34</v>
      </c>
      <c r="N49" s="72" t="s">
        <v>33</v>
      </c>
      <c r="O49" s="74">
        <f t="shared" si="2"/>
        <v>37.5</v>
      </c>
      <c r="P49" s="72">
        <v>45.1376230007434</v>
      </c>
      <c r="Q49" s="72">
        <v>39.2479796384093</v>
      </c>
      <c r="R49" s="75">
        <f t="shared" si="3"/>
        <v>42.1928013195763</v>
      </c>
      <c r="S49" s="76">
        <v>42.4795777518156</v>
      </c>
      <c r="T49" s="72">
        <v>75</v>
      </c>
      <c r="U49" s="72">
        <v>75</v>
      </c>
      <c r="V49" s="72" t="s">
        <v>33</v>
      </c>
      <c r="W49" s="77">
        <f t="shared" si="4"/>
        <v>58.3333333333333</v>
      </c>
      <c r="X49" s="78">
        <f t="shared" si="5"/>
        <v>55.9941439308588</v>
      </c>
      <c r="Z49" s="69" t="s">
        <v>124</v>
      </c>
      <c r="AA49" s="68">
        <v>54.2767200556118</v>
      </c>
      <c r="AB49" s="68">
        <v>73</v>
      </c>
    </row>
    <row r="50" spans="1:28">
      <c r="A50" s="69" t="s">
        <v>125</v>
      </c>
      <c r="B50" s="69" t="s">
        <v>31</v>
      </c>
      <c r="C50" s="69" t="s">
        <v>31</v>
      </c>
      <c r="D50" s="70">
        <f t="shared" si="0"/>
        <v>60</v>
      </c>
      <c r="E50" s="71">
        <v>60.7612992001404</v>
      </c>
      <c r="F50" s="72" t="s">
        <v>32</v>
      </c>
      <c r="G50" s="72" t="s">
        <v>34</v>
      </c>
      <c r="H50" s="72" t="s">
        <v>38</v>
      </c>
      <c r="I50" s="72" t="s">
        <v>34</v>
      </c>
      <c r="J50" s="73">
        <f t="shared" si="1"/>
        <v>75</v>
      </c>
      <c r="K50" s="72">
        <v>0</v>
      </c>
      <c r="L50" s="72">
        <v>0</v>
      </c>
      <c r="M50" s="72" t="s">
        <v>33</v>
      </c>
      <c r="N50" s="72">
        <v>0</v>
      </c>
      <c r="O50" s="74">
        <f t="shared" si="2"/>
        <v>6.25</v>
      </c>
      <c r="P50" s="72">
        <v>24.3663274605783</v>
      </c>
      <c r="Q50" s="72">
        <v>37.7663918618064</v>
      </c>
      <c r="R50" s="75">
        <f t="shared" si="3"/>
        <v>31.0663596611924</v>
      </c>
      <c r="S50" s="76">
        <v>31.4605395738813</v>
      </c>
      <c r="T50" s="72" t="s">
        <v>32</v>
      </c>
      <c r="U50" s="72">
        <v>0</v>
      </c>
      <c r="V50" s="72" t="s">
        <v>33</v>
      </c>
      <c r="W50" s="77">
        <f t="shared" si="4"/>
        <v>25</v>
      </c>
      <c r="X50" s="78">
        <f t="shared" si="5"/>
        <v>39.6943677548043</v>
      </c>
      <c r="Z50" s="69" t="s">
        <v>126</v>
      </c>
      <c r="AA50" s="68">
        <v>54.1128839317282</v>
      </c>
      <c r="AB50" s="68">
        <v>75</v>
      </c>
    </row>
    <row r="51" spans="1:28">
      <c r="A51" s="69" t="s">
        <v>64</v>
      </c>
      <c r="B51" s="69" t="s">
        <v>45</v>
      </c>
      <c r="C51" s="69" t="s">
        <v>45</v>
      </c>
      <c r="D51" s="70">
        <f t="shared" si="0"/>
        <v>80</v>
      </c>
      <c r="E51" s="71">
        <v>72.4911356582165</v>
      </c>
      <c r="F51" s="72" t="s">
        <v>34</v>
      </c>
      <c r="G51" s="72">
        <v>75</v>
      </c>
      <c r="H51" s="72">
        <v>75</v>
      </c>
      <c r="I51" s="72">
        <v>75</v>
      </c>
      <c r="J51" s="73">
        <f t="shared" si="1"/>
        <v>75</v>
      </c>
      <c r="K51" s="72" t="s">
        <v>33</v>
      </c>
      <c r="L51" s="72">
        <v>0</v>
      </c>
      <c r="M51" s="72" t="s">
        <v>34</v>
      </c>
      <c r="N51" s="72" t="s">
        <v>33</v>
      </c>
      <c r="O51" s="74">
        <f t="shared" si="2"/>
        <v>31.25</v>
      </c>
      <c r="P51" s="72">
        <v>42.3414870626442</v>
      </c>
      <c r="Q51" s="72">
        <v>59.7967871145267</v>
      </c>
      <c r="R51" s="75">
        <f t="shared" si="3"/>
        <v>51.0691370885854</v>
      </c>
      <c r="S51" s="76">
        <v>46.2757468079588</v>
      </c>
      <c r="T51" s="72">
        <v>75</v>
      </c>
      <c r="U51" s="72">
        <v>75</v>
      </c>
      <c r="V51" s="72" t="s">
        <v>32</v>
      </c>
      <c r="W51" s="77">
        <f t="shared" si="4"/>
        <v>66.6666666666667</v>
      </c>
      <c r="X51" s="78">
        <f t="shared" si="5"/>
        <v>58.3367098265684</v>
      </c>
      <c r="Z51" s="69" t="s">
        <v>127</v>
      </c>
      <c r="AA51" s="68">
        <v>54.0784694029606</v>
      </c>
      <c r="AB51" s="68">
        <v>76</v>
      </c>
    </row>
    <row r="52" s="68" customFormat="1" spans="1:28">
      <c r="A52" s="69" t="s">
        <v>128</v>
      </c>
      <c r="B52" s="69">
        <v>80</v>
      </c>
      <c r="C52" s="69" t="s">
        <v>31</v>
      </c>
      <c r="D52" s="70">
        <f t="shared" si="0"/>
        <v>70</v>
      </c>
      <c r="E52" s="71">
        <f>D52*1.028</f>
        <v>71.96</v>
      </c>
      <c r="F52" s="72" t="s">
        <v>32</v>
      </c>
      <c r="G52" s="72" t="s">
        <v>32</v>
      </c>
      <c r="H52" s="72" t="s">
        <v>38</v>
      </c>
      <c r="I52" s="72" t="s">
        <v>34</v>
      </c>
      <c r="J52" s="73">
        <f t="shared" si="1"/>
        <v>68.75</v>
      </c>
      <c r="K52" s="72">
        <v>75</v>
      </c>
      <c r="L52" s="72">
        <v>50</v>
      </c>
      <c r="M52" s="72">
        <v>50</v>
      </c>
      <c r="N52" s="72">
        <v>25</v>
      </c>
      <c r="O52" s="74">
        <f t="shared" si="2"/>
        <v>50</v>
      </c>
      <c r="P52" s="72">
        <v>10.9848197568181</v>
      </c>
      <c r="Q52" s="72">
        <v>33.7799393875046</v>
      </c>
      <c r="R52" s="75">
        <f t="shared" si="3"/>
        <v>22.3823795721613</v>
      </c>
      <c r="S52" s="76">
        <v>23.0063337748265</v>
      </c>
      <c r="T52" s="72">
        <v>50</v>
      </c>
      <c r="U52" s="72">
        <v>50</v>
      </c>
      <c r="V52" s="72">
        <v>50</v>
      </c>
      <c r="W52" s="77">
        <f t="shared" si="4"/>
        <v>50</v>
      </c>
      <c r="X52" s="78">
        <f t="shared" si="5"/>
        <v>52.7432667549653</v>
      </c>
      <c r="Z52" s="69" t="s">
        <v>129</v>
      </c>
      <c r="AA52" s="68">
        <v>53.9782065329969</v>
      </c>
      <c r="AB52" s="68">
        <v>77</v>
      </c>
    </row>
    <row r="53" spans="1:28">
      <c r="A53" s="69" t="s">
        <v>106</v>
      </c>
      <c r="B53" s="69" t="s">
        <v>31</v>
      </c>
      <c r="C53" s="69" t="s">
        <v>31</v>
      </c>
      <c r="D53" s="70">
        <f t="shared" si="0"/>
        <v>60</v>
      </c>
      <c r="E53" s="71">
        <v>59.9479285602994</v>
      </c>
      <c r="F53" s="72" t="s">
        <v>34</v>
      </c>
      <c r="G53" s="72" t="s">
        <v>34</v>
      </c>
      <c r="H53" s="72" t="s">
        <v>38</v>
      </c>
      <c r="I53" s="72">
        <v>75</v>
      </c>
      <c r="J53" s="73">
        <f t="shared" si="1"/>
        <v>81.25</v>
      </c>
      <c r="K53" s="72">
        <v>0</v>
      </c>
      <c r="L53" s="72">
        <v>0</v>
      </c>
      <c r="M53" s="72" t="s">
        <v>34</v>
      </c>
      <c r="N53" s="72" t="s">
        <v>33</v>
      </c>
      <c r="O53" s="74">
        <f t="shared" si="2"/>
        <v>25</v>
      </c>
      <c r="P53" s="72">
        <v>25.5646714340494</v>
      </c>
      <c r="Q53" s="72">
        <v>41.1234044717447</v>
      </c>
      <c r="R53" s="75">
        <f t="shared" si="3"/>
        <v>33.3440379528971</v>
      </c>
      <c r="S53" s="76">
        <v>33.315100085203</v>
      </c>
      <c r="T53" s="72">
        <v>75</v>
      </c>
      <c r="U53" s="72" t="s">
        <v>38</v>
      </c>
      <c r="V53" s="72" t="s">
        <v>32</v>
      </c>
      <c r="W53" s="77">
        <f t="shared" si="4"/>
        <v>75</v>
      </c>
      <c r="X53" s="78">
        <f t="shared" si="5"/>
        <v>54.9026057291005</v>
      </c>
      <c r="Z53" s="69" t="s">
        <v>59</v>
      </c>
      <c r="AA53" s="68">
        <v>53.9712660907684</v>
      </c>
      <c r="AB53" s="68">
        <v>78</v>
      </c>
    </row>
    <row r="54" spans="1:28">
      <c r="A54" s="69" t="s">
        <v>130</v>
      </c>
      <c r="B54" s="69" t="s">
        <v>41</v>
      </c>
      <c r="C54" s="69" t="s">
        <v>31</v>
      </c>
      <c r="D54" s="70">
        <f t="shared" si="0"/>
        <v>50</v>
      </c>
      <c r="E54" s="71">
        <v>48.1298154020734</v>
      </c>
      <c r="F54" s="72" t="s">
        <v>34</v>
      </c>
      <c r="G54" s="72" t="s">
        <v>38</v>
      </c>
      <c r="H54" s="72" t="s">
        <v>38</v>
      </c>
      <c r="I54" s="72">
        <v>75</v>
      </c>
      <c r="J54" s="73">
        <f t="shared" si="1"/>
        <v>87.5</v>
      </c>
      <c r="K54" s="72" t="s">
        <v>33</v>
      </c>
      <c r="L54" s="72">
        <v>0</v>
      </c>
      <c r="M54" s="72" t="s">
        <v>34</v>
      </c>
      <c r="N54" s="72" t="s">
        <v>33</v>
      </c>
      <c r="O54" s="74">
        <f t="shared" si="2"/>
        <v>31.25</v>
      </c>
      <c r="P54" s="72">
        <v>25.7643954296279</v>
      </c>
      <c r="Q54" s="72">
        <v>49.3061227084694</v>
      </c>
      <c r="R54" s="75">
        <f t="shared" si="3"/>
        <v>37.5352590690486</v>
      </c>
      <c r="S54" s="76">
        <v>36.1313018012463</v>
      </c>
      <c r="T54" s="72">
        <v>75</v>
      </c>
      <c r="U54" s="72">
        <v>75</v>
      </c>
      <c r="V54" s="72" t="s">
        <v>33</v>
      </c>
      <c r="W54" s="77">
        <f t="shared" si="4"/>
        <v>58.3333333333333</v>
      </c>
      <c r="X54" s="78">
        <f t="shared" si="5"/>
        <v>52.2688901073306</v>
      </c>
      <c r="Z54" s="69" t="s">
        <v>131</v>
      </c>
      <c r="AA54" s="68">
        <v>53.9004045344954</v>
      </c>
      <c r="AB54" s="68">
        <v>79</v>
      </c>
    </row>
    <row r="55" spans="1:28">
      <c r="A55" s="69" t="s">
        <v>132</v>
      </c>
      <c r="B55" s="69" t="s">
        <v>41</v>
      </c>
      <c r="C55" s="69" t="s">
        <v>31</v>
      </c>
      <c r="D55" s="70">
        <f t="shared" si="0"/>
        <v>50</v>
      </c>
      <c r="E55" s="71">
        <v>54.9578364495145</v>
      </c>
      <c r="F55" s="72" t="s">
        <v>34</v>
      </c>
      <c r="G55" s="72" t="s">
        <v>38</v>
      </c>
      <c r="H55" s="72" t="s">
        <v>38</v>
      </c>
      <c r="I55" s="72">
        <v>75</v>
      </c>
      <c r="J55" s="73">
        <f t="shared" si="1"/>
        <v>87.5</v>
      </c>
      <c r="K55" s="72" t="s">
        <v>33</v>
      </c>
      <c r="L55" s="72">
        <v>0</v>
      </c>
      <c r="M55" s="72" t="s">
        <v>32</v>
      </c>
      <c r="N55" s="72" t="s">
        <v>33</v>
      </c>
      <c r="O55" s="74">
        <f t="shared" si="2"/>
        <v>25</v>
      </c>
      <c r="P55" s="72">
        <v>25.7643954296279</v>
      </c>
      <c r="Q55" s="72">
        <v>0</v>
      </c>
      <c r="R55" s="75">
        <f t="shared" si="3"/>
        <v>12.8821977148139</v>
      </c>
      <c r="S55" s="76">
        <v>14.1595543024211</v>
      </c>
      <c r="T55" s="72">
        <v>75</v>
      </c>
      <c r="U55" s="72">
        <v>75</v>
      </c>
      <c r="V55" s="72" t="s">
        <v>32</v>
      </c>
      <c r="W55" s="77">
        <f t="shared" si="4"/>
        <v>66.6666666666667</v>
      </c>
      <c r="X55" s="78">
        <f t="shared" si="5"/>
        <v>49.6568114837205</v>
      </c>
      <c r="Z55" s="69" t="s">
        <v>133</v>
      </c>
      <c r="AA55" s="68">
        <v>53.7826690634515</v>
      </c>
      <c r="AB55" s="68">
        <v>80</v>
      </c>
    </row>
    <row r="56" spans="1:28">
      <c r="A56" s="69" t="s">
        <v>134</v>
      </c>
      <c r="B56" s="69" t="s">
        <v>41</v>
      </c>
      <c r="C56" s="69" t="s">
        <v>31</v>
      </c>
      <c r="D56" s="70">
        <f t="shared" si="0"/>
        <v>50</v>
      </c>
      <c r="E56" s="71">
        <v>54.192156075709</v>
      </c>
      <c r="F56" s="72" t="s">
        <v>34</v>
      </c>
      <c r="G56" s="72" t="s">
        <v>34</v>
      </c>
      <c r="H56" s="72" t="s">
        <v>38</v>
      </c>
      <c r="I56" s="72">
        <v>75</v>
      </c>
      <c r="J56" s="73">
        <f t="shared" si="1"/>
        <v>81.25</v>
      </c>
      <c r="K56" s="72" t="s">
        <v>32</v>
      </c>
      <c r="L56" s="72">
        <v>0</v>
      </c>
      <c r="M56" s="72" t="s">
        <v>34</v>
      </c>
      <c r="N56" s="72" t="s">
        <v>33</v>
      </c>
      <c r="O56" s="74">
        <f t="shared" si="2"/>
        <v>37.5</v>
      </c>
      <c r="P56" s="72">
        <v>13.3815077037602</v>
      </c>
      <c r="Q56" s="72">
        <v>16.7850630496917</v>
      </c>
      <c r="R56" s="75">
        <f t="shared" si="3"/>
        <v>15.083285376726</v>
      </c>
      <c r="S56" s="76">
        <v>16.3479151053998</v>
      </c>
      <c r="T56" s="72">
        <v>50</v>
      </c>
      <c r="U56" s="72">
        <v>75</v>
      </c>
      <c r="V56" s="72" t="s">
        <v>34</v>
      </c>
      <c r="W56" s="77">
        <f t="shared" si="4"/>
        <v>66.6666666666667</v>
      </c>
      <c r="X56" s="78">
        <f t="shared" si="5"/>
        <v>51.1913475695551</v>
      </c>
      <c r="Z56" s="69" t="s">
        <v>135</v>
      </c>
      <c r="AA56" s="68">
        <v>53.7480443477233</v>
      </c>
      <c r="AB56" s="68">
        <v>81</v>
      </c>
    </row>
    <row r="57" spans="1:28">
      <c r="A57" s="69" t="s">
        <v>136</v>
      </c>
      <c r="B57" s="69" t="s">
        <v>41</v>
      </c>
      <c r="C57" s="69" t="s">
        <v>41</v>
      </c>
      <c r="D57" s="70">
        <f t="shared" si="0"/>
        <v>40</v>
      </c>
      <c r="E57" s="71">
        <v>43.4766274713888</v>
      </c>
      <c r="F57" s="72" t="s">
        <v>34</v>
      </c>
      <c r="G57" s="72" t="s">
        <v>38</v>
      </c>
      <c r="H57" s="72" t="s">
        <v>38</v>
      </c>
      <c r="I57" s="72">
        <v>75</v>
      </c>
      <c r="J57" s="73">
        <f t="shared" si="1"/>
        <v>87.5</v>
      </c>
      <c r="K57" s="72" t="s">
        <v>33</v>
      </c>
      <c r="L57" s="72">
        <v>0</v>
      </c>
      <c r="M57" s="72" t="s">
        <v>32</v>
      </c>
      <c r="N57" s="72" t="s">
        <v>33</v>
      </c>
      <c r="O57" s="74">
        <f t="shared" si="2"/>
        <v>25</v>
      </c>
      <c r="P57" s="72">
        <v>19.173503575537</v>
      </c>
      <c r="Q57" s="72">
        <v>15.735996609086</v>
      </c>
      <c r="R57" s="75">
        <f t="shared" si="3"/>
        <v>17.4547500923115</v>
      </c>
      <c r="S57" s="76">
        <v>18.9718416842404</v>
      </c>
      <c r="T57" s="72">
        <v>50</v>
      </c>
      <c r="U57" s="72" t="s">
        <v>34</v>
      </c>
      <c r="V57" s="72" t="s">
        <v>34</v>
      </c>
      <c r="W57" s="77">
        <f t="shared" si="4"/>
        <v>66.6666666666667</v>
      </c>
      <c r="X57" s="78">
        <f t="shared" si="5"/>
        <v>48.3230271644592</v>
      </c>
      <c r="Z57" s="69" t="s">
        <v>53</v>
      </c>
      <c r="AA57" s="68">
        <v>53.7084196347849</v>
      </c>
      <c r="AB57" s="68">
        <v>82</v>
      </c>
    </row>
    <row r="58" spans="1:28">
      <c r="A58" s="69" t="s">
        <v>137</v>
      </c>
      <c r="B58" s="69" t="s">
        <v>37</v>
      </c>
      <c r="C58" s="69" t="s">
        <v>31</v>
      </c>
      <c r="D58" s="70">
        <f t="shared" si="0"/>
        <v>40</v>
      </c>
      <c r="E58" s="71">
        <v>41.037240141408</v>
      </c>
      <c r="F58" s="72" t="s">
        <v>34</v>
      </c>
      <c r="G58" s="72" t="s">
        <v>34</v>
      </c>
      <c r="H58" s="72" t="s">
        <v>38</v>
      </c>
      <c r="I58" s="72">
        <v>75</v>
      </c>
      <c r="J58" s="73">
        <f t="shared" si="1"/>
        <v>81.25</v>
      </c>
      <c r="K58" s="72" t="s">
        <v>32</v>
      </c>
      <c r="L58" s="72">
        <v>0</v>
      </c>
      <c r="M58" s="72" t="s">
        <v>34</v>
      </c>
      <c r="N58" s="72" t="s">
        <v>33</v>
      </c>
      <c r="O58" s="74">
        <f t="shared" si="2"/>
        <v>37.5</v>
      </c>
      <c r="P58" s="72">
        <v>20.7712955401651</v>
      </c>
      <c r="Q58" s="72">
        <v>34.3044726078074</v>
      </c>
      <c r="R58" s="75">
        <f t="shared" si="3"/>
        <v>27.5378840739862</v>
      </c>
      <c r="S58" s="76">
        <v>28.2519690432607</v>
      </c>
      <c r="T58" s="72">
        <v>50</v>
      </c>
      <c r="U58" s="72">
        <v>75</v>
      </c>
      <c r="V58" s="72" t="s">
        <v>32</v>
      </c>
      <c r="W58" s="77">
        <f t="shared" si="4"/>
        <v>58.3333333333333</v>
      </c>
      <c r="X58" s="78">
        <f t="shared" si="5"/>
        <v>49.2745085036004</v>
      </c>
      <c r="Z58" s="69" t="s">
        <v>138</v>
      </c>
      <c r="AA58" s="68">
        <v>53.6906458787351</v>
      </c>
      <c r="AB58" s="68">
        <v>83</v>
      </c>
    </row>
    <row r="59" spans="1:28">
      <c r="A59" s="69" t="s">
        <v>139</v>
      </c>
      <c r="B59" s="69" t="s">
        <v>41</v>
      </c>
      <c r="C59" s="69" t="s">
        <v>31</v>
      </c>
      <c r="D59" s="70">
        <f t="shared" si="0"/>
        <v>50</v>
      </c>
      <c r="E59" s="71">
        <v>54.9578364495145</v>
      </c>
      <c r="F59" s="72" t="s">
        <v>32</v>
      </c>
      <c r="G59" s="72">
        <v>50</v>
      </c>
      <c r="H59" s="72">
        <v>50</v>
      </c>
      <c r="I59" s="72">
        <v>50</v>
      </c>
      <c r="J59" s="73">
        <f t="shared" si="1"/>
        <v>50</v>
      </c>
      <c r="K59" s="72" t="s">
        <v>33</v>
      </c>
      <c r="L59" s="72">
        <v>0</v>
      </c>
      <c r="M59" s="72" t="s">
        <v>34</v>
      </c>
      <c r="N59" s="72">
        <v>0</v>
      </c>
      <c r="O59" s="74">
        <f t="shared" si="2"/>
        <v>25</v>
      </c>
      <c r="P59" s="72">
        <v>20.7712955401651</v>
      </c>
      <c r="Q59" s="72">
        <v>6.29439864363439</v>
      </c>
      <c r="R59" s="75">
        <f t="shared" si="3"/>
        <v>13.5328470918997</v>
      </c>
      <c r="S59" s="76">
        <v>14.8747199434583</v>
      </c>
      <c r="T59" s="72">
        <v>50</v>
      </c>
      <c r="U59" s="72">
        <v>25</v>
      </c>
      <c r="V59" s="72">
        <v>25</v>
      </c>
      <c r="W59" s="77">
        <f t="shared" si="4"/>
        <v>33.3333333333333</v>
      </c>
      <c r="X59" s="78">
        <f t="shared" si="5"/>
        <v>35.6331779452612</v>
      </c>
      <c r="Z59" s="69" t="s">
        <v>140</v>
      </c>
      <c r="AA59" s="68">
        <v>53.6451246275153</v>
      </c>
      <c r="AB59" s="68">
        <v>84</v>
      </c>
    </row>
    <row r="60" spans="1:28">
      <c r="A60" s="69" t="s">
        <v>141</v>
      </c>
      <c r="B60" s="69" t="s">
        <v>41</v>
      </c>
      <c r="C60" s="69" t="s">
        <v>31</v>
      </c>
      <c r="D60" s="70">
        <f t="shared" si="0"/>
        <v>50</v>
      </c>
      <c r="E60" s="71">
        <v>54.9578364495145</v>
      </c>
      <c r="F60" s="72" t="s">
        <v>34</v>
      </c>
      <c r="G60" s="72" t="s">
        <v>34</v>
      </c>
      <c r="H60" s="72" t="s">
        <v>38</v>
      </c>
      <c r="I60" s="72">
        <v>75</v>
      </c>
      <c r="J60" s="73">
        <f t="shared" si="1"/>
        <v>81.25</v>
      </c>
      <c r="K60" s="72" t="s">
        <v>32</v>
      </c>
      <c r="L60" s="72">
        <v>0</v>
      </c>
      <c r="M60" s="72" t="s">
        <v>34</v>
      </c>
      <c r="N60" s="72" t="s">
        <v>33</v>
      </c>
      <c r="O60" s="74">
        <f t="shared" si="2"/>
        <v>37.5</v>
      </c>
      <c r="P60" s="72">
        <v>20.7712955401651</v>
      </c>
      <c r="Q60" s="72">
        <v>5.00552246296995</v>
      </c>
      <c r="R60" s="75">
        <f t="shared" si="3"/>
        <v>12.8884090015675</v>
      </c>
      <c r="S60" s="76">
        <v>14.166381480052</v>
      </c>
      <c r="T60" s="72">
        <v>75</v>
      </c>
      <c r="U60" s="72" t="s">
        <v>34</v>
      </c>
      <c r="V60" s="72" t="s">
        <v>34</v>
      </c>
      <c r="W60" s="77">
        <f t="shared" si="4"/>
        <v>75</v>
      </c>
      <c r="X60" s="78">
        <f t="shared" si="5"/>
        <v>52.5748435859133</v>
      </c>
      <c r="Z60" s="69" t="s">
        <v>142</v>
      </c>
      <c r="AA60" s="68">
        <v>53.5293930503316</v>
      </c>
      <c r="AB60" s="68">
        <v>86</v>
      </c>
    </row>
    <row r="61" spans="1:28">
      <c r="A61" s="69" t="s">
        <v>143</v>
      </c>
      <c r="B61" s="69" t="s">
        <v>41</v>
      </c>
      <c r="C61" s="69" t="s">
        <v>31</v>
      </c>
      <c r="D61" s="70">
        <f t="shared" si="0"/>
        <v>50</v>
      </c>
      <c r="E61" s="71">
        <v>51.029947647262</v>
      </c>
      <c r="F61" s="72" t="s">
        <v>32</v>
      </c>
      <c r="G61" s="72" t="s">
        <v>32</v>
      </c>
      <c r="H61" s="72" t="s">
        <v>38</v>
      </c>
      <c r="I61" s="72" t="s">
        <v>34</v>
      </c>
      <c r="J61" s="73">
        <f t="shared" si="1"/>
        <v>68.75</v>
      </c>
      <c r="K61" s="72">
        <v>0</v>
      </c>
      <c r="L61" s="72">
        <v>0</v>
      </c>
      <c r="M61" s="72">
        <v>0</v>
      </c>
      <c r="N61" s="72" t="s">
        <v>33</v>
      </c>
      <c r="O61" s="74">
        <f t="shared" si="2"/>
        <v>6.25</v>
      </c>
      <c r="P61" s="72">
        <v>33.3539072616113</v>
      </c>
      <c r="Q61" s="72">
        <v>35.7207123026252</v>
      </c>
      <c r="R61" s="75">
        <f t="shared" si="3"/>
        <v>34.5373097821182</v>
      </c>
      <c r="S61" s="76">
        <v>35.2487422011753</v>
      </c>
      <c r="T61" s="72" t="s">
        <v>32</v>
      </c>
      <c r="U61" s="72">
        <v>0</v>
      </c>
      <c r="V61" s="72" t="s">
        <v>33</v>
      </c>
      <c r="W61" s="77">
        <f t="shared" si="4"/>
        <v>25</v>
      </c>
      <c r="X61" s="78">
        <f t="shared" si="5"/>
        <v>37.2557379696875</v>
      </c>
      <c r="Z61" s="69" t="s">
        <v>65</v>
      </c>
      <c r="AA61" s="68">
        <v>53.4802570115343</v>
      </c>
      <c r="AB61" s="68">
        <v>87</v>
      </c>
    </row>
    <row r="62" spans="1:28">
      <c r="A62" s="69" t="s">
        <v>144</v>
      </c>
      <c r="B62" s="69" t="s">
        <v>41</v>
      </c>
      <c r="C62" s="69" t="s">
        <v>31</v>
      </c>
      <c r="D62" s="70">
        <f t="shared" si="0"/>
        <v>50</v>
      </c>
      <c r="E62" s="71">
        <v>53.022425836887</v>
      </c>
      <c r="F62" s="72" t="s">
        <v>34</v>
      </c>
      <c r="G62" s="72" t="s">
        <v>34</v>
      </c>
      <c r="H62" s="72" t="s">
        <v>38</v>
      </c>
      <c r="I62" s="72">
        <v>75</v>
      </c>
      <c r="J62" s="73">
        <f t="shared" si="1"/>
        <v>81.25</v>
      </c>
      <c r="K62" s="72" t="s">
        <v>33</v>
      </c>
      <c r="L62" s="72">
        <v>0</v>
      </c>
      <c r="M62" s="72" t="s">
        <v>34</v>
      </c>
      <c r="N62" s="72" t="s">
        <v>33</v>
      </c>
      <c r="O62" s="74">
        <f t="shared" si="2"/>
        <v>31.25</v>
      </c>
      <c r="P62" s="72">
        <v>26.3635674163634</v>
      </c>
      <c r="Q62" s="72">
        <v>24.3593227508651</v>
      </c>
      <c r="R62" s="75">
        <f t="shared" si="3"/>
        <v>25.3614450836142</v>
      </c>
      <c r="S62" s="76">
        <v>26.8945068212444</v>
      </c>
      <c r="T62" s="72">
        <v>75</v>
      </c>
      <c r="U62" s="72">
        <v>75</v>
      </c>
      <c r="V62" s="72" t="s">
        <v>33</v>
      </c>
      <c r="W62" s="77">
        <f t="shared" si="4"/>
        <v>58.3333333333333</v>
      </c>
      <c r="X62" s="78">
        <f t="shared" si="5"/>
        <v>50.150053198293</v>
      </c>
      <c r="Z62" s="69" t="s">
        <v>145</v>
      </c>
      <c r="AA62" s="68">
        <v>53.4209471987366</v>
      </c>
      <c r="AB62" s="68">
        <v>88</v>
      </c>
    </row>
    <row r="63" spans="1:28">
      <c r="A63" s="69" t="s">
        <v>146</v>
      </c>
      <c r="B63" s="69" t="s">
        <v>45</v>
      </c>
      <c r="C63" s="69" t="s">
        <v>31</v>
      </c>
      <c r="D63" s="70">
        <f t="shared" si="0"/>
        <v>70</v>
      </c>
      <c r="E63" s="71">
        <v>75.8690185059926</v>
      </c>
      <c r="F63" s="72" t="s">
        <v>34</v>
      </c>
      <c r="G63" s="72" t="s">
        <v>33</v>
      </c>
      <c r="H63" s="72" t="s">
        <v>38</v>
      </c>
      <c r="I63" s="72" t="s">
        <v>34</v>
      </c>
      <c r="J63" s="73">
        <f t="shared" si="1"/>
        <v>68.75</v>
      </c>
      <c r="K63" s="72" t="s">
        <v>33</v>
      </c>
      <c r="L63" s="72">
        <v>0</v>
      </c>
      <c r="M63" s="72" t="s">
        <v>33</v>
      </c>
      <c r="N63" s="72">
        <v>0</v>
      </c>
      <c r="O63" s="74">
        <f t="shared" si="2"/>
        <v>12.5</v>
      </c>
      <c r="P63" s="72">
        <v>25.7643954296279</v>
      </c>
      <c r="Q63" s="72">
        <v>16.7850630496917</v>
      </c>
      <c r="R63" s="75">
        <f t="shared" si="3"/>
        <v>21.2747292396598</v>
      </c>
      <c r="S63" s="76">
        <v>23.0584689484819</v>
      </c>
      <c r="T63" s="72" t="s">
        <v>32</v>
      </c>
      <c r="U63" s="72" t="s">
        <v>32</v>
      </c>
      <c r="V63" s="72">
        <v>0</v>
      </c>
      <c r="W63" s="77">
        <f t="shared" si="4"/>
        <v>33.3333333333333</v>
      </c>
      <c r="X63" s="78">
        <f t="shared" si="5"/>
        <v>42.7021641575616</v>
      </c>
      <c r="Z63" s="69" t="s">
        <v>61</v>
      </c>
      <c r="AA63" s="68">
        <v>53.3131399954643</v>
      </c>
      <c r="AB63" s="68">
        <v>89</v>
      </c>
    </row>
    <row r="64" spans="1:28">
      <c r="A64" s="69" t="s">
        <v>127</v>
      </c>
      <c r="B64" s="69" t="s">
        <v>41</v>
      </c>
      <c r="C64" s="69" t="s">
        <v>31</v>
      </c>
      <c r="D64" s="70">
        <f t="shared" si="0"/>
        <v>50</v>
      </c>
      <c r="E64" s="71">
        <v>53.65238901217</v>
      </c>
      <c r="F64" s="72" t="s">
        <v>34</v>
      </c>
      <c r="G64" s="72" t="s">
        <v>38</v>
      </c>
      <c r="H64" s="72" t="s">
        <v>38</v>
      </c>
      <c r="I64" s="72">
        <v>75</v>
      </c>
      <c r="J64" s="73">
        <f t="shared" si="1"/>
        <v>87.5</v>
      </c>
      <c r="K64" s="72" t="s">
        <v>33</v>
      </c>
      <c r="L64" s="72">
        <v>0</v>
      </c>
      <c r="M64" s="72" t="s">
        <v>38</v>
      </c>
      <c r="N64" s="72" t="s">
        <v>33</v>
      </c>
      <c r="O64" s="74">
        <f t="shared" si="2"/>
        <v>37.5</v>
      </c>
      <c r="P64" s="72">
        <v>26.3635674163634</v>
      </c>
      <c r="Q64" s="72">
        <v>20.3692841818736</v>
      </c>
      <c r="R64" s="75">
        <f t="shared" si="3"/>
        <v>23.3664257991185</v>
      </c>
      <c r="S64" s="76">
        <v>25.0732913359662</v>
      </c>
      <c r="T64" s="72">
        <v>75</v>
      </c>
      <c r="U64" s="72" t="s">
        <v>38</v>
      </c>
      <c r="V64" s="72" t="s">
        <v>33</v>
      </c>
      <c r="W64" s="77">
        <f t="shared" si="4"/>
        <v>66.6666666666667</v>
      </c>
      <c r="X64" s="78">
        <f t="shared" si="5"/>
        <v>54.0784694029606</v>
      </c>
      <c r="Z64" s="69" t="s">
        <v>112</v>
      </c>
      <c r="AA64" s="68">
        <v>53.226436494431</v>
      </c>
      <c r="AB64" s="68">
        <v>90</v>
      </c>
    </row>
    <row r="65" spans="1:28">
      <c r="A65" s="69" t="s">
        <v>147</v>
      </c>
      <c r="B65" s="69" t="s">
        <v>45</v>
      </c>
      <c r="C65" s="69" t="s">
        <v>45</v>
      </c>
      <c r="D65" s="70">
        <f t="shared" si="0"/>
        <v>80</v>
      </c>
      <c r="E65" s="71">
        <v>85.8429391868456</v>
      </c>
      <c r="F65" s="72" t="s">
        <v>32</v>
      </c>
      <c r="G65" s="72" t="s">
        <v>34</v>
      </c>
      <c r="H65" s="72" t="s">
        <v>38</v>
      </c>
      <c r="I65" s="72">
        <v>75</v>
      </c>
      <c r="J65" s="73">
        <f t="shared" si="1"/>
        <v>75</v>
      </c>
      <c r="K65" s="72" t="s">
        <v>33</v>
      </c>
      <c r="L65" s="72">
        <v>0</v>
      </c>
      <c r="M65" s="72" t="s">
        <v>32</v>
      </c>
      <c r="N65" s="72">
        <v>0</v>
      </c>
      <c r="O65" s="74">
        <f t="shared" si="2"/>
        <v>18.75</v>
      </c>
      <c r="P65" s="72">
        <v>12.3828877258677</v>
      </c>
      <c r="Q65" s="72">
        <v>20.3728702765633</v>
      </c>
      <c r="R65" s="75">
        <f t="shared" si="3"/>
        <v>16.3778790012155</v>
      </c>
      <c r="S65" s="76">
        <v>17.5740658888857</v>
      </c>
      <c r="T65" s="72">
        <v>75</v>
      </c>
      <c r="U65" s="72" t="s">
        <v>34</v>
      </c>
      <c r="V65" s="72" t="s">
        <v>33</v>
      </c>
      <c r="W65" s="77">
        <f t="shared" si="4"/>
        <v>58.3333333333333</v>
      </c>
      <c r="X65" s="78">
        <f t="shared" si="5"/>
        <v>51.1000676818129</v>
      </c>
      <c r="Z65" s="69" t="s">
        <v>148</v>
      </c>
      <c r="AA65" s="68">
        <v>53.2141993148275</v>
      </c>
      <c r="AB65" s="68">
        <v>91</v>
      </c>
    </row>
    <row r="66" spans="1:28">
      <c r="A66" s="69" t="s">
        <v>149</v>
      </c>
      <c r="B66" s="69" t="s">
        <v>31</v>
      </c>
      <c r="C66" s="69" t="s">
        <v>45</v>
      </c>
      <c r="D66" s="70">
        <f t="shared" si="0"/>
        <v>70</v>
      </c>
      <c r="E66" s="71">
        <v>71.815170247464</v>
      </c>
      <c r="F66" s="72" t="s">
        <v>34</v>
      </c>
      <c r="G66" s="72" t="s">
        <v>34</v>
      </c>
      <c r="H66" s="72">
        <v>50</v>
      </c>
      <c r="I66" s="72">
        <v>50</v>
      </c>
      <c r="J66" s="73">
        <f t="shared" si="1"/>
        <v>62.5</v>
      </c>
      <c r="K66" s="72" t="s">
        <v>33</v>
      </c>
      <c r="L66" s="72">
        <v>0</v>
      </c>
      <c r="M66" s="72" t="s">
        <v>34</v>
      </c>
      <c r="N66" s="72" t="s">
        <v>32</v>
      </c>
      <c r="O66" s="74">
        <f t="shared" si="2"/>
        <v>37.5</v>
      </c>
      <c r="P66" s="72">
        <v>20.7712955401651</v>
      </c>
      <c r="Q66" s="72">
        <v>34.3044726078074</v>
      </c>
      <c r="R66" s="75">
        <f t="shared" si="3"/>
        <v>27.5378840739862</v>
      </c>
      <c r="S66" s="76">
        <v>28.2519690432607</v>
      </c>
      <c r="T66" s="72" t="s">
        <v>34</v>
      </c>
      <c r="U66" s="72">
        <v>50</v>
      </c>
      <c r="V66" s="72">
        <v>25</v>
      </c>
      <c r="W66" s="77">
        <f t="shared" si="4"/>
        <v>50</v>
      </c>
      <c r="X66" s="78">
        <f t="shared" si="5"/>
        <v>50.0134278581449</v>
      </c>
      <c r="Z66" s="69" t="s">
        <v>150</v>
      </c>
      <c r="AA66" s="68">
        <v>53.1763519865599</v>
      </c>
      <c r="AB66" s="68">
        <v>92</v>
      </c>
    </row>
    <row r="67" spans="1:28">
      <c r="A67" s="69" t="s">
        <v>151</v>
      </c>
      <c r="B67" s="69" t="s">
        <v>41</v>
      </c>
      <c r="C67" s="69" t="s">
        <v>31</v>
      </c>
      <c r="D67" s="70">
        <f t="shared" ref="D67:D130" si="6">(B67+C67)/2</f>
        <v>50</v>
      </c>
      <c r="E67" s="71">
        <v>49.9566071335828</v>
      </c>
      <c r="F67" s="72" t="s">
        <v>34</v>
      </c>
      <c r="G67" s="72" t="s">
        <v>32</v>
      </c>
      <c r="H67" s="72" t="s">
        <v>38</v>
      </c>
      <c r="I67" s="72">
        <v>75</v>
      </c>
      <c r="J67" s="73">
        <f t="shared" ref="J67:J130" si="7">(F67+G67+H67+I67)/4</f>
        <v>75</v>
      </c>
      <c r="K67" s="72">
        <v>0</v>
      </c>
      <c r="L67" s="72">
        <v>0</v>
      </c>
      <c r="M67" s="72" t="s">
        <v>32</v>
      </c>
      <c r="N67" s="72" t="s">
        <v>33</v>
      </c>
      <c r="O67" s="74">
        <f t="shared" ref="O67:O130" si="8">(K67+L67+M67+N67)/4</f>
        <v>18.75</v>
      </c>
      <c r="P67" s="72">
        <v>26.3635674163634</v>
      </c>
      <c r="Q67" s="72">
        <v>41.1234044717447</v>
      </c>
      <c r="R67" s="75">
        <f t="shared" ref="R67:R130" si="9">(P67+Q67)/2</f>
        <v>33.7434859440541</v>
      </c>
      <c r="S67" s="76">
        <v>33.7142014124936</v>
      </c>
      <c r="T67" s="72">
        <v>75</v>
      </c>
      <c r="U67" s="72" t="s">
        <v>32</v>
      </c>
      <c r="V67" s="72" t="s">
        <v>33</v>
      </c>
      <c r="W67" s="77">
        <f t="shared" ref="W67:W130" si="10">(T67+U67+V67)/3</f>
        <v>50</v>
      </c>
      <c r="X67" s="78">
        <f t="shared" ref="X67:X130" si="11">(E67+J67+O67+S67+W67)/5</f>
        <v>45.4841617092153</v>
      </c>
      <c r="Z67" s="69" t="s">
        <v>152</v>
      </c>
      <c r="AA67" s="68">
        <v>53.1658206108712</v>
      </c>
      <c r="AB67" s="68">
        <v>93</v>
      </c>
    </row>
    <row r="68" spans="1:28">
      <c r="A68" s="69" t="s">
        <v>96</v>
      </c>
      <c r="B68" s="69" t="s">
        <v>31</v>
      </c>
      <c r="C68" s="69" t="s">
        <v>31</v>
      </c>
      <c r="D68" s="70">
        <f t="shared" si="6"/>
        <v>60</v>
      </c>
      <c r="E68" s="71">
        <v>54.3683517436624</v>
      </c>
      <c r="F68" s="72" t="s">
        <v>34</v>
      </c>
      <c r="G68" s="72" t="s">
        <v>34</v>
      </c>
      <c r="H68" s="72" t="s">
        <v>38</v>
      </c>
      <c r="I68" s="72">
        <v>75</v>
      </c>
      <c r="J68" s="73">
        <f t="shared" si="7"/>
        <v>81.25</v>
      </c>
      <c r="K68" s="72" t="s">
        <v>33</v>
      </c>
      <c r="L68" s="72">
        <v>0</v>
      </c>
      <c r="M68" s="72" t="s">
        <v>34</v>
      </c>
      <c r="N68" s="72" t="s">
        <v>33</v>
      </c>
      <c r="O68" s="74">
        <f t="shared" si="8"/>
        <v>31.25</v>
      </c>
      <c r="P68" s="72">
        <v>34.9516992262393</v>
      </c>
      <c r="Q68" s="72">
        <v>59.7967871145267</v>
      </c>
      <c r="R68" s="75">
        <f t="shared" si="9"/>
        <v>47.374243170383</v>
      </c>
      <c r="S68" s="76">
        <v>42.9276586046196</v>
      </c>
      <c r="T68" s="72">
        <v>75</v>
      </c>
      <c r="U68" s="72">
        <v>75</v>
      </c>
      <c r="V68" s="72" t="s">
        <v>32</v>
      </c>
      <c r="W68" s="77">
        <f t="shared" si="10"/>
        <v>66.6666666666667</v>
      </c>
      <c r="X68" s="78">
        <f t="shared" si="11"/>
        <v>55.2925354029897</v>
      </c>
      <c r="Z68" s="69" t="s">
        <v>153</v>
      </c>
      <c r="AA68" s="68">
        <v>53.0758924960882</v>
      </c>
      <c r="AB68" s="68">
        <v>94</v>
      </c>
    </row>
    <row r="69" spans="1:28">
      <c r="A69" s="69" t="s">
        <v>154</v>
      </c>
      <c r="B69" s="69" t="s">
        <v>41</v>
      </c>
      <c r="C69" s="69" t="s">
        <v>31</v>
      </c>
      <c r="D69" s="70">
        <f t="shared" si="6"/>
        <v>50</v>
      </c>
      <c r="E69" s="71">
        <v>52.540784536144</v>
      </c>
      <c r="F69" s="72" t="s">
        <v>34</v>
      </c>
      <c r="G69" s="72">
        <v>50</v>
      </c>
      <c r="H69" s="72">
        <v>50</v>
      </c>
      <c r="I69" s="72" t="s">
        <v>34</v>
      </c>
      <c r="J69" s="73">
        <f t="shared" si="7"/>
        <v>62.5</v>
      </c>
      <c r="K69" s="72" t="s">
        <v>32</v>
      </c>
      <c r="L69" s="72">
        <v>0</v>
      </c>
      <c r="M69" s="72" t="s">
        <v>34</v>
      </c>
      <c r="N69" s="72" t="s">
        <v>33</v>
      </c>
      <c r="O69" s="74">
        <f t="shared" si="8"/>
        <v>37.5</v>
      </c>
      <c r="P69" s="72">
        <v>51.6086804574871</v>
      </c>
      <c r="Q69" s="72">
        <v>27.275727455749</v>
      </c>
      <c r="R69" s="75">
        <f t="shared" si="9"/>
        <v>39.442203956618</v>
      </c>
      <c r="S69" s="76">
        <v>41.4464867943063</v>
      </c>
      <c r="T69" s="72">
        <v>75</v>
      </c>
      <c r="U69" s="72">
        <v>50</v>
      </c>
      <c r="V69" s="72">
        <v>50</v>
      </c>
      <c r="W69" s="77">
        <f t="shared" si="10"/>
        <v>58.3333333333333</v>
      </c>
      <c r="X69" s="78">
        <f t="shared" si="11"/>
        <v>50.4641209327567</v>
      </c>
      <c r="Z69" s="69" t="s">
        <v>155</v>
      </c>
      <c r="AA69" s="68">
        <v>52.9629981515688</v>
      </c>
      <c r="AB69" s="68">
        <v>95</v>
      </c>
    </row>
    <row r="70" spans="1:28">
      <c r="A70" s="69" t="s">
        <v>156</v>
      </c>
      <c r="B70" s="69" t="s">
        <v>31</v>
      </c>
      <c r="C70" s="69" t="s">
        <v>31</v>
      </c>
      <c r="D70" s="70">
        <f t="shared" si="6"/>
        <v>60</v>
      </c>
      <c r="E70" s="71">
        <v>61.485359844786</v>
      </c>
      <c r="F70" s="72" t="s">
        <v>34</v>
      </c>
      <c r="G70" s="72" t="s">
        <v>34</v>
      </c>
      <c r="H70" s="72" t="s">
        <v>38</v>
      </c>
      <c r="I70" s="72">
        <v>75</v>
      </c>
      <c r="J70" s="73">
        <f t="shared" si="7"/>
        <v>81.25</v>
      </c>
      <c r="K70" s="72">
        <v>0</v>
      </c>
      <c r="L70" s="72">
        <v>0</v>
      </c>
      <c r="M70" s="72" t="s">
        <v>32</v>
      </c>
      <c r="N70" s="72">
        <v>0</v>
      </c>
      <c r="O70" s="74">
        <f t="shared" si="8"/>
        <v>12.5</v>
      </c>
      <c r="P70" s="72">
        <v>12.7623633174668</v>
      </c>
      <c r="Q70" s="72">
        <v>34.6191925399892</v>
      </c>
      <c r="R70" s="75">
        <f t="shared" si="9"/>
        <v>23.690777928728</v>
      </c>
      <c r="S70" s="76">
        <v>24.2772667658459</v>
      </c>
      <c r="T70" s="72" t="s">
        <v>34</v>
      </c>
      <c r="U70" s="72" t="s">
        <v>34</v>
      </c>
      <c r="V70" s="72" t="s">
        <v>33</v>
      </c>
      <c r="W70" s="77">
        <f t="shared" si="10"/>
        <v>58.3333333333333</v>
      </c>
      <c r="X70" s="78">
        <f t="shared" si="11"/>
        <v>47.569191988793</v>
      </c>
      <c r="Z70" s="69" t="s">
        <v>109</v>
      </c>
      <c r="AA70" s="68">
        <v>52.9167407928891</v>
      </c>
      <c r="AB70" s="68">
        <v>28</v>
      </c>
    </row>
    <row r="71" spans="1:28">
      <c r="A71" s="69" t="s">
        <v>97</v>
      </c>
      <c r="B71" s="69" t="s">
        <v>41</v>
      </c>
      <c r="C71" s="69" t="s">
        <v>31</v>
      </c>
      <c r="D71" s="70">
        <f t="shared" si="6"/>
        <v>50</v>
      </c>
      <c r="E71" s="71">
        <v>54.345784339236</v>
      </c>
      <c r="F71" s="72" t="s">
        <v>34</v>
      </c>
      <c r="G71" s="72" t="s">
        <v>38</v>
      </c>
      <c r="H71" s="72" t="s">
        <v>38</v>
      </c>
      <c r="I71" s="72" t="s">
        <v>34</v>
      </c>
      <c r="J71" s="73">
        <f t="shared" si="7"/>
        <v>87.5</v>
      </c>
      <c r="K71" s="72" t="s">
        <v>32</v>
      </c>
      <c r="L71" s="72">
        <v>0</v>
      </c>
      <c r="M71" s="72" t="s">
        <v>32</v>
      </c>
      <c r="N71" s="72" t="s">
        <v>33</v>
      </c>
      <c r="O71" s="74">
        <f t="shared" si="8"/>
        <v>31.25</v>
      </c>
      <c r="P71" s="72">
        <v>51.6086804574871</v>
      </c>
      <c r="Q71" s="72">
        <v>15.735996609086</v>
      </c>
      <c r="R71" s="75">
        <f t="shared" si="9"/>
        <v>33.6723385332865</v>
      </c>
      <c r="S71" s="76">
        <v>36.5989929625547</v>
      </c>
      <c r="T71" s="72">
        <v>75</v>
      </c>
      <c r="U71" s="72" t="s">
        <v>34</v>
      </c>
      <c r="V71" s="72" t="s">
        <v>32</v>
      </c>
      <c r="W71" s="77">
        <f t="shared" si="10"/>
        <v>66.6666666666667</v>
      </c>
      <c r="X71" s="78">
        <f t="shared" si="11"/>
        <v>55.2722887936915</v>
      </c>
      <c r="Z71" s="69" t="s">
        <v>157</v>
      </c>
      <c r="AA71" s="68">
        <v>52.869835690406</v>
      </c>
      <c r="AB71" s="68">
        <v>96</v>
      </c>
    </row>
    <row r="72" spans="1:28">
      <c r="A72" s="69" t="s">
        <v>124</v>
      </c>
      <c r="B72" s="69" t="s">
        <v>45</v>
      </c>
      <c r="C72" s="69" t="s">
        <v>31</v>
      </c>
      <c r="D72" s="70">
        <f t="shared" si="6"/>
        <v>70</v>
      </c>
      <c r="E72" s="71">
        <v>75.8690185059926</v>
      </c>
      <c r="F72" s="72" t="s">
        <v>34</v>
      </c>
      <c r="G72" s="72" t="s">
        <v>34</v>
      </c>
      <c r="H72" s="72" t="s">
        <v>38</v>
      </c>
      <c r="I72" s="72">
        <v>75</v>
      </c>
      <c r="J72" s="73">
        <f t="shared" si="7"/>
        <v>81.25</v>
      </c>
      <c r="K72" s="72" t="s">
        <v>33</v>
      </c>
      <c r="L72" s="72">
        <v>0</v>
      </c>
      <c r="M72" s="72" t="s">
        <v>34</v>
      </c>
      <c r="N72" s="72" t="s">
        <v>33</v>
      </c>
      <c r="O72" s="74">
        <f t="shared" si="8"/>
        <v>31.25</v>
      </c>
      <c r="P72" s="72">
        <v>13.3815077037602</v>
      </c>
      <c r="Q72" s="72">
        <v>16.7850630496917</v>
      </c>
      <c r="R72" s="75">
        <f t="shared" si="9"/>
        <v>15.083285376726</v>
      </c>
      <c r="S72" s="76">
        <v>16.3479151053998</v>
      </c>
      <c r="T72" s="72">
        <v>75</v>
      </c>
      <c r="U72" s="72" t="s">
        <v>38</v>
      </c>
      <c r="V72" s="72" t="s">
        <v>33</v>
      </c>
      <c r="W72" s="77">
        <f t="shared" si="10"/>
        <v>66.6666666666667</v>
      </c>
      <c r="X72" s="78">
        <f t="shared" si="11"/>
        <v>54.2767200556118</v>
      </c>
      <c r="Z72" s="69" t="s">
        <v>158</v>
      </c>
      <c r="AA72" s="68">
        <v>52.7963142891753</v>
      </c>
      <c r="AB72" s="68">
        <v>97</v>
      </c>
    </row>
    <row r="73" spans="1:28">
      <c r="A73" s="69" t="s">
        <v>159</v>
      </c>
      <c r="B73" s="69" t="s">
        <v>37</v>
      </c>
      <c r="C73" s="69" t="s">
        <v>31</v>
      </c>
      <c r="D73" s="70">
        <f t="shared" si="6"/>
        <v>40</v>
      </c>
      <c r="E73" s="71">
        <v>40.5075328000936</v>
      </c>
      <c r="F73" s="72" t="s">
        <v>34</v>
      </c>
      <c r="G73" s="72" t="s">
        <v>34</v>
      </c>
      <c r="H73" s="72" t="s">
        <v>38</v>
      </c>
      <c r="I73" s="72" t="s">
        <v>34</v>
      </c>
      <c r="J73" s="73">
        <f t="shared" si="7"/>
        <v>81.25</v>
      </c>
      <c r="K73" s="72">
        <v>0</v>
      </c>
      <c r="L73" s="72">
        <v>0</v>
      </c>
      <c r="M73" s="72" t="s">
        <v>32</v>
      </c>
      <c r="N73" s="72">
        <v>0</v>
      </c>
      <c r="O73" s="74">
        <f t="shared" si="8"/>
        <v>12.5</v>
      </c>
      <c r="P73" s="72">
        <v>24.3663274605783</v>
      </c>
      <c r="Q73" s="72">
        <v>37.7663918618064</v>
      </c>
      <c r="R73" s="75">
        <f t="shared" si="9"/>
        <v>31.0663596611924</v>
      </c>
      <c r="S73" s="76">
        <v>31.4605395738813</v>
      </c>
      <c r="T73" s="72" t="s">
        <v>34</v>
      </c>
      <c r="U73" s="72" t="s">
        <v>34</v>
      </c>
      <c r="V73" s="72" t="s">
        <v>33</v>
      </c>
      <c r="W73" s="77">
        <f t="shared" si="10"/>
        <v>58.3333333333333</v>
      </c>
      <c r="X73" s="78">
        <f t="shared" si="11"/>
        <v>44.8102811414617</v>
      </c>
      <c r="Z73" s="69" t="s">
        <v>160</v>
      </c>
      <c r="AA73" s="68">
        <v>52.773254406075</v>
      </c>
      <c r="AB73" s="68">
        <v>98</v>
      </c>
    </row>
    <row r="74" spans="1:28">
      <c r="A74" s="69" t="s">
        <v>123</v>
      </c>
      <c r="B74" s="69" t="s">
        <v>45</v>
      </c>
      <c r="C74" s="69" t="s">
        <v>45</v>
      </c>
      <c r="D74" s="70">
        <f t="shared" si="6"/>
        <v>80</v>
      </c>
      <c r="E74" s="71">
        <v>66.2632910491344</v>
      </c>
      <c r="F74" s="72" t="s">
        <v>34</v>
      </c>
      <c r="G74" s="72" t="s">
        <v>34</v>
      </c>
      <c r="H74" s="72" t="s">
        <v>38</v>
      </c>
      <c r="I74" s="72">
        <v>75</v>
      </c>
      <c r="J74" s="73">
        <f t="shared" si="7"/>
        <v>81.25</v>
      </c>
      <c r="K74" s="72" t="s">
        <v>33</v>
      </c>
      <c r="L74" s="72">
        <v>0</v>
      </c>
      <c r="M74" s="72" t="s">
        <v>34</v>
      </c>
      <c r="N74" s="72">
        <v>0</v>
      </c>
      <c r="O74" s="74">
        <f t="shared" si="8"/>
        <v>25</v>
      </c>
      <c r="P74" s="72">
        <v>15.5784716551238</v>
      </c>
      <c r="Q74" s="72">
        <v>82.6995353554023</v>
      </c>
      <c r="R74" s="75">
        <f t="shared" si="9"/>
        <v>49.139003505263</v>
      </c>
      <c r="S74" s="76">
        <v>40.701401139171</v>
      </c>
      <c r="T74" s="72">
        <v>75</v>
      </c>
      <c r="U74" s="72" t="s">
        <v>32</v>
      </c>
      <c r="V74" s="72" t="s">
        <v>32</v>
      </c>
      <c r="W74" s="77">
        <f t="shared" si="10"/>
        <v>58.3333333333333</v>
      </c>
      <c r="X74" s="78">
        <f t="shared" si="11"/>
        <v>54.3096051043278</v>
      </c>
      <c r="Z74" s="69" t="s">
        <v>128</v>
      </c>
      <c r="AA74" s="68">
        <v>52.7432667549653</v>
      </c>
      <c r="AB74" s="68">
        <v>99</v>
      </c>
    </row>
    <row r="75" spans="1:28">
      <c r="A75" s="69" t="s">
        <v>157</v>
      </c>
      <c r="B75" s="69" t="s">
        <v>31</v>
      </c>
      <c r="C75" s="69" t="s">
        <v>31</v>
      </c>
      <c r="D75" s="70">
        <f t="shared" si="6"/>
        <v>60</v>
      </c>
      <c r="E75" s="71">
        <v>60.7612992001404</v>
      </c>
      <c r="F75" s="72" t="s">
        <v>34</v>
      </c>
      <c r="G75" s="72">
        <v>75</v>
      </c>
      <c r="H75" s="72">
        <v>75</v>
      </c>
      <c r="I75" s="72">
        <v>75</v>
      </c>
      <c r="J75" s="73">
        <f t="shared" si="7"/>
        <v>75</v>
      </c>
      <c r="K75" s="72">
        <v>0</v>
      </c>
      <c r="L75" s="72">
        <v>0</v>
      </c>
      <c r="M75" s="72" t="s">
        <v>34</v>
      </c>
      <c r="N75" s="72" t="s">
        <v>33</v>
      </c>
      <c r="O75" s="74">
        <f t="shared" si="8"/>
        <v>25</v>
      </c>
      <c r="P75" s="72">
        <v>51.6086804574871</v>
      </c>
      <c r="Q75" s="72">
        <v>37.7663918618064</v>
      </c>
      <c r="R75" s="75">
        <f t="shared" si="9"/>
        <v>44.6875361596467</v>
      </c>
      <c r="S75" s="76">
        <v>45.2545459185565</v>
      </c>
      <c r="T75" s="72">
        <v>75</v>
      </c>
      <c r="U75" s="72">
        <v>50</v>
      </c>
      <c r="V75" s="72">
        <v>50</v>
      </c>
      <c r="W75" s="77">
        <f t="shared" si="10"/>
        <v>58.3333333333333</v>
      </c>
      <c r="X75" s="78">
        <f t="shared" si="11"/>
        <v>52.869835690406</v>
      </c>
      <c r="Z75" s="69" t="s">
        <v>161</v>
      </c>
      <c r="AA75" s="68">
        <v>52.6305376186338</v>
      </c>
      <c r="AB75" s="68">
        <v>101</v>
      </c>
    </row>
    <row r="76" s="68" customFormat="1" spans="1:28">
      <c r="A76" s="69" t="s">
        <v>44</v>
      </c>
      <c r="B76" s="69">
        <v>80</v>
      </c>
      <c r="C76" s="69">
        <v>100</v>
      </c>
      <c r="D76" s="70">
        <f t="shared" si="6"/>
        <v>90</v>
      </c>
      <c r="E76" s="71">
        <f>D76*0.8283</f>
        <v>74.547</v>
      </c>
      <c r="F76" s="72" t="s">
        <v>34</v>
      </c>
      <c r="G76" s="72" t="s">
        <v>38</v>
      </c>
      <c r="H76" s="72" t="s">
        <v>38</v>
      </c>
      <c r="I76" s="72">
        <v>75</v>
      </c>
      <c r="J76" s="73">
        <f t="shared" si="7"/>
        <v>87.5</v>
      </c>
      <c r="K76" s="72" t="s">
        <v>33</v>
      </c>
      <c r="L76" s="72">
        <v>25</v>
      </c>
      <c r="M76" s="72" t="s">
        <v>34</v>
      </c>
      <c r="N76" s="72">
        <v>25</v>
      </c>
      <c r="O76" s="74">
        <f t="shared" si="8"/>
        <v>37.5</v>
      </c>
      <c r="P76" s="72">
        <v>13.7809556949172</v>
      </c>
      <c r="Q76" s="72">
        <v>85.6150678754432</v>
      </c>
      <c r="R76" s="75">
        <f t="shared" si="9"/>
        <v>49.6980117851802</v>
      </c>
      <c r="S76" s="76">
        <v>41.1644227435588</v>
      </c>
      <c r="T76" s="72">
        <v>100</v>
      </c>
      <c r="U76" s="72" t="s">
        <v>38</v>
      </c>
      <c r="V76" s="72" t="s">
        <v>33</v>
      </c>
      <c r="W76" s="77">
        <f t="shared" si="10"/>
        <v>75</v>
      </c>
      <c r="X76" s="78">
        <f t="shared" si="11"/>
        <v>63.1422845487118</v>
      </c>
      <c r="Z76" s="69" t="s">
        <v>141</v>
      </c>
      <c r="AA76" s="68">
        <v>52.5748435859133</v>
      </c>
      <c r="AB76" s="68">
        <v>102</v>
      </c>
    </row>
    <row r="77" spans="1:28">
      <c r="A77" s="69" t="s">
        <v>72</v>
      </c>
      <c r="B77" s="69" t="s">
        <v>45</v>
      </c>
      <c r="C77" s="69" t="s">
        <v>31</v>
      </c>
      <c r="D77" s="70">
        <f t="shared" si="6"/>
        <v>70</v>
      </c>
      <c r="E77" s="71">
        <v>68.3172327675617</v>
      </c>
      <c r="F77" s="72" t="s">
        <v>34</v>
      </c>
      <c r="G77" s="72">
        <v>75</v>
      </c>
      <c r="H77" s="72" t="s">
        <v>38</v>
      </c>
      <c r="I77" s="72">
        <v>75</v>
      </c>
      <c r="J77" s="73">
        <f t="shared" si="7"/>
        <v>81.25</v>
      </c>
      <c r="K77" s="72" t="s">
        <v>32</v>
      </c>
      <c r="L77" s="72">
        <v>0</v>
      </c>
      <c r="M77" s="72" t="s">
        <v>34</v>
      </c>
      <c r="N77" s="72" t="s">
        <v>33</v>
      </c>
      <c r="O77" s="74">
        <f t="shared" si="8"/>
        <v>37.5</v>
      </c>
      <c r="P77" s="72">
        <v>13.3815077037602</v>
      </c>
      <c r="Q77" s="72">
        <v>46.4522471208719</v>
      </c>
      <c r="R77" s="75">
        <f t="shared" si="9"/>
        <v>29.9168774123161</v>
      </c>
      <c r="S77" s="76">
        <v>29.1976896836543</v>
      </c>
      <c r="T77" s="72">
        <v>75</v>
      </c>
      <c r="U77" s="72">
        <v>75</v>
      </c>
      <c r="V77" s="72" t="s">
        <v>32</v>
      </c>
      <c r="W77" s="77">
        <f t="shared" si="10"/>
        <v>66.6666666666667</v>
      </c>
      <c r="X77" s="78">
        <f t="shared" si="11"/>
        <v>56.5863178235765</v>
      </c>
      <c r="Z77" s="69" t="s">
        <v>162</v>
      </c>
      <c r="AA77" s="68">
        <v>52.3949512830959</v>
      </c>
      <c r="AB77" s="68">
        <v>103</v>
      </c>
    </row>
    <row r="78" spans="1:28">
      <c r="A78" s="69" t="s">
        <v>163</v>
      </c>
      <c r="B78" s="69" t="s">
        <v>31</v>
      </c>
      <c r="C78" s="69" t="s">
        <v>41</v>
      </c>
      <c r="D78" s="70">
        <f t="shared" si="6"/>
        <v>50</v>
      </c>
      <c r="E78" s="71">
        <v>48.3796605900146</v>
      </c>
      <c r="F78" s="72" t="s">
        <v>34</v>
      </c>
      <c r="G78" s="72" t="s">
        <v>38</v>
      </c>
      <c r="H78" s="72" t="s">
        <v>38</v>
      </c>
      <c r="I78" s="72">
        <v>75</v>
      </c>
      <c r="J78" s="73">
        <f t="shared" si="7"/>
        <v>87.5</v>
      </c>
      <c r="K78" s="72">
        <v>0</v>
      </c>
      <c r="L78" s="72">
        <v>0</v>
      </c>
      <c r="M78" s="72" t="s">
        <v>32</v>
      </c>
      <c r="N78" s="72" t="s">
        <v>33</v>
      </c>
      <c r="O78" s="74">
        <f t="shared" si="8"/>
        <v>18.75</v>
      </c>
      <c r="P78" s="72">
        <v>13.1817837081817</v>
      </c>
      <c r="Q78" s="72">
        <v>48.2570562678637</v>
      </c>
      <c r="R78" s="75">
        <f t="shared" si="9"/>
        <v>30.7194199880227</v>
      </c>
      <c r="S78" s="76">
        <v>29.7239022508529</v>
      </c>
      <c r="T78" s="72">
        <v>75</v>
      </c>
      <c r="U78" s="72" t="s">
        <v>34</v>
      </c>
      <c r="V78" s="72" t="s">
        <v>33</v>
      </c>
      <c r="W78" s="77">
        <f t="shared" si="10"/>
        <v>58.3333333333333</v>
      </c>
      <c r="X78" s="78">
        <f t="shared" si="11"/>
        <v>48.5373792348402</v>
      </c>
      <c r="Z78" s="69" t="s">
        <v>130</v>
      </c>
      <c r="AA78" s="68">
        <v>52.2688901073306</v>
      </c>
      <c r="AB78" s="68">
        <v>104</v>
      </c>
    </row>
    <row r="79" spans="1:28">
      <c r="A79" s="69" t="s">
        <v>158</v>
      </c>
      <c r="B79" s="69" t="s">
        <v>41</v>
      </c>
      <c r="C79" s="69" t="s">
        <v>31</v>
      </c>
      <c r="D79" s="70">
        <f t="shared" si="6"/>
        <v>50</v>
      </c>
      <c r="E79" s="71">
        <v>54.9578364495145</v>
      </c>
      <c r="F79" s="72" t="s">
        <v>34</v>
      </c>
      <c r="G79" s="72" t="s">
        <v>38</v>
      </c>
      <c r="H79" s="72" t="s">
        <v>38</v>
      </c>
      <c r="I79" s="72">
        <v>75</v>
      </c>
      <c r="J79" s="73">
        <f t="shared" si="7"/>
        <v>87.5</v>
      </c>
      <c r="K79" s="72" t="s">
        <v>32</v>
      </c>
      <c r="L79" s="72">
        <v>0</v>
      </c>
      <c r="M79" s="72" t="s">
        <v>34</v>
      </c>
      <c r="N79" s="72">
        <v>0</v>
      </c>
      <c r="O79" s="74">
        <f t="shared" si="8"/>
        <v>31.25</v>
      </c>
      <c r="P79" s="72">
        <v>34.3525272395038</v>
      </c>
      <c r="Q79" s="72">
        <v>8.602344812967</v>
      </c>
      <c r="R79" s="75">
        <f t="shared" si="9"/>
        <v>21.4774360262354</v>
      </c>
      <c r="S79" s="76">
        <v>23.6070683296951</v>
      </c>
      <c r="T79" s="72">
        <v>75</v>
      </c>
      <c r="U79" s="72" t="s">
        <v>34</v>
      </c>
      <c r="V79" s="72" t="s">
        <v>32</v>
      </c>
      <c r="W79" s="77">
        <f t="shared" si="10"/>
        <v>66.6666666666667</v>
      </c>
      <c r="X79" s="78">
        <f t="shared" si="11"/>
        <v>52.7963142891753</v>
      </c>
      <c r="Z79" s="69" t="s">
        <v>164</v>
      </c>
      <c r="AA79" s="68">
        <v>52.2502631954143</v>
      </c>
      <c r="AB79" s="68">
        <v>105</v>
      </c>
    </row>
    <row r="80" spans="1:28">
      <c r="A80" s="69" t="s">
        <v>165</v>
      </c>
      <c r="B80" s="69" t="s">
        <v>45</v>
      </c>
      <c r="C80" s="69" t="s">
        <v>31</v>
      </c>
      <c r="D80" s="70">
        <f t="shared" si="6"/>
        <v>70</v>
      </c>
      <c r="E80" s="71">
        <v>68.9029451940603</v>
      </c>
      <c r="F80" s="72" t="s">
        <v>34</v>
      </c>
      <c r="G80" s="72" t="s">
        <v>34</v>
      </c>
      <c r="H80" s="72" t="s">
        <v>34</v>
      </c>
      <c r="I80" s="72" t="s">
        <v>34</v>
      </c>
      <c r="J80" s="73">
        <f t="shared" si="7"/>
        <v>75</v>
      </c>
      <c r="K80" s="72">
        <v>0</v>
      </c>
      <c r="L80" s="72">
        <v>0</v>
      </c>
      <c r="M80" s="72" t="s">
        <v>33</v>
      </c>
      <c r="N80" s="72">
        <v>0</v>
      </c>
      <c r="O80" s="74">
        <f t="shared" si="8"/>
        <v>6.25</v>
      </c>
      <c r="P80" s="72">
        <v>33.3539072616113</v>
      </c>
      <c r="Q80" s="72">
        <v>44.5853237257436</v>
      </c>
      <c r="R80" s="75">
        <f t="shared" si="9"/>
        <v>38.9696154936775</v>
      </c>
      <c r="S80" s="76">
        <v>38.3588754370637</v>
      </c>
      <c r="T80" s="72" t="s">
        <v>32</v>
      </c>
      <c r="U80" s="72">
        <v>0</v>
      </c>
      <c r="V80" s="72">
        <v>0</v>
      </c>
      <c r="W80" s="77">
        <f t="shared" si="10"/>
        <v>16.6666666666667</v>
      </c>
      <c r="X80" s="78">
        <f t="shared" si="11"/>
        <v>41.0356974595581</v>
      </c>
      <c r="Z80" s="69" t="s">
        <v>166</v>
      </c>
      <c r="AA80" s="68">
        <v>52.2153007818754</v>
      </c>
      <c r="AB80" s="68">
        <v>106</v>
      </c>
    </row>
    <row r="81" spans="1:28">
      <c r="A81" s="69" t="s">
        <v>167</v>
      </c>
      <c r="B81" s="69" t="s">
        <v>41</v>
      </c>
      <c r="C81" s="69" t="s">
        <v>31</v>
      </c>
      <c r="D81" s="70">
        <f t="shared" si="6"/>
        <v>50</v>
      </c>
      <c r="E81" s="71">
        <v>45.9856142251176</v>
      </c>
      <c r="F81" s="72" t="s">
        <v>32</v>
      </c>
      <c r="G81" s="72" t="s">
        <v>32</v>
      </c>
      <c r="H81" s="72" t="s">
        <v>38</v>
      </c>
      <c r="I81" s="72" t="s">
        <v>34</v>
      </c>
      <c r="J81" s="73">
        <f t="shared" si="7"/>
        <v>68.75</v>
      </c>
      <c r="K81" s="72" t="s">
        <v>33</v>
      </c>
      <c r="L81" s="72">
        <v>0</v>
      </c>
      <c r="M81" s="72">
        <v>0</v>
      </c>
      <c r="N81" s="72">
        <v>0</v>
      </c>
      <c r="O81" s="74">
        <f t="shared" si="8"/>
        <v>6.25</v>
      </c>
      <c r="P81" s="72">
        <v>45.1376230007434</v>
      </c>
      <c r="Q81" s="72">
        <v>57.4888409451941</v>
      </c>
      <c r="R81" s="75">
        <f t="shared" si="9"/>
        <v>51.3132319729688</v>
      </c>
      <c r="S81" s="76">
        <v>47.1934098030582</v>
      </c>
      <c r="T81" s="72" t="s">
        <v>34</v>
      </c>
      <c r="U81" s="72">
        <v>0</v>
      </c>
      <c r="V81" s="72" t="s">
        <v>33</v>
      </c>
      <c r="W81" s="77">
        <f t="shared" si="10"/>
        <v>33.3333333333333</v>
      </c>
      <c r="X81" s="78">
        <f t="shared" si="11"/>
        <v>40.3024714723018</v>
      </c>
      <c r="Z81" s="69" t="s">
        <v>168</v>
      </c>
      <c r="AA81" s="68">
        <v>52.1738652397789</v>
      </c>
      <c r="AB81" s="68">
        <v>107</v>
      </c>
    </row>
    <row r="82" spans="1:28">
      <c r="A82" s="69" t="s">
        <v>56</v>
      </c>
      <c r="B82" s="69" t="s">
        <v>31</v>
      </c>
      <c r="C82" s="69" t="s">
        <v>45</v>
      </c>
      <c r="D82" s="70">
        <f t="shared" si="6"/>
        <v>70</v>
      </c>
      <c r="E82" s="71">
        <v>57.9803796679926</v>
      </c>
      <c r="F82" s="72" t="s">
        <v>34</v>
      </c>
      <c r="G82" s="72">
        <v>75</v>
      </c>
      <c r="H82" s="72" t="s">
        <v>38</v>
      </c>
      <c r="I82" s="72">
        <v>75</v>
      </c>
      <c r="J82" s="73">
        <f t="shared" si="7"/>
        <v>81.25</v>
      </c>
      <c r="K82" s="72" t="s">
        <v>33</v>
      </c>
      <c r="L82" s="72">
        <v>0</v>
      </c>
      <c r="M82" s="72" t="s">
        <v>38</v>
      </c>
      <c r="N82" s="72" t="s">
        <v>33</v>
      </c>
      <c r="O82" s="74">
        <f t="shared" si="8"/>
        <v>37.5</v>
      </c>
      <c r="P82" s="72">
        <v>34.9516992262393</v>
      </c>
      <c r="Q82" s="72">
        <v>73.9491354315062</v>
      </c>
      <c r="R82" s="75">
        <f t="shared" si="9"/>
        <v>54.4504173288728</v>
      </c>
      <c r="S82" s="76">
        <v>45.1007981401241</v>
      </c>
      <c r="T82" s="72">
        <v>75</v>
      </c>
      <c r="U82" s="72">
        <v>75</v>
      </c>
      <c r="V82" s="72">
        <v>75</v>
      </c>
      <c r="W82" s="77">
        <f t="shared" si="10"/>
        <v>75</v>
      </c>
      <c r="X82" s="78">
        <f t="shared" si="11"/>
        <v>59.3662355616233</v>
      </c>
      <c r="Z82" s="69" t="s">
        <v>169</v>
      </c>
      <c r="AA82" s="68">
        <v>52.1491257306777</v>
      </c>
      <c r="AB82" s="68">
        <v>108</v>
      </c>
    </row>
    <row r="83" spans="1:28">
      <c r="A83" s="69" t="s">
        <v>113</v>
      </c>
      <c r="B83" s="69" t="s">
        <v>31</v>
      </c>
      <c r="C83" s="69" t="s">
        <v>31</v>
      </c>
      <c r="D83" s="70">
        <f t="shared" si="6"/>
        <v>60</v>
      </c>
      <c r="E83" s="71">
        <v>61.9491569477802</v>
      </c>
      <c r="F83" s="72" t="s">
        <v>34</v>
      </c>
      <c r="G83" s="72" t="s">
        <v>38</v>
      </c>
      <c r="H83" s="72" t="s">
        <v>38</v>
      </c>
      <c r="I83" s="72">
        <v>75</v>
      </c>
      <c r="J83" s="73">
        <f t="shared" si="7"/>
        <v>87.5</v>
      </c>
      <c r="K83" s="72" t="s">
        <v>33</v>
      </c>
      <c r="L83" s="72">
        <v>0</v>
      </c>
      <c r="M83" s="72" t="s">
        <v>34</v>
      </c>
      <c r="N83" s="72" t="s">
        <v>33</v>
      </c>
      <c r="O83" s="74">
        <f t="shared" si="8"/>
        <v>31.25</v>
      </c>
      <c r="P83" s="72">
        <v>17.7754356064874</v>
      </c>
      <c r="Q83" s="72">
        <v>32.5210596587777</v>
      </c>
      <c r="R83" s="75">
        <f t="shared" si="9"/>
        <v>25.1482476326326</v>
      </c>
      <c r="S83" s="76">
        <v>25.9652123259266</v>
      </c>
      <c r="T83" s="72">
        <v>75</v>
      </c>
      <c r="U83" s="72">
        <v>75</v>
      </c>
      <c r="V83" s="72" t="s">
        <v>32</v>
      </c>
      <c r="W83" s="77">
        <f t="shared" si="10"/>
        <v>66.6666666666667</v>
      </c>
      <c r="X83" s="78">
        <f t="shared" si="11"/>
        <v>54.6662071880747</v>
      </c>
      <c r="Z83" s="69" t="s">
        <v>170</v>
      </c>
      <c r="AA83" s="68">
        <v>52.1445497819264</v>
      </c>
      <c r="AB83" s="68">
        <v>36</v>
      </c>
    </row>
    <row r="84" spans="1:28">
      <c r="A84" s="69" t="s">
        <v>171</v>
      </c>
      <c r="B84" s="69" t="s">
        <v>37</v>
      </c>
      <c r="C84" s="69" t="s">
        <v>41</v>
      </c>
      <c r="D84" s="70">
        <f t="shared" si="6"/>
        <v>30</v>
      </c>
      <c r="E84" s="71">
        <v>29.1703687349092</v>
      </c>
      <c r="F84" s="72" t="s">
        <v>34</v>
      </c>
      <c r="G84" s="72" t="s">
        <v>34</v>
      </c>
      <c r="H84" s="72">
        <v>50</v>
      </c>
      <c r="I84" s="72">
        <v>75</v>
      </c>
      <c r="J84" s="73">
        <f t="shared" si="7"/>
        <v>68.75</v>
      </c>
      <c r="K84" s="72">
        <v>0</v>
      </c>
      <c r="L84" s="72">
        <v>0</v>
      </c>
      <c r="M84" s="72" t="s">
        <v>32</v>
      </c>
      <c r="N84" s="72" t="s">
        <v>33</v>
      </c>
      <c r="O84" s="74">
        <f t="shared" si="8"/>
        <v>18.75</v>
      </c>
      <c r="P84" s="72">
        <v>26.3635674163634</v>
      </c>
      <c r="Q84" s="72">
        <v>47.2394618204761</v>
      </c>
      <c r="R84" s="75">
        <f t="shared" si="9"/>
        <v>36.8015146184198</v>
      </c>
      <c r="S84" s="76">
        <v>35.7837917140819</v>
      </c>
      <c r="T84" s="72">
        <v>75</v>
      </c>
      <c r="U84" s="72">
        <v>50</v>
      </c>
      <c r="V84" s="72" t="s">
        <v>32</v>
      </c>
      <c r="W84" s="77">
        <f t="shared" si="10"/>
        <v>58.3333333333333</v>
      </c>
      <c r="X84" s="78">
        <f t="shared" si="11"/>
        <v>42.1574987564649</v>
      </c>
      <c r="Z84" s="69" t="s">
        <v>172</v>
      </c>
      <c r="AA84" s="68">
        <v>52.1282325177412</v>
      </c>
      <c r="AB84" s="68">
        <v>109</v>
      </c>
    </row>
    <row r="85" spans="1:28">
      <c r="A85" s="69" t="s">
        <v>173</v>
      </c>
      <c r="B85" s="69" t="s">
        <v>31</v>
      </c>
      <c r="C85" s="69" t="s">
        <v>45</v>
      </c>
      <c r="D85" s="70">
        <f t="shared" si="6"/>
        <v>70</v>
      </c>
      <c r="E85" s="71">
        <v>73.5570983506016</v>
      </c>
      <c r="F85" s="72" t="s">
        <v>34</v>
      </c>
      <c r="G85" s="72" t="s">
        <v>34</v>
      </c>
      <c r="H85" s="72" t="s">
        <v>38</v>
      </c>
      <c r="I85" s="72">
        <v>75</v>
      </c>
      <c r="J85" s="73">
        <f t="shared" si="7"/>
        <v>81.25</v>
      </c>
      <c r="K85" s="72">
        <v>0</v>
      </c>
      <c r="L85" s="72">
        <v>0</v>
      </c>
      <c r="M85" s="72" t="s">
        <v>34</v>
      </c>
      <c r="N85" s="72" t="s">
        <v>33</v>
      </c>
      <c r="O85" s="74">
        <f t="shared" si="8"/>
        <v>25</v>
      </c>
      <c r="P85" s="72">
        <v>18.374607593223</v>
      </c>
      <c r="Q85" s="72">
        <v>27.275727455749</v>
      </c>
      <c r="R85" s="75">
        <f t="shared" si="9"/>
        <v>22.825167524486</v>
      </c>
      <c r="S85" s="76">
        <v>23.9850441781082</v>
      </c>
      <c r="T85" s="72">
        <v>75</v>
      </c>
      <c r="U85" s="72" t="s">
        <v>32</v>
      </c>
      <c r="V85" s="72" t="s">
        <v>33</v>
      </c>
      <c r="W85" s="77">
        <f t="shared" si="10"/>
        <v>50</v>
      </c>
      <c r="X85" s="78">
        <f t="shared" si="11"/>
        <v>50.758428505742</v>
      </c>
      <c r="Z85" s="69" t="s">
        <v>174</v>
      </c>
      <c r="AA85" s="68">
        <v>51.9535381032687</v>
      </c>
      <c r="AB85" s="68">
        <v>110</v>
      </c>
    </row>
    <row r="86" spans="1:28">
      <c r="A86" s="69" t="s">
        <v>175</v>
      </c>
      <c r="B86" s="69">
        <v>0</v>
      </c>
      <c r="C86" s="69" t="s">
        <v>41</v>
      </c>
      <c r="D86" s="70">
        <f t="shared" si="6"/>
        <v>20</v>
      </c>
      <c r="E86" s="71">
        <v>20.7996324693608</v>
      </c>
      <c r="F86" s="72" t="s">
        <v>34</v>
      </c>
      <c r="G86" s="72" t="s">
        <v>34</v>
      </c>
      <c r="H86" s="72" t="s">
        <v>38</v>
      </c>
      <c r="I86" s="72">
        <v>75</v>
      </c>
      <c r="J86" s="73">
        <f t="shared" si="7"/>
        <v>81.25</v>
      </c>
      <c r="K86" s="72" t="s">
        <v>33</v>
      </c>
      <c r="L86" s="72">
        <v>0</v>
      </c>
      <c r="M86" s="72" t="s">
        <v>32</v>
      </c>
      <c r="N86" s="72" t="s">
        <v>33</v>
      </c>
      <c r="O86" s="74">
        <f t="shared" si="8"/>
        <v>25</v>
      </c>
      <c r="P86" s="72">
        <v>33.5536312571898</v>
      </c>
      <c r="Q86" s="72">
        <v>30.4229267775662</v>
      </c>
      <c r="R86" s="75">
        <f t="shared" si="9"/>
        <v>31.988279017378</v>
      </c>
      <c r="S86" s="76">
        <v>33.2672223444414</v>
      </c>
      <c r="T86" s="72">
        <v>75</v>
      </c>
      <c r="U86" s="72" t="s">
        <v>32</v>
      </c>
      <c r="V86" s="72" t="s">
        <v>32</v>
      </c>
      <c r="W86" s="77">
        <f t="shared" si="10"/>
        <v>58.3333333333333</v>
      </c>
      <c r="X86" s="78">
        <f t="shared" si="11"/>
        <v>43.7300376294271</v>
      </c>
      <c r="Z86" s="69" t="s">
        <v>176</v>
      </c>
      <c r="AA86" s="68">
        <v>51.9111505695374</v>
      </c>
      <c r="AB86" s="68">
        <v>18</v>
      </c>
    </row>
    <row r="87" spans="1:28">
      <c r="A87" s="69" t="s">
        <v>177</v>
      </c>
      <c r="B87" s="69" t="s">
        <v>41</v>
      </c>
      <c r="C87" s="69" t="s">
        <v>31</v>
      </c>
      <c r="D87" s="70">
        <f t="shared" si="6"/>
        <v>50</v>
      </c>
      <c r="E87" s="71">
        <v>50.151025540393</v>
      </c>
      <c r="F87" s="72" t="s">
        <v>32</v>
      </c>
      <c r="G87" s="72" t="s">
        <v>32</v>
      </c>
      <c r="H87" s="72" t="s">
        <v>38</v>
      </c>
      <c r="I87" s="72" t="s">
        <v>34</v>
      </c>
      <c r="J87" s="73">
        <f t="shared" si="7"/>
        <v>68.75</v>
      </c>
      <c r="K87" s="72" t="s">
        <v>33</v>
      </c>
      <c r="L87" s="72">
        <v>0</v>
      </c>
      <c r="M87" s="72">
        <v>0</v>
      </c>
      <c r="N87" s="72">
        <v>0</v>
      </c>
      <c r="O87" s="74">
        <f t="shared" si="8"/>
        <v>6.25</v>
      </c>
      <c r="P87" s="72">
        <v>51.6086804574871</v>
      </c>
      <c r="Q87" s="72">
        <v>40.1792446751995</v>
      </c>
      <c r="R87" s="75">
        <f t="shared" si="9"/>
        <v>45.8939625663433</v>
      </c>
      <c r="S87" s="76">
        <v>46.0325857762905</v>
      </c>
      <c r="T87" s="72" t="s">
        <v>32</v>
      </c>
      <c r="U87" s="72" t="s">
        <v>32</v>
      </c>
      <c r="V87" s="72" t="s">
        <v>33</v>
      </c>
      <c r="W87" s="77">
        <f t="shared" si="10"/>
        <v>41.6666666666667</v>
      </c>
      <c r="X87" s="78">
        <f t="shared" si="11"/>
        <v>42.57005559667</v>
      </c>
      <c r="Z87" s="69" t="s">
        <v>178</v>
      </c>
      <c r="AA87" s="68">
        <v>51.8384398504245</v>
      </c>
      <c r="AB87" s="68">
        <v>111</v>
      </c>
    </row>
    <row r="88" spans="1:28">
      <c r="A88" s="69" t="s">
        <v>179</v>
      </c>
      <c r="B88" s="69" t="s">
        <v>41</v>
      </c>
      <c r="C88" s="69" t="s">
        <v>41</v>
      </c>
      <c r="D88" s="70">
        <f t="shared" si="6"/>
        <v>40</v>
      </c>
      <c r="E88" s="71">
        <v>33.1316455245672</v>
      </c>
      <c r="F88" s="72" t="s">
        <v>34</v>
      </c>
      <c r="G88" s="72" t="s">
        <v>32</v>
      </c>
      <c r="H88" s="72" t="s">
        <v>38</v>
      </c>
      <c r="I88" s="72">
        <v>75</v>
      </c>
      <c r="J88" s="73">
        <f t="shared" si="7"/>
        <v>75</v>
      </c>
      <c r="K88" s="72">
        <v>0</v>
      </c>
      <c r="L88" s="72">
        <v>0</v>
      </c>
      <c r="M88" s="72" t="s">
        <v>32</v>
      </c>
      <c r="N88" s="72">
        <v>0</v>
      </c>
      <c r="O88" s="74">
        <f t="shared" si="8"/>
        <v>12.5</v>
      </c>
      <c r="P88" s="72">
        <v>74.2973263552059</v>
      </c>
      <c r="Q88" s="72">
        <v>72.3855844017955</v>
      </c>
      <c r="R88" s="75">
        <f t="shared" si="9"/>
        <v>73.3414553785007</v>
      </c>
      <c r="S88" s="76">
        <v>60.7480775464087</v>
      </c>
      <c r="T88" s="72">
        <v>75</v>
      </c>
      <c r="U88" s="72" t="s">
        <v>33</v>
      </c>
      <c r="V88" s="72" t="s">
        <v>33</v>
      </c>
      <c r="W88" s="77">
        <f t="shared" si="10"/>
        <v>41.6666666666667</v>
      </c>
      <c r="X88" s="78">
        <f t="shared" si="11"/>
        <v>44.6092779475285</v>
      </c>
      <c r="Z88" s="69" t="s">
        <v>100</v>
      </c>
      <c r="AA88" s="68">
        <v>51.775568379411</v>
      </c>
      <c r="AB88" s="68">
        <v>112</v>
      </c>
    </row>
    <row r="89" spans="1:28">
      <c r="A89" s="69" t="s">
        <v>108</v>
      </c>
      <c r="B89" s="69" t="s">
        <v>41</v>
      </c>
      <c r="C89" s="69" t="s">
        <v>31</v>
      </c>
      <c r="D89" s="70">
        <f t="shared" si="6"/>
        <v>50</v>
      </c>
      <c r="E89" s="71">
        <v>49.5583535944546</v>
      </c>
      <c r="F89" s="72" t="s">
        <v>34</v>
      </c>
      <c r="G89" s="72">
        <v>75</v>
      </c>
      <c r="H89" s="72">
        <v>75</v>
      </c>
      <c r="I89" s="72">
        <v>75</v>
      </c>
      <c r="J89" s="73">
        <f t="shared" si="7"/>
        <v>75</v>
      </c>
      <c r="K89" s="72" t="s">
        <v>32</v>
      </c>
      <c r="L89" s="72" t="s">
        <v>33</v>
      </c>
      <c r="M89" s="72" t="s">
        <v>34</v>
      </c>
      <c r="N89" s="72" t="s">
        <v>33</v>
      </c>
      <c r="O89" s="74">
        <f t="shared" si="8"/>
        <v>43.75</v>
      </c>
      <c r="P89" s="72">
        <v>70.3028464436357</v>
      </c>
      <c r="Q89" s="72">
        <v>43.011724064835</v>
      </c>
      <c r="R89" s="75">
        <f t="shared" si="9"/>
        <v>56.6572852542353</v>
      </c>
      <c r="S89" s="76">
        <v>56.1568355266254</v>
      </c>
      <c r="T89" s="72">
        <v>75</v>
      </c>
      <c r="U89" s="72">
        <v>50</v>
      </c>
      <c r="V89" s="72" t="s">
        <v>33</v>
      </c>
      <c r="W89" s="77">
        <f t="shared" si="10"/>
        <v>50</v>
      </c>
      <c r="X89" s="78">
        <f t="shared" si="11"/>
        <v>54.893037824216</v>
      </c>
      <c r="Z89" s="69" t="s">
        <v>180</v>
      </c>
      <c r="AA89" s="68">
        <v>51.6522737191086</v>
      </c>
      <c r="AB89" s="68">
        <v>69</v>
      </c>
    </row>
    <row r="90" spans="1:28">
      <c r="A90" s="69" t="s">
        <v>181</v>
      </c>
      <c r="B90" s="69" t="s">
        <v>45</v>
      </c>
      <c r="C90" s="69" t="s">
        <v>31</v>
      </c>
      <c r="D90" s="70">
        <f t="shared" si="6"/>
        <v>70</v>
      </c>
      <c r="E90" s="71">
        <v>70.7723713820872</v>
      </c>
      <c r="F90" s="72" t="s">
        <v>32</v>
      </c>
      <c r="G90" s="72" t="s">
        <v>33</v>
      </c>
      <c r="H90" s="72" t="s">
        <v>32</v>
      </c>
      <c r="I90" s="72" t="s">
        <v>32</v>
      </c>
      <c r="J90" s="73">
        <f t="shared" si="7"/>
        <v>43.75</v>
      </c>
      <c r="K90" s="72">
        <v>0</v>
      </c>
      <c r="L90" s="72">
        <v>0</v>
      </c>
      <c r="M90" s="72">
        <v>0</v>
      </c>
      <c r="N90" s="72" t="s">
        <v>33</v>
      </c>
      <c r="O90" s="74">
        <f t="shared" si="8"/>
        <v>6.25</v>
      </c>
      <c r="P90" s="72">
        <v>30.9572193146691</v>
      </c>
      <c r="Q90" s="72">
        <v>38.1860184380486</v>
      </c>
      <c r="R90" s="75">
        <f t="shared" si="9"/>
        <v>34.5716188763588</v>
      </c>
      <c r="S90" s="76">
        <v>34.9530778628235</v>
      </c>
      <c r="T90" s="72" t="s">
        <v>34</v>
      </c>
      <c r="U90" s="72">
        <v>0</v>
      </c>
      <c r="V90" s="72">
        <v>0</v>
      </c>
      <c r="W90" s="77">
        <f t="shared" si="10"/>
        <v>25</v>
      </c>
      <c r="X90" s="78">
        <f t="shared" si="11"/>
        <v>36.1450898489821</v>
      </c>
      <c r="Z90" s="69" t="s">
        <v>90</v>
      </c>
      <c r="AA90" s="68">
        <v>51.6464733287976</v>
      </c>
      <c r="AB90" s="68">
        <v>30</v>
      </c>
    </row>
    <row r="91" spans="1:28">
      <c r="A91" s="69" t="s">
        <v>182</v>
      </c>
      <c r="B91" s="69" t="s">
        <v>31</v>
      </c>
      <c r="C91" s="69" t="s">
        <v>31</v>
      </c>
      <c r="D91" s="70">
        <f t="shared" si="6"/>
        <v>60</v>
      </c>
      <c r="E91" s="71">
        <v>65.9128053764142</v>
      </c>
      <c r="F91" s="72" t="s">
        <v>32</v>
      </c>
      <c r="G91" s="72" t="s">
        <v>32</v>
      </c>
      <c r="H91" s="72" t="s">
        <v>38</v>
      </c>
      <c r="I91" s="72" t="s">
        <v>34</v>
      </c>
      <c r="J91" s="73">
        <f t="shared" si="7"/>
        <v>68.75</v>
      </c>
      <c r="K91" s="72">
        <v>0</v>
      </c>
      <c r="L91" s="72">
        <v>0</v>
      </c>
      <c r="M91" s="72" t="s">
        <v>32</v>
      </c>
      <c r="N91" s="72">
        <v>0</v>
      </c>
      <c r="O91" s="74">
        <f t="shared" si="8"/>
        <v>12.5</v>
      </c>
      <c r="P91" s="72">
        <v>26.3635674163634</v>
      </c>
      <c r="Q91" s="72">
        <v>11.6446374907236</v>
      </c>
      <c r="R91" s="75">
        <f t="shared" si="9"/>
        <v>19.0041024535435</v>
      </c>
      <c r="S91" s="76">
        <v>20.8768951062308</v>
      </c>
      <c r="T91" s="72">
        <v>75</v>
      </c>
      <c r="U91" s="72">
        <v>75</v>
      </c>
      <c r="V91" s="72" t="s">
        <v>33</v>
      </c>
      <c r="W91" s="77">
        <f t="shared" si="10"/>
        <v>58.3333333333333</v>
      </c>
      <c r="X91" s="78">
        <f t="shared" si="11"/>
        <v>45.2746067631957</v>
      </c>
      <c r="Z91" s="69" t="s">
        <v>183</v>
      </c>
      <c r="AA91" s="68">
        <v>51.6142075496783</v>
      </c>
      <c r="AB91" s="68">
        <v>19</v>
      </c>
    </row>
    <row r="92" spans="1:28">
      <c r="A92" s="69" t="s">
        <v>184</v>
      </c>
      <c r="B92" s="69" t="s">
        <v>41</v>
      </c>
      <c r="C92" s="69" t="s">
        <v>41</v>
      </c>
      <c r="D92" s="70">
        <f t="shared" si="6"/>
        <v>40</v>
      </c>
      <c r="E92" s="71">
        <v>42.0043199330896</v>
      </c>
      <c r="F92" s="72" t="s">
        <v>34</v>
      </c>
      <c r="G92" s="72" t="s">
        <v>38</v>
      </c>
      <c r="H92" s="72" t="s">
        <v>38</v>
      </c>
      <c r="I92" s="72">
        <v>75</v>
      </c>
      <c r="J92" s="73">
        <f t="shared" si="7"/>
        <v>87.5</v>
      </c>
      <c r="K92" s="72">
        <v>0</v>
      </c>
      <c r="L92" s="72">
        <v>0</v>
      </c>
      <c r="M92" s="72" t="s">
        <v>34</v>
      </c>
      <c r="N92" s="72" t="s">
        <v>33</v>
      </c>
      <c r="O92" s="74">
        <f t="shared" si="8"/>
        <v>25</v>
      </c>
      <c r="P92" s="72">
        <v>17.7754356064874</v>
      </c>
      <c r="Q92" s="72">
        <v>27.4855407438702</v>
      </c>
      <c r="R92" s="75">
        <f t="shared" si="9"/>
        <v>22.6304881751788</v>
      </c>
      <c r="S92" s="76">
        <v>23.7644566388053</v>
      </c>
      <c r="T92" s="72">
        <v>75</v>
      </c>
      <c r="U92" s="72" t="s">
        <v>34</v>
      </c>
      <c r="V92" s="72" t="s">
        <v>34</v>
      </c>
      <c r="W92" s="77">
        <f t="shared" si="10"/>
        <v>75</v>
      </c>
      <c r="X92" s="78">
        <f t="shared" si="11"/>
        <v>50.653755314379</v>
      </c>
      <c r="Z92" s="69" t="s">
        <v>185</v>
      </c>
      <c r="AA92" s="68">
        <v>51.6117630248086</v>
      </c>
      <c r="AB92" s="68">
        <v>20</v>
      </c>
    </row>
    <row r="93" spans="1:28">
      <c r="A93" s="69" t="s">
        <v>185</v>
      </c>
      <c r="B93" s="69" t="s">
        <v>45</v>
      </c>
      <c r="C93" s="69" t="s">
        <v>31</v>
      </c>
      <c r="D93" s="70">
        <f t="shared" si="6"/>
        <v>70</v>
      </c>
      <c r="E93" s="71">
        <v>71.815170247464</v>
      </c>
      <c r="F93" s="72" t="s">
        <v>32</v>
      </c>
      <c r="G93" s="72">
        <v>75</v>
      </c>
      <c r="H93" s="72">
        <v>75</v>
      </c>
      <c r="I93" s="72">
        <v>75</v>
      </c>
      <c r="J93" s="73">
        <f t="shared" si="7"/>
        <v>68.75</v>
      </c>
      <c r="K93" s="72" t="s">
        <v>32</v>
      </c>
      <c r="L93" s="72">
        <v>0</v>
      </c>
      <c r="M93" s="72" t="s">
        <v>34</v>
      </c>
      <c r="N93" s="72" t="s">
        <v>33</v>
      </c>
      <c r="O93" s="74">
        <f t="shared" si="8"/>
        <v>37.5</v>
      </c>
      <c r="P93" s="72">
        <v>24.1666034649998</v>
      </c>
      <c r="Q93" s="72">
        <v>34.3044726078074</v>
      </c>
      <c r="R93" s="75">
        <f t="shared" si="9"/>
        <v>29.2355380364036</v>
      </c>
      <c r="S93" s="76">
        <v>29.9936448765791</v>
      </c>
      <c r="T93" s="72">
        <v>75</v>
      </c>
      <c r="U93" s="72">
        <v>50</v>
      </c>
      <c r="V93" s="72">
        <v>25</v>
      </c>
      <c r="W93" s="77">
        <f t="shared" si="10"/>
        <v>50</v>
      </c>
      <c r="X93" s="78">
        <f t="shared" si="11"/>
        <v>51.6117630248086</v>
      </c>
      <c r="Z93" s="69" t="s">
        <v>186</v>
      </c>
      <c r="AA93" s="68">
        <v>51.6080142362218</v>
      </c>
      <c r="AB93" s="68">
        <v>113</v>
      </c>
    </row>
    <row r="94" spans="1:28">
      <c r="A94" s="69" t="s">
        <v>135</v>
      </c>
      <c r="B94" s="69" t="s">
        <v>41</v>
      </c>
      <c r="C94" s="69" t="s">
        <v>31</v>
      </c>
      <c r="D94" s="70">
        <f t="shared" si="6"/>
        <v>50</v>
      </c>
      <c r="E94" s="71">
        <v>44.3170783300191</v>
      </c>
      <c r="F94" s="72" t="s">
        <v>34</v>
      </c>
      <c r="G94" s="72" t="s">
        <v>38</v>
      </c>
      <c r="H94" s="72" t="s">
        <v>38</v>
      </c>
      <c r="I94" s="72">
        <v>75</v>
      </c>
      <c r="J94" s="73">
        <f t="shared" si="7"/>
        <v>87.5</v>
      </c>
      <c r="K94" s="72" t="s">
        <v>33</v>
      </c>
      <c r="L94" s="72">
        <v>0</v>
      </c>
      <c r="M94" s="72" t="s">
        <v>32</v>
      </c>
      <c r="N94" s="72" t="s">
        <v>33</v>
      </c>
      <c r="O94" s="74">
        <f t="shared" si="8"/>
        <v>25</v>
      </c>
      <c r="P94" s="72">
        <v>20.3718475490081</v>
      </c>
      <c r="Q94" s="72">
        <v>62.9439864363439</v>
      </c>
      <c r="R94" s="75">
        <f t="shared" si="9"/>
        <v>41.657916992676</v>
      </c>
      <c r="S94" s="76">
        <v>36.9231434085971</v>
      </c>
      <c r="T94" s="72">
        <v>75</v>
      </c>
      <c r="U94" s="72">
        <v>75</v>
      </c>
      <c r="V94" s="72" t="s">
        <v>34</v>
      </c>
      <c r="W94" s="77">
        <f t="shared" si="10"/>
        <v>75</v>
      </c>
      <c r="X94" s="78">
        <f t="shared" si="11"/>
        <v>53.7480443477233</v>
      </c>
      <c r="Z94" s="69" t="s">
        <v>75</v>
      </c>
      <c r="AA94" s="68">
        <v>51.5999761904956</v>
      </c>
      <c r="AB94" s="68">
        <v>15</v>
      </c>
    </row>
    <row r="95" spans="1:28">
      <c r="A95" s="69" t="s">
        <v>187</v>
      </c>
      <c r="B95" s="69" t="s">
        <v>41</v>
      </c>
      <c r="C95" s="69" t="s">
        <v>41</v>
      </c>
      <c r="D95" s="70">
        <f t="shared" si="6"/>
        <v>40</v>
      </c>
      <c r="E95" s="71">
        <v>40.6622315664584</v>
      </c>
      <c r="F95" s="72" t="s">
        <v>32</v>
      </c>
      <c r="G95" s="72" t="s">
        <v>32</v>
      </c>
      <c r="H95" s="72" t="s">
        <v>38</v>
      </c>
      <c r="I95" s="72" t="s">
        <v>34</v>
      </c>
      <c r="J95" s="73">
        <f t="shared" si="7"/>
        <v>68.75</v>
      </c>
      <c r="K95" s="72">
        <v>0</v>
      </c>
      <c r="L95" s="72">
        <v>0</v>
      </c>
      <c r="M95" s="72">
        <v>0</v>
      </c>
      <c r="N95" s="72">
        <v>0</v>
      </c>
      <c r="O95" s="74">
        <f t="shared" si="8"/>
        <v>0</v>
      </c>
      <c r="P95" s="72">
        <v>79.2904262446687</v>
      </c>
      <c r="Q95" s="72">
        <v>36.7744424916099</v>
      </c>
      <c r="R95" s="75">
        <f t="shared" si="9"/>
        <v>58.0324343681393</v>
      </c>
      <c r="S95" s="76">
        <v>58.9932071160645</v>
      </c>
      <c r="T95" s="72" t="s">
        <v>32</v>
      </c>
      <c r="U95" s="72" t="s">
        <v>33</v>
      </c>
      <c r="V95" s="72" t="s">
        <v>33</v>
      </c>
      <c r="W95" s="77">
        <f t="shared" si="10"/>
        <v>33.3333333333333</v>
      </c>
      <c r="X95" s="78">
        <f t="shared" si="11"/>
        <v>40.3477544031713</v>
      </c>
      <c r="Z95" s="69" t="s">
        <v>188</v>
      </c>
      <c r="AA95" s="68">
        <v>51.5982109920638</v>
      </c>
      <c r="AB95" s="68">
        <v>114</v>
      </c>
    </row>
    <row r="96" spans="1:28">
      <c r="A96" s="69" t="s">
        <v>168</v>
      </c>
      <c r="B96" s="69" t="s">
        <v>37</v>
      </c>
      <c r="C96" s="69" t="s">
        <v>31</v>
      </c>
      <c r="D96" s="70">
        <f t="shared" si="6"/>
        <v>40</v>
      </c>
      <c r="E96" s="71">
        <v>38.3614968736902</v>
      </c>
      <c r="F96" s="72" t="s">
        <v>34</v>
      </c>
      <c r="G96" s="72" t="s">
        <v>38</v>
      </c>
      <c r="H96" s="72" t="s">
        <v>38</v>
      </c>
      <c r="I96" s="72">
        <v>75</v>
      </c>
      <c r="J96" s="73">
        <f t="shared" si="7"/>
        <v>87.5</v>
      </c>
      <c r="K96" s="72" t="s">
        <v>33</v>
      </c>
      <c r="L96" s="72">
        <v>0</v>
      </c>
      <c r="M96" s="72" t="s">
        <v>34</v>
      </c>
      <c r="N96" s="72">
        <v>0</v>
      </c>
      <c r="O96" s="74">
        <f t="shared" si="8"/>
        <v>25</v>
      </c>
      <c r="P96" s="72">
        <v>40.3442471068591</v>
      </c>
      <c r="Q96" s="72">
        <v>50.0404692168934</v>
      </c>
      <c r="R96" s="75">
        <f t="shared" si="9"/>
        <v>45.1923581618762</v>
      </c>
      <c r="S96" s="76">
        <v>43.3411626585376</v>
      </c>
      <c r="T96" s="72">
        <v>75</v>
      </c>
      <c r="U96" s="72" t="s">
        <v>38</v>
      </c>
      <c r="V96" s="72" t="s">
        <v>33</v>
      </c>
      <c r="W96" s="77">
        <f t="shared" si="10"/>
        <v>66.6666666666667</v>
      </c>
      <c r="X96" s="78">
        <f t="shared" si="11"/>
        <v>52.1738652397789</v>
      </c>
      <c r="Z96" s="69" t="s">
        <v>189</v>
      </c>
      <c r="AA96" s="68">
        <v>51.5819570982758</v>
      </c>
      <c r="AB96" s="68">
        <v>44</v>
      </c>
    </row>
    <row r="97" spans="1:28">
      <c r="A97" s="69" t="s">
        <v>190</v>
      </c>
      <c r="B97" s="69" t="s">
        <v>37</v>
      </c>
      <c r="C97" s="69" t="s">
        <v>37</v>
      </c>
      <c r="D97" s="70">
        <f t="shared" si="6"/>
        <v>20</v>
      </c>
      <c r="E97" s="71">
        <v>19.2821201496118</v>
      </c>
      <c r="F97" s="72" t="s">
        <v>34</v>
      </c>
      <c r="G97" s="72" t="s">
        <v>38</v>
      </c>
      <c r="H97" s="72" t="s">
        <v>38</v>
      </c>
      <c r="I97" s="72" t="s">
        <v>34</v>
      </c>
      <c r="J97" s="73">
        <f t="shared" si="7"/>
        <v>87.5</v>
      </c>
      <c r="K97" s="72">
        <v>0</v>
      </c>
      <c r="L97" s="72">
        <v>0</v>
      </c>
      <c r="M97" s="72" t="s">
        <v>32</v>
      </c>
      <c r="N97" s="72" t="s">
        <v>33</v>
      </c>
      <c r="O97" s="74">
        <f t="shared" si="8"/>
        <v>18.75</v>
      </c>
      <c r="P97" s="72">
        <v>50.3304468857847</v>
      </c>
      <c r="Q97" s="72">
        <v>48.9914027762877</v>
      </c>
      <c r="R97" s="75">
        <f t="shared" si="9"/>
        <v>49.6609248310362</v>
      </c>
      <c r="S97" s="76">
        <v>47.8783959666441</v>
      </c>
      <c r="T97" s="72">
        <v>75</v>
      </c>
      <c r="U97" s="72" t="s">
        <v>34</v>
      </c>
      <c r="V97" s="72" t="s">
        <v>33</v>
      </c>
      <c r="W97" s="77">
        <f t="shared" si="10"/>
        <v>58.3333333333333</v>
      </c>
      <c r="X97" s="78">
        <f t="shared" si="11"/>
        <v>46.3487698899178</v>
      </c>
      <c r="Z97" s="69" t="s">
        <v>191</v>
      </c>
      <c r="AA97" s="68">
        <v>51.552054666846</v>
      </c>
      <c r="AB97" s="68">
        <v>115</v>
      </c>
    </row>
    <row r="98" spans="1:28">
      <c r="A98" s="69" t="s">
        <v>192</v>
      </c>
      <c r="B98" s="69" t="s">
        <v>31</v>
      </c>
      <c r="C98" s="69" t="s">
        <v>31</v>
      </c>
      <c r="D98" s="70">
        <f t="shared" si="6"/>
        <v>60</v>
      </c>
      <c r="E98" s="71">
        <v>49.6974682868508</v>
      </c>
      <c r="F98" s="72" t="s">
        <v>32</v>
      </c>
      <c r="G98" s="72">
        <v>50</v>
      </c>
      <c r="H98" s="72">
        <v>50</v>
      </c>
      <c r="I98" s="72">
        <v>50</v>
      </c>
      <c r="J98" s="73">
        <f t="shared" si="7"/>
        <v>50</v>
      </c>
      <c r="K98" s="72">
        <v>0</v>
      </c>
      <c r="L98" s="72">
        <v>0</v>
      </c>
      <c r="M98" s="72" t="s">
        <v>34</v>
      </c>
      <c r="N98" s="72">
        <v>0</v>
      </c>
      <c r="O98" s="74">
        <f t="shared" si="8"/>
        <v>18.75</v>
      </c>
      <c r="P98" s="72">
        <v>74.2973263552059</v>
      </c>
      <c r="Q98" s="72">
        <v>72.3855844017955</v>
      </c>
      <c r="R98" s="75">
        <f t="shared" si="9"/>
        <v>73.3414553785007</v>
      </c>
      <c r="S98" s="76">
        <v>60.7480775464087</v>
      </c>
      <c r="T98" s="72">
        <v>75</v>
      </c>
      <c r="U98" s="72">
        <v>50</v>
      </c>
      <c r="V98" s="72">
        <v>50</v>
      </c>
      <c r="W98" s="77">
        <f t="shared" si="10"/>
        <v>58.3333333333333</v>
      </c>
      <c r="X98" s="78">
        <f t="shared" si="11"/>
        <v>47.5057758333186</v>
      </c>
      <c r="Z98" s="69" t="s">
        <v>193</v>
      </c>
      <c r="AA98" s="68">
        <v>51.5322196543399</v>
      </c>
      <c r="AB98" s="68">
        <v>46</v>
      </c>
    </row>
    <row r="99" spans="1:28">
      <c r="A99" s="69" t="s">
        <v>194</v>
      </c>
      <c r="B99" s="69" t="s">
        <v>41</v>
      </c>
      <c r="C99" s="69" t="s">
        <v>45</v>
      </c>
      <c r="D99" s="70">
        <f t="shared" si="6"/>
        <v>60</v>
      </c>
      <c r="E99" s="71">
        <v>64.84391439666</v>
      </c>
      <c r="F99" s="72" t="s">
        <v>34</v>
      </c>
      <c r="G99" s="72">
        <v>50</v>
      </c>
      <c r="H99" s="72">
        <v>50</v>
      </c>
      <c r="I99" s="72">
        <v>50</v>
      </c>
      <c r="J99" s="73">
        <f t="shared" si="7"/>
        <v>56.25</v>
      </c>
      <c r="K99" s="72" t="s">
        <v>32</v>
      </c>
      <c r="L99" s="72">
        <v>0</v>
      </c>
      <c r="M99" s="72" t="s">
        <v>32</v>
      </c>
      <c r="N99" s="72" t="s">
        <v>33</v>
      </c>
      <c r="O99" s="74">
        <f t="shared" si="8"/>
        <v>31.25</v>
      </c>
      <c r="P99" s="72">
        <v>20.7712955401651</v>
      </c>
      <c r="Q99" s="72">
        <v>17.8341294902974</v>
      </c>
      <c r="R99" s="75">
        <f t="shared" si="9"/>
        <v>19.3027125152312</v>
      </c>
      <c r="S99" s="76">
        <v>20.8610572993499</v>
      </c>
      <c r="T99" s="72">
        <v>75</v>
      </c>
      <c r="U99" s="72">
        <v>25</v>
      </c>
      <c r="V99" s="72">
        <v>25</v>
      </c>
      <c r="W99" s="77">
        <f t="shared" si="10"/>
        <v>41.6666666666667</v>
      </c>
      <c r="X99" s="78">
        <f t="shared" si="11"/>
        <v>42.9743276725353</v>
      </c>
      <c r="Z99" s="69" t="s">
        <v>195</v>
      </c>
      <c r="AA99" s="68">
        <v>51.486025767942</v>
      </c>
      <c r="AB99" s="68">
        <v>116</v>
      </c>
    </row>
    <row r="100" s="68" customFormat="1" spans="1:28">
      <c r="A100" s="69" t="s">
        <v>196</v>
      </c>
      <c r="B100" s="69">
        <v>40</v>
      </c>
      <c r="C100" s="69">
        <v>60</v>
      </c>
      <c r="D100" s="70">
        <f t="shared" si="6"/>
        <v>50</v>
      </c>
      <c r="E100" s="71">
        <f>D100*0.8738</f>
        <v>43.69</v>
      </c>
      <c r="F100" s="72">
        <v>0</v>
      </c>
      <c r="G100" s="72">
        <v>0</v>
      </c>
      <c r="H100" s="72">
        <v>0</v>
      </c>
      <c r="I100" s="72">
        <v>0</v>
      </c>
      <c r="J100" s="73">
        <v>0</v>
      </c>
      <c r="K100" s="72">
        <v>0</v>
      </c>
      <c r="L100" s="72">
        <v>0</v>
      </c>
      <c r="M100" s="72">
        <v>0</v>
      </c>
      <c r="N100" s="72">
        <v>0</v>
      </c>
      <c r="O100" s="74">
        <v>0</v>
      </c>
      <c r="P100" s="72">
        <v>98.2642058246272</v>
      </c>
      <c r="Q100" s="72">
        <v>64.8008340362161</v>
      </c>
      <c r="R100" s="75">
        <f t="shared" si="9"/>
        <v>81.5325199304216</v>
      </c>
      <c r="S100" s="76">
        <f>R100*0.8738</f>
        <v>71.2431159152024</v>
      </c>
      <c r="T100" s="72">
        <v>0</v>
      </c>
      <c r="U100" s="72">
        <v>0</v>
      </c>
      <c r="V100" s="72">
        <v>0</v>
      </c>
      <c r="W100" s="77">
        <v>0</v>
      </c>
      <c r="X100" s="78">
        <f t="shared" si="11"/>
        <v>22.9866231830405</v>
      </c>
      <c r="Z100" s="69" t="s">
        <v>197</v>
      </c>
      <c r="AA100" s="68">
        <v>51.4835166276768</v>
      </c>
      <c r="AB100" s="68">
        <v>117</v>
      </c>
    </row>
    <row r="101" spans="1:28">
      <c r="A101" s="69" t="s">
        <v>198</v>
      </c>
      <c r="B101" s="69" t="s">
        <v>31</v>
      </c>
      <c r="C101" s="69" t="s">
        <v>31</v>
      </c>
      <c r="D101" s="70">
        <f t="shared" si="6"/>
        <v>60</v>
      </c>
      <c r="E101" s="71">
        <v>58.3785397617115</v>
      </c>
      <c r="F101" s="72">
        <v>50</v>
      </c>
      <c r="G101" s="72" t="s">
        <v>33</v>
      </c>
      <c r="H101" s="72" t="s">
        <v>38</v>
      </c>
      <c r="I101" s="72" t="s">
        <v>34</v>
      </c>
      <c r="J101" s="73">
        <f t="shared" si="7"/>
        <v>62.5</v>
      </c>
      <c r="K101" s="72">
        <v>25</v>
      </c>
      <c r="L101" s="72">
        <v>0</v>
      </c>
      <c r="M101" s="72">
        <v>0</v>
      </c>
      <c r="N101" s="72">
        <v>0</v>
      </c>
      <c r="O101" s="74">
        <f t="shared" si="8"/>
        <v>6.25</v>
      </c>
      <c r="P101" s="72">
        <v>20.3718475490081</v>
      </c>
      <c r="Q101" s="72">
        <v>47.1030831831974</v>
      </c>
      <c r="R101" s="75">
        <f t="shared" si="9"/>
        <v>33.7374653661027</v>
      </c>
      <c r="S101" s="76">
        <v>32.8257327222399</v>
      </c>
      <c r="T101" s="72" t="s">
        <v>33</v>
      </c>
      <c r="U101" s="72">
        <v>0</v>
      </c>
      <c r="V101" s="72" t="s">
        <v>33</v>
      </c>
      <c r="W101" s="77">
        <f t="shared" si="10"/>
        <v>16.6666666666667</v>
      </c>
      <c r="X101" s="78">
        <f t="shared" si="11"/>
        <v>35.3241878301236</v>
      </c>
      <c r="Z101" s="69" t="s">
        <v>199</v>
      </c>
      <c r="AA101" s="68">
        <v>51.4653255757581</v>
      </c>
      <c r="AB101" s="68">
        <v>33</v>
      </c>
    </row>
    <row r="102" spans="1:28">
      <c r="A102" s="69" t="s">
        <v>200</v>
      </c>
      <c r="B102" s="69" t="s">
        <v>31</v>
      </c>
      <c r="C102" s="69" t="s">
        <v>31</v>
      </c>
      <c r="D102" s="70">
        <f t="shared" si="6"/>
        <v>60</v>
      </c>
      <c r="E102" s="71">
        <v>59.7374243299658</v>
      </c>
      <c r="F102" s="72" t="s">
        <v>34</v>
      </c>
      <c r="G102" s="72" t="s">
        <v>34</v>
      </c>
      <c r="H102" s="72" t="s">
        <v>38</v>
      </c>
      <c r="I102" s="72" t="s">
        <v>34</v>
      </c>
      <c r="J102" s="73">
        <f t="shared" si="7"/>
        <v>81.25</v>
      </c>
      <c r="K102" s="72" t="s">
        <v>33</v>
      </c>
      <c r="L102" s="72">
        <v>0</v>
      </c>
      <c r="M102" s="72" t="s">
        <v>34</v>
      </c>
      <c r="N102" s="72">
        <v>0</v>
      </c>
      <c r="O102" s="74">
        <f t="shared" si="8"/>
        <v>25</v>
      </c>
      <c r="P102" s="72">
        <v>40.2044403099542</v>
      </c>
      <c r="Q102" s="72">
        <v>41.9626576242293</v>
      </c>
      <c r="R102" s="75">
        <f t="shared" si="9"/>
        <v>41.0835489670918</v>
      </c>
      <c r="S102" s="76">
        <v>40.9037566271348</v>
      </c>
      <c r="T102" s="72">
        <v>75</v>
      </c>
      <c r="U102" s="72" t="s">
        <v>32</v>
      </c>
      <c r="V102" s="72" t="s">
        <v>33</v>
      </c>
      <c r="W102" s="77">
        <f t="shared" si="10"/>
        <v>50</v>
      </c>
      <c r="X102" s="78">
        <f t="shared" si="11"/>
        <v>51.3782361914201</v>
      </c>
      <c r="Z102" s="69" t="s">
        <v>201</v>
      </c>
      <c r="AA102" s="68">
        <v>51.4444603758733</v>
      </c>
      <c r="AB102" s="68">
        <v>118</v>
      </c>
    </row>
    <row r="103" spans="1:28">
      <c r="A103" s="69" t="s">
        <v>202</v>
      </c>
      <c r="B103" s="69" t="s">
        <v>31</v>
      </c>
      <c r="C103" s="69" t="s">
        <v>31</v>
      </c>
      <c r="D103" s="70">
        <f t="shared" si="6"/>
        <v>60</v>
      </c>
      <c r="E103" s="71">
        <v>63.73054054428</v>
      </c>
      <c r="F103" s="72" t="s">
        <v>34</v>
      </c>
      <c r="G103" s="72" t="s">
        <v>34</v>
      </c>
      <c r="H103" s="72" t="s">
        <v>38</v>
      </c>
      <c r="I103" s="72" t="s">
        <v>34</v>
      </c>
      <c r="J103" s="73">
        <f t="shared" si="7"/>
        <v>81.25</v>
      </c>
      <c r="K103" s="72">
        <v>0</v>
      </c>
      <c r="L103" s="72">
        <v>0</v>
      </c>
      <c r="M103" s="72" t="s">
        <v>32</v>
      </c>
      <c r="N103" s="72">
        <v>0</v>
      </c>
      <c r="O103" s="74">
        <f t="shared" si="8"/>
        <v>12.5</v>
      </c>
      <c r="P103" s="72">
        <v>39.1459031333881</v>
      </c>
      <c r="Q103" s="72">
        <v>23.8242988661562</v>
      </c>
      <c r="R103" s="75">
        <f t="shared" si="9"/>
        <v>31.4851009997722</v>
      </c>
      <c r="S103" s="76">
        <v>33.4427084301122</v>
      </c>
      <c r="T103" s="72">
        <v>75</v>
      </c>
      <c r="U103" s="72" t="s">
        <v>34</v>
      </c>
      <c r="V103" s="72" t="s">
        <v>33</v>
      </c>
      <c r="W103" s="77">
        <f t="shared" si="10"/>
        <v>58.3333333333333</v>
      </c>
      <c r="X103" s="78">
        <f t="shared" si="11"/>
        <v>49.8513164615451</v>
      </c>
      <c r="Z103" s="69" t="s">
        <v>203</v>
      </c>
      <c r="AA103" s="68">
        <v>51.4421769237222</v>
      </c>
      <c r="AB103" s="68">
        <v>119</v>
      </c>
    </row>
    <row r="104" spans="1:28">
      <c r="A104" s="69" t="s">
        <v>204</v>
      </c>
      <c r="B104" s="69" t="s">
        <v>41</v>
      </c>
      <c r="C104" s="69" t="s">
        <v>31</v>
      </c>
      <c r="D104" s="70">
        <f t="shared" si="6"/>
        <v>50</v>
      </c>
      <c r="E104" s="71">
        <v>51.29655017676</v>
      </c>
      <c r="F104" s="72" t="s">
        <v>34</v>
      </c>
      <c r="G104" s="72" t="s">
        <v>34</v>
      </c>
      <c r="H104" s="72" t="s">
        <v>38</v>
      </c>
      <c r="I104" s="72">
        <v>75</v>
      </c>
      <c r="J104" s="73">
        <f t="shared" si="7"/>
        <v>81.25</v>
      </c>
      <c r="K104" s="72" t="s">
        <v>32</v>
      </c>
      <c r="L104" s="72">
        <v>0</v>
      </c>
      <c r="M104" s="72" t="s">
        <v>34</v>
      </c>
      <c r="N104" s="72" t="s">
        <v>33</v>
      </c>
      <c r="O104" s="74">
        <f t="shared" si="8"/>
        <v>37.5</v>
      </c>
      <c r="P104" s="72">
        <v>20.7712955401651</v>
      </c>
      <c r="Q104" s="72">
        <v>34.3044726078074</v>
      </c>
      <c r="R104" s="75">
        <f t="shared" si="9"/>
        <v>27.5378840739862</v>
      </c>
      <c r="S104" s="76">
        <v>28.2519690432607</v>
      </c>
      <c r="T104" s="72">
        <v>75</v>
      </c>
      <c r="U104" s="72">
        <v>75</v>
      </c>
      <c r="V104" s="72" t="s">
        <v>33</v>
      </c>
      <c r="W104" s="77">
        <f t="shared" si="10"/>
        <v>58.3333333333333</v>
      </c>
      <c r="X104" s="78">
        <f t="shared" si="11"/>
        <v>51.3263705106708</v>
      </c>
      <c r="Z104" s="69" t="s">
        <v>200</v>
      </c>
      <c r="AA104" s="68">
        <v>51.3782361914201</v>
      </c>
      <c r="AB104" s="68">
        <v>120</v>
      </c>
    </row>
    <row r="105" spans="1:28">
      <c r="A105" s="69" t="s">
        <v>180</v>
      </c>
      <c r="B105" s="69" t="s">
        <v>45</v>
      </c>
      <c r="C105" s="69" t="s">
        <v>45</v>
      </c>
      <c r="D105" s="70">
        <f t="shared" si="6"/>
        <v>80</v>
      </c>
      <c r="E105" s="71">
        <v>66.2632910491344</v>
      </c>
      <c r="F105" s="72">
        <v>50</v>
      </c>
      <c r="G105" s="72">
        <v>50</v>
      </c>
      <c r="H105" s="72">
        <v>50</v>
      </c>
      <c r="I105" s="72">
        <v>50</v>
      </c>
      <c r="J105" s="73">
        <f t="shared" si="7"/>
        <v>50</v>
      </c>
      <c r="K105" s="72" t="s">
        <v>33</v>
      </c>
      <c r="L105" s="72">
        <v>0</v>
      </c>
      <c r="M105" s="72" t="s">
        <v>34</v>
      </c>
      <c r="N105" s="72" t="s">
        <v>33</v>
      </c>
      <c r="O105" s="74">
        <f t="shared" si="8"/>
        <v>31.25</v>
      </c>
      <c r="P105" s="72">
        <v>74.2973263552059</v>
      </c>
      <c r="Q105" s="72">
        <v>72.3855844017955</v>
      </c>
      <c r="R105" s="75">
        <f t="shared" si="9"/>
        <v>73.3414553785007</v>
      </c>
      <c r="S105" s="76">
        <v>60.7480775464087</v>
      </c>
      <c r="T105" s="72">
        <v>50</v>
      </c>
      <c r="U105" s="72">
        <v>50</v>
      </c>
      <c r="V105" s="72">
        <v>50</v>
      </c>
      <c r="W105" s="77">
        <f t="shared" si="10"/>
        <v>50</v>
      </c>
      <c r="X105" s="78">
        <f t="shared" si="11"/>
        <v>51.6522737191086</v>
      </c>
      <c r="Z105" s="69" t="s">
        <v>204</v>
      </c>
      <c r="AA105" s="68">
        <v>51.3263705106708</v>
      </c>
      <c r="AB105" s="68">
        <v>121</v>
      </c>
    </row>
    <row r="106" spans="1:28">
      <c r="A106" s="69" t="s">
        <v>205</v>
      </c>
      <c r="B106" s="69" t="s">
        <v>31</v>
      </c>
      <c r="C106" s="69" t="s">
        <v>31</v>
      </c>
      <c r="D106" s="70">
        <f t="shared" si="6"/>
        <v>60</v>
      </c>
      <c r="E106" s="71">
        <v>59.7374243299658</v>
      </c>
      <c r="F106" s="72" t="s">
        <v>34</v>
      </c>
      <c r="G106" s="72" t="s">
        <v>32</v>
      </c>
      <c r="H106" s="72" t="s">
        <v>38</v>
      </c>
      <c r="I106" s="72">
        <v>75</v>
      </c>
      <c r="J106" s="73">
        <f t="shared" si="7"/>
        <v>75</v>
      </c>
      <c r="K106" s="72">
        <v>0</v>
      </c>
      <c r="L106" s="72">
        <v>0</v>
      </c>
      <c r="M106" s="72" t="s">
        <v>33</v>
      </c>
      <c r="N106" s="72" t="s">
        <v>33</v>
      </c>
      <c r="O106" s="74">
        <f t="shared" si="8"/>
        <v>12.5</v>
      </c>
      <c r="P106" s="72">
        <v>74.2973263552059</v>
      </c>
      <c r="Q106" s="72">
        <v>41.9626576242293</v>
      </c>
      <c r="R106" s="75">
        <f t="shared" si="9"/>
        <v>58.1299919897176</v>
      </c>
      <c r="S106" s="76">
        <v>57.8755999631212</v>
      </c>
      <c r="T106" s="72">
        <v>50</v>
      </c>
      <c r="U106" s="72">
        <v>50</v>
      </c>
      <c r="V106" s="72" t="s">
        <v>33</v>
      </c>
      <c r="W106" s="77">
        <f t="shared" si="10"/>
        <v>41.6666666666667</v>
      </c>
      <c r="X106" s="78">
        <f t="shared" si="11"/>
        <v>49.3559381919507</v>
      </c>
      <c r="Z106" s="69" t="s">
        <v>206</v>
      </c>
      <c r="AA106" s="68">
        <v>51.2682316027611</v>
      </c>
      <c r="AB106" s="68">
        <v>122</v>
      </c>
    </row>
    <row r="107" spans="1:28">
      <c r="A107" s="69" t="s">
        <v>50</v>
      </c>
      <c r="B107" s="69">
        <v>80</v>
      </c>
      <c r="C107" s="69" t="s">
        <v>31</v>
      </c>
      <c r="D107" s="70">
        <f t="shared" si="6"/>
        <v>70</v>
      </c>
      <c r="E107" s="71">
        <f>D107*0.8283</f>
        <v>57.981</v>
      </c>
      <c r="F107" s="72" t="s">
        <v>34</v>
      </c>
      <c r="G107" s="72">
        <v>75</v>
      </c>
      <c r="H107" s="72" t="s">
        <v>38</v>
      </c>
      <c r="I107" s="72">
        <v>100</v>
      </c>
      <c r="J107" s="73">
        <f t="shared" si="7"/>
        <v>87.5</v>
      </c>
      <c r="K107" s="72">
        <v>0</v>
      </c>
      <c r="L107" s="72" t="s">
        <v>33</v>
      </c>
      <c r="M107" s="72" t="s">
        <v>34</v>
      </c>
      <c r="N107" s="72" t="s">
        <v>33</v>
      </c>
      <c r="O107" s="74">
        <f t="shared" si="8"/>
        <v>31.25</v>
      </c>
      <c r="P107" s="72">
        <v>58.3194067089251</v>
      </c>
      <c r="Q107" s="72">
        <v>87.7019544346392</v>
      </c>
      <c r="R107" s="75">
        <f t="shared" si="9"/>
        <v>73.0106805717822</v>
      </c>
      <c r="S107" s="76">
        <v>60.4740997052923</v>
      </c>
      <c r="T107" s="72">
        <v>75</v>
      </c>
      <c r="U107" s="72">
        <v>75</v>
      </c>
      <c r="V107" s="72" t="s">
        <v>32</v>
      </c>
      <c r="W107" s="77">
        <f t="shared" si="10"/>
        <v>66.6666666666667</v>
      </c>
      <c r="X107" s="78">
        <f t="shared" si="11"/>
        <v>60.7743532743918</v>
      </c>
      <c r="Z107" s="69" t="s">
        <v>118</v>
      </c>
      <c r="AA107" s="68">
        <v>51.2626172824833</v>
      </c>
      <c r="AB107" s="68">
        <v>123</v>
      </c>
    </row>
    <row r="108" spans="1:28">
      <c r="A108" s="69" t="s">
        <v>207</v>
      </c>
      <c r="B108" s="69" t="s">
        <v>41</v>
      </c>
      <c r="C108" s="69" t="s">
        <v>31</v>
      </c>
      <c r="D108" s="70">
        <f t="shared" si="6"/>
        <v>50</v>
      </c>
      <c r="E108" s="71">
        <v>49.1932520627119</v>
      </c>
      <c r="F108" s="72" t="s">
        <v>34</v>
      </c>
      <c r="G108" s="72" t="s">
        <v>33</v>
      </c>
      <c r="H108" s="72" t="s">
        <v>38</v>
      </c>
      <c r="I108" s="72" t="s">
        <v>34</v>
      </c>
      <c r="J108" s="73">
        <f t="shared" si="7"/>
        <v>68.75</v>
      </c>
      <c r="K108" s="72">
        <v>0</v>
      </c>
      <c r="L108" s="72">
        <v>0</v>
      </c>
      <c r="M108" s="72">
        <v>0</v>
      </c>
      <c r="N108" s="72" t="s">
        <v>33</v>
      </c>
      <c r="O108" s="74">
        <f t="shared" si="8"/>
        <v>6.25</v>
      </c>
      <c r="P108" s="72">
        <v>51.6086804574871</v>
      </c>
      <c r="Q108" s="72">
        <v>44.6902303698042</v>
      </c>
      <c r="R108" s="75">
        <f t="shared" si="9"/>
        <v>48.1494554136456</v>
      </c>
      <c r="S108" s="76">
        <v>47.3725659369156</v>
      </c>
      <c r="T108" s="72" t="s">
        <v>34</v>
      </c>
      <c r="U108" s="72" t="s">
        <v>32</v>
      </c>
      <c r="V108" s="72" t="s">
        <v>33</v>
      </c>
      <c r="W108" s="77">
        <f t="shared" si="10"/>
        <v>50</v>
      </c>
      <c r="X108" s="78">
        <f t="shared" si="11"/>
        <v>44.3131635999255</v>
      </c>
      <c r="Z108" s="69" t="s">
        <v>208</v>
      </c>
      <c r="AA108" s="68">
        <v>51.2162425513533</v>
      </c>
      <c r="AB108" s="68">
        <v>24</v>
      </c>
    </row>
    <row r="109" spans="1:28">
      <c r="A109" s="69" t="s">
        <v>209</v>
      </c>
      <c r="B109" s="69" t="s">
        <v>41</v>
      </c>
      <c r="C109" s="69" t="s">
        <v>31</v>
      </c>
      <c r="D109" s="70">
        <f t="shared" si="6"/>
        <v>50</v>
      </c>
      <c r="E109" s="71">
        <v>53.6518369917785</v>
      </c>
      <c r="F109" s="72" t="s">
        <v>32</v>
      </c>
      <c r="G109" s="72" t="s">
        <v>34</v>
      </c>
      <c r="H109" s="72" t="s">
        <v>38</v>
      </c>
      <c r="I109" s="72" t="s">
        <v>34</v>
      </c>
      <c r="J109" s="73">
        <f t="shared" si="7"/>
        <v>75</v>
      </c>
      <c r="K109" s="72">
        <v>0</v>
      </c>
      <c r="L109" s="72">
        <v>0</v>
      </c>
      <c r="M109" s="72">
        <v>0</v>
      </c>
      <c r="N109" s="72" t="s">
        <v>33</v>
      </c>
      <c r="O109" s="74">
        <f t="shared" si="8"/>
        <v>6.25</v>
      </c>
      <c r="P109" s="72">
        <v>12.3828877258677</v>
      </c>
      <c r="Q109" s="72">
        <v>20.3728702765633</v>
      </c>
      <c r="R109" s="75">
        <f t="shared" si="9"/>
        <v>16.3778790012155</v>
      </c>
      <c r="S109" s="76">
        <v>17.5740658888857</v>
      </c>
      <c r="T109" s="72">
        <v>75</v>
      </c>
      <c r="U109" s="72" t="s">
        <v>32</v>
      </c>
      <c r="V109" s="72" t="s">
        <v>33</v>
      </c>
      <c r="W109" s="77">
        <f t="shared" si="10"/>
        <v>50</v>
      </c>
      <c r="X109" s="78">
        <f t="shared" si="11"/>
        <v>40.4951805761328</v>
      </c>
      <c r="Z109" s="69" t="s">
        <v>210</v>
      </c>
      <c r="AA109" s="68">
        <v>51.2103296927281</v>
      </c>
      <c r="AB109" s="68">
        <v>124</v>
      </c>
    </row>
    <row r="110" spans="1:28">
      <c r="A110" s="69" t="s">
        <v>211</v>
      </c>
      <c r="B110" s="69" t="s">
        <v>31</v>
      </c>
      <c r="C110" s="69" t="s">
        <v>31</v>
      </c>
      <c r="D110" s="70">
        <f t="shared" si="6"/>
        <v>60</v>
      </c>
      <c r="E110" s="71">
        <v>58.6376398343726</v>
      </c>
      <c r="F110" s="72" t="s">
        <v>34</v>
      </c>
      <c r="G110" s="72" t="s">
        <v>34</v>
      </c>
      <c r="H110" s="72" t="s">
        <v>38</v>
      </c>
      <c r="I110" s="72">
        <v>75</v>
      </c>
      <c r="J110" s="73">
        <f t="shared" si="7"/>
        <v>81.25</v>
      </c>
      <c r="K110" s="72">
        <v>0</v>
      </c>
      <c r="L110" s="72">
        <v>0</v>
      </c>
      <c r="M110" s="72" t="s">
        <v>33</v>
      </c>
      <c r="N110" s="72" t="s">
        <v>33</v>
      </c>
      <c r="O110" s="74">
        <f t="shared" si="8"/>
        <v>12.5</v>
      </c>
      <c r="P110" s="72">
        <v>26.3635674163634</v>
      </c>
      <c r="Q110" s="72">
        <v>46.1589233866522</v>
      </c>
      <c r="R110" s="75">
        <f t="shared" si="9"/>
        <v>36.2612454015078</v>
      </c>
      <c r="S110" s="76">
        <v>35.4378974633236</v>
      </c>
      <c r="T110" s="72">
        <v>75</v>
      </c>
      <c r="U110" s="72" t="s">
        <v>34</v>
      </c>
      <c r="V110" s="72" t="s">
        <v>33</v>
      </c>
      <c r="W110" s="77">
        <f t="shared" si="10"/>
        <v>58.3333333333333</v>
      </c>
      <c r="X110" s="78">
        <f t="shared" si="11"/>
        <v>49.2317741262059</v>
      </c>
      <c r="Z110" s="69" t="s">
        <v>134</v>
      </c>
      <c r="AA110" s="68">
        <v>51.1913475695551</v>
      </c>
      <c r="AB110" s="68">
        <v>125</v>
      </c>
    </row>
    <row r="111" spans="1:28">
      <c r="A111" s="69" t="s">
        <v>212</v>
      </c>
      <c r="B111" s="69" t="s">
        <v>31</v>
      </c>
      <c r="C111" s="69" t="s">
        <v>45</v>
      </c>
      <c r="D111" s="70">
        <f t="shared" si="6"/>
        <v>70</v>
      </c>
      <c r="E111" s="71">
        <v>71.815170247464</v>
      </c>
      <c r="F111" s="72" t="s">
        <v>32</v>
      </c>
      <c r="G111" s="72" t="s">
        <v>34</v>
      </c>
      <c r="H111" s="72" t="s">
        <v>38</v>
      </c>
      <c r="I111" s="72">
        <v>75</v>
      </c>
      <c r="J111" s="73">
        <f t="shared" si="7"/>
        <v>75</v>
      </c>
      <c r="K111" s="72">
        <v>0</v>
      </c>
      <c r="L111" s="72">
        <v>0</v>
      </c>
      <c r="M111" s="72" t="s">
        <v>32</v>
      </c>
      <c r="N111" s="72" t="s">
        <v>32</v>
      </c>
      <c r="O111" s="74">
        <f t="shared" si="8"/>
        <v>25</v>
      </c>
      <c r="P111" s="72">
        <v>15.3787476595453</v>
      </c>
      <c r="Q111" s="72">
        <v>34.3044726078074</v>
      </c>
      <c r="R111" s="75">
        <f t="shared" si="9"/>
        <v>24.8416101336763</v>
      </c>
      <c r="S111" s="76">
        <v>25.4857780138728</v>
      </c>
      <c r="T111" s="72">
        <v>75</v>
      </c>
      <c r="U111" s="72" t="s">
        <v>32</v>
      </c>
      <c r="V111" s="72" t="s">
        <v>33</v>
      </c>
      <c r="W111" s="77">
        <f t="shared" si="10"/>
        <v>50</v>
      </c>
      <c r="X111" s="78">
        <f t="shared" si="11"/>
        <v>49.4601896522674</v>
      </c>
      <c r="Z111" s="69" t="s">
        <v>213</v>
      </c>
      <c r="AA111" s="68">
        <v>51.1752734167967</v>
      </c>
      <c r="AB111" s="68">
        <v>21</v>
      </c>
    </row>
    <row r="112" spans="1:28">
      <c r="A112" s="69" t="s">
        <v>214</v>
      </c>
      <c r="B112" s="69" t="s">
        <v>41</v>
      </c>
      <c r="C112" s="69" t="s">
        <v>31</v>
      </c>
      <c r="D112" s="70">
        <f t="shared" si="6"/>
        <v>50</v>
      </c>
      <c r="E112" s="71">
        <v>53.6518369917785</v>
      </c>
      <c r="F112" s="72" t="s">
        <v>34</v>
      </c>
      <c r="G112" s="72" t="s">
        <v>34</v>
      </c>
      <c r="H112" s="72" t="s">
        <v>38</v>
      </c>
      <c r="I112" s="72">
        <v>75</v>
      </c>
      <c r="J112" s="73">
        <f t="shared" si="7"/>
        <v>81.25</v>
      </c>
      <c r="K112" s="72" t="s">
        <v>33</v>
      </c>
      <c r="L112" s="72">
        <v>0</v>
      </c>
      <c r="M112" s="72" t="s">
        <v>34</v>
      </c>
      <c r="N112" s="72" t="s">
        <v>33</v>
      </c>
      <c r="O112" s="74">
        <f t="shared" si="8"/>
        <v>31.25</v>
      </c>
      <c r="P112" s="72">
        <v>14.5798516772313</v>
      </c>
      <c r="Q112" s="72">
        <v>20.3728702765633</v>
      </c>
      <c r="R112" s="75">
        <f t="shared" si="9"/>
        <v>17.4763609768973</v>
      </c>
      <c r="S112" s="76">
        <v>18.7527774068395</v>
      </c>
      <c r="T112" s="72">
        <v>75</v>
      </c>
      <c r="U112" s="72" t="s">
        <v>34</v>
      </c>
      <c r="V112" s="72" t="s">
        <v>33</v>
      </c>
      <c r="W112" s="77">
        <f t="shared" si="10"/>
        <v>58.3333333333333</v>
      </c>
      <c r="X112" s="78">
        <f t="shared" si="11"/>
        <v>48.6475895463903</v>
      </c>
      <c r="Z112" s="69" t="s">
        <v>215</v>
      </c>
      <c r="AA112" s="68">
        <v>51.1752734167967</v>
      </c>
      <c r="AB112" s="68">
        <v>126</v>
      </c>
    </row>
    <row r="113" spans="1:28">
      <c r="A113" s="69" t="s">
        <v>216</v>
      </c>
      <c r="B113" s="69" t="s">
        <v>41</v>
      </c>
      <c r="C113" s="69" t="s">
        <v>31</v>
      </c>
      <c r="D113" s="70">
        <f t="shared" si="6"/>
        <v>50</v>
      </c>
      <c r="E113" s="71">
        <v>41.414556905709</v>
      </c>
      <c r="F113" s="72" t="s">
        <v>34</v>
      </c>
      <c r="G113" s="72" t="s">
        <v>32</v>
      </c>
      <c r="H113" s="72" t="s">
        <v>38</v>
      </c>
      <c r="I113" s="72" t="s">
        <v>34</v>
      </c>
      <c r="J113" s="73">
        <f t="shared" si="7"/>
        <v>75</v>
      </c>
      <c r="K113" s="72">
        <v>0</v>
      </c>
      <c r="L113" s="72">
        <v>0</v>
      </c>
      <c r="M113" s="72" t="s">
        <v>32</v>
      </c>
      <c r="N113" s="72" t="s">
        <v>33</v>
      </c>
      <c r="O113" s="74">
        <f t="shared" si="8"/>
        <v>18.75</v>
      </c>
      <c r="P113" s="72">
        <v>40.3442471068591</v>
      </c>
      <c r="Q113" s="72">
        <v>73.4346508424012</v>
      </c>
      <c r="R113" s="75">
        <f t="shared" si="9"/>
        <v>56.8894489746301</v>
      </c>
      <c r="S113" s="76">
        <v>47.121026437885</v>
      </c>
      <c r="T113" s="72">
        <v>75</v>
      </c>
      <c r="U113" s="72" t="s">
        <v>33</v>
      </c>
      <c r="V113" s="72" t="s">
        <v>33</v>
      </c>
      <c r="W113" s="77">
        <f t="shared" si="10"/>
        <v>41.6666666666667</v>
      </c>
      <c r="X113" s="78">
        <f t="shared" si="11"/>
        <v>44.7904500020521</v>
      </c>
      <c r="Z113" s="69" t="s">
        <v>217</v>
      </c>
      <c r="AA113" s="68">
        <v>51.1752734167967</v>
      </c>
      <c r="AB113" s="68">
        <v>127</v>
      </c>
    </row>
    <row r="114" spans="1:28">
      <c r="A114" s="69" t="s">
        <v>218</v>
      </c>
      <c r="B114" s="69" t="s">
        <v>37</v>
      </c>
      <c r="C114" s="69" t="s">
        <v>37</v>
      </c>
      <c r="D114" s="70">
        <f t="shared" si="6"/>
        <v>20</v>
      </c>
      <c r="E114" s="71">
        <v>19.6773008250848</v>
      </c>
      <c r="F114" s="72" t="s">
        <v>34</v>
      </c>
      <c r="G114" s="72" t="s">
        <v>38</v>
      </c>
      <c r="H114" s="72" t="s">
        <v>38</v>
      </c>
      <c r="I114" s="72">
        <v>75</v>
      </c>
      <c r="J114" s="73">
        <f t="shared" si="7"/>
        <v>87.5</v>
      </c>
      <c r="K114" s="72" t="s">
        <v>33</v>
      </c>
      <c r="L114" s="72">
        <v>0</v>
      </c>
      <c r="M114" s="72" t="s">
        <v>34</v>
      </c>
      <c r="N114" s="72" t="s">
        <v>33</v>
      </c>
      <c r="O114" s="74">
        <f t="shared" si="8"/>
        <v>31.25</v>
      </c>
      <c r="P114" s="72">
        <v>51.6086804574871</v>
      </c>
      <c r="Q114" s="72">
        <v>44.6902303698042</v>
      </c>
      <c r="R114" s="75">
        <f t="shared" si="9"/>
        <v>48.1494554136456</v>
      </c>
      <c r="S114" s="76">
        <v>47.3725659369156</v>
      </c>
      <c r="T114" s="72">
        <v>75</v>
      </c>
      <c r="U114" s="72">
        <v>75</v>
      </c>
      <c r="V114" s="72" t="s">
        <v>32</v>
      </c>
      <c r="W114" s="77">
        <f t="shared" si="10"/>
        <v>66.6666666666667</v>
      </c>
      <c r="X114" s="78">
        <f t="shared" si="11"/>
        <v>50.4933066857334</v>
      </c>
      <c r="Z114" s="69" t="s">
        <v>147</v>
      </c>
      <c r="AA114" s="68">
        <v>51.1000676818129</v>
      </c>
      <c r="AB114" s="68">
        <v>128</v>
      </c>
    </row>
    <row r="115" spans="1:28">
      <c r="A115" s="69" t="s">
        <v>110</v>
      </c>
      <c r="B115" s="69" t="s">
        <v>31</v>
      </c>
      <c r="C115" s="69" t="s">
        <v>31</v>
      </c>
      <c r="D115" s="70">
        <f t="shared" si="6"/>
        <v>60</v>
      </c>
      <c r="E115" s="71">
        <v>59.7374243299658</v>
      </c>
      <c r="F115" s="72" t="s">
        <v>34</v>
      </c>
      <c r="G115" s="72" t="s">
        <v>38</v>
      </c>
      <c r="H115" s="72" t="s">
        <v>38</v>
      </c>
      <c r="I115" s="72">
        <v>75</v>
      </c>
      <c r="J115" s="73">
        <f t="shared" si="7"/>
        <v>87.5</v>
      </c>
      <c r="K115" s="72">
        <v>0</v>
      </c>
      <c r="L115" s="72">
        <v>0</v>
      </c>
      <c r="M115" s="72" t="s">
        <v>34</v>
      </c>
      <c r="N115" s="72">
        <v>0</v>
      </c>
      <c r="O115" s="74">
        <f t="shared" si="8"/>
        <v>18.75</v>
      </c>
      <c r="P115" s="72">
        <v>23.3677074826857</v>
      </c>
      <c r="Q115" s="72">
        <v>41.9626576242293</v>
      </c>
      <c r="R115" s="75">
        <f t="shared" si="9"/>
        <v>32.6651825534575</v>
      </c>
      <c r="S115" s="76">
        <v>32.5222311835281</v>
      </c>
      <c r="T115" s="72">
        <v>75</v>
      </c>
      <c r="U115" s="72">
        <v>75</v>
      </c>
      <c r="V115" s="72" t="s">
        <v>34</v>
      </c>
      <c r="W115" s="77">
        <f t="shared" si="10"/>
        <v>75</v>
      </c>
      <c r="X115" s="78">
        <f t="shared" si="11"/>
        <v>54.7019311026988</v>
      </c>
      <c r="Z115" s="69" t="s">
        <v>219</v>
      </c>
      <c r="AA115" s="68">
        <v>51.0690161690331</v>
      </c>
      <c r="AB115" s="68">
        <v>128</v>
      </c>
    </row>
    <row r="116" spans="1:28">
      <c r="A116" s="69" t="s">
        <v>220</v>
      </c>
      <c r="B116" s="69" t="s">
        <v>31</v>
      </c>
      <c r="C116" s="69" t="s">
        <v>31</v>
      </c>
      <c r="D116" s="70">
        <f t="shared" si="6"/>
        <v>60</v>
      </c>
      <c r="E116" s="71">
        <v>61.487715260934</v>
      </c>
      <c r="F116" s="72" t="s">
        <v>34</v>
      </c>
      <c r="G116" s="72" t="s">
        <v>34</v>
      </c>
      <c r="H116" s="72" t="s">
        <v>38</v>
      </c>
      <c r="I116" s="72">
        <v>75</v>
      </c>
      <c r="J116" s="73">
        <f t="shared" si="7"/>
        <v>81.25</v>
      </c>
      <c r="K116" s="72" t="s">
        <v>33</v>
      </c>
      <c r="L116" s="72">
        <v>0</v>
      </c>
      <c r="M116" s="72" t="s">
        <v>33</v>
      </c>
      <c r="N116" s="72" t="s">
        <v>33</v>
      </c>
      <c r="O116" s="74">
        <f t="shared" si="8"/>
        <v>18.75</v>
      </c>
      <c r="P116" s="72">
        <v>13.1817837081817</v>
      </c>
      <c r="Q116" s="72">
        <v>34.6087018755831</v>
      </c>
      <c r="R116" s="75">
        <f t="shared" si="9"/>
        <v>23.8952427918824</v>
      </c>
      <c r="S116" s="76">
        <v>24.4877314146358</v>
      </c>
      <c r="T116" s="72">
        <v>75</v>
      </c>
      <c r="U116" s="72" t="s">
        <v>34</v>
      </c>
      <c r="V116" s="72" t="s">
        <v>33</v>
      </c>
      <c r="W116" s="77">
        <f t="shared" si="10"/>
        <v>58.3333333333333</v>
      </c>
      <c r="X116" s="78">
        <f t="shared" si="11"/>
        <v>48.8617560017806</v>
      </c>
      <c r="Z116" s="69" t="s">
        <v>221</v>
      </c>
      <c r="AA116" s="68">
        <v>51.0477129144261</v>
      </c>
      <c r="AB116" s="68">
        <v>130</v>
      </c>
    </row>
    <row r="117" spans="1:28">
      <c r="A117" s="69" t="s">
        <v>54</v>
      </c>
      <c r="B117" s="69" t="s">
        <v>31</v>
      </c>
      <c r="C117" s="69" t="s">
        <v>31</v>
      </c>
      <c r="D117" s="70">
        <f t="shared" si="6"/>
        <v>60</v>
      </c>
      <c r="E117" s="71">
        <v>49.6974682868508</v>
      </c>
      <c r="F117" s="72" t="s">
        <v>34</v>
      </c>
      <c r="G117" s="72" t="s">
        <v>38</v>
      </c>
      <c r="H117" s="72" t="s">
        <v>38</v>
      </c>
      <c r="I117" s="72">
        <v>75</v>
      </c>
      <c r="J117" s="73">
        <f t="shared" si="7"/>
        <v>87.5</v>
      </c>
      <c r="K117" s="72" t="s">
        <v>33</v>
      </c>
      <c r="L117" s="72">
        <v>0</v>
      </c>
      <c r="M117" s="72" t="s">
        <v>34</v>
      </c>
      <c r="N117" s="72" t="s">
        <v>33</v>
      </c>
      <c r="O117" s="74">
        <f t="shared" si="8"/>
        <v>31.25</v>
      </c>
      <c r="P117" s="72">
        <v>86.1809040921273</v>
      </c>
      <c r="Q117" s="72">
        <v>72.3855844017955</v>
      </c>
      <c r="R117" s="75">
        <f t="shared" si="9"/>
        <v>79.2832442469614</v>
      </c>
      <c r="S117" s="76">
        <v>65.6696086107002</v>
      </c>
      <c r="T117" s="72">
        <v>75</v>
      </c>
      <c r="U117" s="72">
        <v>75</v>
      </c>
      <c r="V117" s="72" t="s">
        <v>32</v>
      </c>
      <c r="W117" s="77">
        <f t="shared" si="10"/>
        <v>66.6666666666667</v>
      </c>
      <c r="X117" s="78">
        <f t="shared" si="11"/>
        <v>60.1567487128435</v>
      </c>
      <c r="Z117" s="69" t="s">
        <v>222</v>
      </c>
      <c r="AA117" s="68">
        <v>51.0269598162533</v>
      </c>
      <c r="AB117" s="68">
        <v>131</v>
      </c>
    </row>
    <row r="118" spans="1:28">
      <c r="A118" s="69" t="s">
        <v>223</v>
      </c>
      <c r="B118" s="69" t="s">
        <v>31</v>
      </c>
      <c r="C118" s="69" t="s">
        <v>31</v>
      </c>
      <c r="D118" s="70">
        <f t="shared" si="6"/>
        <v>60</v>
      </c>
      <c r="E118" s="71">
        <v>65.0305872908508</v>
      </c>
      <c r="F118" s="72" t="s">
        <v>32</v>
      </c>
      <c r="G118" s="72" t="s">
        <v>32</v>
      </c>
      <c r="H118" s="72" t="s">
        <v>38</v>
      </c>
      <c r="I118" s="72">
        <v>75</v>
      </c>
      <c r="J118" s="73">
        <f t="shared" si="7"/>
        <v>68.75</v>
      </c>
      <c r="K118" s="72" t="s">
        <v>33</v>
      </c>
      <c r="L118" s="72">
        <v>0</v>
      </c>
      <c r="M118" s="72" t="s">
        <v>33</v>
      </c>
      <c r="N118" s="72" t="s">
        <v>33</v>
      </c>
      <c r="O118" s="74">
        <f t="shared" si="8"/>
        <v>18.75</v>
      </c>
      <c r="P118" s="72">
        <v>13.3815077037602</v>
      </c>
      <c r="Q118" s="72">
        <v>16.7850630496917</v>
      </c>
      <c r="R118" s="75">
        <f t="shared" si="9"/>
        <v>15.083285376726</v>
      </c>
      <c r="S118" s="76">
        <v>16.3479151053998</v>
      </c>
      <c r="T118" s="72">
        <v>75</v>
      </c>
      <c r="U118" s="72" t="s">
        <v>32</v>
      </c>
      <c r="V118" s="72" t="s">
        <v>33</v>
      </c>
      <c r="W118" s="77">
        <f t="shared" si="10"/>
        <v>50</v>
      </c>
      <c r="X118" s="78">
        <f t="shared" si="11"/>
        <v>43.7757004792501</v>
      </c>
      <c r="Z118" s="69" t="s">
        <v>224</v>
      </c>
      <c r="AA118" s="68">
        <v>50.9355394013464</v>
      </c>
      <c r="AB118" s="68">
        <v>132</v>
      </c>
    </row>
    <row r="119" spans="1:28">
      <c r="A119" s="69" t="s">
        <v>213</v>
      </c>
      <c r="B119" s="69" t="s">
        <v>41</v>
      </c>
      <c r="C119" s="69" t="s">
        <v>31</v>
      </c>
      <c r="D119" s="70">
        <f t="shared" si="6"/>
        <v>50</v>
      </c>
      <c r="E119" s="71">
        <v>47.9518710921128</v>
      </c>
      <c r="F119" s="72" t="s">
        <v>34</v>
      </c>
      <c r="G119" s="72" t="s">
        <v>34</v>
      </c>
      <c r="H119" s="72">
        <v>75</v>
      </c>
      <c r="I119" s="72" t="s">
        <v>34</v>
      </c>
      <c r="J119" s="73">
        <f t="shared" si="7"/>
        <v>75</v>
      </c>
      <c r="K119" s="72" t="s">
        <v>32</v>
      </c>
      <c r="L119" s="72">
        <v>0</v>
      </c>
      <c r="M119" s="72" t="s">
        <v>32</v>
      </c>
      <c r="N119" s="72" t="s">
        <v>33</v>
      </c>
      <c r="O119" s="74">
        <f t="shared" si="8"/>
        <v>31.25</v>
      </c>
      <c r="P119" s="72">
        <v>40.3442471068591</v>
      </c>
      <c r="Q119" s="72">
        <v>50.0404692168934</v>
      </c>
      <c r="R119" s="75">
        <f t="shared" si="9"/>
        <v>45.1923581618762</v>
      </c>
      <c r="S119" s="76">
        <v>43.3411626585376</v>
      </c>
      <c r="T119" s="72" t="s">
        <v>34</v>
      </c>
      <c r="U119" s="72">
        <v>50</v>
      </c>
      <c r="V119" s="72">
        <v>50</v>
      </c>
      <c r="W119" s="77">
        <f t="shared" si="10"/>
        <v>58.3333333333333</v>
      </c>
      <c r="X119" s="78">
        <f t="shared" si="11"/>
        <v>51.1752734167967</v>
      </c>
      <c r="Z119" s="69" t="s">
        <v>225</v>
      </c>
      <c r="AA119" s="68">
        <v>50.8491935570902</v>
      </c>
      <c r="AB119" s="68">
        <v>57</v>
      </c>
    </row>
    <row r="120" spans="1:28">
      <c r="A120" s="69" t="s">
        <v>226</v>
      </c>
      <c r="B120" s="69" t="s">
        <v>31</v>
      </c>
      <c r="C120" s="69" t="s">
        <v>31</v>
      </c>
      <c r="D120" s="70">
        <f t="shared" si="6"/>
        <v>60</v>
      </c>
      <c r="E120" s="71">
        <v>49.6974682868508</v>
      </c>
      <c r="F120" s="72" t="s">
        <v>34</v>
      </c>
      <c r="G120" s="72" t="s">
        <v>34</v>
      </c>
      <c r="H120" s="72" t="s">
        <v>38</v>
      </c>
      <c r="I120" s="72">
        <v>75</v>
      </c>
      <c r="J120" s="73">
        <f t="shared" si="7"/>
        <v>81.25</v>
      </c>
      <c r="K120" s="72">
        <v>0</v>
      </c>
      <c r="L120" s="72">
        <v>0</v>
      </c>
      <c r="M120" s="72" t="s">
        <v>33</v>
      </c>
      <c r="N120" s="72" t="s">
        <v>33</v>
      </c>
      <c r="O120" s="74">
        <f t="shared" si="8"/>
        <v>12.5</v>
      </c>
      <c r="P120" s="72">
        <v>26.1638434207849</v>
      </c>
      <c r="Q120" s="72">
        <v>82.4363177198569</v>
      </c>
      <c r="R120" s="75">
        <f t="shared" si="9"/>
        <v>54.3000805703209</v>
      </c>
      <c r="S120" s="76">
        <v>44.9762755352828</v>
      </c>
      <c r="T120" s="72" t="s">
        <v>34</v>
      </c>
      <c r="U120" s="72" t="s">
        <v>34</v>
      </c>
      <c r="V120" s="72" t="s">
        <v>33</v>
      </c>
      <c r="W120" s="77">
        <f t="shared" si="10"/>
        <v>58.3333333333333</v>
      </c>
      <c r="X120" s="78">
        <f t="shared" si="11"/>
        <v>49.3514154310934</v>
      </c>
      <c r="Z120" s="69" t="s">
        <v>227</v>
      </c>
      <c r="AA120" s="68">
        <v>50.841583738148</v>
      </c>
      <c r="AB120" s="68">
        <v>133</v>
      </c>
    </row>
    <row r="121" spans="1:28">
      <c r="A121" s="69" t="s">
        <v>155</v>
      </c>
      <c r="B121" s="69" t="s">
        <v>45</v>
      </c>
      <c r="C121" s="69" t="s">
        <v>31</v>
      </c>
      <c r="D121" s="70">
        <f t="shared" si="6"/>
        <v>70</v>
      </c>
      <c r="E121" s="71">
        <v>57.9803796679926</v>
      </c>
      <c r="F121" s="72" t="s">
        <v>34</v>
      </c>
      <c r="G121" s="72" t="s">
        <v>32</v>
      </c>
      <c r="H121" s="72" t="s">
        <v>38</v>
      </c>
      <c r="I121" s="72">
        <v>75</v>
      </c>
      <c r="J121" s="73">
        <f t="shared" si="7"/>
        <v>75</v>
      </c>
      <c r="K121" s="72">
        <v>0</v>
      </c>
      <c r="L121" s="72">
        <v>0</v>
      </c>
      <c r="M121" s="72">
        <v>0</v>
      </c>
      <c r="N121" s="72">
        <v>0</v>
      </c>
      <c r="O121" s="74">
        <f t="shared" si="8"/>
        <v>0</v>
      </c>
      <c r="P121" s="72">
        <v>86.6802140810736</v>
      </c>
      <c r="Q121" s="72">
        <v>90.7967004344261</v>
      </c>
      <c r="R121" s="75">
        <f t="shared" si="9"/>
        <v>88.7384572577498</v>
      </c>
      <c r="S121" s="76">
        <v>73.5012777565181</v>
      </c>
      <c r="T121" s="72" t="s">
        <v>34</v>
      </c>
      <c r="U121" s="72" t="s">
        <v>33</v>
      </c>
      <c r="V121" s="72" t="s">
        <v>34</v>
      </c>
      <c r="W121" s="77">
        <f t="shared" si="10"/>
        <v>58.3333333333333</v>
      </c>
      <c r="X121" s="78">
        <f t="shared" si="11"/>
        <v>52.9629981515688</v>
      </c>
      <c r="Z121" s="69" t="s">
        <v>173</v>
      </c>
      <c r="AA121" s="68">
        <v>50.758428505742</v>
      </c>
      <c r="AB121" s="68">
        <v>134</v>
      </c>
    </row>
    <row r="122" spans="1:28">
      <c r="A122" s="69" t="s">
        <v>60</v>
      </c>
      <c r="B122" s="69" t="s">
        <v>31</v>
      </c>
      <c r="C122" s="69" t="s">
        <v>31</v>
      </c>
      <c r="D122" s="70">
        <f t="shared" si="6"/>
        <v>60</v>
      </c>
      <c r="E122" s="71">
        <v>59.7374243299658</v>
      </c>
      <c r="F122" s="72" t="s">
        <v>34</v>
      </c>
      <c r="G122" s="72" t="s">
        <v>38</v>
      </c>
      <c r="H122" s="72" t="s">
        <v>38</v>
      </c>
      <c r="I122" s="72" t="s">
        <v>34</v>
      </c>
      <c r="J122" s="73">
        <f t="shared" si="7"/>
        <v>87.5</v>
      </c>
      <c r="K122" s="72" t="s">
        <v>33</v>
      </c>
      <c r="L122" s="72">
        <v>0</v>
      </c>
      <c r="M122" s="72" t="s">
        <v>34</v>
      </c>
      <c r="N122" s="72" t="s">
        <v>33</v>
      </c>
      <c r="O122" s="74">
        <f t="shared" si="8"/>
        <v>31.25</v>
      </c>
      <c r="P122" s="72">
        <v>20.3718475490081</v>
      </c>
      <c r="Q122" s="72">
        <v>41.9626576242293</v>
      </c>
      <c r="R122" s="75">
        <f t="shared" si="9"/>
        <v>31.1672525866187</v>
      </c>
      <c r="S122" s="76">
        <v>31.0308565494344</v>
      </c>
      <c r="T122" s="72">
        <v>75</v>
      </c>
      <c r="U122" s="72" t="s">
        <v>38</v>
      </c>
      <c r="V122" s="72" t="s">
        <v>34</v>
      </c>
      <c r="W122" s="77">
        <f t="shared" si="10"/>
        <v>83.3333333333333</v>
      </c>
      <c r="X122" s="78">
        <f t="shared" si="11"/>
        <v>58.5703228425467</v>
      </c>
      <c r="Z122" s="69" t="s">
        <v>184</v>
      </c>
      <c r="AA122" s="68">
        <v>50.653755314379</v>
      </c>
      <c r="AB122" s="68">
        <v>135</v>
      </c>
    </row>
    <row r="123" spans="1:28">
      <c r="A123" s="69" t="s">
        <v>210</v>
      </c>
      <c r="B123" s="69" t="s">
        <v>31</v>
      </c>
      <c r="C123" s="69" t="s">
        <v>31</v>
      </c>
      <c r="D123" s="70">
        <f t="shared" si="6"/>
        <v>60</v>
      </c>
      <c r="E123" s="71">
        <v>64.3822043901342</v>
      </c>
      <c r="F123" s="72" t="s">
        <v>34</v>
      </c>
      <c r="G123" s="72" t="s">
        <v>34</v>
      </c>
      <c r="H123" s="72" t="s">
        <v>38</v>
      </c>
      <c r="I123" s="72">
        <v>75</v>
      </c>
      <c r="J123" s="73">
        <f t="shared" si="7"/>
        <v>81.25</v>
      </c>
      <c r="K123" s="72" t="s">
        <v>33</v>
      </c>
      <c r="L123" s="72">
        <v>0</v>
      </c>
      <c r="M123" s="72" t="s">
        <v>34</v>
      </c>
      <c r="N123" s="72">
        <v>0</v>
      </c>
      <c r="O123" s="74">
        <f t="shared" si="8"/>
        <v>25</v>
      </c>
      <c r="P123" s="72">
        <v>14.5798516772313</v>
      </c>
      <c r="Q123" s="72">
        <v>20.3728702765633</v>
      </c>
      <c r="R123" s="75">
        <f t="shared" si="9"/>
        <v>17.4763609768973</v>
      </c>
      <c r="S123" s="76">
        <v>18.7527774068395</v>
      </c>
      <c r="T123" s="72">
        <v>75</v>
      </c>
      <c r="U123" s="72" t="s">
        <v>34</v>
      </c>
      <c r="V123" s="72" t="s">
        <v>32</v>
      </c>
      <c r="W123" s="77">
        <f t="shared" si="10"/>
        <v>66.6666666666667</v>
      </c>
      <c r="X123" s="78">
        <f t="shared" si="11"/>
        <v>51.2103296927281</v>
      </c>
      <c r="Z123" s="69" t="s">
        <v>228</v>
      </c>
      <c r="AA123" s="68">
        <v>50.6286352836104</v>
      </c>
      <c r="AB123" s="68">
        <v>136</v>
      </c>
    </row>
    <row r="124" spans="1:28">
      <c r="A124" s="69" t="s">
        <v>115</v>
      </c>
      <c r="B124" s="69" t="s">
        <v>31</v>
      </c>
      <c r="C124" s="69" t="s">
        <v>31</v>
      </c>
      <c r="D124" s="70">
        <f t="shared" si="6"/>
        <v>60</v>
      </c>
      <c r="E124" s="71">
        <v>57.9483560352899</v>
      </c>
      <c r="F124" s="72" t="s">
        <v>34</v>
      </c>
      <c r="G124" s="72" t="s">
        <v>38</v>
      </c>
      <c r="H124" s="72" t="s">
        <v>38</v>
      </c>
      <c r="I124" s="72">
        <v>75</v>
      </c>
      <c r="J124" s="73">
        <f t="shared" si="7"/>
        <v>87.5</v>
      </c>
      <c r="K124" s="72" t="s">
        <v>33</v>
      </c>
      <c r="L124" s="72">
        <v>0</v>
      </c>
      <c r="M124" s="72" t="s">
        <v>32</v>
      </c>
      <c r="N124" s="72" t="s">
        <v>33</v>
      </c>
      <c r="O124" s="74">
        <f t="shared" si="8"/>
        <v>25</v>
      </c>
      <c r="P124" s="72">
        <v>25.5646714340494</v>
      </c>
      <c r="Q124" s="72">
        <v>48.6347201864817</v>
      </c>
      <c r="R124" s="75">
        <f t="shared" si="9"/>
        <v>37.0996958102656</v>
      </c>
      <c r="S124" s="76">
        <v>35.831106360237</v>
      </c>
      <c r="T124" s="72">
        <v>75</v>
      </c>
      <c r="U124" s="72">
        <v>75</v>
      </c>
      <c r="V124" s="72" t="s">
        <v>32</v>
      </c>
      <c r="W124" s="77">
        <f t="shared" si="10"/>
        <v>66.6666666666667</v>
      </c>
      <c r="X124" s="78">
        <f t="shared" si="11"/>
        <v>54.5892258124387</v>
      </c>
      <c r="Z124" s="69" t="s">
        <v>71</v>
      </c>
      <c r="AA124" s="68">
        <v>50.5930123887358</v>
      </c>
      <c r="AB124" s="68">
        <v>137</v>
      </c>
    </row>
    <row r="125" spans="1:28">
      <c r="A125" s="69" t="s">
        <v>229</v>
      </c>
      <c r="B125" s="69" t="s">
        <v>31</v>
      </c>
      <c r="C125" s="69" t="s">
        <v>31</v>
      </c>
      <c r="D125" s="70">
        <f t="shared" si="6"/>
        <v>60</v>
      </c>
      <c r="E125" s="71">
        <v>60.7612992001404</v>
      </c>
      <c r="F125" s="72" t="s">
        <v>34</v>
      </c>
      <c r="G125" s="72" t="s">
        <v>34</v>
      </c>
      <c r="H125" s="72" t="s">
        <v>38</v>
      </c>
      <c r="I125" s="72">
        <v>75</v>
      </c>
      <c r="J125" s="73">
        <f t="shared" si="7"/>
        <v>81.25</v>
      </c>
      <c r="K125" s="72" t="s">
        <v>33</v>
      </c>
      <c r="L125" s="72">
        <v>0</v>
      </c>
      <c r="M125" s="72" t="s">
        <v>32</v>
      </c>
      <c r="N125" s="72" t="s">
        <v>33</v>
      </c>
      <c r="O125" s="74">
        <f t="shared" si="8"/>
        <v>25</v>
      </c>
      <c r="P125" s="72">
        <v>15.5784716551238</v>
      </c>
      <c r="Q125" s="72">
        <v>37.7663918618064</v>
      </c>
      <c r="R125" s="75">
        <f t="shared" si="9"/>
        <v>26.6724317584651</v>
      </c>
      <c r="S125" s="76">
        <v>27.0108601078571</v>
      </c>
      <c r="T125" s="72">
        <v>50</v>
      </c>
      <c r="U125" s="72" t="s">
        <v>32</v>
      </c>
      <c r="V125" s="72" t="s">
        <v>33</v>
      </c>
      <c r="W125" s="77">
        <f t="shared" si="10"/>
        <v>41.6666666666667</v>
      </c>
      <c r="X125" s="78">
        <f t="shared" si="11"/>
        <v>47.1377651949328</v>
      </c>
      <c r="Z125" s="69" t="s">
        <v>230</v>
      </c>
      <c r="AA125" s="68">
        <v>50.4946798438118</v>
      </c>
      <c r="AB125" s="68">
        <v>138</v>
      </c>
    </row>
    <row r="126" spans="1:28">
      <c r="A126" s="69" t="s">
        <v>126</v>
      </c>
      <c r="B126" s="69">
        <v>40</v>
      </c>
      <c r="C126" s="69" t="s">
        <v>31</v>
      </c>
      <c r="D126" s="70">
        <f t="shared" si="6"/>
        <v>50</v>
      </c>
      <c r="E126" s="71">
        <f>D126*1.017</f>
        <v>50.85</v>
      </c>
      <c r="F126" s="72" t="s">
        <v>34</v>
      </c>
      <c r="G126" s="72" t="s">
        <v>38</v>
      </c>
      <c r="H126" s="72" t="s">
        <v>38</v>
      </c>
      <c r="I126" s="72">
        <v>75</v>
      </c>
      <c r="J126" s="73">
        <f t="shared" si="7"/>
        <v>87.5</v>
      </c>
      <c r="K126" s="72" t="s">
        <v>33</v>
      </c>
      <c r="L126" s="72">
        <v>0</v>
      </c>
      <c r="M126" s="72" t="s">
        <v>34</v>
      </c>
      <c r="N126" s="72" t="s">
        <v>33</v>
      </c>
      <c r="O126" s="74">
        <f t="shared" si="8"/>
        <v>31.25</v>
      </c>
      <c r="P126" s="72">
        <v>79.8895982314042</v>
      </c>
      <c r="Q126" s="72">
        <v>36.7744424916099</v>
      </c>
      <c r="R126" s="75">
        <f t="shared" si="9"/>
        <v>58.332020361507</v>
      </c>
      <c r="S126" s="76">
        <v>59.2977529919742</v>
      </c>
      <c r="T126" s="72">
        <v>50</v>
      </c>
      <c r="U126" s="72" t="s">
        <v>32</v>
      </c>
      <c r="V126" s="72" t="s">
        <v>33</v>
      </c>
      <c r="W126" s="77">
        <f t="shared" si="10"/>
        <v>41.6666666666667</v>
      </c>
      <c r="X126" s="78">
        <f t="shared" si="11"/>
        <v>54.1128839317282</v>
      </c>
      <c r="Z126" s="69" t="s">
        <v>218</v>
      </c>
      <c r="AA126" s="68">
        <v>50.4933066857334</v>
      </c>
      <c r="AB126" s="68">
        <v>139</v>
      </c>
    </row>
    <row r="127" spans="1:28">
      <c r="A127" s="69" t="s">
        <v>231</v>
      </c>
      <c r="B127" s="69" t="s">
        <v>37</v>
      </c>
      <c r="C127" s="69" t="s">
        <v>31</v>
      </c>
      <c r="D127" s="70">
        <f t="shared" si="6"/>
        <v>40</v>
      </c>
      <c r="E127" s="71">
        <v>35.9885784987068</v>
      </c>
      <c r="F127" s="72" t="s">
        <v>34</v>
      </c>
      <c r="G127" s="72" t="s">
        <v>34</v>
      </c>
      <c r="H127" s="72" t="s">
        <v>34</v>
      </c>
      <c r="I127" s="72">
        <v>75</v>
      </c>
      <c r="J127" s="73">
        <f t="shared" si="7"/>
        <v>75</v>
      </c>
      <c r="K127" s="72">
        <v>0</v>
      </c>
      <c r="L127" s="72">
        <v>0</v>
      </c>
      <c r="M127" s="72" t="s">
        <v>32</v>
      </c>
      <c r="N127" s="72">
        <v>0</v>
      </c>
      <c r="O127" s="74">
        <f t="shared" si="8"/>
        <v>12.5</v>
      </c>
      <c r="P127" s="72">
        <v>58.3194067089251</v>
      </c>
      <c r="Q127" s="72">
        <v>60.8458535551325</v>
      </c>
      <c r="R127" s="75">
        <f t="shared" si="9"/>
        <v>59.5826301320288</v>
      </c>
      <c r="S127" s="76">
        <v>53.6073540416482</v>
      </c>
      <c r="T127" s="72">
        <v>75</v>
      </c>
      <c r="U127" s="72" t="s">
        <v>33</v>
      </c>
      <c r="V127" s="72" t="s">
        <v>33</v>
      </c>
      <c r="W127" s="77">
        <f t="shared" si="10"/>
        <v>41.6666666666667</v>
      </c>
      <c r="X127" s="78">
        <f t="shared" si="11"/>
        <v>43.7525198414043</v>
      </c>
      <c r="Z127" s="69" t="s">
        <v>154</v>
      </c>
      <c r="AA127" s="68">
        <v>50.4641209327567</v>
      </c>
      <c r="AB127" s="68">
        <v>140</v>
      </c>
    </row>
    <row r="128" spans="1:28">
      <c r="A128" s="69" t="s">
        <v>232</v>
      </c>
      <c r="B128" s="69" t="s">
        <v>41</v>
      </c>
      <c r="C128" s="69" t="s">
        <v>31</v>
      </c>
      <c r="D128" s="70">
        <f t="shared" si="6"/>
        <v>50</v>
      </c>
      <c r="E128" s="71">
        <v>52.540784536144</v>
      </c>
      <c r="F128" s="72" t="s">
        <v>34</v>
      </c>
      <c r="G128" s="72">
        <v>50</v>
      </c>
      <c r="H128" s="72">
        <v>75</v>
      </c>
      <c r="I128" s="72">
        <v>75</v>
      </c>
      <c r="J128" s="73">
        <f t="shared" si="7"/>
        <v>68.75</v>
      </c>
      <c r="K128" s="72">
        <v>0</v>
      </c>
      <c r="L128" s="72">
        <v>0</v>
      </c>
      <c r="M128" s="72">
        <v>50</v>
      </c>
      <c r="N128" s="72" t="s">
        <v>33</v>
      </c>
      <c r="O128" s="74">
        <f t="shared" si="8"/>
        <v>18.75</v>
      </c>
      <c r="P128" s="72">
        <v>74.2973263552059</v>
      </c>
      <c r="Q128" s="72">
        <v>27.275727455749</v>
      </c>
      <c r="R128" s="75">
        <f t="shared" si="9"/>
        <v>50.7865269054774</v>
      </c>
      <c r="S128" s="76">
        <v>53.3672793495954</v>
      </c>
      <c r="T128" s="72">
        <v>75</v>
      </c>
      <c r="U128" s="72">
        <v>50</v>
      </c>
      <c r="V128" s="72">
        <v>25</v>
      </c>
      <c r="W128" s="77">
        <f t="shared" si="10"/>
        <v>50</v>
      </c>
      <c r="X128" s="78">
        <f t="shared" si="11"/>
        <v>48.6816127771479</v>
      </c>
      <c r="Z128" s="69" t="s">
        <v>233</v>
      </c>
      <c r="AA128" s="68">
        <v>50.4233192429267</v>
      </c>
      <c r="AB128" s="68">
        <v>141</v>
      </c>
    </row>
    <row r="129" spans="1:28">
      <c r="A129" s="69" t="s">
        <v>234</v>
      </c>
      <c r="B129" s="69" t="s">
        <v>31</v>
      </c>
      <c r="C129" s="69" t="s">
        <v>31</v>
      </c>
      <c r="D129" s="70">
        <f t="shared" si="6"/>
        <v>60</v>
      </c>
      <c r="E129" s="71">
        <v>63.4463798384748</v>
      </c>
      <c r="F129" s="72" t="s">
        <v>34</v>
      </c>
      <c r="G129" s="72" t="s">
        <v>34</v>
      </c>
      <c r="H129" s="72" t="s">
        <v>38</v>
      </c>
      <c r="I129" s="72">
        <v>75</v>
      </c>
      <c r="J129" s="73">
        <f t="shared" si="7"/>
        <v>81.25</v>
      </c>
      <c r="K129" s="72" t="s">
        <v>33</v>
      </c>
      <c r="L129" s="72">
        <v>0</v>
      </c>
      <c r="M129" s="72" t="s">
        <v>32</v>
      </c>
      <c r="N129" s="72" t="s">
        <v>33</v>
      </c>
      <c r="O129" s="74">
        <f t="shared" si="8"/>
        <v>25</v>
      </c>
      <c r="P129" s="72">
        <v>12.5626393218883</v>
      </c>
      <c r="Q129" s="72">
        <v>25.2825012185981</v>
      </c>
      <c r="R129" s="75">
        <f t="shared" si="9"/>
        <v>18.9225702702432</v>
      </c>
      <c r="S129" s="76">
        <v>20.0094763481013</v>
      </c>
      <c r="T129" s="72">
        <v>75</v>
      </c>
      <c r="U129" s="72" t="s">
        <v>34</v>
      </c>
      <c r="V129" s="72" t="s">
        <v>33</v>
      </c>
      <c r="W129" s="77">
        <f t="shared" si="10"/>
        <v>58.3333333333333</v>
      </c>
      <c r="X129" s="78">
        <f t="shared" si="11"/>
        <v>49.6078379039819</v>
      </c>
      <c r="Z129" s="69" t="s">
        <v>235</v>
      </c>
      <c r="AA129" s="68">
        <v>50.3477544031712</v>
      </c>
      <c r="AB129" s="68">
        <v>142</v>
      </c>
    </row>
    <row r="130" spans="1:28">
      <c r="A130" s="69" t="s">
        <v>236</v>
      </c>
      <c r="B130" s="69" t="s">
        <v>41</v>
      </c>
      <c r="C130" s="69" t="s">
        <v>31</v>
      </c>
      <c r="D130" s="70">
        <f t="shared" si="6"/>
        <v>50</v>
      </c>
      <c r="E130" s="71">
        <v>54.9418956919655</v>
      </c>
      <c r="F130" s="72" t="s">
        <v>34</v>
      </c>
      <c r="G130" s="72" t="s">
        <v>38</v>
      </c>
      <c r="H130" s="72" t="s">
        <v>38</v>
      </c>
      <c r="I130" s="72">
        <v>75</v>
      </c>
      <c r="J130" s="73">
        <f t="shared" si="7"/>
        <v>87.5</v>
      </c>
      <c r="K130" s="72">
        <v>0</v>
      </c>
      <c r="L130" s="72">
        <v>0</v>
      </c>
      <c r="M130" s="72" t="s">
        <v>34</v>
      </c>
      <c r="N130" s="72" t="s">
        <v>33</v>
      </c>
      <c r="O130" s="74">
        <f t="shared" si="8"/>
        <v>25</v>
      </c>
      <c r="P130" s="72">
        <v>3.7947559159917</v>
      </c>
      <c r="Q130" s="72">
        <v>11.5397308466631</v>
      </c>
      <c r="R130" s="75">
        <f t="shared" si="9"/>
        <v>7.6672433813274</v>
      </c>
      <c r="S130" s="76">
        <v>8.42505772203606</v>
      </c>
      <c r="T130" s="72">
        <v>75</v>
      </c>
      <c r="U130" s="72">
        <v>75</v>
      </c>
      <c r="V130" s="72" t="s">
        <v>32</v>
      </c>
      <c r="W130" s="77">
        <f t="shared" si="10"/>
        <v>66.6666666666667</v>
      </c>
      <c r="X130" s="78">
        <f t="shared" si="11"/>
        <v>48.5067240161336</v>
      </c>
      <c r="Z130" s="69" t="s">
        <v>237</v>
      </c>
      <c r="AA130" s="68">
        <v>50.1766815938146</v>
      </c>
      <c r="AB130" s="68">
        <v>143</v>
      </c>
    </row>
    <row r="131" spans="1:28">
      <c r="A131" s="69" t="s">
        <v>138</v>
      </c>
      <c r="B131" s="69" t="s">
        <v>38</v>
      </c>
      <c r="C131" s="69" t="s">
        <v>31</v>
      </c>
      <c r="D131" s="70">
        <f t="shared" ref="D131:D194" si="12">(B131+C131)/2</f>
        <v>80</v>
      </c>
      <c r="E131" s="71">
        <v>76.434126341422</v>
      </c>
      <c r="F131" s="72" t="s">
        <v>34</v>
      </c>
      <c r="G131" s="72" t="s">
        <v>34</v>
      </c>
      <c r="H131" s="72" t="s">
        <v>38</v>
      </c>
      <c r="I131" s="72">
        <v>75</v>
      </c>
      <c r="J131" s="73">
        <f t="shared" ref="J131:J194" si="13">(F131+G131+H131+I131)/4</f>
        <v>81.25</v>
      </c>
      <c r="K131" s="72">
        <v>0</v>
      </c>
      <c r="L131" s="72">
        <v>0</v>
      </c>
      <c r="M131" s="72" t="s">
        <v>32</v>
      </c>
      <c r="N131" s="72">
        <v>0</v>
      </c>
      <c r="O131" s="74">
        <f t="shared" ref="O131:O194" si="14">(K131+L131+M131+N131)/4</f>
        <v>12.5</v>
      </c>
      <c r="P131" s="72">
        <v>15.3787476595453</v>
      </c>
      <c r="Q131" s="72">
        <v>50.7748157253174</v>
      </c>
      <c r="R131" s="75">
        <f t="shared" ref="R131:R194" si="15">(P131+Q131)/2</f>
        <v>33.0767816924314</v>
      </c>
      <c r="S131" s="76">
        <v>31.6024363855867</v>
      </c>
      <c r="T131" s="72">
        <v>75</v>
      </c>
      <c r="U131" s="72" t="s">
        <v>34</v>
      </c>
      <c r="V131" s="72" t="s">
        <v>32</v>
      </c>
      <c r="W131" s="77">
        <f t="shared" ref="W131:W194" si="16">(T131+U131+V131)/3</f>
        <v>66.6666666666667</v>
      </c>
      <c r="X131" s="78">
        <f t="shared" ref="X131:X194" si="17">(E131+J131+O131+S131+W131)/5</f>
        <v>53.6906458787351</v>
      </c>
      <c r="Z131" s="69" t="s">
        <v>144</v>
      </c>
      <c r="AA131" s="68">
        <v>50.150053198293</v>
      </c>
      <c r="AB131" s="68">
        <v>144</v>
      </c>
    </row>
    <row r="132" spans="1:28">
      <c r="A132" s="69" t="s">
        <v>238</v>
      </c>
      <c r="B132" s="69" t="s">
        <v>41</v>
      </c>
      <c r="C132" s="69" t="s">
        <v>31</v>
      </c>
      <c r="D132" s="70">
        <f t="shared" si="12"/>
        <v>50</v>
      </c>
      <c r="E132" s="71">
        <v>50.827789458073</v>
      </c>
      <c r="F132" s="72" t="s">
        <v>34</v>
      </c>
      <c r="G132" s="72">
        <v>50</v>
      </c>
      <c r="H132" s="72">
        <v>50</v>
      </c>
      <c r="I132" s="72">
        <v>50</v>
      </c>
      <c r="J132" s="73">
        <f t="shared" si="13"/>
        <v>56.25</v>
      </c>
      <c r="K132" s="72">
        <v>0</v>
      </c>
      <c r="L132" s="72">
        <v>0</v>
      </c>
      <c r="M132" s="72" t="s">
        <v>34</v>
      </c>
      <c r="N132" s="72" t="s">
        <v>33</v>
      </c>
      <c r="O132" s="74">
        <f t="shared" si="14"/>
        <v>25</v>
      </c>
      <c r="P132" s="72">
        <v>79.2904262446687</v>
      </c>
      <c r="Q132" s="72">
        <v>36.7744424916099</v>
      </c>
      <c r="R132" s="75">
        <f t="shared" si="15"/>
        <v>58.0324343681393</v>
      </c>
      <c r="S132" s="76">
        <v>58.9932071160645</v>
      </c>
      <c r="T132" s="72">
        <v>50</v>
      </c>
      <c r="U132" s="72">
        <v>25</v>
      </c>
      <c r="V132" s="72" t="s">
        <v>33</v>
      </c>
      <c r="W132" s="77">
        <f t="shared" si="16"/>
        <v>33.3333333333333</v>
      </c>
      <c r="X132" s="78">
        <f t="shared" si="17"/>
        <v>44.8808659814942</v>
      </c>
      <c r="Z132" s="69" t="s">
        <v>104</v>
      </c>
      <c r="AA132" s="68">
        <v>50.1402315187048</v>
      </c>
      <c r="AB132" s="68">
        <v>145</v>
      </c>
    </row>
    <row r="133" spans="1:28">
      <c r="A133" s="69" t="s">
        <v>239</v>
      </c>
      <c r="B133" s="69" t="s">
        <v>41</v>
      </c>
      <c r="C133" s="69" t="s">
        <v>31</v>
      </c>
      <c r="D133" s="70">
        <f t="shared" si="12"/>
        <v>50</v>
      </c>
      <c r="E133" s="71">
        <v>51.239762717445</v>
      </c>
      <c r="F133" s="72" t="s">
        <v>34</v>
      </c>
      <c r="G133" s="72" t="s">
        <v>32</v>
      </c>
      <c r="H133" s="72" t="s">
        <v>38</v>
      </c>
      <c r="I133" s="72">
        <v>75</v>
      </c>
      <c r="J133" s="73">
        <f t="shared" si="13"/>
        <v>75</v>
      </c>
      <c r="K133" s="72" t="s">
        <v>33</v>
      </c>
      <c r="L133" s="72">
        <v>0</v>
      </c>
      <c r="M133" s="72" t="s">
        <v>32</v>
      </c>
      <c r="N133" s="72" t="s">
        <v>33</v>
      </c>
      <c r="O133" s="74">
        <f t="shared" si="14"/>
        <v>25</v>
      </c>
      <c r="P133" s="72">
        <v>13.1817837081817</v>
      </c>
      <c r="Q133" s="72">
        <v>34.6087018755831</v>
      </c>
      <c r="R133" s="75">
        <f t="shared" si="15"/>
        <v>23.8952427918824</v>
      </c>
      <c r="S133" s="76">
        <v>24.4877314146358</v>
      </c>
      <c r="T133" s="72">
        <v>75</v>
      </c>
      <c r="U133" s="72" t="s">
        <v>34</v>
      </c>
      <c r="V133" s="72" t="s">
        <v>33</v>
      </c>
      <c r="W133" s="77">
        <f t="shared" si="16"/>
        <v>58.3333333333333</v>
      </c>
      <c r="X133" s="78">
        <f t="shared" si="17"/>
        <v>46.8121654930828</v>
      </c>
      <c r="Z133" s="69" t="s">
        <v>149</v>
      </c>
      <c r="AA133" s="68">
        <v>50.0134278581449</v>
      </c>
      <c r="AB133" s="68">
        <v>23</v>
      </c>
    </row>
    <row r="134" spans="1:28">
      <c r="A134" s="69" t="s">
        <v>58</v>
      </c>
      <c r="B134" s="69">
        <v>60</v>
      </c>
      <c r="C134" s="69" t="s">
        <v>31</v>
      </c>
      <c r="D134" s="70">
        <f t="shared" si="12"/>
        <v>60</v>
      </c>
      <c r="E134" s="71">
        <f>D134*0.8283</f>
        <v>49.698</v>
      </c>
      <c r="F134" s="72" t="s">
        <v>34</v>
      </c>
      <c r="G134" s="72">
        <v>75</v>
      </c>
      <c r="H134" s="72">
        <v>75</v>
      </c>
      <c r="I134" s="72">
        <v>75</v>
      </c>
      <c r="J134" s="73">
        <f t="shared" si="13"/>
        <v>75</v>
      </c>
      <c r="K134" s="72" t="s">
        <v>32</v>
      </c>
      <c r="L134" s="72">
        <v>0</v>
      </c>
      <c r="M134" s="72" t="s">
        <v>34</v>
      </c>
      <c r="N134" s="72" t="s">
        <v>33</v>
      </c>
      <c r="O134" s="74">
        <f t="shared" si="14"/>
        <v>37.5</v>
      </c>
      <c r="P134" s="72">
        <v>82.2862861783463</v>
      </c>
      <c r="Q134" s="72">
        <v>76.770240208235</v>
      </c>
      <c r="R134" s="75">
        <f t="shared" si="15"/>
        <v>79.5282631932907</v>
      </c>
      <c r="S134" s="76">
        <v>65.8725556326148</v>
      </c>
      <c r="T134" s="72">
        <v>50</v>
      </c>
      <c r="U134" s="72">
        <v>75</v>
      </c>
      <c r="V134" s="72" t="s">
        <v>34</v>
      </c>
      <c r="W134" s="77">
        <f t="shared" si="16"/>
        <v>66.6666666666667</v>
      </c>
      <c r="X134" s="78">
        <f t="shared" si="17"/>
        <v>58.9474444598563</v>
      </c>
      <c r="Z134" s="69" t="s">
        <v>240</v>
      </c>
      <c r="AA134" s="68">
        <v>50.0134278581449</v>
      </c>
      <c r="AB134" s="68">
        <v>146</v>
      </c>
    </row>
    <row r="135" s="68" customFormat="1" spans="1:28">
      <c r="A135" s="69" t="s">
        <v>241</v>
      </c>
      <c r="B135" s="69">
        <v>60</v>
      </c>
      <c r="C135" s="69">
        <v>60</v>
      </c>
      <c r="D135" s="70">
        <f t="shared" si="12"/>
        <v>60</v>
      </c>
      <c r="E135" s="71">
        <f>D135*0.82829</f>
        <v>49.6974</v>
      </c>
      <c r="F135" s="72">
        <v>0</v>
      </c>
      <c r="G135" s="72">
        <v>0</v>
      </c>
      <c r="H135" s="72">
        <v>0</v>
      </c>
      <c r="I135" s="72">
        <v>0</v>
      </c>
      <c r="J135" s="73">
        <v>0</v>
      </c>
      <c r="K135" s="72">
        <v>0</v>
      </c>
      <c r="L135" s="72">
        <v>0</v>
      </c>
      <c r="M135" s="72">
        <v>0</v>
      </c>
      <c r="N135" s="72">
        <v>0</v>
      </c>
      <c r="O135" s="74">
        <v>0</v>
      </c>
      <c r="P135" s="72">
        <v>73.9178507636068</v>
      </c>
      <c r="Q135" s="72">
        <v>85.8136348415489</v>
      </c>
      <c r="R135" s="75">
        <f t="shared" si="15"/>
        <v>79.8657428025778</v>
      </c>
      <c r="S135" s="76">
        <f>R135*0.82829</f>
        <v>66.1519961059472</v>
      </c>
      <c r="T135" s="72">
        <v>0</v>
      </c>
      <c r="U135" s="72">
        <v>0</v>
      </c>
      <c r="V135" s="72">
        <v>0</v>
      </c>
      <c r="W135" s="77">
        <v>0</v>
      </c>
      <c r="X135" s="78">
        <f t="shared" si="17"/>
        <v>23.1698792211894</v>
      </c>
      <c r="Z135" s="69" t="s">
        <v>242</v>
      </c>
      <c r="AA135" s="68">
        <v>49.912488967192</v>
      </c>
      <c r="AB135" s="68">
        <v>147</v>
      </c>
    </row>
    <row r="136" spans="1:28">
      <c r="A136" s="69" t="s">
        <v>148</v>
      </c>
      <c r="B136" s="69" t="s">
        <v>41</v>
      </c>
      <c r="C136" s="69" t="s">
        <v>31</v>
      </c>
      <c r="D136" s="70">
        <f t="shared" si="12"/>
        <v>50</v>
      </c>
      <c r="E136" s="71">
        <v>50.827789458073</v>
      </c>
      <c r="F136" s="72" t="s">
        <v>34</v>
      </c>
      <c r="G136" s="72" t="s">
        <v>34</v>
      </c>
      <c r="H136" s="72" t="s">
        <v>38</v>
      </c>
      <c r="I136" s="72" t="s">
        <v>34</v>
      </c>
      <c r="J136" s="73">
        <f t="shared" si="13"/>
        <v>81.25</v>
      </c>
      <c r="K136" s="72">
        <v>0</v>
      </c>
      <c r="L136" s="72">
        <v>0</v>
      </c>
      <c r="M136" s="72" t="s">
        <v>34</v>
      </c>
      <c r="N136" s="72" t="s">
        <v>33</v>
      </c>
      <c r="O136" s="74">
        <f t="shared" si="14"/>
        <v>25</v>
      </c>
      <c r="P136" s="72">
        <v>79.2904262446687</v>
      </c>
      <c r="Q136" s="72">
        <v>36.7744424916099</v>
      </c>
      <c r="R136" s="75">
        <f t="shared" si="15"/>
        <v>58.0324343681393</v>
      </c>
      <c r="S136" s="76">
        <v>58.9932071160645</v>
      </c>
      <c r="T136" s="72">
        <v>75</v>
      </c>
      <c r="U136" s="72" t="s">
        <v>32</v>
      </c>
      <c r="V136" s="72" t="s">
        <v>33</v>
      </c>
      <c r="W136" s="77">
        <f t="shared" si="16"/>
        <v>50</v>
      </c>
      <c r="X136" s="78">
        <f t="shared" si="17"/>
        <v>53.2141993148275</v>
      </c>
      <c r="Z136" s="69" t="s">
        <v>243</v>
      </c>
      <c r="AA136" s="68">
        <v>49.8949512830959</v>
      </c>
      <c r="AB136" s="68">
        <v>148</v>
      </c>
    </row>
    <row r="137" spans="1:28">
      <c r="A137" s="69" t="s">
        <v>244</v>
      </c>
      <c r="B137" s="69" t="s">
        <v>37</v>
      </c>
      <c r="C137" s="69" t="s">
        <v>31</v>
      </c>
      <c r="D137" s="70">
        <f t="shared" si="12"/>
        <v>40</v>
      </c>
      <c r="E137" s="71">
        <v>34.9548654998315</v>
      </c>
      <c r="F137" s="72" t="s">
        <v>32</v>
      </c>
      <c r="G137" s="72" t="s">
        <v>34</v>
      </c>
      <c r="H137" s="72">
        <v>75</v>
      </c>
      <c r="I137" s="72">
        <v>75</v>
      </c>
      <c r="J137" s="73">
        <f t="shared" si="13"/>
        <v>68.75</v>
      </c>
      <c r="K137" s="72" t="s">
        <v>33</v>
      </c>
      <c r="L137" s="72">
        <v>0</v>
      </c>
      <c r="M137" s="72" t="s">
        <v>33</v>
      </c>
      <c r="N137" s="72" t="s">
        <v>33</v>
      </c>
      <c r="O137" s="74">
        <f t="shared" si="14"/>
        <v>18.75</v>
      </c>
      <c r="P137" s="72">
        <v>82.2862861783463</v>
      </c>
      <c r="Q137" s="72">
        <v>64.8008340362161</v>
      </c>
      <c r="R137" s="75">
        <f t="shared" si="15"/>
        <v>73.5435601072812</v>
      </c>
      <c r="S137" s="76">
        <v>64.2676312982197</v>
      </c>
      <c r="T137" s="72">
        <v>75</v>
      </c>
      <c r="U137" s="72">
        <v>50</v>
      </c>
      <c r="V137" s="72">
        <v>50</v>
      </c>
      <c r="W137" s="77">
        <f t="shared" si="16"/>
        <v>58.3333333333333</v>
      </c>
      <c r="X137" s="78">
        <f t="shared" si="17"/>
        <v>49.0111660262769</v>
      </c>
      <c r="Z137" s="69" t="s">
        <v>202</v>
      </c>
      <c r="AA137" s="68">
        <v>49.8513164615451</v>
      </c>
      <c r="AB137" s="68">
        <v>149</v>
      </c>
    </row>
    <row r="138" spans="1:28">
      <c r="A138" s="69" t="s">
        <v>245</v>
      </c>
      <c r="B138" s="69" t="s">
        <v>31</v>
      </c>
      <c r="C138" s="69" t="s">
        <v>31</v>
      </c>
      <c r="D138" s="70">
        <f t="shared" si="12"/>
        <v>60</v>
      </c>
      <c r="E138" s="71">
        <v>63.6717027225966</v>
      </c>
      <c r="F138" s="72" t="s">
        <v>32</v>
      </c>
      <c r="G138" s="72" t="s">
        <v>32</v>
      </c>
      <c r="H138" s="72" t="s">
        <v>38</v>
      </c>
      <c r="I138" s="72">
        <v>75</v>
      </c>
      <c r="J138" s="73">
        <f t="shared" si="13"/>
        <v>68.75</v>
      </c>
      <c r="K138" s="72">
        <v>0</v>
      </c>
      <c r="L138" s="72">
        <v>0</v>
      </c>
      <c r="M138" s="72">
        <v>0</v>
      </c>
      <c r="N138" s="72" t="s">
        <v>33</v>
      </c>
      <c r="O138" s="74">
        <f t="shared" si="14"/>
        <v>6.25</v>
      </c>
      <c r="P138" s="72">
        <v>13.3815077037602</v>
      </c>
      <c r="Q138" s="72">
        <v>24.1285281339318</v>
      </c>
      <c r="R138" s="75">
        <f t="shared" si="15"/>
        <v>18.755017918846</v>
      </c>
      <c r="S138" s="76">
        <v>19.9027320914289</v>
      </c>
      <c r="T138" s="72" t="s">
        <v>32</v>
      </c>
      <c r="U138" s="72">
        <v>0</v>
      </c>
      <c r="V138" s="72" t="s">
        <v>34</v>
      </c>
      <c r="W138" s="77">
        <f t="shared" si="16"/>
        <v>41.6666666666667</v>
      </c>
      <c r="X138" s="78">
        <f t="shared" si="17"/>
        <v>40.0482202961384</v>
      </c>
      <c r="Z138" s="69" t="s">
        <v>246</v>
      </c>
      <c r="AA138" s="68">
        <v>49.837993214693</v>
      </c>
      <c r="AB138" s="68">
        <v>47</v>
      </c>
    </row>
    <row r="139" spans="1:28">
      <c r="A139" s="69" t="s">
        <v>195</v>
      </c>
      <c r="B139" s="69" t="s">
        <v>31</v>
      </c>
      <c r="C139" s="69" t="s">
        <v>41</v>
      </c>
      <c r="D139" s="70">
        <f t="shared" si="12"/>
        <v>50</v>
      </c>
      <c r="E139" s="71">
        <v>48.2277984439182</v>
      </c>
      <c r="F139" s="72" t="s">
        <v>34</v>
      </c>
      <c r="G139" s="72" t="s">
        <v>38</v>
      </c>
      <c r="H139" s="72" t="s">
        <v>38</v>
      </c>
      <c r="I139" s="72">
        <v>75</v>
      </c>
      <c r="J139" s="73">
        <f t="shared" si="13"/>
        <v>87.5</v>
      </c>
      <c r="K139" s="72">
        <v>0</v>
      </c>
      <c r="L139" s="72">
        <v>0</v>
      </c>
      <c r="M139" s="72" t="s">
        <v>34</v>
      </c>
      <c r="N139" s="72" t="s">
        <v>33</v>
      </c>
      <c r="O139" s="74">
        <f t="shared" si="14"/>
        <v>25</v>
      </c>
      <c r="P139" s="72">
        <v>13.3815077037602</v>
      </c>
      <c r="Q139" s="72">
        <v>48.8972292451224</v>
      </c>
      <c r="R139" s="75">
        <f t="shared" si="15"/>
        <v>31.1393684744413</v>
      </c>
      <c r="S139" s="76">
        <v>30.0356637291251</v>
      </c>
      <c r="T139" s="72">
        <v>75</v>
      </c>
      <c r="U139" s="72" t="s">
        <v>34</v>
      </c>
      <c r="V139" s="72" t="s">
        <v>32</v>
      </c>
      <c r="W139" s="77">
        <f t="shared" si="16"/>
        <v>66.6666666666667</v>
      </c>
      <c r="X139" s="78">
        <f t="shared" si="17"/>
        <v>51.486025767942</v>
      </c>
      <c r="Z139" s="69" t="s">
        <v>247</v>
      </c>
      <c r="AA139" s="68">
        <v>49.7746636548426</v>
      </c>
      <c r="AB139" s="68">
        <v>27</v>
      </c>
    </row>
    <row r="140" spans="1:28">
      <c r="A140" s="69" t="s">
        <v>248</v>
      </c>
      <c r="B140" s="69" t="s">
        <v>31</v>
      </c>
      <c r="C140" s="69" t="s">
        <v>31</v>
      </c>
      <c r="D140" s="70">
        <f t="shared" si="12"/>
        <v>60</v>
      </c>
      <c r="E140" s="71">
        <v>60.6620326132176</v>
      </c>
      <c r="F140" s="72" t="s">
        <v>32</v>
      </c>
      <c r="G140" s="72" t="s">
        <v>32</v>
      </c>
      <c r="H140" s="72" t="s">
        <v>38</v>
      </c>
      <c r="I140" s="72" t="s">
        <v>34</v>
      </c>
      <c r="J140" s="73">
        <f t="shared" si="13"/>
        <v>68.75</v>
      </c>
      <c r="K140" s="72" t="s">
        <v>33</v>
      </c>
      <c r="L140" s="72">
        <v>0</v>
      </c>
      <c r="M140" s="72" t="s">
        <v>33</v>
      </c>
      <c r="N140" s="72">
        <v>0</v>
      </c>
      <c r="O140" s="74">
        <f t="shared" si="14"/>
        <v>12.5</v>
      </c>
      <c r="P140" s="72">
        <v>25.5646714340494</v>
      </c>
      <c r="Q140" s="72">
        <v>38.1860184380486</v>
      </c>
      <c r="R140" s="75">
        <f t="shared" si="15"/>
        <v>31.875344936049</v>
      </c>
      <c r="S140" s="76">
        <v>32.2270535678027</v>
      </c>
      <c r="T140" s="72" t="s">
        <v>32</v>
      </c>
      <c r="U140" s="72">
        <v>0</v>
      </c>
      <c r="V140" s="72" t="s">
        <v>33</v>
      </c>
      <c r="W140" s="77">
        <f t="shared" si="16"/>
        <v>25</v>
      </c>
      <c r="X140" s="78">
        <f t="shared" si="17"/>
        <v>39.8278172362041</v>
      </c>
      <c r="Z140" s="69" t="s">
        <v>132</v>
      </c>
      <c r="AA140" s="68">
        <v>49.6568114837205</v>
      </c>
      <c r="AB140" s="68">
        <v>150</v>
      </c>
    </row>
    <row r="141" spans="1:28">
      <c r="A141" s="69" t="s">
        <v>233</v>
      </c>
      <c r="B141" s="69" t="s">
        <v>31</v>
      </c>
      <c r="C141" s="69" t="s">
        <v>31</v>
      </c>
      <c r="D141" s="70">
        <f t="shared" si="12"/>
        <v>60</v>
      </c>
      <c r="E141" s="71">
        <v>52.4322982497473</v>
      </c>
      <c r="F141" s="72" t="s">
        <v>32</v>
      </c>
      <c r="G141" s="72" t="s">
        <v>34</v>
      </c>
      <c r="H141" s="72" t="s">
        <v>38</v>
      </c>
      <c r="I141" s="72" t="s">
        <v>34</v>
      </c>
      <c r="J141" s="73">
        <f t="shared" si="13"/>
        <v>75</v>
      </c>
      <c r="K141" s="72" t="s">
        <v>33</v>
      </c>
      <c r="L141" s="72">
        <v>0</v>
      </c>
      <c r="M141" s="72" t="s">
        <v>32</v>
      </c>
      <c r="N141" s="72">
        <v>0</v>
      </c>
      <c r="O141" s="74">
        <f t="shared" si="14"/>
        <v>18.75</v>
      </c>
      <c r="P141" s="72">
        <v>82.2862861783463</v>
      </c>
      <c r="Q141" s="72">
        <v>64.8008340362161</v>
      </c>
      <c r="R141" s="75">
        <f t="shared" si="15"/>
        <v>73.5435601072812</v>
      </c>
      <c r="S141" s="76">
        <v>64.2676312982197</v>
      </c>
      <c r="T141" s="72" t="s">
        <v>34</v>
      </c>
      <c r="U141" s="72" t="s">
        <v>33</v>
      </c>
      <c r="V141" s="72" t="s">
        <v>33</v>
      </c>
      <c r="W141" s="77">
        <f t="shared" si="16"/>
        <v>41.6666666666667</v>
      </c>
      <c r="X141" s="78">
        <f t="shared" si="17"/>
        <v>50.4233192429267</v>
      </c>
      <c r="Z141" s="69" t="s">
        <v>234</v>
      </c>
      <c r="AA141" s="68">
        <v>49.6078379039819</v>
      </c>
      <c r="AB141" s="68">
        <v>151</v>
      </c>
    </row>
    <row r="142" spans="1:28">
      <c r="A142" s="69" t="s">
        <v>249</v>
      </c>
      <c r="B142" s="69" t="s">
        <v>31</v>
      </c>
      <c r="C142" s="69" t="s">
        <v>31</v>
      </c>
      <c r="D142" s="70">
        <f t="shared" si="12"/>
        <v>60</v>
      </c>
      <c r="E142" s="71">
        <v>65.0305872908508</v>
      </c>
      <c r="F142" s="72" t="s">
        <v>32</v>
      </c>
      <c r="G142" s="72" t="s">
        <v>32</v>
      </c>
      <c r="H142" s="72" t="s">
        <v>38</v>
      </c>
      <c r="I142" s="72">
        <v>75</v>
      </c>
      <c r="J142" s="73">
        <f t="shared" si="13"/>
        <v>68.75</v>
      </c>
      <c r="K142" s="72" t="s">
        <v>33</v>
      </c>
      <c r="L142" s="72">
        <v>0</v>
      </c>
      <c r="M142" s="72">
        <v>0</v>
      </c>
      <c r="N142" s="72" t="s">
        <v>33</v>
      </c>
      <c r="O142" s="74">
        <f t="shared" si="14"/>
        <v>12.5</v>
      </c>
      <c r="P142" s="72">
        <v>13.3815077037602</v>
      </c>
      <c r="Q142" s="72">
        <v>16.7850630496917</v>
      </c>
      <c r="R142" s="75">
        <f t="shared" si="15"/>
        <v>15.083285376726</v>
      </c>
      <c r="S142" s="76">
        <v>16.3479151053998</v>
      </c>
      <c r="T142" s="72">
        <v>75</v>
      </c>
      <c r="U142" s="72" t="s">
        <v>32</v>
      </c>
      <c r="V142" s="72" t="s">
        <v>32</v>
      </c>
      <c r="W142" s="77">
        <f t="shared" si="16"/>
        <v>58.3333333333333</v>
      </c>
      <c r="X142" s="78">
        <f t="shared" si="17"/>
        <v>44.1923671459168</v>
      </c>
      <c r="Z142" s="69" t="s">
        <v>250</v>
      </c>
      <c r="AA142" s="68">
        <v>49.5891091666519</v>
      </c>
      <c r="AB142" s="68">
        <v>58</v>
      </c>
    </row>
    <row r="143" spans="1:28">
      <c r="A143" s="69" t="s">
        <v>251</v>
      </c>
      <c r="B143" s="69" t="s">
        <v>37</v>
      </c>
      <c r="C143" s="69" t="s">
        <v>31</v>
      </c>
      <c r="D143" s="70">
        <f t="shared" si="12"/>
        <v>40</v>
      </c>
      <c r="E143" s="71">
        <v>41.7458384779676</v>
      </c>
      <c r="F143" s="72" t="s">
        <v>34</v>
      </c>
      <c r="G143" s="72" t="s">
        <v>32</v>
      </c>
      <c r="H143" s="72" t="s">
        <v>38</v>
      </c>
      <c r="I143" s="72">
        <v>75</v>
      </c>
      <c r="J143" s="73">
        <f t="shared" si="13"/>
        <v>75</v>
      </c>
      <c r="K143" s="72">
        <v>0</v>
      </c>
      <c r="L143" s="72">
        <v>0</v>
      </c>
      <c r="M143" s="72" t="s">
        <v>34</v>
      </c>
      <c r="N143" s="72" t="s">
        <v>33</v>
      </c>
      <c r="O143" s="74">
        <f t="shared" si="14"/>
        <v>25</v>
      </c>
      <c r="P143" s="72">
        <v>15.5784716551238</v>
      </c>
      <c r="Q143" s="72">
        <v>29.3738603369605</v>
      </c>
      <c r="R143" s="75">
        <f t="shared" si="15"/>
        <v>22.4761659960421</v>
      </c>
      <c r="S143" s="76">
        <v>23.4571598818691</v>
      </c>
      <c r="T143" s="72" t="s">
        <v>34</v>
      </c>
      <c r="U143" s="72" t="s">
        <v>32</v>
      </c>
      <c r="V143" s="72" t="s">
        <v>32</v>
      </c>
      <c r="W143" s="77">
        <f t="shared" si="16"/>
        <v>58.3333333333333</v>
      </c>
      <c r="X143" s="78">
        <f t="shared" si="17"/>
        <v>44.707266338634</v>
      </c>
      <c r="Z143" s="69" t="s">
        <v>252</v>
      </c>
      <c r="AA143" s="68">
        <v>49.5748001524907</v>
      </c>
      <c r="AB143" s="68">
        <v>29</v>
      </c>
    </row>
    <row r="144" spans="1:28">
      <c r="A144" s="69" t="s">
        <v>253</v>
      </c>
      <c r="B144" s="69" t="s">
        <v>41</v>
      </c>
      <c r="C144" s="69" t="s">
        <v>41</v>
      </c>
      <c r="D144" s="70">
        <f t="shared" si="12"/>
        <v>40</v>
      </c>
      <c r="E144" s="71">
        <v>43.2542915317276</v>
      </c>
      <c r="F144" s="72" t="s">
        <v>34</v>
      </c>
      <c r="G144" s="72" t="s">
        <v>38</v>
      </c>
      <c r="H144" s="72" t="s">
        <v>38</v>
      </c>
      <c r="I144" s="72">
        <v>75</v>
      </c>
      <c r="J144" s="73">
        <f t="shared" si="13"/>
        <v>87.5</v>
      </c>
      <c r="K144" s="72" t="s">
        <v>33</v>
      </c>
      <c r="L144" s="72">
        <v>0</v>
      </c>
      <c r="M144" s="72" t="s">
        <v>34</v>
      </c>
      <c r="N144" s="72" t="s">
        <v>33</v>
      </c>
      <c r="O144" s="74">
        <f t="shared" si="14"/>
        <v>31.25</v>
      </c>
      <c r="P144" s="72">
        <v>15.5784716551238</v>
      </c>
      <c r="Q144" s="72">
        <v>17.6243162021763</v>
      </c>
      <c r="R144" s="75">
        <f t="shared" si="15"/>
        <v>16.60139392865</v>
      </c>
      <c r="S144" s="76">
        <v>17.952038320572</v>
      </c>
      <c r="T144" s="72">
        <v>75</v>
      </c>
      <c r="U144" s="72" t="s">
        <v>38</v>
      </c>
      <c r="V144" s="72" t="s">
        <v>33</v>
      </c>
      <c r="W144" s="77">
        <f t="shared" si="16"/>
        <v>66.6666666666667</v>
      </c>
      <c r="X144" s="78">
        <f t="shared" si="17"/>
        <v>49.3245993037932</v>
      </c>
      <c r="Z144" s="69" t="s">
        <v>254</v>
      </c>
      <c r="AA144" s="68">
        <v>49.5144210698379</v>
      </c>
      <c r="AB144" s="68">
        <v>152</v>
      </c>
    </row>
    <row r="145" spans="1:28">
      <c r="A145" s="69" t="s">
        <v>193</v>
      </c>
      <c r="B145" s="69" t="s">
        <v>31</v>
      </c>
      <c r="C145" s="69" t="s">
        <v>31</v>
      </c>
      <c r="D145" s="70">
        <f t="shared" si="12"/>
        <v>60</v>
      </c>
      <c r="E145" s="71">
        <v>57.1373431905895</v>
      </c>
      <c r="F145" s="72" t="s">
        <v>34</v>
      </c>
      <c r="G145" s="72">
        <v>75</v>
      </c>
      <c r="H145" s="72">
        <v>75</v>
      </c>
      <c r="I145" s="72" t="s">
        <v>34</v>
      </c>
      <c r="J145" s="73">
        <f t="shared" si="13"/>
        <v>75</v>
      </c>
      <c r="K145" s="72">
        <v>0</v>
      </c>
      <c r="L145" s="72">
        <v>0</v>
      </c>
      <c r="M145" s="72" t="s">
        <v>32</v>
      </c>
      <c r="N145" s="72" t="s">
        <v>33</v>
      </c>
      <c r="O145" s="74">
        <f t="shared" si="14"/>
        <v>18.75</v>
      </c>
      <c r="P145" s="72">
        <v>50.3304468857847</v>
      </c>
      <c r="Q145" s="72">
        <v>51.4042555896809</v>
      </c>
      <c r="R145" s="75">
        <f t="shared" si="15"/>
        <v>50.8673512377328</v>
      </c>
      <c r="S145" s="76">
        <v>48.4404217477766</v>
      </c>
      <c r="T145" s="72">
        <v>75</v>
      </c>
      <c r="U145" s="72">
        <v>50</v>
      </c>
      <c r="V145" s="72" t="s">
        <v>32</v>
      </c>
      <c r="W145" s="77">
        <f t="shared" si="16"/>
        <v>58.3333333333333</v>
      </c>
      <c r="X145" s="78">
        <f t="shared" si="17"/>
        <v>51.5322196543399</v>
      </c>
      <c r="Z145" s="69" t="s">
        <v>255</v>
      </c>
      <c r="AA145" s="68">
        <v>49.4957420315478</v>
      </c>
      <c r="AB145" s="68">
        <v>153</v>
      </c>
    </row>
    <row r="146" spans="1:28">
      <c r="A146" s="69" t="s">
        <v>39</v>
      </c>
      <c r="B146" s="69" t="s">
        <v>45</v>
      </c>
      <c r="C146" s="69" t="s">
        <v>38</v>
      </c>
      <c r="D146" s="70">
        <f t="shared" si="12"/>
        <v>90</v>
      </c>
      <c r="E146" s="71">
        <v>82.1552865412882</v>
      </c>
      <c r="F146" s="72" t="s">
        <v>34</v>
      </c>
      <c r="G146" s="72" t="s">
        <v>38</v>
      </c>
      <c r="H146" s="72" t="s">
        <v>38</v>
      </c>
      <c r="I146" s="72">
        <v>100</v>
      </c>
      <c r="J146" s="73">
        <f t="shared" si="13"/>
        <v>93.75</v>
      </c>
      <c r="K146" s="72" t="s">
        <v>33</v>
      </c>
      <c r="L146" s="72">
        <v>0</v>
      </c>
      <c r="M146" s="72" t="s">
        <v>34</v>
      </c>
      <c r="N146" s="72" t="s">
        <v>34</v>
      </c>
      <c r="O146" s="74">
        <f t="shared" si="14"/>
        <v>43.75</v>
      </c>
      <c r="P146" s="72">
        <v>29.3594273500411</v>
      </c>
      <c r="Q146" s="72">
        <v>58.6738112638252</v>
      </c>
      <c r="R146" s="75">
        <f t="shared" si="15"/>
        <v>44.0166193069332</v>
      </c>
      <c r="S146" s="76">
        <v>40.1799774637766</v>
      </c>
      <c r="T146" s="72">
        <v>100</v>
      </c>
      <c r="U146" s="72" t="s">
        <v>38</v>
      </c>
      <c r="V146" s="72" t="s">
        <v>38</v>
      </c>
      <c r="W146" s="77">
        <f t="shared" si="16"/>
        <v>100</v>
      </c>
      <c r="X146" s="78">
        <f t="shared" si="17"/>
        <v>71.967052801013</v>
      </c>
      <c r="Z146" s="69" t="s">
        <v>212</v>
      </c>
      <c r="AA146" s="68">
        <v>49.4601896522674</v>
      </c>
      <c r="AB146" s="68">
        <v>154</v>
      </c>
    </row>
    <row r="147" spans="1:28">
      <c r="A147" s="69" t="s">
        <v>256</v>
      </c>
      <c r="B147" s="69" t="s">
        <v>41</v>
      </c>
      <c r="C147" s="69" t="s">
        <v>31</v>
      </c>
      <c r="D147" s="70">
        <f t="shared" si="12"/>
        <v>50</v>
      </c>
      <c r="E147" s="71">
        <v>45.6200629955084</v>
      </c>
      <c r="F147" s="72" t="s">
        <v>34</v>
      </c>
      <c r="G147" s="72" t="s">
        <v>33</v>
      </c>
      <c r="H147" s="72" t="s">
        <v>38</v>
      </c>
      <c r="I147" s="72" t="s">
        <v>34</v>
      </c>
      <c r="J147" s="73">
        <f t="shared" si="13"/>
        <v>68.75</v>
      </c>
      <c r="K147" s="72">
        <v>0</v>
      </c>
      <c r="L147" s="72">
        <v>0</v>
      </c>
      <c r="M147" s="72" t="s">
        <v>33</v>
      </c>
      <c r="N147" s="72">
        <v>0</v>
      </c>
      <c r="O147" s="74">
        <f t="shared" si="14"/>
        <v>6.25</v>
      </c>
      <c r="P147" s="72">
        <v>25.7643954296279</v>
      </c>
      <c r="Q147" s="72">
        <v>58.747720673921</v>
      </c>
      <c r="R147" s="75">
        <f t="shared" si="15"/>
        <v>42.2560580517745</v>
      </c>
      <c r="S147" s="76">
        <v>38.5544806052762</v>
      </c>
      <c r="T147" s="72" t="s">
        <v>34</v>
      </c>
      <c r="U147" s="72">
        <v>0</v>
      </c>
      <c r="V147" s="72" t="s">
        <v>33</v>
      </c>
      <c r="W147" s="77">
        <f t="shared" si="16"/>
        <v>33.3333333333333</v>
      </c>
      <c r="X147" s="78">
        <f t="shared" si="17"/>
        <v>38.5015753868236</v>
      </c>
      <c r="Z147" s="69" t="s">
        <v>257</v>
      </c>
      <c r="AA147" s="68">
        <v>49.3979434777441</v>
      </c>
      <c r="AB147" s="68">
        <v>155</v>
      </c>
    </row>
    <row r="148" spans="1:28">
      <c r="A148" s="69" t="s">
        <v>254</v>
      </c>
      <c r="B148" s="69" t="s">
        <v>37</v>
      </c>
      <c r="C148" s="69" t="s">
        <v>31</v>
      </c>
      <c r="D148" s="70">
        <f t="shared" si="12"/>
        <v>40</v>
      </c>
      <c r="E148" s="71">
        <v>40.6622315664584</v>
      </c>
      <c r="F148" s="72" t="s">
        <v>34</v>
      </c>
      <c r="G148" s="72" t="s">
        <v>38</v>
      </c>
      <c r="H148" s="72" t="s">
        <v>38</v>
      </c>
      <c r="I148" s="72" t="s">
        <v>34</v>
      </c>
      <c r="J148" s="73">
        <f t="shared" si="13"/>
        <v>87.5</v>
      </c>
      <c r="K148" s="72">
        <v>0</v>
      </c>
      <c r="L148" s="72">
        <v>0</v>
      </c>
      <c r="M148" s="72" t="s">
        <v>34</v>
      </c>
      <c r="N148" s="72">
        <v>0</v>
      </c>
      <c r="O148" s="74">
        <f t="shared" si="14"/>
        <v>18.75</v>
      </c>
      <c r="P148" s="72">
        <v>79.2904262446687</v>
      </c>
      <c r="Q148" s="72">
        <v>36.7744424916099</v>
      </c>
      <c r="R148" s="75">
        <f t="shared" si="15"/>
        <v>58.0324343681393</v>
      </c>
      <c r="S148" s="76">
        <v>58.9932071160645</v>
      </c>
      <c r="T148" s="72">
        <v>75</v>
      </c>
      <c r="U148" s="72" t="s">
        <v>33</v>
      </c>
      <c r="V148" s="72" t="s">
        <v>33</v>
      </c>
      <c r="W148" s="77">
        <f t="shared" si="16"/>
        <v>41.6666666666667</v>
      </c>
      <c r="X148" s="78">
        <f t="shared" si="17"/>
        <v>49.5144210698379</v>
      </c>
      <c r="Z148" s="69" t="s">
        <v>205</v>
      </c>
      <c r="AA148" s="68">
        <v>49.3559381919507</v>
      </c>
      <c r="AB148" s="68">
        <v>100</v>
      </c>
    </row>
    <row r="149" spans="1:28">
      <c r="A149" s="69" t="s">
        <v>201</v>
      </c>
      <c r="B149" s="69" t="s">
        <v>31</v>
      </c>
      <c r="C149" s="69" t="s">
        <v>31</v>
      </c>
      <c r="D149" s="70">
        <f t="shared" si="12"/>
        <v>60</v>
      </c>
      <c r="E149" s="71">
        <v>63.0489414433728</v>
      </c>
      <c r="F149" s="72" t="s">
        <v>34</v>
      </c>
      <c r="G149" s="72" t="s">
        <v>34</v>
      </c>
      <c r="H149" s="72" t="s">
        <v>38</v>
      </c>
      <c r="I149" s="72">
        <v>75</v>
      </c>
      <c r="J149" s="73">
        <f t="shared" si="13"/>
        <v>81.25</v>
      </c>
      <c r="K149" s="72" t="s">
        <v>33</v>
      </c>
      <c r="L149" s="72">
        <v>0</v>
      </c>
      <c r="M149" s="72" t="s">
        <v>32</v>
      </c>
      <c r="N149" s="72" t="s">
        <v>33</v>
      </c>
      <c r="O149" s="74">
        <f t="shared" si="14"/>
        <v>25</v>
      </c>
      <c r="P149" s="72">
        <v>13.1817837081817</v>
      </c>
      <c r="Q149" s="72">
        <v>27.275727455749</v>
      </c>
      <c r="R149" s="75">
        <f t="shared" si="15"/>
        <v>20.2287555819653</v>
      </c>
      <c r="S149" s="76">
        <v>21.2566937693272</v>
      </c>
      <c r="T149" s="72">
        <v>75</v>
      </c>
      <c r="U149" s="72" t="s">
        <v>38</v>
      </c>
      <c r="V149" s="72" t="s">
        <v>33</v>
      </c>
      <c r="W149" s="77">
        <f t="shared" si="16"/>
        <v>66.6666666666667</v>
      </c>
      <c r="X149" s="78">
        <f t="shared" si="17"/>
        <v>51.4444603758733</v>
      </c>
      <c r="Z149" s="69" t="s">
        <v>226</v>
      </c>
      <c r="AA149" s="68">
        <v>49.3514154310934</v>
      </c>
      <c r="AB149" s="68">
        <v>156</v>
      </c>
    </row>
    <row r="150" spans="1:28">
      <c r="A150" s="69" t="s">
        <v>150</v>
      </c>
      <c r="B150" s="69" t="s">
        <v>31</v>
      </c>
      <c r="C150" s="69" t="s">
        <v>31</v>
      </c>
      <c r="D150" s="70">
        <f t="shared" si="12"/>
        <v>60</v>
      </c>
      <c r="E150" s="71">
        <v>60.5118765320688</v>
      </c>
      <c r="F150" s="72" t="s">
        <v>34</v>
      </c>
      <c r="G150" s="72" t="s">
        <v>34</v>
      </c>
      <c r="H150" s="72" t="s">
        <v>38</v>
      </c>
      <c r="I150" s="72">
        <v>75</v>
      </c>
      <c r="J150" s="73">
        <f t="shared" si="13"/>
        <v>81.25</v>
      </c>
      <c r="K150" s="72" t="s">
        <v>33</v>
      </c>
      <c r="L150" s="72">
        <v>0</v>
      </c>
      <c r="M150" s="72" t="s">
        <v>33</v>
      </c>
      <c r="N150" s="72">
        <v>0</v>
      </c>
      <c r="O150" s="74">
        <f t="shared" si="14"/>
        <v>12.5</v>
      </c>
      <c r="P150" s="72">
        <v>50.3304468857847</v>
      </c>
      <c r="Q150" s="72">
        <v>38.8154583024121</v>
      </c>
      <c r="R150" s="75">
        <f t="shared" si="15"/>
        <v>44.5729525940984</v>
      </c>
      <c r="S150" s="76">
        <v>44.953216734064</v>
      </c>
      <c r="T150" s="72">
        <v>75</v>
      </c>
      <c r="U150" s="72" t="s">
        <v>32</v>
      </c>
      <c r="V150" s="72" t="s">
        <v>34</v>
      </c>
      <c r="W150" s="77">
        <f t="shared" si="16"/>
        <v>66.6666666666667</v>
      </c>
      <c r="X150" s="78">
        <f t="shared" si="17"/>
        <v>53.1763519865599</v>
      </c>
      <c r="Z150" s="69" t="s">
        <v>253</v>
      </c>
      <c r="AA150" s="68">
        <v>49.3245993037932</v>
      </c>
      <c r="AB150" s="68">
        <v>157</v>
      </c>
    </row>
    <row r="151" spans="1:28">
      <c r="A151" s="69" t="s">
        <v>258</v>
      </c>
      <c r="B151" s="69" t="s">
        <v>41</v>
      </c>
      <c r="C151" s="69" t="s">
        <v>31</v>
      </c>
      <c r="D151" s="70">
        <f t="shared" si="12"/>
        <v>50</v>
      </c>
      <c r="E151" s="71">
        <v>47.9518710921128</v>
      </c>
      <c r="F151" s="72" t="s">
        <v>34</v>
      </c>
      <c r="G151" s="72" t="s">
        <v>34</v>
      </c>
      <c r="H151" s="72" t="s">
        <v>38</v>
      </c>
      <c r="I151" s="72">
        <v>75</v>
      </c>
      <c r="J151" s="73">
        <f t="shared" si="13"/>
        <v>81.25</v>
      </c>
      <c r="K151" s="72">
        <v>0</v>
      </c>
      <c r="L151" s="72">
        <v>0</v>
      </c>
      <c r="M151" s="72">
        <v>0</v>
      </c>
      <c r="N151" s="72">
        <v>0</v>
      </c>
      <c r="O151" s="74">
        <f t="shared" si="14"/>
        <v>0</v>
      </c>
      <c r="P151" s="72">
        <v>33.3539072616113</v>
      </c>
      <c r="Q151" s="72">
        <v>50.0404692168934</v>
      </c>
      <c r="R151" s="75">
        <f t="shared" si="15"/>
        <v>41.6971882392523</v>
      </c>
      <c r="S151" s="76">
        <v>39.9891639070438</v>
      </c>
      <c r="T151" s="72">
        <v>75</v>
      </c>
      <c r="U151" s="72" t="s">
        <v>32</v>
      </c>
      <c r="V151" s="72" t="s">
        <v>32</v>
      </c>
      <c r="W151" s="77">
        <f t="shared" si="16"/>
        <v>58.3333333333333</v>
      </c>
      <c r="X151" s="78">
        <f t="shared" si="17"/>
        <v>45.504873666498</v>
      </c>
      <c r="Z151" s="69" t="s">
        <v>259</v>
      </c>
      <c r="AA151" s="68">
        <v>49.3047144975119</v>
      </c>
      <c r="AB151" s="68">
        <v>158</v>
      </c>
    </row>
    <row r="152" spans="1:28">
      <c r="A152" s="69" t="s">
        <v>162</v>
      </c>
      <c r="B152" s="69" t="s">
        <v>41</v>
      </c>
      <c r="C152" s="69" t="s">
        <v>45</v>
      </c>
      <c r="D152" s="70">
        <f t="shared" si="12"/>
        <v>60</v>
      </c>
      <c r="E152" s="71">
        <v>57.8463604488355</v>
      </c>
      <c r="F152" s="72" t="s">
        <v>34</v>
      </c>
      <c r="G152" s="72" t="s">
        <v>38</v>
      </c>
      <c r="H152" s="72" t="s">
        <v>38</v>
      </c>
      <c r="I152" s="72" t="s">
        <v>34</v>
      </c>
      <c r="J152" s="73">
        <f t="shared" si="13"/>
        <v>87.5</v>
      </c>
      <c r="K152" s="72">
        <v>0</v>
      </c>
      <c r="L152" s="72">
        <v>0</v>
      </c>
      <c r="M152" s="72" t="s">
        <v>32</v>
      </c>
      <c r="N152" s="72" t="s">
        <v>33</v>
      </c>
      <c r="O152" s="74">
        <f t="shared" si="14"/>
        <v>18.75</v>
      </c>
      <c r="P152" s="72">
        <v>50.3304468857847</v>
      </c>
      <c r="Q152" s="72">
        <v>48.9914027762877</v>
      </c>
      <c r="R152" s="75">
        <f t="shared" si="15"/>
        <v>49.6609248310362</v>
      </c>
      <c r="S152" s="76">
        <v>47.8783959666441</v>
      </c>
      <c r="T152" s="72">
        <v>75</v>
      </c>
      <c r="U152" s="72" t="s">
        <v>32</v>
      </c>
      <c r="V152" s="72" t="s">
        <v>33</v>
      </c>
      <c r="W152" s="77">
        <f t="shared" si="16"/>
        <v>50</v>
      </c>
      <c r="X152" s="78">
        <f t="shared" si="17"/>
        <v>52.3949512830959</v>
      </c>
      <c r="Z152" s="69" t="s">
        <v>260</v>
      </c>
      <c r="AA152" s="68">
        <v>49.2925675821854</v>
      </c>
      <c r="AB152" s="68">
        <v>159</v>
      </c>
    </row>
    <row r="153" spans="1:28">
      <c r="A153" s="69" t="s">
        <v>261</v>
      </c>
      <c r="B153" s="69" t="s">
        <v>45</v>
      </c>
      <c r="C153" s="69" t="s">
        <v>31</v>
      </c>
      <c r="D153" s="70">
        <f t="shared" si="12"/>
        <v>70</v>
      </c>
      <c r="E153" s="71">
        <v>60.8236053824685</v>
      </c>
      <c r="F153" s="72" t="s">
        <v>32</v>
      </c>
      <c r="G153" s="72" t="s">
        <v>33</v>
      </c>
      <c r="H153" s="72" t="s">
        <v>38</v>
      </c>
      <c r="I153" s="72" t="s">
        <v>34</v>
      </c>
      <c r="J153" s="73">
        <f t="shared" si="13"/>
        <v>62.5</v>
      </c>
      <c r="K153" s="72">
        <v>0</v>
      </c>
      <c r="L153" s="72">
        <v>0</v>
      </c>
      <c r="M153" s="72" t="s">
        <v>32</v>
      </c>
      <c r="N153" s="72">
        <v>0</v>
      </c>
      <c r="O153" s="74">
        <f t="shared" si="14"/>
        <v>12.5</v>
      </c>
      <c r="P153" s="72">
        <v>33.9530792483468</v>
      </c>
      <c r="Q153" s="72">
        <v>65.514199215828</v>
      </c>
      <c r="R153" s="75">
        <f t="shared" si="15"/>
        <v>49.7336392320874</v>
      </c>
      <c r="S153" s="76">
        <v>43.2139892412363</v>
      </c>
      <c r="T153" s="72" t="s">
        <v>33</v>
      </c>
      <c r="U153" s="72">
        <v>0</v>
      </c>
      <c r="V153" s="72" t="s">
        <v>33</v>
      </c>
      <c r="W153" s="77">
        <f t="shared" si="16"/>
        <v>16.6666666666667</v>
      </c>
      <c r="X153" s="78">
        <f t="shared" si="17"/>
        <v>39.1408522580743</v>
      </c>
      <c r="Z153" s="69" t="s">
        <v>262</v>
      </c>
      <c r="AA153" s="68">
        <v>49.29252709179</v>
      </c>
      <c r="AB153" s="68">
        <v>160</v>
      </c>
    </row>
    <row r="154" spans="1:28">
      <c r="A154" s="69" t="s">
        <v>263</v>
      </c>
      <c r="B154" s="69" t="s">
        <v>41</v>
      </c>
      <c r="C154" s="69" t="s">
        <v>31</v>
      </c>
      <c r="D154" s="70">
        <f t="shared" si="12"/>
        <v>50</v>
      </c>
      <c r="E154" s="71">
        <v>47.6144526588246</v>
      </c>
      <c r="F154" s="72" t="s">
        <v>32</v>
      </c>
      <c r="G154" s="72" t="s">
        <v>34</v>
      </c>
      <c r="H154" s="72" t="s">
        <v>34</v>
      </c>
      <c r="I154" s="72" t="s">
        <v>34</v>
      </c>
      <c r="J154" s="73">
        <f t="shared" si="13"/>
        <v>68.75</v>
      </c>
      <c r="K154" s="72">
        <v>0</v>
      </c>
      <c r="L154" s="72">
        <v>0</v>
      </c>
      <c r="M154" s="72" t="s">
        <v>33</v>
      </c>
      <c r="N154" s="72">
        <v>0</v>
      </c>
      <c r="O154" s="74">
        <f t="shared" si="14"/>
        <v>6.25</v>
      </c>
      <c r="P154" s="72">
        <v>50.3304468857847</v>
      </c>
      <c r="Q154" s="72">
        <v>51.4042555896809</v>
      </c>
      <c r="R154" s="75">
        <f t="shared" si="15"/>
        <v>50.8673512377328</v>
      </c>
      <c r="S154" s="76">
        <v>48.4404217477766</v>
      </c>
      <c r="T154" s="72" t="s">
        <v>34</v>
      </c>
      <c r="U154" s="72" t="s">
        <v>32</v>
      </c>
      <c r="V154" s="72" t="s">
        <v>33</v>
      </c>
      <c r="W154" s="77">
        <f t="shared" si="16"/>
        <v>50</v>
      </c>
      <c r="X154" s="78">
        <f t="shared" si="17"/>
        <v>44.2109748813202</v>
      </c>
      <c r="Z154" s="69" t="s">
        <v>114</v>
      </c>
      <c r="AA154" s="68">
        <v>49.2756245017176</v>
      </c>
      <c r="AB154" s="68">
        <v>161</v>
      </c>
    </row>
    <row r="155" spans="1:28">
      <c r="A155" s="69" t="s">
        <v>169</v>
      </c>
      <c r="B155" s="69" t="s">
        <v>31</v>
      </c>
      <c r="C155" s="69" t="s">
        <v>31</v>
      </c>
      <c r="D155" s="70">
        <f t="shared" si="12"/>
        <v>60</v>
      </c>
      <c r="E155" s="71">
        <v>64.0728163135476</v>
      </c>
      <c r="F155" s="72" t="s">
        <v>34</v>
      </c>
      <c r="G155" s="72" t="s">
        <v>34</v>
      </c>
      <c r="H155" s="72" t="s">
        <v>38</v>
      </c>
      <c r="I155" s="72">
        <v>75</v>
      </c>
      <c r="J155" s="73">
        <f t="shared" si="13"/>
        <v>81.25</v>
      </c>
      <c r="K155" s="72" t="s">
        <v>33</v>
      </c>
      <c r="L155" s="72">
        <v>0</v>
      </c>
      <c r="M155" s="72" t="s">
        <v>34</v>
      </c>
      <c r="N155" s="72" t="s">
        <v>33</v>
      </c>
      <c r="O155" s="74">
        <f t="shared" si="14"/>
        <v>31.25</v>
      </c>
      <c r="P155" s="72">
        <v>26.3635674163634</v>
      </c>
      <c r="Q155" s="72">
        <v>22.0303952527204</v>
      </c>
      <c r="R155" s="75">
        <f t="shared" si="15"/>
        <v>24.1969813345419</v>
      </c>
      <c r="S155" s="76">
        <v>25.8394790065074</v>
      </c>
      <c r="T155" s="72">
        <v>75</v>
      </c>
      <c r="U155" s="72">
        <v>75</v>
      </c>
      <c r="V155" s="72" t="s">
        <v>33</v>
      </c>
      <c r="W155" s="77">
        <f t="shared" si="16"/>
        <v>58.3333333333333</v>
      </c>
      <c r="X155" s="78">
        <f t="shared" si="17"/>
        <v>52.1491257306777</v>
      </c>
      <c r="Z155" s="69" t="s">
        <v>137</v>
      </c>
      <c r="AA155" s="68">
        <v>49.2745085036004</v>
      </c>
      <c r="AB155" s="68">
        <v>162</v>
      </c>
    </row>
    <row r="156" spans="1:28">
      <c r="A156" s="69" t="s">
        <v>206</v>
      </c>
      <c r="B156" s="69" t="s">
        <v>45</v>
      </c>
      <c r="C156" s="69" t="s">
        <v>31</v>
      </c>
      <c r="D156" s="70">
        <f t="shared" si="12"/>
        <v>70</v>
      </c>
      <c r="E156" s="71">
        <v>71.4558949865915</v>
      </c>
      <c r="F156" s="72" t="s">
        <v>34</v>
      </c>
      <c r="G156" s="72">
        <v>50</v>
      </c>
      <c r="H156" s="72">
        <v>50</v>
      </c>
      <c r="I156" s="72">
        <v>50</v>
      </c>
      <c r="J156" s="73">
        <f t="shared" si="13"/>
        <v>56.25</v>
      </c>
      <c r="K156" s="72" t="s">
        <v>32</v>
      </c>
      <c r="L156" s="72">
        <v>0</v>
      </c>
      <c r="M156" s="72" t="s">
        <v>32</v>
      </c>
      <c r="N156" s="72" t="s">
        <v>33</v>
      </c>
      <c r="O156" s="74">
        <f t="shared" si="14"/>
        <v>31.25</v>
      </c>
      <c r="P156" s="72">
        <v>73.4984303728919</v>
      </c>
      <c r="Q156" s="72">
        <v>35.6682589805949</v>
      </c>
      <c r="R156" s="75">
        <f t="shared" si="15"/>
        <v>54.5833446767434</v>
      </c>
      <c r="S156" s="76">
        <v>55.7185963605472</v>
      </c>
      <c r="T156" s="72">
        <v>50</v>
      </c>
      <c r="U156" s="72">
        <v>25</v>
      </c>
      <c r="V156" s="72" t="s">
        <v>32</v>
      </c>
      <c r="W156" s="77">
        <f t="shared" si="16"/>
        <v>41.6666666666667</v>
      </c>
      <c r="X156" s="78">
        <f t="shared" si="17"/>
        <v>51.2682316027611</v>
      </c>
      <c r="Z156" s="69" t="s">
        <v>211</v>
      </c>
      <c r="AA156" s="68">
        <v>49.2317741262059</v>
      </c>
      <c r="AB156" s="68">
        <v>163</v>
      </c>
    </row>
    <row r="157" spans="1:28">
      <c r="A157" s="69" t="s">
        <v>70</v>
      </c>
      <c r="B157" s="69">
        <v>80</v>
      </c>
      <c r="C157" s="69">
        <v>80</v>
      </c>
      <c r="D157" s="70">
        <f t="shared" si="12"/>
        <v>80</v>
      </c>
      <c r="E157" s="71">
        <f>D157*0.86</f>
        <v>68.8</v>
      </c>
      <c r="F157" s="72" t="s">
        <v>34</v>
      </c>
      <c r="G157" s="72" t="s">
        <v>38</v>
      </c>
      <c r="H157" s="72" t="s">
        <v>38</v>
      </c>
      <c r="I157" s="72">
        <v>75</v>
      </c>
      <c r="J157" s="73">
        <f t="shared" si="13"/>
        <v>87.5</v>
      </c>
      <c r="K157" s="72" t="s">
        <v>32</v>
      </c>
      <c r="L157" s="72">
        <v>0</v>
      </c>
      <c r="M157" s="72" t="s">
        <v>34</v>
      </c>
      <c r="N157" s="72" t="s">
        <v>33</v>
      </c>
      <c r="O157" s="74">
        <f t="shared" si="14"/>
        <v>37.5</v>
      </c>
      <c r="P157" s="72">
        <v>33.3539072616113</v>
      </c>
      <c r="Q157" s="72">
        <v>66.7659663502873</v>
      </c>
      <c r="R157" s="75">
        <f t="shared" si="15"/>
        <v>50.0599368059493</v>
      </c>
      <c r="S157" s="76">
        <v>43.0491285275998</v>
      </c>
      <c r="T157" s="72">
        <v>75</v>
      </c>
      <c r="U157" s="72" t="s">
        <v>32</v>
      </c>
      <c r="V157" s="72" t="s">
        <v>33</v>
      </c>
      <c r="W157" s="77">
        <f t="shared" si="16"/>
        <v>50</v>
      </c>
      <c r="X157" s="78">
        <f t="shared" si="17"/>
        <v>57.36982570552</v>
      </c>
      <c r="Z157" s="69" t="s">
        <v>264</v>
      </c>
      <c r="AA157" s="68">
        <v>49.1454163943314</v>
      </c>
      <c r="AB157" s="68">
        <v>164</v>
      </c>
    </row>
    <row r="158" spans="1:28">
      <c r="A158" s="69" t="s">
        <v>94</v>
      </c>
      <c r="B158" s="69" t="s">
        <v>41</v>
      </c>
      <c r="C158" s="69" t="s">
        <v>31</v>
      </c>
      <c r="D158" s="70">
        <f t="shared" si="12"/>
        <v>50</v>
      </c>
      <c r="E158" s="71">
        <v>54.058491988158</v>
      </c>
      <c r="F158" s="72" t="s">
        <v>34</v>
      </c>
      <c r="G158" s="72" t="s">
        <v>38</v>
      </c>
      <c r="H158" s="72" t="s">
        <v>38</v>
      </c>
      <c r="I158" s="72">
        <v>75</v>
      </c>
      <c r="J158" s="73">
        <f t="shared" si="13"/>
        <v>87.5</v>
      </c>
      <c r="K158" s="72">
        <v>0</v>
      </c>
      <c r="L158" s="72">
        <v>0</v>
      </c>
      <c r="M158" s="72" t="s">
        <v>34</v>
      </c>
      <c r="N158" s="72" t="s">
        <v>33</v>
      </c>
      <c r="O158" s="74">
        <f t="shared" si="14"/>
        <v>25</v>
      </c>
      <c r="P158" s="72">
        <v>33.5536312571898</v>
      </c>
      <c r="Q158" s="72">
        <v>17.6872601886126</v>
      </c>
      <c r="R158" s="75">
        <f t="shared" si="15"/>
        <v>25.6204457229012</v>
      </c>
      <c r="S158" s="76">
        <v>27.7000531968898</v>
      </c>
      <c r="T158" s="72">
        <v>75</v>
      </c>
      <c r="U158" s="72" t="s">
        <v>38</v>
      </c>
      <c r="V158" s="72" t="s">
        <v>34</v>
      </c>
      <c r="W158" s="77">
        <f t="shared" si="16"/>
        <v>83.3333333333333</v>
      </c>
      <c r="X158" s="78">
        <f t="shared" si="17"/>
        <v>55.5183757036762</v>
      </c>
      <c r="Z158" s="69" t="s">
        <v>265</v>
      </c>
      <c r="AA158" s="68">
        <v>49.1136764247888</v>
      </c>
      <c r="AB158" s="68">
        <v>165</v>
      </c>
    </row>
    <row r="159" spans="1:28">
      <c r="A159" s="69" t="s">
        <v>266</v>
      </c>
      <c r="B159" s="69" t="s">
        <v>45</v>
      </c>
      <c r="C159" s="69" t="s">
        <v>31</v>
      </c>
      <c r="D159" s="70">
        <f t="shared" si="12"/>
        <v>70</v>
      </c>
      <c r="E159" s="71">
        <v>67.1326195289578</v>
      </c>
      <c r="F159" s="72" t="s">
        <v>32</v>
      </c>
      <c r="G159" s="72" t="s">
        <v>34</v>
      </c>
      <c r="H159" s="72" t="s">
        <v>34</v>
      </c>
      <c r="I159" s="72">
        <v>75</v>
      </c>
      <c r="J159" s="73">
        <f t="shared" si="13"/>
        <v>68.75</v>
      </c>
      <c r="K159" s="72">
        <v>0</v>
      </c>
      <c r="L159" s="72">
        <v>0</v>
      </c>
      <c r="M159" s="72" t="s">
        <v>33</v>
      </c>
      <c r="N159" s="72">
        <v>0</v>
      </c>
      <c r="O159" s="74">
        <f t="shared" si="14"/>
        <v>6.25</v>
      </c>
      <c r="P159" s="72">
        <v>40.3442471068591</v>
      </c>
      <c r="Q159" s="72">
        <v>50.0404692168934</v>
      </c>
      <c r="R159" s="75">
        <f t="shared" si="15"/>
        <v>45.1923581618762</v>
      </c>
      <c r="S159" s="76">
        <v>43.3411626585376</v>
      </c>
      <c r="T159" s="72">
        <v>75</v>
      </c>
      <c r="U159" s="72" t="s">
        <v>34</v>
      </c>
      <c r="V159" s="72" t="s">
        <v>33</v>
      </c>
      <c r="W159" s="77">
        <f t="shared" si="16"/>
        <v>58.3333333333333</v>
      </c>
      <c r="X159" s="78">
        <f t="shared" si="17"/>
        <v>48.7614231041658</v>
      </c>
      <c r="Z159" s="69" t="s">
        <v>267</v>
      </c>
      <c r="AA159" s="68">
        <v>49.0905207915006</v>
      </c>
      <c r="AB159" s="68">
        <v>166</v>
      </c>
    </row>
    <row r="160" spans="1:28">
      <c r="A160" s="69" t="s">
        <v>89</v>
      </c>
      <c r="B160" s="69" t="s">
        <v>41</v>
      </c>
      <c r="C160" s="69" t="s">
        <v>31</v>
      </c>
      <c r="D160" s="70">
        <f t="shared" si="12"/>
        <v>50</v>
      </c>
      <c r="E160" s="71">
        <v>52.540784536144</v>
      </c>
      <c r="F160" s="72" t="s">
        <v>34</v>
      </c>
      <c r="G160" s="72" t="s">
        <v>38</v>
      </c>
      <c r="H160" s="72" t="s">
        <v>38</v>
      </c>
      <c r="I160" s="72">
        <v>75</v>
      </c>
      <c r="J160" s="73">
        <f t="shared" si="13"/>
        <v>87.5</v>
      </c>
      <c r="K160" s="72" t="s">
        <v>32</v>
      </c>
      <c r="L160" s="72" t="s">
        <v>33</v>
      </c>
      <c r="M160" s="72" t="s">
        <v>34</v>
      </c>
      <c r="N160" s="72" t="s">
        <v>33</v>
      </c>
      <c r="O160" s="74">
        <f t="shared" si="14"/>
        <v>43.75</v>
      </c>
      <c r="P160" s="72">
        <v>26.3635674163634</v>
      </c>
      <c r="Q160" s="72">
        <v>27.275727455749</v>
      </c>
      <c r="R160" s="75">
        <f t="shared" si="15"/>
        <v>26.8196474360562</v>
      </c>
      <c r="S160" s="76">
        <v>28.1825063454635</v>
      </c>
      <c r="T160" s="72">
        <v>75</v>
      </c>
      <c r="U160" s="72" t="s">
        <v>34</v>
      </c>
      <c r="V160" s="72" t="s">
        <v>32</v>
      </c>
      <c r="W160" s="77">
        <f t="shared" si="16"/>
        <v>66.6666666666667</v>
      </c>
      <c r="X160" s="78">
        <f t="shared" si="17"/>
        <v>55.7279915096548</v>
      </c>
      <c r="Z160" s="69" t="s">
        <v>122</v>
      </c>
      <c r="AA160" s="68">
        <v>49.0202925275432</v>
      </c>
      <c r="AB160" s="68">
        <v>167</v>
      </c>
    </row>
    <row r="161" spans="1:28">
      <c r="A161" s="69" t="s">
        <v>183</v>
      </c>
      <c r="B161" s="69" t="s">
        <v>41</v>
      </c>
      <c r="C161" s="69" t="s">
        <v>31</v>
      </c>
      <c r="D161" s="70">
        <f t="shared" si="12"/>
        <v>50</v>
      </c>
      <c r="E161" s="71">
        <v>54.868934322952</v>
      </c>
      <c r="F161" s="72" t="s">
        <v>34</v>
      </c>
      <c r="G161" s="72">
        <v>75</v>
      </c>
      <c r="H161" s="72">
        <v>75</v>
      </c>
      <c r="I161" s="72">
        <v>75</v>
      </c>
      <c r="J161" s="73">
        <f t="shared" si="13"/>
        <v>75</v>
      </c>
      <c r="K161" s="72" t="s">
        <v>33</v>
      </c>
      <c r="L161" s="72">
        <v>0</v>
      </c>
      <c r="M161" s="72" t="s">
        <v>34</v>
      </c>
      <c r="N161" s="72" t="s">
        <v>33</v>
      </c>
      <c r="O161" s="74">
        <f t="shared" si="14"/>
        <v>31.25</v>
      </c>
      <c r="P161" s="72">
        <v>58.3194067089251</v>
      </c>
      <c r="Q161" s="72">
        <v>12.0642640669659</v>
      </c>
      <c r="R161" s="75">
        <f t="shared" si="15"/>
        <v>35.1918353879455</v>
      </c>
      <c r="S161" s="76">
        <v>38.6187700921064</v>
      </c>
      <c r="T161" s="72">
        <v>75</v>
      </c>
      <c r="U161" s="72">
        <v>50</v>
      </c>
      <c r="V161" s="72">
        <v>50</v>
      </c>
      <c r="W161" s="77">
        <f t="shared" si="16"/>
        <v>58.3333333333333</v>
      </c>
      <c r="X161" s="78">
        <f t="shared" si="17"/>
        <v>51.6142075496783</v>
      </c>
      <c r="Z161" s="69" t="s">
        <v>244</v>
      </c>
      <c r="AA161" s="68">
        <v>49.0111660262769</v>
      </c>
      <c r="AB161" s="68">
        <v>85</v>
      </c>
    </row>
    <row r="162" spans="1:28">
      <c r="A162" s="69" t="s">
        <v>268</v>
      </c>
      <c r="B162" s="69" t="s">
        <v>31</v>
      </c>
      <c r="C162" s="69" t="s">
        <v>31</v>
      </c>
      <c r="D162" s="70">
        <f t="shared" si="12"/>
        <v>60</v>
      </c>
      <c r="E162" s="71">
        <v>52.7624297471325</v>
      </c>
      <c r="F162" s="72" t="s">
        <v>33</v>
      </c>
      <c r="G162" s="72" t="s">
        <v>32</v>
      </c>
      <c r="H162" s="72" t="s">
        <v>38</v>
      </c>
      <c r="I162" s="72" t="s">
        <v>34</v>
      </c>
      <c r="J162" s="73">
        <f t="shared" si="13"/>
        <v>62.5</v>
      </c>
      <c r="K162" s="72">
        <v>0</v>
      </c>
      <c r="L162" s="72">
        <v>0</v>
      </c>
      <c r="M162" s="72" t="s">
        <v>33</v>
      </c>
      <c r="N162" s="72">
        <v>0</v>
      </c>
      <c r="O162" s="74">
        <f t="shared" si="14"/>
        <v>6.25</v>
      </c>
      <c r="P162" s="72">
        <v>52.7271348327268</v>
      </c>
      <c r="Q162" s="72">
        <v>63.9930528769497</v>
      </c>
      <c r="R162" s="75">
        <f t="shared" si="15"/>
        <v>58.3600938548382</v>
      </c>
      <c r="S162" s="76">
        <v>51.320339200866</v>
      </c>
      <c r="T162" s="72" t="s">
        <v>32</v>
      </c>
      <c r="U162" s="72" t="s">
        <v>32</v>
      </c>
      <c r="V162" s="72" t="s">
        <v>33</v>
      </c>
      <c r="W162" s="77">
        <f t="shared" si="16"/>
        <v>41.6666666666667</v>
      </c>
      <c r="X162" s="78">
        <f t="shared" si="17"/>
        <v>42.899887122933</v>
      </c>
      <c r="Z162" s="69" t="s">
        <v>269</v>
      </c>
      <c r="AA162" s="68">
        <v>48.896923678201</v>
      </c>
      <c r="AB162" s="68">
        <v>168</v>
      </c>
    </row>
    <row r="163" spans="1:28">
      <c r="A163" s="69" t="s">
        <v>246</v>
      </c>
      <c r="B163" s="69" t="s">
        <v>31</v>
      </c>
      <c r="C163" s="69" t="s">
        <v>31</v>
      </c>
      <c r="D163" s="70">
        <f t="shared" si="12"/>
        <v>60</v>
      </c>
      <c r="E163" s="71">
        <v>60.0520714397004</v>
      </c>
      <c r="F163" s="72" t="s">
        <v>32</v>
      </c>
      <c r="G163" s="72" t="s">
        <v>34</v>
      </c>
      <c r="H163" s="72">
        <v>50</v>
      </c>
      <c r="I163" s="72">
        <v>75</v>
      </c>
      <c r="J163" s="73">
        <f t="shared" si="13"/>
        <v>62.5</v>
      </c>
      <c r="K163" s="72" t="s">
        <v>33</v>
      </c>
      <c r="L163" s="72">
        <v>0</v>
      </c>
      <c r="M163" s="72" t="s">
        <v>32</v>
      </c>
      <c r="N163" s="72">
        <v>0</v>
      </c>
      <c r="O163" s="74">
        <f t="shared" si="14"/>
        <v>18.75</v>
      </c>
      <c r="P163" s="72">
        <v>58.3194067089251</v>
      </c>
      <c r="Q163" s="72">
        <v>40.7037778955024</v>
      </c>
      <c r="R163" s="75">
        <f t="shared" si="15"/>
        <v>49.5115923022137</v>
      </c>
      <c r="S163" s="76">
        <v>49.554561300431</v>
      </c>
      <c r="T163" s="72">
        <v>75</v>
      </c>
      <c r="U163" s="72">
        <v>50</v>
      </c>
      <c r="V163" s="72">
        <v>50</v>
      </c>
      <c r="W163" s="77">
        <f t="shared" si="16"/>
        <v>58.3333333333333</v>
      </c>
      <c r="X163" s="78">
        <f t="shared" si="17"/>
        <v>49.837993214693</v>
      </c>
      <c r="Z163" s="69" t="s">
        <v>270</v>
      </c>
      <c r="AA163" s="68">
        <v>48.8671466241555</v>
      </c>
      <c r="AB163" s="68">
        <v>72</v>
      </c>
    </row>
    <row r="164" spans="1:28">
      <c r="A164" s="69" t="s">
        <v>271</v>
      </c>
      <c r="B164" s="69" t="s">
        <v>41</v>
      </c>
      <c r="C164" s="69" t="s">
        <v>31</v>
      </c>
      <c r="D164" s="70">
        <f t="shared" si="12"/>
        <v>50</v>
      </c>
      <c r="E164" s="71">
        <v>52.540784536144</v>
      </c>
      <c r="F164" s="72" t="s">
        <v>32</v>
      </c>
      <c r="G164" s="72" t="s">
        <v>38</v>
      </c>
      <c r="H164" s="72" t="s">
        <v>38</v>
      </c>
      <c r="I164" s="72">
        <v>75</v>
      </c>
      <c r="J164" s="73">
        <f t="shared" si="13"/>
        <v>81.25</v>
      </c>
      <c r="K164" s="72">
        <v>0</v>
      </c>
      <c r="L164" s="72">
        <v>0</v>
      </c>
      <c r="M164" s="72" t="s">
        <v>34</v>
      </c>
      <c r="N164" s="72" t="s">
        <v>33</v>
      </c>
      <c r="O164" s="74">
        <f t="shared" si="14"/>
        <v>25</v>
      </c>
      <c r="P164" s="72">
        <v>17.7754356064874</v>
      </c>
      <c r="Q164" s="72">
        <v>27.275727455749</v>
      </c>
      <c r="R164" s="75">
        <f t="shared" si="15"/>
        <v>22.5255815311182</v>
      </c>
      <c r="S164" s="76">
        <v>23.6702345155565</v>
      </c>
      <c r="T164" s="72">
        <v>75</v>
      </c>
      <c r="U164" s="72" t="s">
        <v>34</v>
      </c>
      <c r="V164" s="72" t="s">
        <v>33</v>
      </c>
      <c r="W164" s="77">
        <f t="shared" si="16"/>
        <v>58.3333333333333</v>
      </c>
      <c r="X164" s="78">
        <f t="shared" si="17"/>
        <v>48.1588704770068</v>
      </c>
      <c r="Z164" s="69" t="s">
        <v>220</v>
      </c>
      <c r="AA164" s="68">
        <v>48.8617560017806</v>
      </c>
      <c r="AB164" s="68">
        <v>169</v>
      </c>
    </row>
    <row r="165" spans="1:28">
      <c r="A165" s="69" t="s">
        <v>145</v>
      </c>
      <c r="B165" s="69" t="s">
        <v>31</v>
      </c>
      <c r="C165" s="69" t="s">
        <v>31</v>
      </c>
      <c r="D165" s="70">
        <f t="shared" si="12"/>
        <v>60</v>
      </c>
      <c r="E165" s="71">
        <v>65.5025151168546</v>
      </c>
      <c r="F165" s="72" t="s">
        <v>34</v>
      </c>
      <c r="G165" s="72" t="s">
        <v>38</v>
      </c>
      <c r="H165" s="72" t="s">
        <v>38</v>
      </c>
      <c r="I165" s="72">
        <v>75</v>
      </c>
      <c r="J165" s="73">
        <f t="shared" si="13"/>
        <v>87.5</v>
      </c>
      <c r="K165" s="72" t="s">
        <v>33</v>
      </c>
      <c r="L165" s="72">
        <v>0</v>
      </c>
      <c r="M165" s="72" t="s">
        <v>34</v>
      </c>
      <c r="N165" s="72" t="s">
        <v>33</v>
      </c>
      <c r="O165" s="74">
        <f t="shared" si="14"/>
        <v>31.25</v>
      </c>
      <c r="P165" s="72">
        <v>15.5784716551238</v>
      </c>
      <c r="Q165" s="72">
        <v>14.073313497774</v>
      </c>
      <c r="R165" s="75">
        <f t="shared" si="15"/>
        <v>14.8258925764489</v>
      </c>
      <c r="S165" s="76">
        <v>16.1855542101618</v>
      </c>
      <c r="T165" s="72">
        <v>75</v>
      </c>
      <c r="U165" s="72" t="s">
        <v>38</v>
      </c>
      <c r="V165" s="72" t="s">
        <v>33</v>
      </c>
      <c r="W165" s="77">
        <f t="shared" si="16"/>
        <v>66.6666666666667</v>
      </c>
      <c r="X165" s="78">
        <f t="shared" si="17"/>
        <v>53.4209471987366</v>
      </c>
      <c r="Z165" s="69" t="s">
        <v>272</v>
      </c>
      <c r="AA165" s="68">
        <v>48.8617560017806</v>
      </c>
      <c r="AB165" s="68">
        <v>170</v>
      </c>
    </row>
    <row r="166" spans="1:28">
      <c r="A166" s="69" t="s">
        <v>273</v>
      </c>
      <c r="B166" s="69" t="s">
        <v>31</v>
      </c>
      <c r="C166" s="69" t="s">
        <v>31</v>
      </c>
      <c r="D166" s="70">
        <f t="shared" si="12"/>
        <v>60</v>
      </c>
      <c r="E166" s="71">
        <v>64.3822043901342</v>
      </c>
      <c r="F166" s="72" t="s">
        <v>32</v>
      </c>
      <c r="G166" s="72" t="s">
        <v>33</v>
      </c>
      <c r="H166" s="72" t="s">
        <v>38</v>
      </c>
      <c r="I166" s="72" t="s">
        <v>34</v>
      </c>
      <c r="J166" s="73">
        <f t="shared" si="13"/>
        <v>62.5</v>
      </c>
      <c r="K166" s="72">
        <v>0</v>
      </c>
      <c r="L166" s="72">
        <v>0</v>
      </c>
      <c r="M166" s="72">
        <v>0</v>
      </c>
      <c r="N166" s="72">
        <v>0</v>
      </c>
      <c r="O166" s="74">
        <f t="shared" si="14"/>
        <v>0</v>
      </c>
      <c r="P166" s="72">
        <v>12.3828877258677</v>
      </c>
      <c r="Q166" s="72">
        <v>20.3728702765633</v>
      </c>
      <c r="R166" s="75">
        <f t="shared" si="15"/>
        <v>16.3778790012155</v>
      </c>
      <c r="S166" s="76">
        <v>17.5740658888857</v>
      </c>
      <c r="T166" s="72">
        <v>75</v>
      </c>
      <c r="U166" s="72" t="s">
        <v>34</v>
      </c>
      <c r="V166" s="72" t="s">
        <v>33</v>
      </c>
      <c r="W166" s="77">
        <f t="shared" si="16"/>
        <v>58.3333333333333</v>
      </c>
      <c r="X166" s="78">
        <f t="shared" si="17"/>
        <v>40.5579207224707</v>
      </c>
      <c r="Z166" s="69" t="s">
        <v>266</v>
      </c>
      <c r="AA166" s="68">
        <v>48.7614231041658</v>
      </c>
      <c r="AB166" s="68">
        <v>170</v>
      </c>
    </row>
    <row r="167" spans="1:28">
      <c r="A167" s="69" t="s">
        <v>274</v>
      </c>
      <c r="B167" s="69" t="s">
        <v>41</v>
      </c>
      <c r="C167" s="69" t="s">
        <v>31</v>
      </c>
      <c r="D167" s="70">
        <f t="shared" si="12"/>
        <v>50</v>
      </c>
      <c r="E167" s="71">
        <v>41.414556905709</v>
      </c>
      <c r="F167" s="72" t="s">
        <v>32</v>
      </c>
      <c r="G167" s="72" t="s">
        <v>38</v>
      </c>
      <c r="H167" s="72" t="s">
        <v>38</v>
      </c>
      <c r="I167" s="72" t="s">
        <v>34</v>
      </c>
      <c r="J167" s="73">
        <f t="shared" si="13"/>
        <v>81.25</v>
      </c>
      <c r="K167" s="72">
        <v>0</v>
      </c>
      <c r="L167" s="72">
        <v>0</v>
      </c>
      <c r="M167" s="72" t="s">
        <v>33</v>
      </c>
      <c r="N167" s="72">
        <v>0</v>
      </c>
      <c r="O167" s="74">
        <f t="shared" si="14"/>
        <v>6.25</v>
      </c>
      <c r="P167" s="72">
        <v>50.3304468857847</v>
      </c>
      <c r="Q167" s="72">
        <v>75.5327837236127</v>
      </c>
      <c r="R167" s="75">
        <f t="shared" si="15"/>
        <v>62.9316153046987</v>
      </c>
      <c r="S167" s="76">
        <v>52.1256992640926</v>
      </c>
      <c r="T167" s="72" t="s">
        <v>32</v>
      </c>
      <c r="U167" s="72" t="s">
        <v>32</v>
      </c>
      <c r="V167" s="72" t="s">
        <v>33</v>
      </c>
      <c r="W167" s="77">
        <f t="shared" si="16"/>
        <v>41.6666666666667</v>
      </c>
      <c r="X167" s="78">
        <f t="shared" si="17"/>
        <v>44.5413845672936</v>
      </c>
      <c r="Z167" s="69" t="s">
        <v>232</v>
      </c>
      <c r="AA167" s="68">
        <v>48.6816127771479</v>
      </c>
      <c r="AB167" s="68">
        <v>25</v>
      </c>
    </row>
    <row r="168" spans="1:28">
      <c r="A168" s="69" t="s">
        <v>164</v>
      </c>
      <c r="B168" s="69" t="s">
        <v>31</v>
      </c>
      <c r="C168" s="69" t="s">
        <v>31</v>
      </c>
      <c r="D168" s="70">
        <f t="shared" si="12"/>
        <v>60</v>
      </c>
      <c r="E168" s="71">
        <v>54.7180823198839</v>
      </c>
      <c r="F168" s="72" t="s">
        <v>32</v>
      </c>
      <c r="G168" s="72" t="s">
        <v>32</v>
      </c>
      <c r="H168" s="72" t="s">
        <v>38</v>
      </c>
      <c r="I168" s="72" t="s">
        <v>34</v>
      </c>
      <c r="J168" s="73">
        <f t="shared" si="13"/>
        <v>68.75</v>
      </c>
      <c r="K168" s="72" t="s">
        <v>33</v>
      </c>
      <c r="L168" s="72">
        <v>0</v>
      </c>
      <c r="M168" s="72" t="s">
        <v>32</v>
      </c>
      <c r="N168" s="72">
        <v>0</v>
      </c>
      <c r="O168" s="74">
        <f t="shared" si="14"/>
        <v>18.75</v>
      </c>
      <c r="P168" s="72">
        <v>74.2973263552059</v>
      </c>
      <c r="Q168" s="72">
        <v>58.8211553247634</v>
      </c>
      <c r="R168" s="75">
        <f t="shared" si="15"/>
        <v>66.5592408399847</v>
      </c>
      <c r="S168" s="76">
        <v>60.6999003238543</v>
      </c>
      <c r="T168" s="72">
        <v>75</v>
      </c>
      <c r="U168" s="72" t="s">
        <v>34</v>
      </c>
      <c r="V168" s="72" t="s">
        <v>33</v>
      </c>
      <c r="W168" s="77">
        <f t="shared" si="16"/>
        <v>58.3333333333333</v>
      </c>
      <c r="X168" s="78">
        <f t="shared" si="17"/>
        <v>52.2502631954143</v>
      </c>
      <c r="Z168" s="69" t="s">
        <v>214</v>
      </c>
      <c r="AA168" s="68">
        <v>48.6475895463903</v>
      </c>
      <c r="AB168" s="68">
        <v>172</v>
      </c>
    </row>
    <row r="169" spans="1:28">
      <c r="A169" s="69" t="s">
        <v>166</v>
      </c>
      <c r="B169" s="69" t="s">
        <v>45</v>
      </c>
      <c r="C169" s="69" t="s">
        <v>31</v>
      </c>
      <c r="D169" s="70">
        <f t="shared" si="12"/>
        <v>70</v>
      </c>
      <c r="E169" s="71">
        <v>65.3601414777291</v>
      </c>
      <c r="F169" s="72" t="s">
        <v>34</v>
      </c>
      <c r="G169" s="72" t="s">
        <v>38</v>
      </c>
      <c r="H169" s="72" t="s">
        <v>38</v>
      </c>
      <c r="I169" s="72">
        <v>75</v>
      </c>
      <c r="J169" s="73">
        <f t="shared" si="13"/>
        <v>87.5</v>
      </c>
      <c r="K169" s="72" t="s">
        <v>33</v>
      </c>
      <c r="L169" s="72">
        <v>0</v>
      </c>
      <c r="M169" s="72" t="s">
        <v>32</v>
      </c>
      <c r="N169" s="72" t="s">
        <v>33</v>
      </c>
      <c r="O169" s="74">
        <f t="shared" si="14"/>
        <v>25</v>
      </c>
      <c r="P169" s="72">
        <v>16.1776436418594</v>
      </c>
      <c r="Q169" s="72">
        <v>54.9710814877404</v>
      </c>
      <c r="R169" s="75">
        <f t="shared" si="15"/>
        <v>35.5743625647999</v>
      </c>
      <c r="S169" s="76">
        <v>33.2163624316479</v>
      </c>
      <c r="T169" s="72">
        <v>50</v>
      </c>
      <c r="U169" s="72" t="s">
        <v>34</v>
      </c>
      <c r="V169" s="72" t="s">
        <v>33</v>
      </c>
      <c r="W169" s="77">
        <f t="shared" si="16"/>
        <v>50</v>
      </c>
      <c r="X169" s="78">
        <f t="shared" si="17"/>
        <v>52.2153007818754</v>
      </c>
      <c r="Z169" s="69" t="s">
        <v>275</v>
      </c>
      <c r="AA169" s="68">
        <v>48.5828209720521</v>
      </c>
      <c r="AB169" s="68">
        <v>173</v>
      </c>
    </row>
    <row r="170" spans="1:28">
      <c r="A170" s="69" t="s">
        <v>222</v>
      </c>
      <c r="B170" s="69" t="s">
        <v>31</v>
      </c>
      <c r="C170" s="69" t="s">
        <v>31</v>
      </c>
      <c r="D170" s="70">
        <f t="shared" si="12"/>
        <v>60</v>
      </c>
      <c r="E170" s="71">
        <v>61.487715260934</v>
      </c>
      <c r="F170" s="72" t="s">
        <v>34</v>
      </c>
      <c r="G170" s="72" t="s">
        <v>38</v>
      </c>
      <c r="H170" s="72" t="s">
        <v>38</v>
      </c>
      <c r="I170" s="72">
        <v>75</v>
      </c>
      <c r="J170" s="73">
        <f t="shared" si="13"/>
        <v>87.5</v>
      </c>
      <c r="K170" s="72" t="s">
        <v>33</v>
      </c>
      <c r="L170" s="72">
        <v>0</v>
      </c>
      <c r="M170" s="72" t="s">
        <v>34</v>
      </c>
      <c r="N170" s="72" t="s">
        <v>33</v>
      </c>
      <c r="O170" s="74">
        <f t="shared" si="14"/>
        <v>31.25</v>
      </c>
      <c r="P170" s="72">
        <v>13.9806796904957</v>
      </c>
      <c r="Q170" s="72">
        <v>34.6087018755831</v>
      </c>
      <c r="R170" s="75">
        <f t="shared" si="15"/>
        <v>24.2946907830394</v>
      </c>
      <c r="S170" s="76">
        <v>24.8970838203327</v>
      </c>
      <c r="T170" s="72">
        <v>50</v>
      </c>
      <c r="U170" s="72" t="s">
        <v>34</v>
      </c>
      <c r="V170" s="72" t="s">
        <v>33</v>
      </c>
      <c r="W170" s="77">
        <f t="shared" si="16"/>
        <v>50</v>
      </c>
      <c r="X170" s="78">
        <f t="shared" si="17"/>
        <v>51.0269598162533</v>
      </c>
      <c r="Z170" s="69" t="s">
        <v>276</v>
      </c>
      <c r="AA170" s="68">
        <v>48.5761088469535</v>
      </c>
      <c r="AB170" s="68">
        <v>174</v>
      </c>
    </row>
    <row r="171" spans="1:28">
      <c r="A171" s="69" t="s">
        <v>277</v>
      </c>
      <c r="B171" s="69" t="s">
        <v>41</v>
      </c>
      <c r="C171" s="69" t="s">
        <v>31</v>
      </c>
      <c r="D171" s="70">
        <f t="shared" si="12"/>
        <v>50</v>
      </c>
      <c r="E171" s="71">
        <v>49.7811869416381</v>
      </c>
      <c r="F171" s="72" t="s">
        <v>34</v>
      </c>
      <c r="G171" s="72" t="s">
        <v>34</v>
      </c>
      <c r="H171" s="72" t="s">
        <v>38</v>
      </c>
      <c r="I171" s="72">
        <v>75</v>
      </c>
      <c r="J171" s="73">
        <f t="shared" si="13"/>
        <v>81.25</v>
      </c>
      <c r="K171" s="72">
        <v>0</v>
      </c>
      <c r="L171" s="72">
        <v>0</v>
      </c>
      <c r="M171" s="72" t="s">
        <v>32</v>
      </c>
      <c r="N171" s="72" t="s">
        <v>33</v>
      </c>
      <c r="O171" s="74">
        <f t="shared" si="14"/>
        <v>18.75</v>
      </c>
      <c r="P171" s="72">
        <v>20.3718475490081</v>
      </c>
      <c r="Q171" s="72">
        <v>41.9626576242293</v>
      </c>
      <c r="R171" s="75">
        <f t="shared" si="15"/>
        <v>31.1672525866187</v>
      </c>
      <c r="S171" s="76">
        <v>31.0308565494344</v>
      </c>
      <c r="T171" s="72">
        <v>75</v>
      </c>
      <c r="U171" s="72" t="s">
        <v>34</v>
      </c>
      <c r="V171" s="72" t="s">
        <v>33</v>
      </c>
      <c r="W171" s="77">
        <f t="shared" si="16"/>
        <v>58.3333333333333</v>
      </c>
      <c r="X171" s="78">
        <f t="shared" si="17"/>
        <v>47.8290753648812</v>
      </c>
      <c r="Z171" s="69" t="s">
        <v>47</v>
      </c>
      <c r="AA171" s="68">
        <v>48.5726420310197</v>
      </c>
      <c r="AB171" s="68">
        <v>175</v>
      </c>
    </row>
    <row r="172" spans="1:28">
      <c r="A172" s="69" t="s">
        <v>278</v>
      </c>
      <c r="B172" s="69" t="s">
        <v>41</v>
      </c>
      <c r="C172" s="69" t="s">
        <v>31</v>
      </c>
      <c r="D172" s="70">
        <f t="shared" si="12"/>
        <v>50</v>
      </c>
      <c r="E172" s="71">
        <v>42.2667394116089</v>
      </c>
      <c r="F172" s="72" t="s">
        <v>32</v>
      </c>
      <c r="G172" s="72" t="s">
        <v>33</v>
      </c>
      <c r="H172" s="72" t="s">
        <v>38</v>
      </c>
      <c r="I172" s="72" t="s">
        <v>34</v>
      </c>
      <c r="J172" s="73">
        <f t="shared" si="13"/>
        <v>62.5</v>
      </c>
      <c r="K172" s="72">
        <v>0</v>
      </c>
      <c r="L172" s="72">
        <v>0</v>
      </c>
      <c r="M172" s="72" t="s">
        <v>33</v>
      </c>
      <c r="N172" s="72">
        <v>0</v>
      </c>
      <c r="O172" s="74">
        <f t="shared" si="14"/>
        <v>6.25</v>
      </c>
      <c r="P172" s="72">
        <v>74.2973263552059</v>
      </c>
      <c r="Q172" s="72">
        <v>68.7138518596755</v>
      </c>
      <c r="R172" s="75">
        <f t="shared" si="15"/>
        <v>71.5055891074407</v>
      </c>
      <c r="S172" s="76">
        <v>60.4461620255555</v>
      </c>
      <c r="T172" s="72">
        <v>50</v>
      </c>
      <c r="U172" s="72" t="s">
        <v>32</v>
      </c>
      <c r="V172" s="72" t="s">
        <v>34</v>
      </c>
      <c r="W172" s="77">
        <f t="shared" si="16"/>
        <v>58.3333333333333</v>
      </c>
      <c r="X172" s="78">
        <f t="shared" si="17"/>
        <v>45.9592469540996</v>
      </c>
      <c r="Z172" s="69" t="s">
        <v>120</v>
      </c>
      <c r="AA172" s="68">
        <v>48.5703228425467</v>
      </c>
      <c r="AB172" s="68">
        <v>176</v>
      </c>
    </row>
    <row r="173" spans="1:28">
      <c r="A173" s="69" t="s">
        <v>279</v>
      </c>
      <c r="B173" s="69" t="s">
        <v>37</v>
      </c>
      <c r="C173" s="69" t="s">
        <v>31</v>
      </c>
      <c r="D173" s="70">
        <f t="shared" si="12"/>
        <v>40</v>
      </c>
      <c r="E173" s="71">
        <v>41.2994379651868</v>
      </c>
      <c r="F173" s="72" t="s">
        <v>34</v>
      </c>
      <c r="G173" s="72" t="s">
        <v>34</v>
      </c>
      <c r="H173" s="72" t="s">
        <v>38</v>
      </c>
      <c r="I173" s="72">
        <v>75</v>
      </c>
      <c r="J173" s="73">
        <f t="shared" si="13"/>
        <v>81.25</v>
      </c>
      <c r="K173" s="72">
        <v>0</v>
      </c>
      <c r="L173" s="72">
        <v>0</v>
      </c>
      <c r="M173" s="72" t="s">
        <v>32</v>
      </c>
      <c r="N173" s="72" t="s">
        <v>33</v>
      </c>
      <c r="O173" s="74">
        <f t="shared" si="14"/>
        <v>18.75</v>
      </c>
      <c r="P173" s="72">
        <v>24.7657754517353</v>
      </c>
      <c r="Q173" s="72">
        <v>32.5210596587777</v>
      </c>
      <c r="R173" s="75">
        <f t="shared" si="15"/>
        <v>28.6434175552565</v>
      </c>
      <c r="S173" s="76">
        <v>29.5739261608565</v>
      </c>
      <c r="T173" s="72">
        <v>75</v>
      </c>
      <c r="U173" s="72" t="s">
        <v>32</v>
      </c>
      <c r="V173" s="72" t="s">
        <v>33</v>
      </c>
      <c r="W173" s="77">
        <f t="shared" si="16"/>
        <v>50</v>
      </c>
      <c r="X173" s="78">
        <f t="shared" si="17"/>
        <v>44.1746728252087</v>
      </c>
      <c r="Z173" s="69" t="s">
        <v>163</v>
      </c>
      <c r="AA173" s="68">
        <v>48.5373792348402</v>
      </c>
      <c r="AB173" s="68">
        <v>178</v>
      </c>
    </row>
    <row r="174" spans="1:28">
      <c r="A174" s="69" t="s">
        <v>174</v>
      </c>
      <c r="B174" s="69" t="s">
        <v>31</v>
      </c>
      <c r="C174" s="69" t="s">
        <v>31</v>
      </c>
      <c r="D174" s="70">
        <f t="shared" si="12"/>
        <v>60</v>
      </c>
      <c r="E174" s="71">
        <v>49.6974682868508</v>
      </c>
      <c r="F174" s="72" t="s">
        <v>34</v>
      </c>
      <c r="G174" s="72" t="s">
        <v>38</v>
      </c>
      <c r="H174" s="72" t="s">
        <v>38</v>
      </c>
      <c r="I174" s="72">
        <v>75</v>
      </c>
      <c r="J174" s="73">
        <f t="shared" si="13"/>
        <v>87.5</v>
      </c>
      <c r="K174" s="72" t="s">
        <v>33</v>
      </c>
      <c r="L174" s="72">
        <v>0</v>
      </c>
      <c r="M174" s="72" t="s">
        <v>34</v>
      </c>
      <c r="N174" s="72" t="s">
        <v>33</v>
      </c>
      <c r="O174" s="74">
        <f t="shared" si="14"/>
        <v>31.25</v>
      </c>
      <c r="P174" s="72">
        <v>4.39392790272723</v>
      </c>
      <c r="Q174" s="72">
        <v>75.2565413061136</v>
      </c>
      <c r="R174" s="75">
        <f t="shared" si="15"/>
        <v>39.8252346044204</v>
      </c>
      <c r="S174" s="76">
        <v>32.9868888961596</v>
      </c>
      <c r="T174" s="72">
        <v>75</v>
      </c>
      <c r="U174" s="72" t="s">
        <v>34</v>
      </c>
      <c r="V174" s="72" t="s">
        <v>33</v>
      </c>
      <c r="W174" s="77">
        <f t="shared" si="16"/>
        <v>58.3333333333333</v>
      </c>
      <c r="X174" s="78">
        <f t="shared" si="17"/>
        <v>51.9535381032687</v>
      </c>
      <c r="Z174" s="69" t="s">
        <v>236</v>
      </c>
      <c r="AA174" s="68">
        <v>48.5067240161336</v>
      </c>
      <c r="AB174" s="68">
        <v>179</v>
      </c>
    </row>
    <row r="175" spans="1:28">
      <c r="A175" s="69" t="s">
        <v>199</v>
      </c>
      <c r="B175" s="69" t="s">
        <v>45</v>
      </c>
      <c r="C175" s="69" t="s">
        <v>45</v>
      </c>
      <c r="D175" s="70">
        <f t="shared" si="12"/>
        <v>80</v>
      </c>
      <c r="E175" s="71">
        <v>81.983620347912</v>
      </c>
      <c r="F175" s="72" t="s">
        <v>34</v>
      </c>
      <c r="G175" s="72" t="s">
        <v>34</v>
      </c>
      <c r="H175" s="72">
        <v>75</v>
      </c>
      <c r="I175" s="72">
        <v>75</v>
      </c>
      <c r="J175" s="73">
        <f t="shared" si="13"/>
        <v>75</v>
      </c>
      <c r="K175" s="72" t="s">
        <v>33</v>
      </c>
      <c r="L175" s="72">
        <v>0</v>
      </c>
      <c r="M175" s="72" t="s">
        <v>38</v>
      </c>
      <c r="N175" s="72" t="s">
        <v>32</v>
      </c>
      <c r="O175" s="74">
        <f t="shared" si="14"/>
        <v>43.75</v>
      </c>
      <c r="P175" s="72">
        <v>10.7850957612396</v>
      </c>
      <c r="Q175" s="72">
        <v>34.6087018755831</v>
      </c>
      <c r="R175" s="75">
        <f t="shared" si="15"/>
        <v>22.6968988184113</v>
      </c>
      <c r="S175" s="76">
        <v>23.2596741975451</v>
      </c>
      <c r="T175" s="72">
        <v>50</v>
      </c>
      <c r="U175" s="72">
        <v>25</v>
      </c>
      <c r="V175" s="72">
        <v>25</v>
      </c>
      <c r="W175" s="77">
        <f t="shared" si="16"/>
        <v>33.3333333333333</v>
      </c>
      <c r="X175" s="78">
        <f t="shared" si="17"/>
        <v>51.4653255757581</v>
      </c>
      <c r="Z175" s="69" t="s">
        <v>280</v>
      </c>
      <c r="AA175" s="68">
        <v>48.48363691166</v>
      </c>
      <c r="AB175" s="68">
        <v>180</v>
      </c>
    </row>
    <row r="176" spans="1:28">
      <c r="A176" s="69" t="s">
        <v>264</v>
      </c>
      <c r="B176" s="69" t="s">
        <v>37</v>
      </c>
      <c r="C176" s="69" t="s">
        <v>45</v>
      </c>
      <c r="D176" s="70">
        <f t="shared" si="12"/>
        <v>50</v>
      </c>
      <c r="E176" s="71">
        <v>42.2667394116089</v>
      </c>
      <c r="F176" s="72" t="s">
        <v>32</v>
      </c>
      <c r="G176" s="72" t="s">
        <v>34</v>
      </c>
      <c r="H176" s="72" t="s">
        <v>38</v>
      </c>
      <c r="I176" s="72">
        <v>75</v>
      </c>
      <c r="J176" s="73">
        <f t="shared" si="13"/>
        <v>75</v>
      </c>
      <c r="K176" s="72">
        <v>0</v>
      </c>
      <c r="L176" s="72">
        <v>0</v>
      </c>
      <c r="M176" s="72" t="s">
        <v>32</v>
      </c>
      <c r="N176" s="72" t="s">
        <v>33</v>
      </c>
      <c r="O176" s="74">
        <f t="shared" si="14"/>
        <v>18.75</v>
      </c>
      <c r="P176" s="72">
        <v>92.2724859572719</v>
      </c>
      <c r="Q176" s="72">
        <v>68.7138518596755</v>
      </c>
      <c r="R176" s="75">
        <f t="shared" si="15"/>
        <v>80.4931689084737</v>
      </c>
      <c r="S176" s="76">
        <v>68.0436758933816</v>
      </c>
      <c r="T176" s="72" t="s">
        <v>34</v>
      </c>
      <c r="U176" s="72" t="s">
        <v>33</v>
      </c>
      <c r="V176" s="72" t="s">
        <v>33</v>
      </c>
      <c r="W176" s="77">
        <f t="shared" si="16"/>
        <v>41.6666666666667</v>
      </c>
      <c r="X176" s="78">
        <f t="shared" si="17"/>
        <v>49.1454163943314</v>
      </c>
      <c r="Z176" s="69" t="s">
        <v>98</v>
      </c>
      <c r="AA176" s="68">
        <v>48.4806772635203</v>
      </c>
      <c r="AB176" s="68">
        <v>181</v>
      </c>
    </row>
    <row r="177" spans="1:28">
      <c r="A177" s="69" t="s">
        <v>68</v>
      </c>
      <c r="B177" s="69">
        <v>60</v>
      </c>
      <c r="C177" s="69" t="s">
        <v>31</v>
      </c>
      <c r="D177" s="70">
        <f t="shared" si="12"/>
        <v>60</v>
      </c>
      <c r="E177" s="71">
        <f>D177*0.8283</f>
        <v>49.698</v>
      </c>
      <c r="F177" s="72" t="s">
        <v>34</v>
      </c>
      <c r="G177" s="72" t="s">
        <v>38</v>
      </c>
      <c r="H177" s="72" t="s">
        <v>38</v>
      </c>
      <c r="I177" s="72">
        <v>75</v>
      </c>
      <c r="J177" s="73">
        <f t="shared" si="13"/>
        <v>87.5</v>
      </c>
      <c r="K177" s="72" t="s">
        <v>32</v>
      </c>
      <c r="L177" s="72">
        <v>0</v>
      </c>
      <c r="M177" s="72" t="s">
        <v>34</v>
      </c>
      <c r="N177" s="72">
        <v>0</v>
      </c>
      <c r="O177" s="74">
        <f t="shared" si="14"/>
        <v>31.25</v>
      </c>
      <c r="P177" s="72">
        <v>34.3525272395038</v>
      </c>
      <c r="Q177" s="72" t="s">
        <v>38</v>
      </c>
      <c r="R177" s="75">
        <f t="shared" si="15"/>
        <v>67.1762636197519</v>
      </c>
      <c r="S177" s="76">
        <v>55.6415038478625</v>
      </c>
      <c r="T177" s="72">
        <v>75</v>
      </c>
      <c r="U177" s="72" t="s">
        <v>38</v>
      </c>
      <c r="V177" s="72" t="s">
        <v>33</v>
      </c>
      <c r="W177" s="77">
        <f t="shared" si="16"/>
        <v>66.6666666666667</v>
      </c>
      <c r="X177" s="78">
        <f t="shared" si="17"/>
        <v>58.1512341029058</v>
      </c>
      <c r="Z177" s="69" t="s">
        <v>281</v>
      </c>
      <c r="AA177" s="68">
        <v>48.3682076804138</v>
      </c>
      <c r="AB177" s="68">
        <v>182</v>
      </c>
    </row>
    <row r="178" spans="1:28">
      <c r="A178" s="69" t="s">
        <v>282</v>
      </c>
      <c r="B178" s="69" t="s">
        <v>31</v>
      </c>
      <c r="C178" s="69" t="s">
        <v>31</v>
      </c>
      <c r="D178" s="70">
        <f t="shared" si="12"/>
        <v>60</v>
      </c>
      <c r="E178" s="71">
        <v>61.1446267562538</v>
      </c>
      <c r="F178" s="72" t="s">
        <v>34</v>
      </c>
      <c r="G178" s="72" t="s">
        <v>34</v>
      </c>
      <c r="H178" s="72" t="s">
        <v>38</v>
      </c>
      <c r="I178" s="72">
        <v>75</v>
      </c>
      <c r="J178" s="73">
        <f t="shared" si="13"/>
        <v>81.25</v>
      </c>
      <c r="K178" s="72" t="s">
        <v>33</v>
      </c>
      <c r="L178" s="72">
        <v>0</v>
      </c>
      <c r="M178" s="72" t="s">
        <v>33</v>
      </c>
      <c r="N178" s="72">
        <v>0</v>
      </c>
      <c r="O178" s="74">
        <f t="shared" si="14"/>
        <v>12.5</v>
      </c>
      <c r="P178" s="72">
        <v>13.1817837081817</v>
      </c>
      <c r="Q178" s="72">
        <v>36.1193575500553</v>
      </c>
      <c r="R178" s="75">
        <f t="shared" si="15"/>
        <v>24.6505706291185</v>
      </c>
      <c r="S178" s="76">
        <v>25.1208323407687</v>
      </c>
      <c r="T178" s="72">
        <v>75</v>
      </c>
      <c r="U178" s="72">
        <v>75</v>
      </c>
      <c r="V178" s="72" t="s">
        <v>33</v>
      </c>
      <c r="W178" s="77">
        <f t="shared" si="16"/>
        <v>58.3333333333333</v>
      </c>
      <c r="X178" s="78">
        <f t="shared" si="17"/>
        <v>47.6697584860712</v>
      </c>
      <c r="Z178" s="69" t="s">
        <v>136</v>
      </c>
      <c r="AA178" s="68">
        <v>48.3230271644592</v>
      </c>
      <c r="AB178" s="68">
        <v>183</v>
      </c>
    </row>
    <row r="179" spans="1:28">
      <c r="A179" s="69" t="s">
        <v>283</v>
      </c>
      <c r="B179" s="69" t="s">
        <v>45</v>
      </c>
      <c r="C179" s="69" t="s">
        <v>38</v>
      </c>
      <c r="D179" s="70">
        <f t="shared" si="12"/>
        <v>90</v>
      </c>
      <c r="E179" s="71">
        <v>94.5097198494516</v>
      </c>
      <c r="F179" s="72" t="s">
        <v>32</v>
      </c>
      <c r="G179" s="72" t="s">
        <v>34</v>
      </c>
      <c r="H179" s="72" t="s">
        <v>38</v>
      </c>
      <c r="I179" s="72">
        <v>75</v>
      </c>
      <c r="J179" s="73">
        <f t="shared" si="13"/>
        <v>75</v>
      </c>
      <c r="K179" s="72">
        <v>0</v>
      </c>
      <c r="L179" s="72">
        <v>0</v>
      </c>
      <c r="M179" s="72" t="s">
        <v>33</v>
      </c>
      <c r="N179" s="72" t="s">
        <v>33</v>
      </c>
      <c r="O179" s="74">
        <f t="shared" si="14"/>
        <v>12.5</v>
      </c>
      <c r="P179" s="72">
        <v>11.2045161519544</v>
      </c>
      <c r="Q179" s="72">
        <v>27.4855407438702</v>
      </c>
      <c r="R179" s="75">
        <f t="shared" si="15"/>
        <v>19.3450284479123</v>
      </c>
      <c r="S179" s="76">
        <v>20.3143691010207</v>
      </c>
      <c r="T179" s="72" t="s">
        <v>34</v>
      </c>
      <c r="U179" s="72">
        <v>0</v>
      </c>
      <c r="V179" s="72" t="s">
        <v>33</v>
      </c>
      <c r="W179" s="77">
        <f t="shared" si="16"/>
        <v>33.3333333333333</v>
      </c>
      <c r="X179" s="78">
        <f t="shared" si="17"/>
        <v>47.1314844567611</v>
      </c>
      <c r="Z179" s="69" t="s">
        <v>271</v>
      </c>
      <c r="AA179" s="68">
        <v>48.1588704770068</v>
      </c>
      <c r="AB179" s="68">
        <v>184</v>
      </c>
    </row>
    <row r="180" spans="1:28">
      <c r="A180" s="69" t="s">
        <v>99</v>
      </c>
      <c r="B180" s="69" t="s">
        <v>41</v>
      </c>
      <c r="C180" s="69" t="s">
        <v>31</v>
      </c>
      <c r="D180" s="70">
        <f t="shared" si="12"/>
        <v>50</v>
      </c>
      <c r="E180" s="71">
        <v>52.505399916362</v>
      </c>
      <c r="F180" s="72" t="s">
        <v>34</v>
      </c>
      <c r="G180" s="72" t="s">
        <v>38</v>
      </c>
      <c r="H180" s="72" t="s">
        <v>38</v>
      </c>
      <c r="I180" s="72">
        <v>75</v>
      </c>
      <c r="J180" s="73">
        <f t="shared" si="13"/>
        <v>87.5</v>
      </c>
      <c r="K180" s="72" t="s">
        <v>32</v>
      </c>
      <c r="L180" s="72">
        <v>0</v>
      </c>
      <c r="M180" s="72" t="s">
        <v>34</v>
      </c>
      <c r="N180" s="72" t="s">
        <v>33</v>
      </c>
      <c r="O180" s="74">
        <f t="shared" si="14"/>
        <v>37.5</v>
      </c>
      <c r="P180" s="72">
        <v>17.7754356064874</v>
      </c>
      <c r="Q180" s="72">
        <v>27.4855407438702</v>
      </c>
      <c r="R180" s="75">
        <f t="shared" si="15"/>
        <v>22.6304881751788</v>
      </c>
      <c r="S180" s="76">
        <v>23.7644566388053</v>
      </c>
      <c r="T180" s="72">
        <v>75</v>
      </c>
      <c r="U180" s="72" t="s">
        <v>38</v>
      </c>
      <c r="V180" s="72" t="s">
        <v>32</v>
      </c>
      <c r="W180" s="77">
        <f t="shared" si="16"/>
        <v>75</v>
      </c>
      <c r="X180" s="78">
        <f t="shared" si="17"/>
        <v>55.2539713110335</v>
      </c>
      <c r="Z180" s="69" t="s">
        <v>284</v>
      </c>
      <c r="AA180" s="68">
        <v>48.1360252423987</v>
      </c>
      <c r="AB180" s="68">
        <v>185</v>
      </c>
    </row>
    <row r="181" spans="1:28">
      <c r="A181" s="69" t="s">
        <v>285</v>
      </c>
      <c r="B181" s="69" t="s">
        <v>41</v>
      </c>
      <c r="C181" s="69" t="s">
        <v>31</v>
      </c>
      <c r="D181" s="70">
        <f t="shared" si="12"/>
        <v>50</v>
      </c>
      <c r="E181" s="71">
        <v>49.7811869416381</v>
      </c>
      <c r="F181" s="72" t="s">
        <v>32</v>
      </c>
      <c r="G181" s="72" t="s">
        <v>32</v>
      </c>
      <c r="H181" s="72" t="s">
        <v>38</v>
      </c>
      <c r="I181" s="72" t="s">
        <v>34</v>
      </c>
      <c r="J181" s="73">
        <f t="shared" si="13"/>
        <v>68.75</v>
      </c>
      <c r="K181" s="72">
        <v>0</v>
      </c>
      <c r="L181" s="72">
        <v>0</v>
      </c>
      <c r="M181" s="72">
        <v>0</v>
      </c>
      <c r="N181" s="72" t="s">
        <v>33</v>
      </c>
      <c r="O181" s="74">
        <f t="shared" si="14"/>
        <v>6.25</v>
      </c>
      <c r="P181" s="72">
        <v>20.3718475490081</v>
      </c>
      <c r="Q181" s="72">
        <v>41.9626576242293</v>
      </c>
      <c r="R181" s="75">
        <f t="shared" si="15"/>
        <v>31.1672525866187</v>
      </c>
      <c r="S181" s="76">
        <v>31.0308565494344</v>
      </c>
      <c r="T181" s="72" t="s">
        <v>33</v>
      </c>
      <c r="U181" s="72" t="s">
        <v>33</v>
      </c>
      <c r="V181" s="72" t="s">
        <v>33</v>
      </c>
      <c r="W181" s="77">
        <f t="shared" si="16"/>
        <v>25</v>
      </c>
      <c r="X181" s="78">
        <f t="shared" si="17"/>
        <v>36.1624086982145</v>
      </c>
      <c r="Z181" s="69" t="s">
        <v>286</v>
      </c>
      <c r="AA181" s="68">
        <v>47.9651919999839</v>
      </c>
      <c r="AB181" s="68">
        <v>187</v>
      </c>
    </row>
    <row r="182" s="68" customFormat="1" spans="1:28">
      <c r="A182" s="69" t="s">
        <v>48</v>
      </c>
      <c r="B182" s="69">
        <v>100</v>
      </c>
      <c r="C182" s="69">
        <v>80</v>
      </c>
      <c r="D182" s="70">
        <f t="shared" si="12"/>
        <v>90</v>
      </c>
      <c r="E182" s="71">
        <f>D182*0.8283</f>
        <v>74.547</v>
      </c>
      <c r="F182" s="72" t="s">
        <v>32</v>
      </c>
      <c r="G182" s="72" t="s">
        <v>32</v>
      </c>
      <c r="H182" s="72" t="s">
        <v>34</v>
      </c>
      <c r="I182" s="72">
        <v>75</v>
      </c>
      <c r="J182" s="73">
        <f t="shared" si="13"/>
        <v>62.5</v>
      </c>
      <c r="K182" s="72">
        <v>50</v>
      </c>
      <c r="L182" s="72">
        <v>25</v>
      </c>
      <c r="M182" s="72">
        <v>25</v>
      </c>
      <c r="N182" s="72">
        <v>50</v>
      </c>
      <c r="O182" s="74">
        <f t="shared" si="14"/>
        <v>37.5</v>
      </c>
      <c r="P182" s="72">
        <v>58.3194067089251</v>
      </c>
      <c r="Q182" s="72">
        <v>85.4989149093672</v>
      </c>
      <c r="R182" s="75">
        <f t="shared" si="15"/>
        <v>71.9091608091462</v>
      </c>
      <c r="S182" s="76">
        <v>59.5617206474433</v>
      </c>
      <c r="T182" s="72">
        <v>100</v>
      </c>
      <c r="U182" s="72">
        <v>75</v>
      </c>
      <c r="V182" s="72">
        <v>50</v>
      </c>
      <c r="W182" s="77">
        <f t="shared" si="16"/>
        <v>75</v>
      </c>
      <c r="X182" s="78">
        <f t="shared" si="17"/>
        <v>61.8217441294887</v>
      </c>
      <c r="Z182" s="69" t="s">
        <v>67</v>
      </c>
      <c r="AA182" s="68">
        <v>47.8964733287976</v>
      </c>
      <c r="AB182" s="68">
        <v>188</v>
      </c>
    </row>
    <row r="183" spans="1:28">
      <c r="A183" s="69" t="s">
        <v>287</v>
      </c>
      <c r="B183" s="69" t="s">
        <v>31</v>
      </c>
      <c r="C183" s="69" t="s">
        <v>45</v>
      </c>
      <c r="D183" s="70">
        <f t="shared" si="12"/>
        <v>70</v>
      </c>
      <c r="E183" s="71">
        <v>61.5561680383212</v>
      </c>
      <c r="F183" s="72" t="s">
        <v>33</v>
      </c>
      <c r="G183" s="72">
        <v>0</v>
      </c>
      <c r="H183" s="72" t="s">
        <v>32</v>
      </c>
      <c r="I183" s="72">
        <v>0</v>
      </c>
      <c r="J183" s="73">
        <f t="shared" si="13"/>
        <v>18.75</v>
      </c>
      <c r="K183" s="72">
        <v>0</v>
      </c>
      <c r="L183" s="72">
        <v>0</v>
      </c>
      <c r="M183" s="72">
        <v>0</v>
      </c>
      <c r="N183" s="72">
        <v>0</v>
      </c>
      <c r="O183" s="74">
        <f t="shared" si="14"/>
        <v>0</v>
      </c>
      <c r="P183" s="72">
        <v>62.3138866204953</v>
      </c>
      <c r="Q183" s="72">
        <v>63.9930528769497</v>
      </c>
      <c r="R183" s="75">
        <f t="shared" si="15"/>
        <v>63.1534697487225</v>
      </c>
      <c r="S183" s="76">
        <v>55.5355085150771</v>
      </c>
      <c r="T183" s="72">
        <v>0</v>
      </c>
      <c r="U183" s="72">
        <v>0</v>
      </c>
      <c r="V183" s="72">
        <v>0</v>
      </c>
      <c r="W183" s="77">
        <f t="shared" si="16"/>
        <v>0</v>
      </c>
      <c r="X183" s="78">
        <f t="shared" si="17"/>
        <v>27.1683353106797</v>
      </c>
      <c r="Z183" s="69" t="s">
        <v>277</v>
      </c>
      <c r="AA183" s="68">
        <v>47.8290753648812</v>
      </c>
      <c r="AB183" s="68">
        <v>189</v>
      </c>
    </row>
    <row r="184" spans="1:28">
      <c r="A184" s="69" t="s">
        <v>66</v>
      </c>
      <c r="B184" s="69" t="s">
        <v>31</v>
      </c>
      <c r="C184" s="69" t="s">
        <v>31</v>
      </c>
      <c r="D184" s="70">
        <f t="shared" si="12"/>
        <v>60</v>
      </c>
      <c r="E184" s="71">
        <v>54.3683517436624</v>
      </c>
      <c r="F184" s="72" t="s">
        <v>34</v>
      </c>
      <c r="G184" s="72" t="s">
        <v>38</v>
      </c>
      <c r="H184" s="72" t="s">
        <v>38</v>
      </c>
      <c r="I184" s="72">
        <v>75</v>
      </c>
      <c r="J184" s="73">
        <f t="shared" si="13"/>
        <v>87.5</v>
      </c>
      <c r="K184" s="72" t="s">
        <v>33</v>
      </c>
      <c r="L184" s="72">
        <v>0</v>
      </c>
      <c r="M184" s="72" t="s">
        <v>34</v>
      </c>
      <c r="N184" s="72" t="s">
        <v>33</v>
      </c>
      <c r="O184" s="74">
        <f t="shared" si="14"/>
        <v>31.25</v>
      </c>
      <c r="P184" s="72">
        <v>34.9516992262393</v>
      </c>
      <c r="Q184" s="72">
        <v>59.7967871145267</v>
      </c>
      <c r="R184" s="75">
        <f t="shared" si="15"/>
        <v>47.374243170383</v>
      </c>
      <c r="S184" s="76">
        <v>42.9276586046196</v>
      </c>
      <c r="T184" s="72">
        <v>75</v>
      </c>
      <c r="U184" s="72" t="s">
        <v>38</v>
      </c>
      <c r="V184" s="72" t="s">
        <v>32</v>
      </c>
      <c r="W184" s="77">
        <f t="shared" si="16"/>
        <v>75</v>
      </c>
      <c r="X184" s="78">
        <f t="shared" si="17"/>
        <v>58.2092020696564</v>
      </c>
      <c r="Z184" s="69" t="s">
        <v>282</v>
      </c>
      <c r="AA184" s="68">
        <v>47.6697584860712</v>
      </c>
      <c r="AB184" s="68">
        <v>190</v>
      </c>
    </row>
    <row r="185" spans="1:28">
      <c r="A185" s="69" t="s">
        <v>288</v>
      </c>
      <c r="B185" s="69" t="s">
        <v>41</v>
      </c>
      <c r="C185" s="69" t="s">
        <v>31</v>
      </c>
      <c r="D185" s="70">
        <f t="shared" si="12"/>
        <v>50</v>
      </c>
      <c r="E185" s="71">
        <v>54.192156075709</v>
      </c>
      <c r="F185" s="72">
        <v>25</v>
      </c>
      <c r="G185" s="72">
        <v>25</v>
      </c>
      <c r="H185" s="72">
        <v>25</v>
      </c>
      <c r="I185" s="72">
        <v>25</v>
      </c>
      <c r="J185" s="73">
        <f t="shared" si="13"/>
        <v>25</v>
      </c>
      <c r="K185" s="72">
        <v>0</v>
      </c>
      <c r="L185" s="72">
        <v>0</v>
      </c>
      <c r="M185" s="72">
        <v>25</v>
      </c>
      <c r="N185" s="72" t="s">
        <v>33</v>
      </c>
      <c r="O185" s="74">
        <f t="shared" si="14"/>
        <v>12.5</v>
      </c>
      <c r="P185" s="72">
        <v>26.3635674163634</v>
      </c>
      <c r="Q185" s="72">
        <v>16.7850630496917</v>
      </c>
      <c r="R185" s="75">
        <f t="shared" si="15"/>
        <v>21.5743152330275</v>
      </c>
      <c r="S185" s="76">
        <v>23.3831731666955</v>
      </c>
      <c r="T185" s="72">
        <v>25</v>
      </c>
      <c r="U185" s="72">
        <v>25</v>
      </c>
      <c r="V185" s="72" t="s">
        <v>33</v>
      </c>
      <c r="W185" s="77">
        <f t="shared" si="16"/>
        <v>25</v>
      </c>
      <c r="X185" s="78">
        <f t="shared" si="17"/>
        <v>28.0150658484809</v>
      </c>
      <c r="Z185" s="69" t="s">
        <v>156</v>
      </c>
      <c r="AA185" s="68">
        <v>47.569191988793</v>
      </c>
      <c r="AB185" s="68">
        <v>191</v>
      </c>
    </row>
    <row r="186" spans="1:28">
      <c r="A186" s="69" t="s">
        <v>257</v>
      </c>
      <c r="B186" s="69" t="s">
        <v>41</v>
      </c>
      <c r="C186" s="69" t="s">
        <v>31</v>
      </c>
      <c r="D186" s="70">
        <f t="shared" si="12"/>
        <v>50</v>
      </c>
      <c r="E186" s="71">
        <v>48.2803273959165</v>
      </c>
      <c r="F186" s="72" t="s">
        <v>34</v>
      </c>
      <c r="G186" s="72" t="s">
        <v>34</v>
      </c>
      <c r="H186" s="72" t="s">
        <v>38</v>
      </c>
      <c r="I186" s="72">
        <v>75</v>
      </c>
      <c r="J186" s="73">
        <f t="shared" si="13"/>
        <v>81.25</v>
      </c>
      <c r="K186" s="72" t="s">
        <v>33</v>
      </c>
      <c r="L186" s="72">
        <v>0</v>
      </c>
      <c r="M186" s="72" t="s">
        <v>32</v>
      </c>
      <c r="N186" s="72">
        <v>0</v>
      </c>
      <c r="O186" s="74">
        <f t="shared" si="14"/>
        <v>18.75</v>
      </c>
      <c r="P186" s="72">
        <v>34.9516992262393</v>
      </c>
      <c r="Q186" s="72">
        <v>48.676682844106</v>
      </c>
      <c r="R186" s="75">
        <f t="shared" si="15"/>
        <v>41.8141910351726</v>
      </c>
      <c r="S186" s="76">
        <v>40.3760566594706</v>
      </c>
      <c r="T186" s="72">
        <v>75</v>
      </c>
      <c r="U186" s="72">
        <v>75</v>
      </c>
      <c r="V186" s="72" t="s">
        <v>33</v>
      </c>
      <c r="W186" s="77">
        <f t="shared" si="16"/>
        <v>58.3333333333333</v>
      </c>
      <c r="X186" s="78">
        <f t="shared" si="17"/>
        <v>49.3979434777441</v>
      </c>
      <c r="Z186" s="69" t="s">
        <v>289</v>
      </c>
      <c r="AA186" s="68">
        <v>47.5614329382084</v>
      </c>
      <c r="AB186" s="68">
        <v>192</v>
      </c>
    </row>
    <row r="187" spans="1:28">
      <c r="A187" s="69" t="s">
        <v>142</v>
      </c>
      <c r="B187" s="69" t="s">
        <v>31</v>
      </c>
      <c r="C187" s="69" t="s">
        <v>31</v>
      </c>
      <c r="D187" s="70">
        <f t="shared" si="12"/>
        <v>60</v>
      </c>
      <c r="E187" s="71">
        <v>62.7274783454238</v>
      </c>
      <c r="F187" s="72" t="s">
        <v>34</v>
      </c>
      <c r="G187" s="72" t="s">
        <v>38</v>
      </c>
      <c r="H187" s="72" t="s">
        <v>38</v>
      </c>
      <c r="I187" s="72">
        <v>75</v>
      </c>
      <c r="J187" s="73">
        <f t="shared" si="13"/>
        <v>87.5</v>
      </c>
      <c r="K187" s="72" t="s">
        <v>33</v>
      </c>
      <c r="L187" s="72">
        <v>0</v>
      </c>
      <c r="M187" s="72" t="s">
        <v>34</v>
      </c>
      <c r="N187" s="72" t="s">
        <v>33</v>
      </c>
      <c r="O187" s="74">
        <f t="shared" si="14"/>
        <v>31.25</v>
      </c>
      <c r="P187" s="72">
        <v>40.3442471068591</v>
      </c>
      <c r="Q187" s="72">
        <v>28.8493271166576</v>
      </c>
      <c r="R187" s="75">
        <f t="shared" si="15"/>
        <v>34.5967871117584</v>
      </c>
      <c r="S187" s="76">
        <v>36.1694869062343</v>
      </c>
      <c r="T187" s="72">
        <v>50</v>
      </c>
      <c r="U187" s="72">
        <v>75</v>
      </c>
      <c r="V187" s="72" t="s">
        <v>33</v>
      </c>
      <c r="W187" s="77">
        <f t="shared" si="16"/>
        <v>50</v>
      </c>
      <c r="X187" s="78">
        <f t="shared" si="17"/>
        <v>53.5293930503316</v>
      </c>
      <c r="Z187" s="69" t="s">
        <v>73</v>
      </c>
      <c r="AA187" s="68">
        <v>47.5259446141952</v>
      </c>
      <c r="AB187" s="68">
        <v>56</v>
      </c>
    </row>
    <row r="188" spans="1:28">
      <c r="A188" s="69" t="s">
        <v>82</v>
      </c>
      <c r="B188" s="69" t="s">
        <v>38</v>
      </c>
      <c r="C188" s="69" t="s">
        <v>31</v>
      </c>
      <c r="D188" s="70">
        <f t="shared" si="12"/>
        <v>80</v>
      </c>
      <c r="E188" s="71">
        <v>70.34990632951</v>
      </c>
      <c r="F188" s="72" t="s">
        <v>34</v>
      </c>
      <c r="G188" s="72" t="s">
        <v>34</v>
      </c>
      <c r="H188" s="72">
        <v>75</v>
      </c>
      <c r="I188" s="72">
        <v>75</v>
      </c>
      <c r="J188" s="73">
        <f t="shared" si="13"/>
        <v>75</v>
      </c>
      <c r="K188" s="72" t="s">
        <v>33</v>
      </c>
      <c r="L188" s="72">
        <v>0</v>
      </c>
      <c r="M188" s="72" t="s">
        <v>34</v>
      </c>
      <c r="N188" s="72" t="s">
        <v>33</v>
      </c>
      <c r="O188" s="74">
        <f t="shared" si="14"/>
        <v>31.25</v>
      </c>
      <c r="P188" s="72">
        <v>58.3194067089251</v>
      </c>
      <c r="Q188" s="72">
        <v>63.9930528769497</v>
      </c>
      <c r="R188" s="75">
        <f t="shared" si="15"/>
        <v>61.1562297929374</v>
      </c>
      <c r="S188" s="76">
        <v>53.7791879674892</v>
      </c>
      <c r="T188" s="72">
        <v>50</v>
      </c>
      <c r="U188" s="72">
        <v>50</v>
      </c>
      <c r="V188" s="72" t="s">
        <v>32</v>
      </c>
      <c r="W188" s="77">
        <f t="shared" si="16"/>
        <v>50</v>
      </c>
      <c r="X188" s="78">
        <f t="shared" si="17"/>
        <v>56.0758188593999</v>
      </c>
      <c r="Z188" s="69" t="s">
        <v>290</v>
      </c>
      <c r="AA188" s="68">
        <v>47.5198961801308</v>
      </c>
      <c r="AB188" s="68">
        <v>193</v>
      </c>
    </row>
    <row r="189" spans="1:28">
      <c r="A189" s="69" t="s">
        <v>152</v>
      </c>
      <c r="B189" s="69" t="s">
        <v>31</v>
      </c>
      <c r="C189" s="69" t="s">
        <v>45</v>
      </c>
      <c r="D189" s="70">
        <f t="shared" si="12"/>
        <v>70</v>
      </c>
      <c r="E189" s="71">
        <v>67.6621312154986</v>
      </c>
      <c r="F189" s="72" t="s">
        <v>34</v>
      </c>
      <c r="G189" s="72" t="s">
        <v>32</v>
      </c>
      <c r="H189" s="72" t="s">
        <v>38</v>
      </c>
      <c r="I189" s="72" t="s">
        <v>34</v>
      </c>
      <c r="J189" s="73">
        <f t="shared" si="13"/>
        <v>75</v>
      </c>
      <c r="K189" s="72" t="s">
        <v>33</v>
      </c>
      <c r="L189" s="72">
        <v>0</v>
      </c>
      <c r="M189" s="72" t="s">
        <v>32</v>
      </c>
      <c r="N189" s="72" t="s">
        <v>33</v>
      </c>
      <c r="O189" s="74">
        <f t="shared" si="14"/>
        <v>25</v>
      </c>
      <c r="P189" s="72">
        <v>33.9530792483468</v>
      </c>
      <c r="Q189" s="72">
        <v>48.4668695559848</v>
      </c>
      <c r="R189" s="75">
        <f t="shared" si="15"/>
        <v>41.2099744021658</v>
      </c>
      <c r="S189" s="76">
        <v>39.833638505524</v>
      </c>
      <c r="T189" s="72">
        <v>75</v>
      </c>
      <c r="U189" s="72" t="s">
        <v>34</v>
      </c>
      <c r="V189" s="72" t="s">
        <v>33</v>
      </c>
      <c r="W189" s="77">
        <f t="shared" si="16"/>
        <v>58.3333333333333</v>
      </c>
      <c r="X189" s="78">
        <f t="shared" si="17"/>
        <v>53.1658206108712</v>
      </c>
      <c r="Z189" s="69" t="s">
        <v>192</v>
      </c>
      <c r="AA189" s="68">
        <v>47.5057758333186</v>
      </c>
      <c r="AB189" s="68">
        <v>194</v>
      </c>
    </row>
    <row r="190" spans="1:28">
      <c r="A190" s="69" t="s">
        <v>230</v>
      </c>
      <c r="B190" s="69" t="s">
        <v>45</v>
      </c>
      <c r="C190" s="69" t="s">
        <v>31</v>
      </c>
      <c r="D190" s="70">
        <f t="shared" si="12"/>
        <v>70</v>
      </c>
      <c r="E190" s="71">
        <v>71.735667804423</v>
      </c>
      <c r="F190" s="72" t="s">
        <v>34</v>
      </c>
      <c r="G190" s="72" t="s">
        <v>34</v>
      </c>
      <c r="H190" s="72" t="s">
        <v>38</v>
      </c>
      <c r="I190" s="72">
        <v>75</v>
      </c>
      <c r="J190" s="73">
        <f t="shared" si="13"/>
        <v>81.25</v>
      </c>
      <c r="K190" s="72">
        <v>0</v>
      </c>
      <c r="L190" s="72">
        <v>0</v>
      </c>
      <c r="M190" s="72" t="s">
        <v>34</v>
      </c>
      <c r="N190" s="72" t="s">
        <v>33</v>
      </c>
      <c r="O190" s="74">
        <f t="shared" si="14"/>
        <v>25</v>
      </c>
      <c r="P190" s="72">
        <v>13.1817837081817</v>
      </c>
      <c r="Q190" s="72">
        <v>34.6087018755831</v>
      </c>
      <c r="R190" s="75">
        <f t="shared" si="15"/>
        <v>23.8952427918824</v>
      </c>
      <c r="S190" s="76">
        <v>24.4877314146358</v>
      </c>
      <c r="T190" s="72">
        <v>75</v>
      </c>
      <c r="U190" s="72" t="s">
        <v>32</v>
      </c>
      <c r="V190" s="72" t="s">
        <v>33</v>
      </c>
      <c r="W190" s="77">
        <f t="shared" si="16"/>
        <v>50</v>
      </c>
      <c r="X190" s="78">
        <f t="shared" si="17"/>
        <v>50.4946798438118</v>
      </c>
      <c r="Z190" s="69" t="s">
        <v>291</v>
      </c>
      <c r="AA190" s="68">
        <v>47.1880065905846</v>
      </c>
      <c r="AB190" s="68">
        <v>195</v>
      </c>
    </row>
    <row r="191" spans="1:28">
      <c r="A191" s="69" t="s">
        <v>172</v>
      </c>
      <c r="B191" s="69" t="s">
        <v>31</v>
      </c>
      <c r="C191" s="69" t="s">
        <v>31</v>
      </c>
      <c r="D191" s="70">
        <f t="shared" si="12"/>
        <v>60</v>
      </c>
      <c r="E191" s="71">
        <v>61.555860212112</v>
      </c>
      <c r="F191" s="72" t="s">
        <v>34</v>
      </c>
      <c r="G191" s="72" t="s">
        <v>34</v>
      </c>
      <c r="H191" s="72" t="s">
        <v>38</v>
      </c>
      <c r="I191" s="72">
        <v>75</v>
      </c>
      <c r="J191" s="73">
        <f t="shared" si="13"/>
        <v>81.25</v>
      </c>
      <c r="K191" s="72" t="s">
        <v>33</v>
      </c>
      <c r="L191" s="72">
        <v>0</v>
      </c>
      <c r="M191" s="72" t="s">
        <v>34</v>
      </c>
      <c r="N191" s="72" t="s">
        <v>33</v>
      </c>
      <c r="O191" s="74">
        <f t="shared" si="14"/>
        <v>31.25</v>
      </c>
      <c r="P191" s="72">
        <v>20.7712955401651</v>
      </c>
      <c r="Q191" s="72">
        <v>34.3044726078074</v>
      </c>
      <c r="R191" s="75">
        <f t="shared" si="15"/>
        <v>27.5378840739862</v>
      </c>
      <c r="S191" s="76">
        <v>28.2519690432607</v>
      </c>
      <c r="T191" s="72">
        <v>75</v>
      </c>
      <c r="U191" s="72" t="s">
        <v>34</v>
      </c>
      <c r="V191" s="72" t="s">
        <v>33</v>
      </c>
      <c r="W191" s="77">
        <f t="shared" si="16"/>
        <v>58.3333333333333</v>
      </c>
      <c r="X191" s="78">
        <f t="shared" si="17"/>
        <v>52.1282325177412</v>
      </c>
      <c r="Z191" s="69" t="s">
        <v>229</v>
      </c>
      <c r="AA191" s="68">
        <v>47.1377651949328</v>
      </c>
      <c r="AB191" s="68">
        <v>196</v>
      </c>
    </row>
    <row r="192" spans="1:28">
      <c r="A192" s="69" t="s">
        <v>292</v>
      </c>
      <c r="B192" s="69" t="s">
        <v>45</v>
      </c>
      <c r="C192" s="69" t="s">
        <v>45</v>
      </c>
      <c r="D192" s="70">
        <f t="shared" si="12"/>
        <v>80</v>
      </c>
      <c r="E192" s="71">
        <v>75.1460100744582</v>
      </c>
      <c r="F192" s="72" t="s">
        <v>32</v>
      </c>
      <c r="G192" s="72" t="s">
        <v>33</v>
      </c>
      <c r="H192" s="72" t="s">
        <v>34</v>
      </c>
      <c r="I192" s="72" t="s">
        <v>33</v>
      </c>
      <c r="J192" s="73">
        <f t="shared" si="13"/>
        <v>43.75</v>
      </c>
      <c r="K192" s="72">
        <v>0</v>
      </c>
      <c r="L192" s="72">
        <v>0</v>
      </c>
      <c r="M192" s="72">
        <v>0</v>
      </c>
      <c r="N192" s="72">
        <v>0</v>
      </c>
      <c r="O192" s="74">
        <f t="shared" si="14"/>
        <v>0</v>
      </c>
      <c r="P192" s="72">
        <v>18.1748835976445</v>
      </c>
      <c r="Q192" s="72">
        <v>53.9220150471346</v>
      </c>
      <c r="R192" s="75">
        <f t="shared" si="15"/>
        <v>36.0484493223896</v>
      </c>
      <c r="S192" s="76">
        <v>33.861214199361</v>
      </c>
      <c r="T192" s="72">
        <v>0</v>
      </c>
      <c r="U192" s="72">
        <v>0</v>
      </c>
      <c r="V192" s="72">
        <v>0</v>
      </c>
      <c r="W192" s="77">
        <f t="shared" si="16"/>
        <v>0</v>
      </c>
      <c r="X192" s="78">
        <f t="shared" si="17"/>
        <v>30.5514448547638</v>
      </c>
      <c r="Z192" s="69" t="s">
        <v>283</v>
      </c>
      <c r="AA192" s="68">
        <v>47.1314844567611</v>
      </c>
      <c r="AB192" s="68">
        <v>197</v>
      </c>
    </row>
    <row r="193" spans="1:28">
      <c r="A193" s="69" t="s">
        <v>170</v>
      </c>
      <c r="B193" s="69" t="s">
        <v>45</v>
      </c>
      <c r="C193" s="69" t="s">
        <v>31</v>
      </c>
      <c r="D193" s="70">
        <f t="shared" si="12"/>
        <v>70</v>
      </c>
      <c r="E193" s="71">
        <v>71.8697875881748</v>
      </c>
      <c r="F193" s="72" t="s">
        <v>34</v>
      </c>
      <c r="G193" s="72">
        <v>75</v>
      </c>
      <c r="H193" s="72">
        <v>75</v>
      </c>
      <c r="I193" s="72">
        <v>75</v>
      </c>
      <c r="J193" s="73">
        <f t="shared" si="13"/>
        <v>75</v>
      </c>
      <c r="K193" s="72" t="s">
        <v>33</v>
      </c>
      <c r="L193" s="72">
        <v>0</v>
      </c>
      <c r="M193" s="72" t="s">
        <v>34</v>
      </c>
      <c r="N193" s="72" t="s">
        <v>33</v>
      </c>
      <c r="O193" s="74">
        <f t="shared" si="14"/>
        <v>31.25</v>
      </c>
      <c r="P193" s="72">
        <v>13.1817837081817</v>
      </c>
      <c r="Q193" s="72">
        <v>34.0946593196863</v>
      </c>
      <c r="R193" s="75">
        <f t="shared" si="15"/>
        <v>23.638221513934</v>
      </c>
      <c r="S193" s="76">
        <v>24.2696279881237</v>
      </c>
      <c r="T193" s="72">
        <v>75</v>
      </c>
      <c r="U193" s="72">
        <v>75</v>
      </c>
      <c r="V193" s="72" t="s">
        <v>33</v>
      </c>
      <c r="W193" s="77">
        <f t="shared" si="16"/>
        <v>58.3333333333333</v>
      </c>
      <c r="X193" s="78">
        <f t="shared" si="17"/>
        <v>52.1445497819264</v>
      </c>
      <c r="Z193" s="69" t="s">
        <v>57</v>
      </c>
      <c r="AA193" s="68">
        <v>47.1090338125835</v>
      </c>
      <c r="AB193" s="68">
        <v>198</v>
      </c>
    </row>
    <row r="194" spans="1:28">
      <c r="A194" s="69" t="s">
        <v>293</v>
      </c>
      <c r="B194" s="69" t="s">
        <v>31</v>
      </c>
      <c r="C194" s="69" t="s">
        <v>45</v>
      </c>
      <c r="D194" s="70">
        <f t="shared" si="12"/>
        <v>70</v>
      </c>
      <c r="E194" s="71">
        <v>69.6936617182934</v>
      </c>
      <c r="F194" s="72" t="s">
        <v>33</v>
      </c>
      <c r="G194" s="72">
        <v>0</v>
      </c>
      <c r="H194" s="72">
        <v>0</v>
      </c>
      <c r="I194" s="72">
        <v>0</v>
      </c>
      <c r="J194" s="73">
        <f t="shared" si="13"/>
        <v>6.25</v>
      </c>
      <c r="K194" s="72">
        <v>0</v>
      </c>
      <c r="L194" s="72">
        <v>0</v>
      </c>
      <c r="M194" s="72">
        <v>0</v>
      </c>
      <c r="N194" s="72">
        <v>0</v>
      </c>
      <c r="O194" s="74">
        <f t="shared" si="14"/>
        <v>0</v>
      </c>
      <c r="P194" s="72">
        <v>28.16108337657</v>
      </c>
      <c r="Q194" s="72">
        <v>41.9626576242293</v>
      </c>
      <c r="R194" s="75">
        <f t="shared" si="15"/>
        <v>35.0618705003996</v>
      </c>
      <c r="S194" s="76">
        <v>34.9084305980781</v>
      </c>
      <c r="T194" s="72">
        <v>0</v>
      </c>
      <c r="U194" s="72">
        <v>0</v>
      </c>
      <c r="V194" s="72">
        <v>0</v>
      </c>
      <c r="W194" s="77">
        <f t="shared" si="16"/>
        <v>0</v>
      </c>
      <c r="X194" s="78">
        <f t="shared" si="17"/>
        <v>22.1704184632743</v>
      </c>
      <c r="Z194" s="69" t="s">
        <v>294</v>
      </c>
      <c r="AA194" s="68">
        <v>46.90365617588</v>
      </c>
      <c r="AB194" s="68">
        <v>199</v>
      </c>
    </row>
    <row r="195" spans="1:28">
      <c r="A195" s="69" t="s">
        <v>295</v>
      </c>
      <c r="B195" s="69" t="s">
        <v>45</v>
      </c>
      <c r="C195" s="69" t="s">
        <v>45</v>
      </c>
      <c r="D195" s="70">
        <f t="shared" ref="D195:D258" si="18">(B195+C195)/2</f>
        <v>80</v>
      </c>
      <c r="E195" s="71">
        <v>79.5080557330265</v>
      </c>
      <c r="F195" s="72" t="s">
        <v>32</v>
      </c>
      <c r="G195" s="72" t="s">
        <v>33</v>
      </c>
      <c r="H195" s="72" t="s">
        <v>38</v>
      </c>
      <c r="I195" s="72">
        <v>75</v>
      </c>
      <c r="J195" s="73">
        <f t="shared" ref="J195:J258" si="19">(F195+G195+H195+I195)/4</f>
        <v>62.5</v>
      </c>
      <c r="K195" s="72">
        <v>0</v>
      </c>
      <c r="L195" s="72">
        <v>0</v>
      </c>
      <c r="M195" s="72">
        <v>0</v>
      </c>
      <c r="N195" s="72">
        <v>0</v>
      </c>
      <c r="O195" s="74">
        <f t="shared" ref="O195:O258" si="20">(K195+L195+M195+N195)/4</f>
        <v>0</v>
      </c>
      <c r="P195" s="72">
        <v>20.7712955401651</v>
      </c>
      <c r="Q195" s="72">
        <v>42.3822842004716</v>
      </c>
      <c r="R195" s="75">
        <f t="shared" ref="R195:R258" si="21">(P195+Q195)/2</f>
        <v>31.5767898703184</v>
      </c>
      <c r="S195" s="76">
        <v>31.3826146109917</v>
      </c>
      <c r="T195" s="72">
        <v>0</v>
      </c>
      <c r="U195" s="72">
        <v>0</v>
      </c>
      <c r="V195" s="72" t="s">
        <v>33</v>
      </c>
      <c r="W195" s="77">
        <f t="shared" ref="W195:W258" si="22">(T195+U195+V195)/3</f>
        <v>8.33333333333333</v>
      </c>
      <c r="X195" s="78">
        <f t="shared" ref="X195:X258" si="23">(E195+J195+O195+S195+W195)/5</f>
        <v>36.3448007354703</v>
      </c>
      <c r="Z195" s="69" t="s">
        <v>296</v>
      </c>
      <c r="AA195" s="68">
        <v>46.8796511423539</v>
      </c>
      <c r="AB195" s="68">
        <v>200</v>
      </c>
    </row>
    <row r="196" spans="1:28">
      <c r="A196" s="69" t="s">
        <v>296</v>
      </c>
      <c r="B196" s="69" t="s">
        <v>37</v>
      </c>
      <c r="C196" s="69" t="s">
        <v>41</v>
      </c>
      <c r="D196" s="70">
        <f t="shared" si="18"/>
        <v>30</v>
      </c>
      <c r="E196" s="71">
        <v>30.743857630467</v>
      </c>
      <c r="F196" s="72" t="s">
        <v>34</v>
      </c>
      <c r="G196" s="72" t="s">
        <v>38</v>
      </c>
      <c r="H196" s="72" t="s">
        <v>38</v>
      </c>
      <c r="I196" s="72">
        <v>75</v>
      </c>
      <c r="J196" s="73">
        <f t="shared" si="19"/>
        <v>87.5</v>
      </c>
      <c r="K196" s="72" t="s">
        <v>33</v>
      </c>
      <c r="L196" s="72">
        <v>0</v>
      </c>
      <c r="M196" s="72" t="s">
        <v>32</v>
      </c>
      <c r="N196" s="72" t="s">
        <v>33</v>
      </c>
      <c r="O196" s="74">
        <f t="shared" si="20"/>
        <v>25</v>
      </c>
      <c r="P196" s="72">
        <v>13.1817837081817</v>
      </c>
      <c r="Q196" s="72">
        <v>34.6087018755831</v>
      </c>
      <c r="R196" s="75">
        <f t="shared" si="21"/>
        <v>23.8952427918824</v>
      </c>
      <c r="S196" s="76">
        <v>24.4877314146358</v>
      </c>
      <c r="T196" s="72">
        <v>75</v>
      </c>
      <c r="U196" s="72">
        <v>75</v>
      </c>
      <c r="V196" s="72" t="s">
        <v>32</v>
      </c>
      <c r="W196" s="77">
        <f t="shared" si="22"/>
        <v>66.6666666666667</v>
      </c>
      <c r="X196" s="78">
        <f t="shared" si="23"/>
        <v>46.8796511423539</v>
      </c>
      <c r="Z196" s="69" t="s">
        <v>239</v>
      </c>
      <c r="AA196" s="68">
        <v>46.8121654930828</v>
      </c>
      <c r="AB196" s="68">
        <v>201</v>
      </c>
    </row>
    <row r="197" spans="1:28">
      <c r="A197" s="69" t="s">
        <v>221</v>
      </c>
      <c r="B197" s="69" t="s">
        <v>41</v>
      </c>
      <c r="C197" s="69" t="s">
        <v>31</v>
      </c>
      <c r="D197" s="70">
        <f t="shared" si="18"/>
        <v>50</v>
      </c>
      <c r="E197" s="71">
        <v>52.3089537959285</v>
      </c>
      <c r="F197" s="72" t="s">
        <v>34</v>
      </c>
      <c r="G197" s="72" t="s">
        <v>38</v>
      </c>
      <c r="H197" s="72" t="s">
        <v>38</v>
      </c>
      <c r="I197" s="72">
        <v>75</v>
      </c>
      <c r="J197" s="73">
        <f t="shared" si="19"/>
        <v>87.5</v>
      </c>
      <c r="K197" s="72" t="s">
        <v>33</v>
      </c>
      <c r="L197" s="72">
        <v>0</v>
      </c>
      <c r="M197" s="72" t="s">
        <v>34</v>
      </c>
      <c r="N197" s="72" t="s">
        <v>33</v>
      </c>
      <c r="O197" s="74">
        <f t="shared" si="20"/>
        <v>31.25</v>
      </c>
      <c r="P197" s="72">
        <v>20.7712955401651</v>
      </c>
      <c r="Q197" s="72">
        <v>28.6395138285365</v>
      </c>
      <c r="R197" s="75">
        <f t="shared" si="21"/>
        <v>24.7054046843508</v>
      </c>
      <c r="S197" s="76">
        <v>25.8462774428684</v>
      </c>
      <c r="T197" s="72">
        <v>75</v>
      </c>
      <c r="U197" s="72">
        <v>75</v>
      </c>
      <c r="V197" s="72" t="s">
        <v>33</v>
      </c>
      <c r="W197" s="77">
        <f t="shared" si="22"/>
        <v>58.3333333333333</v>
      </c>
      <c r="X197" s="78">
        <f t="shared" si="23"/>
        <v>51.0477129144261</v>
      </c>
      <c r="Z197" s="69" t="s">
        <v>297</v>
      </c>
      <c r="AA197" s="68">
        <v>46.7222470711851</v>
      </c>
      <c r="AB197" s="68">
        <v>202</v>
      </c>
    </row>
    <row r="198" spans="1:28">
      <c r="A198" s="69" t="s">
        <v>298</v>
      </c>
      <c r="B198" s="69" t="s">
        <v>37</v>
      </c>
      <c r="C198" s="69" t="s">
        <v>31</v>
      </c>
      <c r="D198" s="70">
        <f t="shared" si="18"/>
        <v>40</v>
      </c>
      <c r="E198" s="71">
        <v>42.9884224404236</v>
      </c>
      <c r="F198" s="72" t="s">
        <v>32</v>
      </c>
      <c r="G198" s="72" t="s">
        <v>32</v>
      </c>
      <c r="H198" s="72" t="s">
        <v>38</v>
      </c>
      <c r="I198" s="72">
        <v>75</v>
      </c>
      <c r="J198" s="73">
        <f t="shared" si="19"/>
        <v>68.75</v>
      </c>
      <c r="K198" s="72">
        <v>0</v>
      </c>
      <c r="L198" s="72">
        <v>0</v>
      </c>
      <c r="M198" s="72" t="s">
        <v>33</v>
      </c>
      <c r="N198" s="72">
        <v>0</v>
      </c>
      <c r="O198" s="74">
        <f t="shared" si="20"/>
        <v>6.25</v>
      </c>
      <c r="P198" s="72">
        <v>24.3663274605783</v>
      </c>
      <c r="Q198" s="72">
        <v>19.8273557274483</v>
      </c>
      <c r="R198" s="75">
        <f t="shared" si="21"/>
        <v>22.0968415940133</v>
      </c>
      <c r="S198" s="76">
        <v>23.7477090260642</v>
      </c>
      <c r="T198" s="72" t="s">
        <v>32</v>
      </c>
      <c r="U198" s="72" t="s">
        <v>34</v>
      </c>
      <c r="V198" s="72" t="s">
        <v>33</v>
      </c>
      <c r="W198" s="77">
        <f t="shared" si="22"/>
        <v>50</v>
      </c>
      <c r="X198" s="78">
        <f t="shared" si="23"/>
        <v>38.3472262932976</v>
      </c>
      <c r="Z198" s="69" t="s">
        <v>102</v>
      </c>
      <c r="AA198" s="68">
        <v>46.3864690009683</v>
      </c>
      <c r="AB198" s="68">
        <v>203</v>
      </c>
    </row>
    <row r="199" spans="1:28">
      <c r="A199" s="69" t="s">
        <v>262</v>
      </c>
      <c r="B199" s="69" t="s">
        <v>37</v>
      </c>
      <c r="C199" s="69" t="s">
        <v>31</v>
      </c>
      <c r="D199" s="70">
        <f t="shared" si="18"/>
        <v>40</v>
      </c>
      <c r="E199" s="71">
        <v>33.1316455245672</v>
      </c>
      <c r="F199" s="72" t="s">
        <v>34</v>
      </c>
      <c r="G199" s="72" t="s">
        <v>34</v>
      </c>
      <c r="H199" s="72" t="s">
        <v>38</v>
      </c>
      <c r="I199" s="72">
        <v>75</v>
      </c>
      <c r="J199" s="73">
        <f t="shared" si="19"/>
        <v>81.25</v>
      </c>
      <c r="K199" s="72" t="s">
        <v>33</v>
      </c>
      <c r="L199" s="72">
        <v>0</v>
      </c>
      <c r="M199" s="72" t="s">
        <v>34</v>
      </c>
      <c r="N199" s="72" t="s">
        <v>33</v>
      </c>
      <c r="O199" s="74">
        <f t="shared" si="20"/>
        <v>31.25</v>
      </c>
      <c r="P199" s="72">
        <v>50.3304468857847</v>
      </c>
      <c r="Q199" s="72">
        <v>72.4065657306076</v>
      </c>
      <c r="R199" s="75">
        <f t="shared" si="21"/>
        <v>61.3685063081961</v>
      </c>
      <c r="S199" s="76">
        <v>50.830989934383</v>
      </c>
      <c r="T199" s="72" t="s">
        <v>34</v>
      </c>
      <c r="U199" s="72" t="s">
        <v>32</v>
      </c>
      <c r="V199" s="72" t="s">
        <v>33</v>
      </c>
      <c r="W199" s="77">
        <f t="shared" si="22"/>
        <v>50</v>
      </c>
      <c r="X199" s="78">
        <f t="shared" si="23"/>
        <v>49.29252709179</v>
      </c>
      <c r="Z199" s="69" t="s">
        <v>190</v>
      </c>
      <c r="AA199" s="68">
        <v>46.3487698899178</v>
      </c>
      <c r="AB199" s="68">
        <v>204</v>
      </c>
    </row>
    <row r="200" spans="1:28">
      <c r="A200" s="69" t="s">
        <v>299</v>
      </c>
      <c r="B200" s="69" t="s">
        <v>31</v>
      </c>
      <c r="C200" s="69" t="s">
        <v>31</v>
      </c>
      <c r="D200" s="70">
        <f t="shared" si="18"/>
        <v>60</v>
      </c>
      <c r="E200" s="71">
        <v>59.5775631854569</v>
      </c>
      <c r="F200" s="72" t="s">
        <v>32</v>
      </c>
      <c r="G200" s="72">
        <v>50</v>
      </c>
      <c r="H200" s="72">
        <v>50</v>
      </c>
      <c r="I200" s="72">
        <v>50</v>
      </c>
      <c r="J200" s="73">
        <f t="shared" si="19"/>
        <v>50</v>
      </c>
      <c r="K200" s="72" t="s">
        <v>33</v>
      </c>
      <c r="L200" s="72">
        <v>0</v>
      </c>
      <c r="M200" s="72" t="s">
        <v>33</v>
      </c>
      <c r="N200" s="72">
        <v>0</v>
      </c>
      <c r="O200" s="74">
        <f t="shared" si="20"/>
        <v>12.5</v>
      </c>
      <c r="P200" s="72">
        <v>82.2862861783463</v>
      </c>
      <c r="Q200" s="72">
        <v>42.5920974885927</v>
      </c>
      <c r="R200" s="75">
        <f t="shared" si="21"/>
        <v>62.4391918334695</v>
      </c>
      <c r="S200" s="76">
        <v>61.9995816117899</v>
      </c>
      <c r="T200" s="72">
        <v>50</v>
      </c>
      <c r="U200" s="72">
        <v>50</v>
      </c>
      <c r="V200" s="72" t="s">
        <v>33</v>
      </c>
      <c r="W200" s="77">
        <f t="shared" si="22"/>
        <v>41.6666666666667</v>
      </c>
      <c r="X200" s="78">
        <f t="shared" si="23"/>
        <v>45.1487622927827</v>
      </c>
      <c r="Z200" s="69" t="s">
        <v>300</v>
      </c>
      <c r="AA200" s="68">
        <v>46.3363918125799</v>
      </c>
      <c r="AB200" s="68">
        <v>205</v>
      </c>
    </row>
    <row r="201" spans="1:28">
      <c r="A201" s="69" t="s">
        <v>284</v>
      </c>
      <c r="B201" s="69" t="s">
        <v>45</v>
      </c>
      <c r="C201" s="69" t="s">
        <v>31</v>
      </c>
      <c r="D201" s="70">
        <f t="shared" si="18"/>
        <v>70</v>
      </c>
      <c r="E201" s="71">
        <v>65.3601414777291</v>
      </c>
      <c r="F201" s="72" t="s">
        <v>34</v>
      </c>
      <c r="G201" s="72" t="s">
        <v>33</v>
      </c>
      <c r="H201" s="72" t="s">
        <v>38</v>
      </c>
      <c r="I201" s="72" t="s">
        <v>34</v>
      </c>
      <c r="J201" s="73">
        <f t="shared" si="19"/>
        <v>68.75</v>
      </c>
      <c r="K201" s="72">
        <v>0</v>
      </c>
      <c r="L201" s="72">
        <v>0</v>
      </c>
      <c r="M201" s="72" t="s">
        <v>34</v>
      </c>
      <c r="N201" s="72">
        <v>0</v>
      </c>
      <c r="O201" s="74">
        <f t="shared" si="20"/>
        <v>18.75</v>
      </c>
      <c r="P201" s="72">
        <v>8.18868381871893</v>
      </c>
      <c r="Q201" s="72">
        <v>54.9710814877404</v>
      </c>
      <c r="R201" s="75">
        <f t="shared" si="21"/>
        <v>31.5798826532297</v>
      </c>
      <c r="S201" s="76">
        <v>29.486651400931</v>
      </c>
      <c r="T201" s="72" t="s">
        <v>34</v>
      </c>
      <c r="U201" s="72" t="s">
        <v>32</v>
      </c>
      <c r="V201" s="72" t="s">
        <v>32</v>
      </c>
      <c r="W201" s="77">
        <f t="shared" si="22"/>
        <v>58.3333333333333</v>
      </c>
      <c r="X201" s="78">
        <f t="shared" si="23"/>
        <v>48.1360252423987</v>
      </c>
      <c r="Z201" s="69" t="s">
        <v>69</v>
      </c>
      <c r="AA201" s="68">
        <v>46.2464845402345</v>
      </c>
      <c r="AB201" s="68">
        <v>207</v>
      </c>
    </row>
    <row r="202" spans="1:28">
      <c r="A202" s="69" t="s">
        <v>301</v>
      </c>
      <c r="B202" s="69" t="s">
        <v>41</v>
      </c>
      <c r="C202" s="69" t="s">
        <v>31</v>
      </c>
      <c r="D202" s="70">
        <f t="shared" si="18"/>
        <v>50</v>
      </c>
      <c r="E202" s="71">
        <v>51.237799870655</v>
      </c>
      <c r="F202" s="72" t="s">
        <v>32</v>
      </c>
      <c r="G202" s="72" t="s">
        <v>34</v>
      </c>
      <c r="H202" s="72" t="s">
        <v>38</v>
      </c>
      <c r="I202" s="72">
        <v>75</v>
      </c>
      <c r="J202" s="73">
        <f t="shared" si="19"/>
        <v>75</v>
      </c>
      <c r="K202" s="72">
        <v>0</v>
      </c>
      <c r="L202" s="72">
        <v>0</v>
      </c>
      <c r="M202" s="72" t="s">
        <v>32</v>
      </c>
      <c r="N202" s="72">
        <v>0</v>
      </c>
      <c r="O202" s="74">
        <f t="shared" si="20"/>
        <v>12.5</v>
      </c>
      <c r="P202" s="72">
        <v>25.7643954296279</v>
      </c>
      <c r="Q202" s="72">
        <v>34.6191925399892</v>
      </c>
      <c r="R202" s="75">
        <f t="shared" si="21"/>
        <v>30.1917939848085</v>
      </c>
      <c r="S202" s="76">
        <v>30.9392219585933</v>
      </c>
      <c r="T202" s="72">
        <v>75</v>
      </c>
      <c r="U202" s="72" t="s">
        <v>34</v>
      </c>
      <c r="V202" s="72" t="s">
        <v>33</v>
      </c>
      <c r="W202" s="77">
        <f t="shared" si="22"/>
        <v>58.3333333333333</v>
      </c>
      <c r="X202" s="78">
        <f t="shared" si="23"/>
        <v>45.6020710325163</v>
      </c>
      <c r="Z202" s="69" t="s">
        <v>302</v>
      </c>
      <c r="AA202" s="68">
        <v>46.1446581763215</v>
      </c>
      <c r="AB202" s="68">
        <v>208</v>
      </c>
    </row>
    <row r="203" spans="1:28">
      <c r="A203" s="69" t="s">
        <v>259</v>
      </c>
      <c r="B203" s="69" t="s">
        <v>45</v>
      </c>
      <c r="C203" s="69" t="s">
        <v>31</v>
      </c>
      <c r="D203" s="70">
        <f t="shared" si="18"/>
        <v>70</v>
      </c>
      <c r="E203" s="71">
        <v>73.5570983506016</v>
      </c>
      <c r="F203" s="72" t="s">
        <v>32</v>
      </c>
      <c r="G203" s="72" t="s">
        <v>32</v>
      </c>
      <c r="H203" s="72" t="s">
        <v>38</v>
      </c>
      <c r="I203" s="72" t="s">
        <v>34</v>
      </c>
      <c r="J203" s="73">
        <f t="shared" si="19"/>
        <v>68.75</v>
      </c>
      <c r="K203" s="72" t="s">
        <v>33</v>
      </c>
      <c r="L203" s="72">
        <v>0</v>
      </c>
      <c r="M203" s="72" t="s">
        <v>32</v>
      </c>
      <c r="N203" s="72">
        <v>0</v>
      </c>
      <c r="O203" s="74">
        <f t="shared" si="20"/>
        <v>18.75</v>
      </c>
      <c r="P203" s="72">
        <v>24.3663274605783</v>
      </c>
      <c r="Q203" s="72">
        <v>27.275727455749</v>
      </c>
      <c r="R203" s="75">
        <f t="shared" si="21"/>
        <v>25.8210274581636</v>
      </c>
      <c r="S203" s="76">
        <v>27.1331408036247</v>
      </c>
      <c r="T203" s="72" t="s">
        <v>34</v>
      </c>
      <c r="U203" s="72" t="s">
        <v>34</v>
      </c>
      <c r="V203" s="72" t="s">
        <v>33</v>
      </c>
      <c r="W203" s="77">
        <f t="shared" si="22"/>
        <v>58.3333333333333</v>
      </c>
      <c r="X203" s="78">
        <f t="shared" si="23"/>
        <v>49.3047144975119</v>
      </c>
      <c r="Z203" s="69" t="s">
        <v>303</v>
      </c>
      <c r="AA203" s="68">
        <v>46.042872473192</v>
      </c>
      <c r="AB203" s="68">
        <v>209</v>
      </c>
    </row>
    <row r="204" spans="1:28">
      <c r="A204" s="69" t="s">
        <v>117</v>
      </c>
      <c r="B204" s="69" t="s">
        <v>31</v>
      </c>
      <c r="C204" s="69" t="s">
        <v>31</v>
      </c>
      <c r="D204" s="70">
        <f t="shared" si="18"/>
        <v>60</v>
      </c>
      <c r="E204" s="71">
        <v>65.0305872908508</v>
      </c>
      <c r="F204" s="72" t="s">
        <v>34</v>
      </c>
      <c r="G204" s="72" t="s">
        <v>34</v>
      </c>
      <c r="H204" s="72" t="s">
        <v>38</v>
      </c>
      <c r="I204" s="72">
        <v>75</v>
      </c>
      <c r="J204" s="73">
        <f t="shared" si="19"/>
        <v>81.25</v>
      </c>
      <c r="K204" s="72" t="s">
        <v>33</v>
      </c>
      <c r="L204" s="72">
        <v>0</v>
      </c>
      <c r="M204" s="72" t="s">
        <v>34</v>
      </c>
      <c r="N204" s="72" t="s">
        <v>33</v>
      </c>
      <c r="O204" s="74">
        <f t="shared" si="20"/>
        <v>31.25</v>
      </c>
      <c r="P204" s="72">
        <v>51.6086804574871</v>
      </c>
      <c r="Q204" s="72">
        <v>16.7850630496917</v>
      </c>
      <c r="R204" s="75">
        <f t="shared" si="21"/>
        <v>34.1968717535894</v>
      </c>
      <c r="S204" s="76">
        <v>37.0640442274304</v>
      </c>
      <c r="T204" s="72">
        <v>50</v>
      </c>
      <c r="U204" s="72">
        <v>75</v>
      </c>
      <c r="V204" s="72" t="s">
        <v>32</v>
      </c>
      <c r="W204" s="77">
        <f t="shared" si="22"/>
        <v>58.3333333333333</v>
      </c>
      <c r="X204" s="78">
        <f t="shared" si="23"/>
        <v>54.5855929703229</v>
      </c>
      <c r="Z204" s="69" t="s">
        <v>278</v>
      </c>
      <c r="AA204" s="68">
        <v>45.9592469540996</v>
      </c>
      <c r="AB204" s="68">
        <v>210</v>
      </c>
    </row>
    <row r="205" spans="1:28">
      <c r="A205" s="69" t="s">
        <v>286</v>
      </c>
      <c r="B205" s="69" t="s">
        <v>41</v>
      </c>
      <c r="C205" s="69" t="s">
        <v>31</v>
      </c>
      <c r="D205" s="70">
        <f t="shared" si="18"/>
        <v>50</v>
      </c>
      <c r="E205" s="71">
        <v>48.3796605900146</v>
      </c>
      <c r="F205" s="72" t="s">
        <v>34</v>
      </c>
      <c r="G205" s="72" t="s">
        <v>38</v>
      </c>
      <c r="H205" s="72" t="s">
        <v>38</v>
      </c>
      <c r="I205" s="72" t="s">
        <v>34</v>
      </c>
      <c r="J205" s="73">
        <f t="shared" si="19"/>
        <v>87.5</v>
      </c>
      <c r="K205" s="72" t="s">
        <v>33</v>
      </c>
      <c r="L205" s="72">
        <v>0</v>
      </c>
      <c r="M205" s="72">
        <v>0</v>
      </c>
      <c r="N205" s="72">
        <v>0</v>
      </c>
      <c r="O205" s="74">
        <f t="shared" si="20"/>
        <v>6.25</v>
      </c>
      <c r="P205" s="72">
        <v>50.3304468857847</v>
      </c>
      <c r="Q205" s="72">
        <v>48.2570562678637</v>
      </c>
      <c r="R205" s="75">
        <f t="shared" si="21"/>
        <v>49.2937515768242</v>
      </c>
      <c r="S205" s="76">
        <v>47.696299409905</v>
      </c>
      <c r="T205" s="72">
        <v>75</v>
      </c>
      <c r="U205" s="72" t="s">
        <v>32</v>
      </c>
      <c r="V205" s="72" t="s">
        <v>33</v>
      </c>
      <c r="W205" s="77">
        <f t="shared" si="22"/>
        <v>50</v>
      </c>
      <c r="X205" s="78">
        <f t="shared" si="23"/>
        <v>47.9651919999839</v>
      </c>
      <c r="Z205" s="69" t="s">
        <v>304</v>
      </c>
      <c r="AA205" s="68">
        <v>45.65365617588</v>
      </c>
      <c r="AB205" s="68">
        <v>211</v>
      </c>
    </row>
    <row r="206" spans="1:28">
      <c r="A206" s="69" t="s">
        <v>215</v>
      </c>
      <c r="B206" s="69" t="s">
        <v>41</v>
      </c>
      <c r="C206" s="69" t="s">
        <v>31</v>
      </c>
      <c r="D206" s="70">
        <f t="shared" si="18"/>
        <v>50</v>
      </c>
      <c r="E206" s="71">
        <v>47.9518710921128</v>
      </c>
      <c r="F206" s="72" t="s">
        <v>34</v>
      </c>
      <c r="G206" s="72" t="s">
        <v>34</v>
      </c>
      <c r="H206" s="72" t="s">
        <v>38</v>
      </c>
      <c r="I206" s="72">
        <v>75</v>
      </c>
      <c r="J206" s="73">
        <f t="shared" si="19"/>
        <v>81.25</v>
      </c>
      <c r="K206" s="72">
        <v>0</v>
      </c>
      <c r="L206" s="72">
        <v>0</v>
      </c>
      <c r="M206" s="72" t="s">
        <v>34</v>
      </c>
      <c r="N206" s="72" t="s">
        <v>33</v>
      </c>
      <c r="O206" s="74">
        <f t="shared" si="20"/>
        <v>25</v>
      </c>
      <c r="P206" s="72">
        <v>40.3442471068591</v>
      </c>
      <c r="Q206" s="72">
        <v>50.0404692168934</v>
      </c>
      <c r="R206" s="75">
        <f t="shared" si="21"/>
        <v>45.1923581618762</v>
      </c>
      <c r="S206" s="76">
        <v>43.3411626585376</v>
      </c>
      <c r="T206" s="72">
        <v>75</v>
      </c>
      <c r="U206" s="72" t="s">
        <v>34</v>
      </c>
      <c r="V206" s="72" t="s">
        <v>33</v>
      </c>
      <c r="W206" s="77">
        <f t="shared" si="22"/>
        <v>58.3333333333333</v>
      </c>
      <c r="X206" s="78">
        <f t="shared" si="23"/>
        <v>51.1752734167967</v>
      </c>
      <c r="Z206" s="69" t="s">
        <v>301</v>
      </c>
      <c r="AA206" s="68">
        <v>45.6020710325163</v>
      </c>
      <c r="AB206" s="68">
        <v>212</v>
      </c>
    </row>
    <row r="207" spans="1:28">
      <c r="A207" s="69" t="s">
        <v>294</v>
      </c>
      <c r="B207" s="69" t="s">
        <v>31</v>
      </c>
      <c r="C207" s="69" t="s">
        <v>31</v>
      </c>
      <c r="D207" s="70">
        <f t="shared" si="18"/>
        <v>60</v>
      </c>
      <c r="E207" s="71">
        <v>59.7374243299658</v>
      </c>
      <c r="F207" s="72" t="s">
        <v>34</v>
      </c>
      <c r="G207" s="72" t="s">
        <v>34</v>
      </c>
      <c r="H207" s="72" t="s">
        <v>38</v>
      </c>
      <c r="I207" s="72">
        <v>75</v>
      </c>
      <c r="J207" s="73">
        <f t="shared" si="19"/>
        <v>81.25</v>
      </c>
      <c r="K207" s="72">
        <v>0</v>
      </c>
      <c r="L207" s="72">
        <v>0</v>
      </c>
      <c r="M207" s="72" t="s">
        <v>33</v>
      </c>
      <c r="N207" s="72" t="s">
        <v>33</v>
      </c>
      <c r="O207" s="74">
        <f t="shared" si="20"/>
        <v>12.5</v>
      </c>
      <c r="P207" s="72">
        <v>20.3718475490081</v>
      </c>
      <c r="Q207" s="72">
        <v>41.9626576242293</v>
      </c>
      <c r="R207" s="75">
        <f t="shared" si="21"/>
        <v>31.1672525866187</v>
      </c>
      <c r="S207" s="76">
        <v>31.0308565494344</v>
      </c>
      <c r="T207" s="72">
        <v>50</v>
      </c>
      <c r="U207" s="72" t="s">
        <v>34</v>
      </c>
      <c r="V207" s="72" t="s">
        <v>33</v>
      </c>
      <c r="W207" s="77">
        <f t="shared" si="22"/>
        <v>50</v>
      </c>
      <c r="X207" s="78">
        <f t="shared" si="23"/>
        <v>46.90365617588</v>
      </c>
      <c r="Z207" s="69" t="s">
        <v>258</v>
      </c>
      <c r="AA207" s="68">
        <v>45.504873666498</v>
      </c>
      <c r="AB207" s="68">
        <v>213</v>
      </c>
    </row>
    <row r="208" spans="1:28">
      <c r="A208" s="69" t="s">
        <v>280</v>
      </c>
      <c r="B208" s="69">
        <v>20</v>
      </c>
      <c r="C208" s="69" t="s">
        <v>41</v>
      </c>
      <c r="D208" s="70">
        <f t="shared" si="18"/>
        <v>30</v>
      </c>
      <c r="E208" s="71">
        <f>D208*0.985</f>
        <v>29.55</v>
      </c>
      <c r="F208" s="72" t="s">
        <v>34</v>
      </c>
      <c r="G208" s="72" t="s">
        <v>38</v>
      </c>
      <c r="H208" s="72" t="s">
        <v>38</v>
      </c>
      <c r="I208" s="72">
        <v>75</v>
      </c>
      <c r="J208" s="73">
        <f t="shared" si="19"/>
        <v>87.5</v>
      </c>
      <c r="K208" s="72" t="s">
        <v>32</v>
      </c>
      <c r="L208" s="72">
        <v>0</v>
      </c>
      <c r="M208" s="72" t="s">
        <v>34</v>
      </c>
      <c r="N208" s="72" t="s">
        <v>33</v>
      </c>
      <c r="O208" s="74">
        <f t="shared" si="20"/>
        <v>37.5</v>
      </c>
      <c r="P208" s="72">
        <v>15.5784716551238</v>
      </c>
      <c r="Q208" s="72">
        <v>44.3755104376225</v>
      </c>
      <c r="R208" s="75">
        <f t="shared" si="21"/>
        <v>29.9769910463732</v>
      </c>
      <c r="S208" s="76">
        <v>29.5348512249669</v>
      </c>
      <c r="T208" s="72">
        <v>50</v>
      </c>
      <c r="U208" s="72">
        <v>75</v>
      </c>
      <c r="V208" s="72" t="s">
        <v>32</v>
      </c>
      <c r="W208" s="77">
        <f t="shared" si="22"/>
        <v>58.3333333333333</v>
      </c>
      <c r="X208" s="78">
        <f t="shared" si="23"/>
        <v>48.48363691166</v>
      </c>
      <c r="Z208" s="69" t="s">
        <v>151</v>
      </c>
      <c r="AA208" s="68">
        <v>45.4841617092153</v>
      </c>
      <c r="AB208" s="68">
        <v>214</v>
      </c>
    </row>
    <row r="209" spans="1:28">
      <c r="A209" s="69" t="s">
        <v>252</v>
      </c>
      <c r="B209" s="69" t="s">
        <v>41</v>
      </c>
      <c r="C209" s="69" t="s">
        <v>31</v>
      </c>
      <c r="D209" s="70">
        <f t="shared" si="18"/>
        <v>50</v>
      </c>
      <c r="E209" s="71">
        <v>41.414556905709</v>
      </c>
      <c r="F209" s="72" t="s">
        <v>34</v>
      </c>
      <c r="G209" s="72">
        <v>50</v>
      </c>
      <c r="H209" s="72">
        <v>75</v>
      </c>
      <c r="I209" s="72">
        <v>50</v>
      </c>
      <c r="J209" s="73">
        <f t="shared" si="19"/>
        <v>62.5</v>
      </c>
      <c r="K209" s="72" t="s">
        <v>33</v>
      </c>
      <c r="L209" s="72">
        <v>0</v>
      </c>
      <c r="M209" s="72" t="s">
        <v>32</v>
      </c>
      <c r="N209" s="72" t="s">
        <v>33</v>
      </c>
      <c r="O209" s="74">
        <f t="shared" si="20"/>
        <v>25</v>
      </c>
      <c r="P209" s="72" t="s">
        <v>38</v>
      </c>
      <c r="Q209" s="72">
        <v>86.6319066652214</v>
      </c>
      <c r="R209" s="75">
        <f t="shared" si="21"/>
        <v>93.3159533326107</v>
      </c>
      <c r="S209" s="76">
        <v>77.2927771900778</v>
      </c>
      <c r="T209" s="72">
        <v>50</v>
      </c>
      <c r="U209" s="72">
        <v>25</v>
      </c>
      <c r="V209" s="72" t="s">
        <v>32</v>
      </c>
      <c r="W209" s="77">
        <f t="shared" si="22"/>
        <v>41.6666666666667</v>
      </c>
      <c r="X209" s="78">
        <f t="shared" si="23"/>
        <v>49.5748001524907</v>
      </c>
      <c r="Z209" s="69" t="s">
        <v>305</v>
      </c>
      <c r="AA209" s="68">
        <v>45.4513805955586</v>
      </c>
      <c r="AB209" s="68">
        <v>215</v>
      </c>
    </row>
    <row r="210" spans="1:28">
      <c r="A210" s="69" t="s">
        <v>228</v>
      </c>
      <c r="B210" s="69" t="s">
        <v>31</v>
      </c>
      <c r="C210" s="69" t="s">
        <v>31</v>
      </c>
      <c r="D210" s="70">
        <f t="shared" si="18"/>
        <v>60</v>
      </c>
      <c r="E210" s="71">
        <v>65.9494037394174</v>
      </c>
      <c r="F210" s="72" t="s">
        <v>34</v>
      </c>
      <c r="G210" s="72" t="s">
        <v>38</v>
      </c>
      <c r="H210" s="72" t="s">
        <v>38</v>
      </c>
      <c r="I210" s="72">
        <v>75</v>
      </c>
      <c r="J210" s="73">
        <f t="shared" si="19"/>
        <v>87.5</v>
      </c>
      <c r="K210" s="72">
        <v>0</v>
      </c>
      <c r="L210" s="72">
        <v>0</v>
      </c>
      <c r="M210" s="72" t="s">
        <v>34</v>
      </c>
      <c r="N210" s="72" t="s">
        <v>33</v>
      </c>
      <c r="O210" s="74">
        <f t="shared" si="20"/>
        <v>25</v>
      </c>
      <c r="P210" s="72">
        <v>19.173503575537</v>
      </c>
      <c r="Q210" s="72">
        <v>10.5955710501179</v>
      </c>
      <c r="R210" s="75">
        <f t="shared" si="21"/>
        <v>14.8845373128275</v>
      </c>
      <c r="S210" s="76">
        <v>16.3604393453013</v>
      </c>
      <c r="T210" s="72">
        <v>75</v>
      </c>
      <c r="U210" s="72" t="s">
        <v>34</v>
      </c>
      <c r="V210" s="72" t="s">
        <v>33</v>
      </c>
      <c r="W210" s="77">
        <f t="shared" si="22"/>
        <v>58.3333333333333</v>
      </c>
      <c r="X210" s="78">
        <f t="shared" si="23"/>
        <v>50.6286352836104</v>
      </c>
      <c r="Z210" s="69" t="s">
        <v>306</v>
      </c>
      <c r="AA210" s="68">
        <v>45.4423671459168</v>
      </c>
      <c r="AB210" s="68">
        <v>216</v>
      </c>
    </row>
    <row r="211" spans="1:28">
      <c r="A211" s="69" t="s">
        <v>265</v>
      </c>
      <c r="B211" s="69" t="s">
        <v>31</v>
      </c>
      <c r="C211" s="69" t="s">
        <v>31</v>
      </c>
      <c r="D211" s="70">
        <f t="shared" si="18"/>
        <v>60</v>
      </c>
      <c r="E211" s="71">
        <v>61.9491569477802</v>
      </c>
      <c r="F211" s="72" t="s">
        <v>34</v>
      </c>
      <c r="G211" s="72" t="s">
        <v>38</v>
      </c>
      <c r="H211" s="72" t="s">
        <v>38</v>
      </c>
      <c r="I211" s="72">
        <v>75</v>
      </c>
      <c r="J211" s="73">
        <f t="shared" si="19"/>
        <v>87.5</v>
      </c>
      <c r="K211" s="72">
        <v>0</v>
      </c>
      <c r="L211" s="72">
        <v>0</v>
      </c>
      <c r="M211" s="72" t="s">
        <v>34</v>
      </c>
      <c r="N211" s="72" t="s">
        <v>33</v>
      </c>
      <c r="O211" s="74">
        <f t="shared" si="20"/>
        <v>25</v>
      </c>
      <c r="P211" s="72">
        <v>8.38840781429744</v>
      </c>
      <c r="Q211" s="72">
        <v>32.5210596587777</v>
      </c>
      <c r="R211" s="75">
        <f t="shared" si="21"/>
        <v>20.4547337365376</v>
      </c>
      <c r="S211" s="76">
        <v>21.1192251761637</v>
      </c>
      <c r="T211" s="72">
        <v>50</v>
      </c>
      <c r="U211" s="72">
        <v>75</v>
      </c>
      <c r="V211" s="72" t="s">
        <v>33</v>
      </c>
      <c r="W211" s="77">
        <f t="shared" si="22"/>
        <v>50</v>
      </c>
      <c r="X211" s="78">
        <f t="shared" si="23"/>
        <v>49.1136764247888</v>
      </c>
      <c r="Z211" s="69" t="s">
        <v>182</v>
      </c>
      <c r="AA211" s="68">
        <v>45.2746067631957</v>
      </c>
      <c r="AB211" s="68">
        <v>217</v>
      </c>
    </row>
    <row r="212" spans="1:28">
      <c r="A212" s="69" t="s">
        <v>203</v>
      </c>
      <c r="B212" s="69" t="s">
        <v>31</v>
      </c>
      <c r="C212" s="69" t="s">
        <v>31</v>
      </c>
      <c r="D212" s="70">
        <f t="shared" si="18"/>
        <v>60</v>
      </c>
      <c r="E212" s="71">
        <v>59.9367116859256</v>
      </c>
      <c r="F212" s="72" t="s">
        <v>32</v>
      </c>
      <c r="G212" s="72" t="s">
        <v>34</v>
      </c>
      <c r="H212" s="72" t="s">
        <v>38</v>
      </c>
      <c r="I212" s="72" t="s">
        <v>34</v>
      </c>
      <c r="J212" s="73">
        <f t="shared" si="19"/>
        <v>75</v>
      </c>
      <c r="K212" s="72">
        <v>0</v>
      </c>
      <c r="L212" s="72">
        <v>0</v>
      </c>
      <c r="M212" s="72" t="s">
        <v>33</v>
      </c>
      <c r="N212" s="72" t="s">
        <v>33</v>
      </c>
      <c r="O212" s="74">
        <f t="shared" si="20"/>
        <v>12.5</v>
      </c>
      <c r="P212" s="72">
        <v>45.1376230007434</v>
      </c>
      <c r="Q212" s="72">
        <v>41.1684256031365</v>
      </c>
      <c r="R212" s="75">
        <f t="shared" si="21"/>
        <v>43.15302430194</v>
      </c>
      <c r="S212" s="76">
        <v>43.1075062660186</v>
      </c>
      <c r="T212" s="72">
        <v>75</v>
      </c>
      <c r="U212" s="72" t="s">
        <v>34</v>
      </c>
      <c r="V212" s="72" t="s">
        <v>32</v>
      </c>
      <c r="W212" s="77">
        <f t="shared" si="22"/>
        <v>66.6666666666667</v>
      </c>
      <c r="X212" s="78">
        <f t="shared" si="23"/>
        <v>51.4421769237222</v>
      </c>
      <c r="Z212" s="69" t="s">
        <v>51</v>
      </c>
      <c r="AA212" s="68">
        <v>45.2283887392103</v>
      </c>
      <c r="AB212" s="68">
        <v>218</v>
      </c>
    </row>
    <row r="213" spans="1:28">
      <c r="A213" s="69" t="s">
        <v>307</v>
      </c>
      <c r="B213" s="69" t="s">
        <v>41</v>
      </c>
      <c r="C213" s="69" t="s">
        <v>31</v>
      </c>
      <c r="D213" s="70">
        <f t="shared" si="18"/>
        <v>50</v>
      </c>
      <c r="E213" s="71">
        <v>46.9939537687564</v>
      </c>
      <c r="F213" s="72" t="s">
        <v>32</v>
      </c>
      <c r="G213" s="72" t="s">
        <v>32</v>
      </c>
      <c r="H213" s="72" t="s">
        <v>38</v>
      </c>
      <c r="I213" s="72">
        <v>75</v>
      </c>
      <c r="J213" s="73">
        <f t="shared" si="19"/>
        <v>68.75</v>
      </c>
      <c r="K213" s="72">
        <v>0</v>
      </c>
      <c r="L213" s="72">
        <v>0</v>
      </c>
      <c r="M213" s="72" t="s">
        <v>33</v>
      </c>
      <c r="N213" s="72" t="s">
        <v>33</v>
      </c>
      <c r="O213" s="74">
        <f t="shared" si="20"/>
        <v>12.5</v>
      </c>
      <c r="P213" s="72">
        <v>12.3828877258677</v>
      </c>
      <c r="Q213" s="72">
        <v>53.817108403074</v>
      </c>
      <c r="R213" s="75">
        <f t="shared" si="21"/>
        <v>33.0999980644709</v>
      </c>
      <c r="S213" s="76">
        <v>31.1099955757534</v>
      </c>
      <c r="T213" s="72" t="s">
        <v>32</v>
      </c>
      <c r="U213" s="72" t="s">
        <v>33</v>
      </c>
      <c r="V213" s="72" t="s">
        <v>33</v>
      </c>
      <c r="W213" s="77">
        <f t="shared" si="22"/>
        <v>33.3333333333333</v>
      </c>
      <c r="X213" s="78">
        <f t="shared" si="23"/>
        <v>38.5374565355686</v>
      </c>
      <c r="Z213" s="69" t="s">
        <v>299</v>
      </c>
      <c r="AA213" s="68">
        <v>45.1487622927827</v>
      </c>
      <c r="AB213" s="68">
        <v>63</v>
      </c>
    </row>
    <row r="214" spans="1:28">
      <c r="A214" s="69" t="s">
        <v>103</v>
      </c>
      <c r="B214" s="69" t="s">
        <v>31</v>
      </c>
      <c r="C214" s="69" t="s">
        <v>45</v>
      </c>
      <c r="D214" s="70">
        <f t="shared" si="18"/>
        <v>70</v>
      </c>
      <c r="E214" s="71">
        <v>60.3262772059522</v>
      </c>
      <c r="F214" s="72" t="s">
        <v>34</v>
      </c>
      <c r="G214" s="72" t="s">
        <v>34</v>
      </c>
      <c r="H214" s="72" t="s">
        <v>38</v>
      </c>
      <c r="I214" s="72">
        <v>75</v>
      </c>
      <c r="J214" s="73">
        <f t="shared" si="19"/>
        <v>81.25</v>
      </c>
      <c r="K214" s="72" t="s">
        <v>33</v>
      </c>
      <c r="L214" s="72">
        <v>0</v>
      </c>
      <c r="M214" s="72" t="s">
        <v>34</v>
      </c>
      <c r="N214" s="72" t="s">
        <v>33</v>
      </c>
      <c r="O214" s="74">
        <f t="shared" si="20"/>
        <v>31.25</v>
      </c>
      <c r="P214" s="72">
        <v>34.9516992262393</v>
      </c>
      <c r="Q214" s="72">
        <v>66.5108123344034</v>
      </c>
      <c r="R214" s="75">
        <f t="shared" si="21"/>
        <v>50.7312557803213</v>
      </c>
      <c r="S214" s="76">
        <v>43.7203971315676</v>
      </c>
      <c r="T214" s="72">
        <v>75</v>
      </c>
      <c r="U214" s="72" t="s">
        <v>34</v>
      </c>
      <c r="V214" s="72" t="s">
        <v>33</v>
      </c>
      <c r="W214" s="77">
        <f t="shared" si="22"/>
        <v>58.3333333333333</v>
      </c>
      <c r="X214" s="78">
        <f t="shared" si="23"/>
        <v>54.9760015341706</v>
      </c>
      <c r="Z214" s="69" t="s">
        <v>308</v>
      </c>
      <c r="AA214" s="68">
        <v>45.0913945543079</v>
      </c>
      <c r="AB214" s="68">
        <v>220</v>
      </c>
    </row>
    <row r="215" spans="1:28">
      <c r="A215" s="69" t="s">
        <v>309</v>
      </c>
      <c r="B215" s="69" t="s">
        <v>37</v>
      </c>
      <c r="C215" s="69" t="s">
        <v>37</v>
      </c>
      <c r="D215" s="70">
        <f t="shared" si="18"/>
        <v>20</v>
      </c>
      <c r="E215" s="71">
        <v>20.2537664000468</v>
      </c>
      <c r="F215" s="72" t="s">
        <v>33</v>
      </c>
      <c r="G215" s="72">
        <v>0</v>
      </c>
      <c r="H215" s="72" t="s">
        <v>32</v>
      </c>
      <c r="I215" s="72" t="s">
        <v>32</v>
      </c>
      <c r="J215" s="73">
        <f t="shared" si="19"/>
        <v>31.25</v>
      </c>
      <c r="K215" s="72">
        <v>0</v>
      </c>
      <c r="L215" s="72">
        <v>0</v>
      </c>
      <c r="M215" s="72">
        <v>0</v>
      </c>
      <c r="N215" s="72">
        <v>0</v>
      </c>
      <c r="O215" s="74">
        <f t="shared" si="20"/>
        <v>0</v>
      </c>
      <c r="P215" s="72">
        <v>24.3663274605783</v>
      </c>
      <c r="Q215" s="72">
        <v>37.7663918618064</v>
      </c>
      <c r="R215" s="75">
        <f t="shared" si="21"/>
        <v>31.0663596611924</v>
      </c>
      <c r="S215" s="76">
        <v>31.4605395738813</v>
      </c>
      <c r="T215" s="72">
        <v>0</v>
      </c>
      <c r="U215" s="72">
        <v>0</v>
      </c>
      <c r="V215" s="72">
        <v>0</v>
      </c>
      <c r="W215" s="77">
        <f t="shared" si="22"/>
        <v>0</v>
      </c>
      <c r="X215" s="78">
        <f t="shared" si="23"/>
        <v>16.5928611947856</v>
      </c>
      <c r="Z215" s="69" t="s">
        <v>310</v>
      </c>
      <c r="AA215" s="68">
        <v>44.9250589089912</v>
      </c>
      <c r="AB215" s="68">
        <v>38</v>
      </c>
    </row>
    <row r="216" spans="1:28">
      <c r="A216" s="69" t="s">
        <v>225</v>
      </c>
      <c r="B216" s="69" t="s">
        <v>41</v>
      </c>
      <c r="C216" s="69" t="s">
        <v>31</v>
      </c>
      <c r="D216" s="70">
        <f t="shared" si="18"/>
        <v>50</v>
      </c>
      <c r="E216" s="71">
        <v>41.414556905709</v>
      </c>
      <c r="F216" s="72" t="s">
        <v>34</v>
      </c>
      <c r="G216" s="72" t="s">
        <v>32</v>
      </c>
      <c r="H216" s="72">
        <v>50</v>
      </c>
      <c r="I216" s="72">
        <v>75</v>
      </c>
      <c r="J216" s="73">
        <f t="shared" si="19"/>
        <v>62.5</v>
      </c>
      <c r="K216" s="72" t="s">
        <v>33</v>
      </c>
      <c r="L216" s="72">
        <v>0</v>
      </c>
      <c r="M216" s="72" t="s">
        <v>34</v>
      </c>
      <c r="N216" s="72" t="s">
        <v>33</v>
      </c>
      <c r="O216" s="74">
        <f t="shared" si="20"/>
        <v>31.25</v>
      </c>
      <c r="P216" s="72">
        <v>74.2973263552059</v>
      </c>
      <c r="Q216" s="72">
        <v>72.3855844017955</v>
      </c>
      <c r="R216" s="75">
        <f t="shared" si="21"/>
        <v>73.3414553785007</v>
      </c>
      <c r="S216" s="76">
        <v>60.7480775464087</v>
      </c>
      <c r="T216" s="72">
        <v>75</v>
      </c>
      <c r="U216" s="72">
        <v>50</v>
      </c>
      <c r="V216" s="72" t="s">
        <v>32</v>
      </c>
      <c r="W216" s="77">
        <f t="shared" si="22"/>
        <v>58.3333333333333</v>
      </c>
      <c r="X216" s="78">
        <f t="shared" si="23"/>
        <v>50.8491935570902</v>
      </c>
      <c r="Z216" s="69" t="s">
        <v>238</v>
      </c>
      <c r="AA216" s="68">
        <v>44.8808659814942</v>
      </c>
      <c r="AB216" s="68">
        <v>39</v>
      </c>
    </row>
    <row r="217" spans="1:28">
      <c r="A217" s="69" t="s">
        <v>85</v>
      </c>
      <c r="B217" s="69" t="s">
        <v>31</v>
      </c>
      <c r="C217" s="69" t="s">
        <v>31</v>
      </c>
      <c r="D217" s="70">
        <f t="shared" si="18"/>
        <v>60</v>
      </c>
      <c r="E217" s="71">
        <v>61.487715260934</v>
      </c>
      <c r="F217" s="72" t="s">
        <v>34</v>
      </c>
      <c r="G217" s="72" t="s">
        <v>34</v>
      </c>
      <c r="H217" s="72" t="s">
        <v>38</v>
      </c>
      <c r="I217" s="72">
        <v>75</v>
      </c>
      <c r="J217" s="73">
        <f t="shared" si="19"/>
        <v>81.25</v>
      </c>
      <c r="K217" s="72" t="s">
        <v>33</v>
      </c>
      <c r="L217" s="72">
        <v>0</v>
      </c>
      <c r="M217" s="72" t="s">
        <v>34</v>
      </c>
      <c r="N217" s="72" t="s">
        <v>32</v>
      </c>
      <c r="O217" s="74">
        <f t="shared" si="20"/>
        <v>37.5</v>
      </c>
      <c r="P217" s="72">
        <v>13.1817837081817</v>
      </c>
      <c r="Q217" s="72">
        <v>34.6087018755831</v>
      </c>
      <c r="R217" s="75">
        <f t="shared" si="21"/>
        <v>23.8952427918824</v>
      </c>
      <c r="S217" s="76">
        <v>24.4877314146358</v>
      </c>
      <c r="T217" s="72">
        <v>75</v>
      </c>
      <c r="U217" s="72" t="s">
        <v>34</v>
      </c>
      <c r="V217" s="72" t="s">
        <v>34</v>
      </c>
      <c r="W217" s="77">
        <f t="shared" si="22"/>
        <v>75</v>
      </c>
      <c r="X217" s="78">
        <f t="shared" si="23"/>
        <v>55.945089335114</v>
      </c>
      <c r="Z217" s="69" t="s">
        <v>311</v>
      </c>
      <c r="AA217" s="68">
        <v>44.8607643140972</v>
      </c>
      <c r="AB217" s="68">
        <v>221</v>
      </c>
    </row>
    <row r="218" spans="1:28">
      <c r="A218" s="69" t="s">
        <v>312</v>
      </c>
      <c r="B218" s="69" t="s">
        <v>37</v>
      </c>
      <c r="C218" s="69" t="s">
        <v>31</v>
      </c>
      <c r="D218" s="70">
        <f t="shared" si="18"/>
        <v>40</v>
      </c>
      <c r="E218" s="71">
        <v>36.66768972126</v>
      </c>
      <c r="F218" s="72" t="s">
        <v>34</v>
      </c>
      <c r="G218" s="72" t="s">
        <v>33</v>
      </c>
      <c r="H218" s="72" t="s">
        <v>34</v>
      </c>
      <c r="I218" s="72" t="s">
        <v>32</v>
      </c>
      <c r="J218" s="73">
        <f t="shared" si="19"/>
        <v>56.25</v>
      </c>
      <c r="K218" s="72">
        <v>0</v>
      </c>
      <c r="L218" s="72">
        <v>0</v>
      </c>
      <c r="M218" s="72">
        <v>0</v>
      </c>
      <c r="N218" s="72" t="s">
        <v>33</v>
      </c>
      <c r="O218" s="74">
        <f t="shared" si="20"/>
        <v>6.25</v>
      </c>
      <c r="P218" s="72">
        <v>58.3194067089251</v>
      </c>
      <c r="Q218" s="72">
        <v>58.013374165497</v>
      </c>
      <c r="R218" s="75">
        <f t="shared" si="21"/>
        <v>58.166390437211</v>
      </c>
      <c r="S218" s="76">
        <v>53.320678918933</v>
      </c>
      <c r="T218" s="72">
        <v>0</v>
      </c>
      <c r="U218" s="72" t="s">
        <v>33</v>
      </c>
      <c r="V218" s="72">
        <v>0</v>
      </c>
      <c r="W218" s="77">
        <f t="shared" si="22"/>
        <v>8.33333333333333</v>
      </c>
      <c r="X218" s="78">
        <f t="shared" si="23"/>
        <v>32.1643403947053</v>
      </c>
      <c r="Z218" s="69" t="s">
        <v>159</v>
      </c>
      <c r="AA218" s="68">
        <v>44.8102811414617</v>
      </c>
      <c r="AB218" s="68">
        <v>223</v>
      </c>
    </row>
    <row r="219" spans="1:28">
      <c r="A219" s="69" t="s">
        <v>191</v>
      </c>
      <c r="B219" s="69" t="s">
        <v>45</v>
      </c>
      <c r="C219" s="69" t="s">
        <v>41</v>
      </c>
      <c r="D219" s="70">
        <f t="shared" si="18"/>
        <v>60</v>
      </c>
      <c r="E219" s="71">
        <v>49.6974682868508</v>
      </c>
      <c r="F219" s="72" t="s">
        <v>34</v>
      </c>
      <c r="G219" s="72">
        <v>75</v>
      </c>
      <c r="H219" s="72">
        <v>75</v>
      </c>
      <c r="I219" s="72">
        <v>75</v>
      </c>
      <c r="J219" s="73">
        <f t="shared" si="19"/>
        <v>75</v>
      </c>
      <c r="K219" s="72" t="s">
        <v>33</v>
      </c>
      <c r="L219" s="72">
        <v>0</v>
      </c>
      <c r="M219" s="72" t="s">
        <v>34</v>
      </c>
      <c r="N219" s="72">
        <v>0</v>
      </c>
      <c r="O219" s="74">
        <f t="shared" si="20"/>
        <v>25</v>
      </c>
      <c r="P219" s="72">
        <v>74.2973263552059</v>
      </c>
      <c r="Q219" s="72">
        <v>86.02344812967</v>
      </c>
      <c r="R219" s="75">
        <f t="shared" si="21"/>
        <v>80.1603872424379</v>
      </c>
      <c r="S219" s="76">
        <v>66.3961383807123</v>
      </c>
      <c r="T219" s="72">
        <v>75</v>
      </c>
      <c r="U219" s="72">
        <v>25</v>
      </c>
      <c r="V219" s="72">
        <v>25</v>
      </c>
      <c r="W219" s="77">
        <f t="shared" si="22"/>
        <v>41.6666666666667</v>
      </c>
      <c r="X219" s="78">
        <f t="shared" si="23"/>
        <v>51.552054666846</v>
      </c>
      <c r="Z219" s="69" t="s">
        <v>216</v>
      </c>
      <c r="AA219" s="68">
        <v>44.7904500020521</v>
      </c>
      <c r="AB219" s="68">
        <v>224</v>
      </c>
    </row>
    <row r="220" spans="1:28">
      <c r="A220" s="69" t="s">
        <v>269</v>
      </c>
      <c r="B220" s="69" t="s">
        <v>41</v>
      </c>
      <c r="C220" s="69" t="s">
        <v>31</v>
      </c>
      <c r="D220" s="70">
        <f t="shared" si="18"/>
        <v>50</v>
      </c>
      <c r="E220" s="71">
        <v>45.3069597863853</v>
      </c>
      <c r="F220" s="72" t="s">
        <v>34</v>
      </c>
      <c r="G220" s="72" t="s">
        <v>34</v>
      </c>
      <c r="H220" s="72" t="s">
        <v>38</v>
      </c>
      <c r="I220" s="72">
        <v>75</v>
      </c>
      <c r="J220" s="73">
        <f t="shared" si="19"/>
        <v>81.25</v>
      </c>
      <c r="K220" s="72" t="s">
        <v>33</v>
      </c>
      <c r="L220" s="72">
        <v>0</v>
      </c>
      <c r="M220" s="72" t="s">
        <v>34</v>
      </c>
      <c r="N220" s="72">
        <v>0</v>
      </c>
      <c r="O220" s="74">
        <f t="shared" si="20"/>
        <v>25</v>
      </c>
      <c r="P220" s="72">
        <v>34.9516992262393</v>
      </c>
      <c r="Q220" s="72">
        <v>59.7967871145267</v>
      </c>
      <c r="R220" s="75">
        <f t="shared" si="21"/>
        <v>47.374243170383</v>
      </c>
      <c r="S220" s="76">
        <v>42.9276586046196</v>
      </c>
      <c r="T220" s="72">
        <v>50</v>
      </c>
      <c r="U220" s="72">
        <v>75</v>
      </c>
      <c r="V220" s="72" t="s">
        <v>33</v>
      </c>
      <c r="W220" s="77">
        <f t="shared" si="22"/>
        <v>50</v>
      </c>
      <c r="X220" s="78">
        <f t="shared" si="23"/>
        <v>48.896923678201</v>
      </c>
      <c r="Z220" s="69" t="s">
        <v>251</v>
      </c>
      <c r="AA220" s="68">
        <v>44.707266338634</v>
      </c>
      <c r="AB220" s="68">
        <v>225</v>
      </c>
    </row>
    <row r="221" spans="1:28">
      <c r="A221" s="69" t="s">
        <v>78</v>
      </c>
      <c r="B221" s="69" t="s">
        <v>31</v>
      </c>
      <c r="C221" s="69" t="s">
        <v>31</v>
      </c>
      <c r="D221" s="70">
        <f t="shared" si="18"/>
        <v>60</v>
      </c>
      <c r="E221" s="71">
        <v>63.0064798996344</v>
      </c>
      <c r="F221" s="72" t="s">
        <v>34</v>
      </c>
      <c r="G221" s="72" t="s">
        <v>38</v>
      </c>
      <c r="H221" s="72" t="s">
        <v>38</v>
      </c>
      <c r="I221" s="72">
        <v>75</v>
      </c>
      <c r="J221" s="73">
        <f t="shared" si="19"/>
        <v>87.5</v>
      </c>
      <c r="K221" s="72" t="s">
        <v>32</v>
      </c>
      <c r="L221" s="72">
        <v>0</v>
      </c>
      <c r="M221" s="72" t="s">
        <v>34</v>
      </c>
      <c r="N221" s="72" t="s">
        <v>33</v>
      </c>
      <c r="O221" s="74">
        <f t="shared" si="20"/>
        <v>37.5</v>
      </c>
      <c r="P221" s="72">
        <v>23.9668794694213</v>
      </c>
      <c r="Q221" s="72">
        <v>27.4855407438702</v>
      </c>
      <c r="R221" s="75">
        <f t="shared" si="21"/>
        <v>25.7262101066458</v>
      </c>
      <c r="S221" s="76">
        <v>27.0152989996358</v>
      </c>
      <c r="T221" s="72">
        <v>50</v>
      </c>
      <c r="U221" s="72">
        <v>75</v>
      </c>
      <c r="V221" s="72" t="s">
        <v>34</v>
      </c>
      <c r="W221" s="77">
        <f t="shared" si="22"/>
        <v>66.6666666666667</v>
      </c>
      <c r="X221" s="78">
        <f t="shared" si="23"/>
        <v>56.3376891131874</v>
      </c>
      <c r="Z221" s="69" t="s">
        <v>179</v>
      </c>
      <c r="AA221" s="68">
        <v>44.6092779475285</v>
      </c>
      <c r="AB221" s="68">
        <v>226</v>
      </c>
    </row>
    <row r="222" spans="1:28">
      <c r="A222" s="69" t="s">
        <v>289</v>
      </c>
      <c r="B222" s="69" t="s">
        <v>31</v>
      </c>
      <c r="C222" s="69" t="s">
        <v>31</v>
      </c>
      <c r="D222" s="70">
        <f t="shared" si="18"/>
        <v>60</v>
      </c>
      <c r="E222" s="71">
        <v>60.5620975593954</v>
      </c>
      <c r="F222" s="72" t="s">
        <v>32</v>
      </c>
      <c r="G222" s="72" t="s">
        <v>34</v>
      </c>
      <c r="H222" s="72" t="s">
        <v>38</v>
      </c>
      <c r="I222" s="72">
        <v>75</v>
      </c>
      <c r="J222" s="73">
        <f t="shared" si="19"/>
        <v>75</v>
      </c>
      <c r="K222" s="72" t="s">
        <v>33</v>
      </c>
      <c r="L222" s="72">
        <v>0</v>
      </c>
      <c r="M222" s="72" t="s">
        <v>34</v>
      </c>
      <c r="N222" s="72">
        <v>0</v>
      </c>
      <c r="O222" s="74">
        <f t="shared" si="20"/>
        <v>25</v>
      </c>
      <c r="P222" s="72">
        <v>15.3787476595453</v>
      </c>
      <c r="Q222" s="72">
        <v>38.6056450142909</v>
      </c>
      <c r="R222" s="75">
        <f t="shared" si="21"/>
        <v>26.9921963369181</v>
      </c>
      <c r="S222" s="76">
        <v>27.2450671316465</v>
      </c>
      <c r="T222" s="72">
        <v>50</v>
      </c>
      <c r="U222" s="72" t="s">
        <v>32</v>
      </c>
      <c r="V222" s="72" t="s">
        <v>32</v>
      </c>
      <c r="W222" s="77">
        <f t="shared" si="22"/>
        <v>50</v>
      </c>
      <c r="X222" s="78">
        <f t="shared" si="23"/>
        <v>47.5614329382084</v>
      </c>
      <c r="Z222" s="69" t="s">
        <v>313</v>
      </c>
      <c r="AA222" s="68">
        <v>44.5983863056118</v>
      </c>
      <c r="AB222" s="68">
        <v>227</v>
      </c>
    </row>
    <row r="223" spans="1:28">
      <c r="A223" s="69" t="s">
        <v>208</v>
      </c>
      <c r="B223" s="69" t="s">
        <v>41</v>
      </c>
      <c r="C223" s="69" t="s">
        <v>31</v>
      </c>
      <c r="D223" s="70">
        <f t="shared" si="18"/>
        <v>50</v>
      </c>
      <c r="E223" s="71">
        <v>43.9686914559437</v>
      </c>
      <c r="F223" s="72" t="s">
        <v>34</v>
      </c>
      <c r="G223" s="72" t="s">
        <v>34</v>
      </c>
      <c r="H223" s="72">
        <v>75</v>
      </c>
      <c r="I223" s="72">
        <v>50</v>
      </c>
      <c r="J223" s="73">
        <f t="shared" si="19"/>
        <v>68.75</v>
      </c>
      <c r="K223" s="72" t="s">
        <v>32</v>
      </c>
      <c r="L223" s="72">
        <v>0</v>
      </c>
      <c r="M223" s="72" t="s">
        <v>32</v>
      </c>
      <c r="N223" s="72" t="s">
        <v>33</v>
      </c>
      <c r="O223" s="74">
        <f t="shared" si="20"/>
        <v>31.25</v>
      </c>
      <c r="P223" s="72">
        <v>58.3194067089251</v>
      </c>
      <c r="Q223" s="72">
        <v>63.9930528769497</v>
      </c>
      <c r="R223" s="75">
        <f t="shared" si="21"/>
        <v>61.1562297929374</v>
      </c>
      <c r="S223" s="76">
        <v>53.7791879674892</v>
      </c>
      <c r="T223" s="72">
        <v>75</v>
      </c>
      <c r="U223" s="72">
        <v>50</v>
      </c>
      <c r="V223" s="72">
        <v>50</v>
      </c>
      <c r="W223" s="77">
        <f t="shared" si="22"/>
        <v>58.3333333333333</v>
      </c>
      <c r="X223" s="78">
        <f t="shared" si="23"/>
        <v>51.2162425513533</v>
      </c>
      <c r="Z223" s="69" t="s">
        <v>314</v>
      </c>
      <c r="AA223" s="68">
        <v>44.5908406889869</v>
      </c>
      <c r="AB223" s="68">
        <v>228</v>
      </c>
    </row>
    <row r="224" spans="1:28">
      <c r="A224" s="69" t="s">
        <v>105</v>
      </c>
      <c r="B224" s="69" t="s">
        <v>31</v>
      </c>
      <c r="C224" s="69" t="s">
        <v>45</v>
      </c>
      <c r="D224" s="70">
        <f t="shared" si="18"/>
        <v>70</v>
      </c>
      <c r="E224" s="71">
        <v>68.9029451940603</v>
      </c>
      <c r="F224" s="72" t="s">
        <v>34</v>
      </c>
      <c r="G224" s="72">
        <v>75</v>
      </c>
      <c r="H224" s="72">
        <v>75</v>
      </c>
      <c r="I224" s="72">
        <v>75</v>
      </c>
      <c r="J224" s="73">
        <f t="shared" si="19"/>
        <v>75</v>
      </c>
      <c r="K224" s="72" t="s">
        <v>32</v>
      </c>
      <c r="L224" s="72">
        <v>0</v>
      </c>
      <c r="M224" s="72" t="s">
        <v>34</v>
      </c>
      <c r="N224" s="72" t="s">
        <v>33</v>
      </c>
      <c r="O224" s="74">
        <f t="shared" si="20"/>
        <v>37.5</v>
      </c>
      <c r="P224" s="72">
        <v>26.3635674163634</v>
      </c>
      <c r="Q224" s="72">
        <v>44.5853237257436</v>
      </c>
      <c r="R224" s="75">
        <f t="shared" si="21"/>
        <v>35.4744455710535</v>
      </c>
      <c r="S224" s="76">
        <v>34.9184825567425</v>
      </c>
      <c r="T224" s="72">
        <v>75</v>
      </c>
      <c r="U224" s="72">
        <v>50</v>
      </c>
      <c r="V224" s="72" t="s">
        <v>32</v>
      </c>
      <c r="W224" s="77">
        <f t="shared" si="22"/>
        <v>58.3333333333333</v>
      </c>
      <c r="X224" s="78">
        <f t="shared" si="23"/>
        <v>54.9309522168272</v>
      </c>
      <c r="Z224" s="69" t="s">
        <v>274</v>
      </c>
      <c r="AA224" s="68">
        <v>44.5413845672936</v>
      </c>
      <c r="AB224" s="68">
        <v>229</v>
      </c>
    </row>
    <row r="225" spans="1:28">
      <c r="A225" s="69" t="s">
        <v>80</v>
      </c>
      <c r="B225" s="69" t="s">
        <v>41</v>
      </c>
      <c r="C225" s="69" t="s">
        <v>31</v>
      </c>
      <c r="D225" s="70">
        <f t="shared" si="18"/>
        <v>50</v>
      </c>
      <c r="E225" s="71">
        <v>49.3314313346277</v>
      </c>
      <c r="F225" s="72" t="s">
        <v>34</v>
      </c>
      <c r="G225" s="72" t="s">
        <v>38</v>
      </c>
      <c r="H225" s="72" t="s">
        <v>38</v>
      </c>
      <c r="I225" s="72">
        <v>75</v>
      </c>
      <c r="J225" s="73">
        <f t="shared" si="19"/>
        <v>87.5</v>
      </c>
      <c r="K225" s="72" t="s">
        <v>33</v>
      </c>
      <c r="L225" s="72">
        <v>0</v>
      </c>
      <c r="M225" s="72" t="s">
        <v>34</v>
      </c>
      <c r="N225" s="72" t="s">
        <v>33</v>
      </c>
      <c r="O225" s="74">
        <f t="shared" si="20"/>
        <v>31.25</v>
      </c>
      <c r="P225" s="72">
        <v>33.3539072616113</v>
      </c>
      <c r="Q225" s="72">
        <v>44.0607905054407</v>
      </c>
      <c r="R225" s="75">
        <f t="shared" si="21"/>
        <v>38.707348883526</v>
      </c>
      <c r="S225" s="76">
        <v>38.1897784718628</v>
      </c>
      <c r="T225" s="72">
        <v>75</v>
      </c>
      <c r="U225" s="72">
        <v>75</v>
      </c>
      <c r="V225" s="72" t="s">
        <v>34</v>
      </c>
      <c r="W225" s="77">
        <f t="shared" si="22"/>
        <v>75</v>
      </c>
      <c r="X225" s="78">
        <f t="shared" si="23"/>
        <v>56.2542419612981</v>
      </c>
      <c r="Z225" s="69" t="s">
        <v>207</v>
      </c>
      <c r="AA225" s="68">
        <v>44.3131635999255</v>
      </c>
      <c r="AB225" s="68">
        <v>230</v>
      </c>
    </row>
    <row r="226" spans="1:28">
      <c r="A226" s="69" t="s">
        <v>178</v>
      </c>
      <c r="B226" s="69" t="s">
        <v>45</v>
      </c>
      <c r="C226" s="69">
        <v>60</v>
      </c>
      <c r="D226" s="70">
        <f t="shared" si="18"/>
        <v>70</v>
      </c>
      <c r="E226" s="71">
        <f>D226*0.833</f>
        <v>58.31</v>
      </c>
      <c r="F226" s="72" t="s">
        <v>34</v>
      </c>
      <c r="G226" s="72" t="s">
        <v>34</v>
      </c>
      <c r="H226" s="72">
        <v>75</v>
      </c>
      <c r="I226" s="72">
        <v>75</v>
      </c>
      <c r="J226" s="73">
        <f t="shared" si="19"/>
        <v>75</v>
      </c>
      <c r="K226" s="72">
        <v>0</v>
      </c>
      <c r="L226" s="72">
        <v>0</v>
      </c>
      <c r="M226" s="72" t="s">
        <v>32</v>
      </c>
      <c r="N226" s="72" t="s">
        <v>33</v>
      </c>
      <c r="O226" s="74">
        <f t="shared" si="20"/>
        <v>18.75</v>
      </c>
      <c r="P226" s="72">
        <v>66.907538518801</v>
      </c>
      <c r="Q226" s="72">
        <v>70.287451520584</v>
      </c>
      <c r="R226" s="75">
        <f t="shared" si="21"/>
        <v>68.5974950196925</v>
      </c>
      <c r="S226" s="76">
        <v>57.1321992521226</v>
      </c>
      <c r="T226" s="72">
        <v>50</v>
      </c>
      <c r="U226" s="72">
        <v>50</v>
      </c>
      <c r="V226" s="72">
        <v>50</v>
      </c>
      <c r="W226" s="77">
        <f t="shared" si="22"/>
        <v>50</v>
      </c>
      <c r="X226" s="78">
        <f t="shared" si="23"/>
        <v>51.8384398504245</v>
      </c>
      <c r="Z226" s="69" t="s">
        <v>315</v>
      </c>
      <c r="AA226" s="68">
        <v>44.2963973953053</v>
      </c>
      <c r="AB226" s="68">
        <v>231</v>
      </c>
    </row>
    <row r="227" spans="1:28">
      <c r="A227" s="69" t="s">
        <v>272</v>
      </c>
      <c r="B227" s="69" t="s">
        <v>31</v>
      </c>
      <c r="C227" s="69" t="s">
        <v>31</v>
      </c>
      <c r="D227" s="70">
        <f t="shared" si="18"/>
        <v>60</v>
      </c>
      <c r="E227" s="71">
        <v>61.487715260934</v>
      </c>
      <c r="F227" s="72" t="s">
        <v>32</v>
      </c>
      <c r="G227" s="72" t="s">
        <v>34</v>
      </c>
      <c r="H227" s="72" t="s">
        <v>38</v>
      </c>
      <c r="I227" s="72" t="s">
        <v>34</v>
      </c>
      <c r="J227" s="73">
        <f t="shared" si="19"/>
        <v>75</v>
      </c>
      <c r="K227" s="72" t="s">
        <v>33</v>
      </c>
      <c r="L227" s="72">
        <v>0</v>
      </c>
      <c r="M227" s="72" t="s">
        <v>34</v>
      </c>
      <c r="N227" s="72">
        <v>0</v>
      </c>
      <c r="O227" s="74">
        <f t="shared" si="20"/>
        <v>25</v>
      </c>
      <c r="P227" s="72">
        <v>13.1817837081817</v>
      </c>
      <c r="Q227" s="72">
        <v>34.6087018755831</v>
      </c>
      <c r="R227" s="75">
        <f t="shared" si="21"/>
        <v>23.8952427918824</v>
      </c>
      <c r="S227" s="76">
        <v>24.4877314146358</v>
      </c>
      <c r="T227" s="72">
        <v>75</v>
      </c>
      <c r="U227" s="72" t="s">
        <v>34</v>
      </c>
      <c r="V227" s="72" t="s">
        <v>33</v>
      </c>
      <c r="W227" s="77">
        <f t="shared" si="22"/>
        <v>58.3333333333333</v>
      </c>
      <c r="X227" s="78">
        <f t="shared" si="23"/>
        <v>48.8617560017806</v>
      </c>
      <c r="Z227" s="69" t="s">
        <v>316</v>
      </c>
      <c r="AA227" s="68">
        <v>44.2901336480261</v>
      </c>
      <c r="AB227" s="68">
        <v>232</v>
      </c>
    </row>
    <row r="228" spans="1:28">
      <c r="A228" s="69" t="s">
        <v>317</v>
      </c>
      <c r="B228" s="69" t="s">
        <v>31</v>
      </c>
      <c r="C228" s="69" t="s">
        <v>31</v>
      </c>
      <c r="D228" s="70">
        <f t="shared" si="18"/>
        <v>60</v>
      </c>
      <c r="E228" s="71">
        <v>60.6620326132176</v>
      </c>
      <c r="F228" s="72" t="s">
        <v>33</v>
      </c>
      <c r="G228" s="72" t="s">
        <v>32</v>
      </c>
      <c r="H228" s="72" t="s">
        <v>34</v>
      </c>
      <c r="I228" s="72" t="s">
        <v>34</v>
      </c>
      <c r="J228" s="73">
        <f t="shared" si="19"/>
        <v>56.25</v>
      </c>
      <c r="K228" s="72">
        <v>0</v>
      </c>
      <c r="L228" s="72">
        <v>0</v>
      </c>
      <c r="M228" s="72">
        <v>0</v>
      </c>
      <c r="N228" s="72">
        <v>0</v>
      </c>
      <c r="O228" s="74">
        <f t="shared" si="20"/>
        <v>0</v>
      </c>
      <c r="P228" s="72">
        <v>16.3773676374379</v>
      </c>
      <c r="Q228" s="72">
        <v>38.1860184380486</v>
      </c>
      <c r="R228" s="75">
        <f t="shared" si="21"/>
        <v>27.2816930377432</v>
      </c>
      <c r="S228" s="76">
        <v>27.5827158799895</v>
      </c>
      <c r="T228" s="72">
        <v>0</v>
      </c>
      <c r="U228" s="72">
        <v>0</v>
      </c>
      <c r="V228" s="72" t="s">
        <v>33</v>
      </c>
      <c r="W228" s="77">
        <f t="shared" si="22"/>
        <v>8.33333333333333</v>
      </c>
      <c r="X228" s="78">
        <f t="shared" si="23"/>
        <v>30.5656163653081</v>
      </c>
      <c r="Z228" s="69" t="s">
        <v>91</v>
      </c>
      <c r="AA228" s="68">
        <v>44.2430371773375</v>
      </c>
      <c r="AB228" s="68">
        <v>235</v>
      </c>
    </row>
    <row r="229" spans="1:28">
      <c r="A229" s="69" t="s">
        <v>318</v>
      </c>
      <c r="B229" s="69" t="s">
        <v>37</v>
      </c>
      <c r="C229" s="69" t="s">
        <v>31</v>
      </c>
      <c r="D229" s="70">
        <f t="shared" si="18"/>
        <v>40</v>
      </c>
      <c r="E229" s="71">
        <v>39.4100277499869</v>
      </c>
      <c r="F229" s="72" t="s">
        <v>33</v>
      </c>
      <c r="G229" s="72" t="s">
        <v>33</v>
      </c>
      <c r="H229" s="72" t="s">
        <v>38</v>
      </c>
      <c r="I229" s="72">
        <v>75</v>
      </c>
      <c r="J229" s="73">
        <f t="shared" si="19"/>
        <v>56.25</v>
      </c>
      <c r="K229" s="72">
        <v>0</v>
      </c>
      <c r="L229" s="72">
        <v>0</v>
      </c>
      <c r="M229" s="72">
        <v>0</v>
      </c>
      <c r="N229" s="72">
        <v>0</v>
      </c>
      <c r="O229" s="74">
        <f t="shared" si="20"/>
        <v>0</v>
      </c>
      <c r="P229" s="72">
        <v>15.5784716551238</v>
      </c>
      <c r="Q229" s="72">
        <v>44.3755104376225</v>
      </c>
      <c r="R229" s="75">
        <f t="shared" si="21"/>
        <v>29.9769910463732</v>
      </c>
      <c r="S229" s="76">
        <v>29.5348512249669</v>
      </c>
      <c r="T229" s="72">
        <v>0</v>
      </c>
      <c r="U229" s="72">
        <v>0</v>
      </c>
      <c r="V229" s="72">
        <v>0</v>
      </c>
      <c r="W229" s="77">
        <f t="shared" si="22"/>
        <v>0</v>
      </c>
      <c r="X229" s="78">
        <f t="shared" si="23"/>
        <v>25.0389757949908</v>
      </c>
      <c r="Z229" s="69" t="s">
        <v>263</v>
      </c>
      <c r="AA229" s="68">
        <v>44.2109748813202</v>
      </c>
      <c r="AB229" s="68">
        <v>236</v>
      </c>
    </row>
    <row r="230" spans="1:28">
      <c r="A230" s="69" t="s">
        <v>270</v>
      </c>
      <c r="B230" s="69" t="s">
        <v>45</v>
      </c>
      <c r="C230" s="69" t="s">
        <v>31</v>
      </c>
      <c r="D230" s="70">
        <f t="shared" si="18"/>
        <v>70</v>
      </c>
      <c r="E230" s="71">
        <v>68.9675485624771</v>
      </c>
      <c r="F230" s="72" t="s">
        <v>34</v>
      </c>
      <c r="G230" s="72">
        <v>75</v>
      </c>
      <c r="H230" s="72">
        <v>50</v>
      </c>
      <c r="I230" s="72">
        <v>75</v>
      </c>
      <c r="J230" s="73">
        <f t="shared" si="19"/>
        <v>68.75</v>
      </c>
      <c r="K230" s="72">
        <v>0</v>
      </c>
      <c r="L230" s="72">
        <v>0</v>
      </c>
      <c r="M230" s="72" t="s">
        <v>34</v>
      </c>
      <c r="N230" s="72">
        <v>0</v>
      </c>
      <c r="O230" s="74">
        <f t="shared" si="20"/>
        <v>18.75</v>
      </c>
      <c r="P230" s="72">
        <v>15.5784716551238</v>
      </c>
      <c r="Q230" s="72">
        <v>44.3755104376225</v>
      </c>
      <c r="R230" s="75">
        <f t="shared" si="21"/>
        <v>29.9769910463732</v>
      </c>
      <c r="S230" s="76">
        <v>29.5348512249669</v>
      </c>
      <c r="T230" s="72">
        <v>75</v>
      </c>
      <c r="U230" s="72">
        <v>50</v>
      </c>
      <c r="V230" s="72" t="s">
        <v>32</v>
      </c>
      <c r="W230" s="77">
        <f t="shared" si="22"/>
        <v>58.3333333333333</v>
      </c>
      <c r="X230" s="78">
        <f t="shared" si="23"/>
        <v>48.8671466241555</v>
      </c>
      <c r="Z230" s="69" t="s">
        <v>249</v>
      </c>
      <c r="AA230" s="68">
        <v>44.1923671459168</v>
      </c>
      <c r="AB230" s="68">
        <v>237</v>
      </c>
    </row>
    <row r="231" spans="1:28">
      <c r="A231" s="69" t="s">
        <v>119</v>
      </c>
      <c r="B231" s="69" t="s">
        <v>31</v>
      </c>
      <c r="C231" s="69" t="s">
        <v>31</v>
      </c>
      <c r="D231" s="70">
        <f t="shared" si="18"/>
        <v>60</v>
      </c>
      <c r="E231" s="71">
        <v>63.0064798996344</v>
      </c>
      <c r="F231" s="72" t="s">
        <v>34</v>
      </c>
      <c r="G231" s="72">
        <v>75</v>
      </c>
      <c r="H231" s="72">
        <v>75</v>
      </c>
      <c r="I231" s="72">
        <v>75</v>
      </c>
      <c r="J231" s="73">
        <f t="shared" si="19"/>
        <v>75</v>
      </c>
      <c r="K231" s="72" t="s">
        <v>32</v>
      </c>
      <c r="L231" s="72" t="s">
        <v>33</v>
      </c>
      <c r="M231" s="72" t="s">
        <v>34</v>
      </c>
      <c r="N231" s="72" t="s">
        <v>33</v>
      </c>
      <c r="O231" s="74">
        <f t="shared" si="20"/>
        <v>43.75</v>
      </c>
      <c r="P231" s="72">
        <v>17.7754356064874</v>
      </c>
      <c r="Q231" s="72">
        <v>27.4855407438702</v>
      </c>
      <c r="R231" s="75">
        <f t="shared" si="21"/>
        <v>22.6304881751788</v>
      </c>
      <c r="S231" s="76">
        <v>23.7644566388053</v>
      </c>
      <c r="T231" s="72">
        <v>50</v>
      </c>
      <c r="U231" s="72">
        <v>75</v>
      </c>
      <c r="V231" s="72" t="s">
        <v>34</v>
      </c>
      <c r="W231" s="77">
        <f t="shared" si="22"/>
        <v>66.6666666666667</v>
      </c>
      <c r="X231" s="78">
        <f t="shared" si="23"/>
        <v>54.4375206410213</v>
      </c>
      <c r="Z231" s="69" t="s">
        <v>279</v>
      </c>
      <c r="AA231" s="68">
        <v>44.1746728252087</v>
      </c>
      <c r="AB231" s="68">
        <v>238</v>
      </c>
    </row>
    <row r="232" spans="1:28">
      <c r="A232" s="69" t="s">
        <v>305</v>
      </c>
      <c r="B232" s="69" t="s">
        <v>31</v>
      </c>
      <c r="C232" s="69" t="s">
        <v>31</v>
      </c>
      <c r="D232" s="70">
        <f t="shared" si="18"/>
        <v>60</v>
      </c>
      <c r="E232" s="71">
        <v>60.1297017792972</v>
      </c>
      <c r="F232" s="72" t="s">
        <v>34</v>
      </c>
      <c r="G232" s="72" t="s">
        <v>34</v>
      </c>
      <c r="H232" s="72" t="s">
        <v>34</v>
      </c>
      <c r="I232" s="72" t="s">
        <v>34</v>
      </c>
      <c r="J232" s="73">
        <f t="shared" si="19"/>
        <v>75</v>
      </c>
      <c r="K232" s="72">
        <v>0</v>
      </c>
      <c r="L232" s="72">
        <v>0</v>
      </c>
      <c r="M232" s="72" t="s">
        <v>33</v>
      </c>
      <c r="N232" s="72">
        <v>0</v>
      </c>
      <c r="O232" s="74">
        <f t="shared" si="20"/>
        <v>6.25</v>
      </c>
      <c r="P232" s="72">
        <v>14.5798516772313</v>
      </c>
      <c r="Q232" s="72">
        <v>40.3890579633207</v>
      </c>
      <c r="R232" s="75">
        <f t="shared" si="21"/>
        <v>27.484454820276</v>
      </c>
      <c r="S232" s="76">
        <v>27.5438678651627</v>
      </c>
      <c r="T232" s="72">
        <v>75</v>
      </c>
      <c r="U232" s="72" t="s">
        <v>34</v>
      </c>
      <c r="V232" s="72" t="s">
        <v>33</v>
      </c>
      <c r="W232" s="77">
        <f t="shared" si="22"/>
        <v>58.3333333333333</v>
      </c>
      <c r="X232" s="78">
        <f t="shared" si="23"/>
        <v>45.4513805955586</v>
      </c>
      <c r="Z232" s="69" t="s">
        <v>223</v>
      </c>
      <c r="AA232" s="68">
        <v>43.7757004792501</v>
      </c>
      <c r="AB232" s="68">
        <v>239</v>
      </c>
    </row>
    <row r="233" spans="1:28">
      <c r="A233" s="69" t="s">
        <v>237</v>
      </c>
      <c r="B233" s="69" t="s">
        <v>31</v>
      </c>
      <c r="C233" s="69" t="s">
        <v>31</v>
      </c>
      <c r="D233" s="70">
        <f t="shared" si="18"/>
        <v>60</v>
      </c>
      <c r="E233" s="71">
        <v>57.5422453105353</v>
      </c>
      <c r="F233" s="72" t="s">
        <v>32</v>
      </c>
      <c r="G233" s="72" t="s">
        <v>32</v>
      </c>
      <c r="H233" s="72" t="s">
        <v>38</v>
      </c>
      <c r="I233" s="72">
        <v>75</v>
      </c>
      <c r="J233" s="73">
        <f t="shared" si="19"/>
        <v>68.75</v>
      </c>
      <c r="K233" s="72" t="s">
        <v>33</v>
      </c>
      <c r="L233" s="72">
        <v>0</v>
      </c>
      <c r="M233" s="72" t="s">
        <v>34</v>
      </c>
      <c r="N233" s="72" t="s">
        <v>33</v>
      </c>
      <c r="O233" s="74">
        <f t="shared" si="20"/>
        <v>31.25</v>
      </c>
      <c r="P233" s="72">
        <v>40.3442471068591</v>
      </c>
      <c r="Q233" s="72">
        <v>50.0404692168934</v>
      </c>
      <c r="R233" s="75">
        <f t="shared" si="21"/>
        <v>45.1923581618762</v>
      </c>
      <c r="S233" s="76">
        <v>43.3411626585376</v>
      </c>
      <c r="T233" s="72">
        <v>50</v>
      </c>
      <c r="U233" s="72" t="s">
        <v>34</v>
      </c>
      <c r="V233" s="72" t="s">
        <v>33</v>
      </c>
      <c r="W233" s="77">
        <f t="shared" si="22"/>
        <v>50</v>
      </c>
      <c r="X233" s="78">
        <f t="shared" si="23"/>
        <v>50.1766815938146</v>
      </c>
      <c r="Z233" s="69" t="s">
        <v>231</v>
      </c>
      <c r="AA233" s="68">
        <v>43.7525198414043</v>
      </c>
      <c r="AB233" s="68">
        <v>240</v>
      </c>
    </row>
    <row r="234" spans="1:28">
      <c r="A234" s="69" t="s">
        <v>76</v>
      </c>
      <c r="B234" s="69" t="s">
        <v>41</v>
      </c>
      <c r="C234" s="69" t="s">
        <v>31</v>
      </c>
      <c r="D234" s="70">
        <f t="shared" si="18"/>
        <v>50</v>
      </c>
      <c r="E234" s="71">
        <v>49.7811869416381</v>
      </c>
      <c r="F234" s="72" t="s">
        <v>34</v>
      </c>
      <c r="G234" s="72" t="s">
        <v>34</v>
      </c>
      <c r="H234" s="72" t="s">
        <v>38</v>
      </c>
      <c r="I234" s="72">
        <v>75</v>
      </c>
      <c r="J234" s="73">
        <f t="shared" si="19"/>
        <v>81.25</v>
      </c>
      <c r="K234" s="72" t="s">
        <v>32</v>
      </c>
      <c r="L234" s="72">
        <v>0</v>
      </c>
      <c r="M234" s="72" t="s">
        <v>34</v>
      </c>
      <c r="N234" s="72" t="s">
        <v>33</v>
      </c>
      <c r="O234" s="74">
        <f t="shared" si="20"/>
        <v>37.5</v>
      </c>
      <c r="P234" s="72">
        <v>34.9516992262393</v>
      </c>
      <c r="Q234" s="72">
        <v>41.9626576242293</v>
      </c>
      <c r="R234" s="75">
        <f t="shared" si="21"/>
        <v>38.4571784252343</v>
      </c>
      <c r="S234" s="76">
        <v>38.2888797686904</v>
      </c>
      <c r="T234" s="72">
        <v>75</v>
      </c>
      <c r="U234" s="72" t="s">
        <v>34</v>
      </c>
      <c r="V234" s="72" t="s">
        <v>34</v>
      </c>
      <c r="W234" s="77">
        <f t="shared" si="22"/>
        <v>75</v>
      </c>
      <c r="X234" s="78">
        <f t="shared" si="23"/>
        <v>56.3640133420657</v>
      </c>
      <c r="Z234" s="69" t="s">
        <v>175</v>
      </c>
      <c r="AA234" s="68">
        <v>43.7300376294271</v>
      </c>
      <c r="AB234" s="68">
        <v>241</v>
      </c>
    </row>
    <row r="235" spans="1:28">
      <c r="A235" s="69" t="s">
        <v>153</v>
      </c>
      <c r="B235" s="69" t="s">
        <v>45</v>
      </c>
      <c r="C235" s="69" t="s">
        <v>31</v>
      </c>
      <c r="D235" s="70">
        <f t="shared" si="18"/>
        <v>70</v>
      </c>
      <c r="E235" s="71">
        <v>68.9029451940603</v>
      </c>
      <c r="F235" s="72" t="s">
        <v>32</v>
      </c>
      <c r="G235" s="72" t="s">
        <v>38</v>
      </c>
      <c r="H235" s="72" t="s">
        <v>38</v>
      </c>
      <c r="I235" s="72">
        <v>75</v>
      </c>
      <c r="J235" s="73">
        <f t="shared" si="19"/>
        <v>81.25</v>
      </c>
      <c r="K235" s="72" t="s">
        <v>33</v>
      </c>
      <c r="L235" s="72">
        <v>0</v>
      </c>
      <c r="M235" s="72" t="s">
        <v>32</v>
      </c>
      <c r="N235" s="72" t="s">
        <v>33</v>
      </c>
      <c r="O235" s="74">
        <f t="shared" si="20"/>
        <v>25</v>
      </c>
      <c r="P235" s="72">
        <v>37.148663177603</v>
      </c>
      <c r="Q235" s="72">
        <v>44.5853237257436</v>
      </c>
      <c r="R235" s="75">
        <f t="shared" si="21"/>
        <v>40.8669934516733</v>
      </c>
      <c r="S235" s="76">
        <v>40.2265172863809</v>
      </c>
      <c r="T235" s="72">
        <v>50</v>
      </c>
      <c r="U235" s="72">
        <v>75</v>
      </c>
      <c r="V235" s="72" t="s">
        <v>33</v>
      </c>
      <c r="W235" s="77">
        <f t="shared" si="22"/>
        <v>50</v>
      </c>
      <c r="X235" s="78">
        <f t="shared" si="23"/>
        <v>53.0758924960882</v>
      </c>
      <c r="Z235" s="69" t="s">
        <v>107</v>
      </c>
      <c r="AA235" s="68">
        <v>43.3834059348014</v>
      </c>
      <c r="AB235" s="68">
        <v>242</v>
      </c>
    </row>
    <row r="236" spans="1:28">
      <c r="A236" s="69" t="s">
        <v>52</v>
      </c>
      <c r="B236" s="69">
        <v>100</v>
      </c>
      <c r="C236" s="69" t="s">
        <v>45</v>
      </c>
      <c r="D236" s="70">
        <f t="shared" si="18"/>
        <v>90</v>
      </c>
      <c r="E236" s="71">
        <f>D236*0.8283</f>
        <v>74.547</v>
      </c>
      <c r="F236" s="72" t="s">
        <v>34</v>
      </c>
      <c r="G236" s="72" t="s">
        <v>34</v>
      </c>
      <c r="H236" s="72" t="s">
        <v>38</v>
      </c>
      <c r="I236" s="72">
        <v>75</v>
      </c>
      <c r="J236" s="73">
        <f t="shared" si="19"/>
        <v>81.25</v>
      </c>
      <c r="K236" s="72" t="s">
        <v>33</v>
      </c>
      <c r="L236" s="72">
        <v>0</v>
      </c>
      <c r="M236" s="72" t="s">
        <v>34</v>
      </c>
      <c r="N236" s="72">
        <v>0</v>
      </c>
      <c r="O236" s="74">
        <f t="shared" si="20"/>
        <v>25</v>
      </c>
      <c r="P236" s="72" t="s">
        <v>38</v>
      </c>
      <c r="Q236" s="72">
        <v>72.3226397358601</v>
      </c>
      <c r="R236" s="75">
        <f t="shared" si="21"/>
        <v>86.16131986793</v>
      </c>
      <c r="S236" s="76">
        <v>71.3666576948277</v>
      </c>
      <c r="T236" s="72">
        <v>75</v>
      </c>
      <c r="U236" s="72" t="s">
        <v>32</v>
      </c>
      <c r="V236" s="72" t="s">
        <v>33</v>
      </c>
      <c r="W236" s="77">
        <f t="shared" si="22"/>
        <v>50</v>
      </c>
      <c r="X236" s="78">
        <f t="shared" si="23"/>
        <v>60.4327315389655</v>
      </c>
      <c r="Z236" s="69" t="s">
        <v>77</v>
      </c>
      <c r="AA236" s="68">
        <v>43.0489480857236</v>
      </c>
      <c r="AB236" s="68">
        <v>243</v>
      </c>
    </row>
    <row r="237" spans="1:28">
      <c r="A237" s="69" t="s">
        <v>260</v>
      </c>
      <c r="B237" s="69" t="s">
        <v>31</v>
      </c>
      <c r="C237" s="69" t="s">
        <v>31</v>
      </c>
      <c r="D237" s="70">
        <f t="shared" si="18"/>
        <v>60</v>
      </c>
      <c r="E237" s="71">
        <v>62.0074286507988</v>
      </c>
      <c r="F237" s="72" t="s">
        <v>34</v>
      </c>
      <c r="G237" s="72" t="s">
        <v>38</v>
      </c>
      <c r="H237" s="72" t="s">
        <v>38</v>
      </c>
      <c r="I237" s="72">
        <v>75</v>
      </c>
      <c r="J237" s="73">
        <f t="shared" si="19"/>
        <v>87.5</v>
      </c>
      <c r="K237" s="72" t="s">
        <v>33</v>
      </c>
      <c r="L237" s="72">
        <v>0</v>
      </c>
      <c r="M237" s="72" t="s">
        <v>34</v>
      </c>
      <c r="N237" s="72">
        <v>0</v>
      </c>
      <c r="O237" s="74">
        <f t="shared" si="20"/>
        <v>25</v>
      </c>
      <c r="P237" s="72">
        <v>26.3635674163634</v>
      </c>
      <c r="Q237" s="72">
        <v>32.2527821130498</v>
      </c>
      <c r="R237" s="75">
        <f t="shared" si="21"/>
        <v>29.3081747647066</v>
      </c>
      <c r="S237" s="76">
        <v>30.2887425934614</v>
      </c>
      <c r="T237" s="72">
        <v>0</v>
      </c>
      <c r="U237" s="72" t="s">
        <v>34</v>
      </c>
      <c r="V237" s="72" t="s">
        <v>32</v>
      </c>
      <c r="W237" s="77">
        <f t="shared" si="22"/>
        <v>41.6666666666667</v>
      </c>
      <c r="X237" s="78">
        <f t="shared" si="23"/>
        <v>49.2925675821854</v>
      </c>
      <c r="Z237" s="69" t="s">
        <v>319</v>
      </c>
      <c r="AA237" s="68">
        <v>42.9951805761328</v>
      </c>
      <c r="AB237" s="68">
        <v>244</v>
      </c>
    </row>
    <row r="238" spans="1:28">
      <c r="A238" s="69" t="s">
        <v>160</v>
      </c>
      <c r="B238" s="69" t="s">
        <v>41</v>
      </c>
      <c r="C238" s="69" t="s">
        <v>31</v>
      </c>
      <c r="D238" s="70">
        <f t="shared" si="18"/>
        <v>50</v>
      </c>
      <c r="E238" s="71">
        <v>46.2234468660463</v>
      </c>
      <c r="F238" s="72" t="s">
        <v>34</v>
      </c>
      <c r="G238" s="72" t="s">
        <v>38</v>
      </c>
      <c r="H238" s="72" t="s">
        <v>38</v>
      </c>
      <c r="I238" s="72">
        <v>75</v>
      </c>
      <c r="J238" s="73">
        <f t="shared" si="19"/>
        <v>87.5</v>
      </c>
      <c r="K238" s="72" t="s">
        <v>33</v>
      </c>
      <c r="L238" s="72">
        <v>0</v>
      </c>
      <c r="M238" s="72" t="s">
        <v>38</v>
      </c>
      <c r="N238" s="72" t="s">
        <v>33</v>
      </c>
      <c r="O238" s="74">
        <f t="shared" si="20"/>
        <v>37.5</v>
      </c>
      <c r="P238" s="72">
        <v>17.5757116109089</v>
      </c>
      <c r="Q238" s="72">
        <v>56.6495877927095</v>
      </c>
      <c r="R238" s="75">
        <f t="shared" si="21"/>
        <v>37.1126497018092</v>
      </c>
      <c r="S238" s="76">
        <v>34.3094918309953</v>
      </c>
      <c r="T238" s="72">
        <v>75</v>
      </c>
      <c r="U238" s="72" t="s">
        <v>34</v>
      </c>
      <c r="V238" s="72" t="s">
        <v>33</v>
      </c>
      <c r="W238" s="77">
        <f t="shared" si="22"/>
        <v>58.3333333333333</v>
      </c>
      <c r="X238" s="78">
        <f t="shared" si="23"/>
        <v>52.773254406075</v>
      </c>
      <c r="Z238" s="69" t="s">
        <v>194</v>
      </c>
      <c r="AA238" s="68">
        <v>42.9743276725353</v>
      </c>
      <c r="AB238" s="68">
        <v>74</v>
      </c>
    </row>
    <row r="239" spans="1:28">
      <c r="A239" s="69" t="s">
        <v>320</v>
      </c>
      <c r="B239" s="69">
        <v>0</v>
      </c>
      <c r="C239" s="69" t="s">
        <v>31</v>
      </c>
      <c r="D239" s="70">
        <f t="shared" si="18"/>
        <v>30</v>
      </c>
      <c r="E239" s="71">
        <v>30.1290950113674</v>
      </c>
      <c r="F239" s="72" t="s">
        <v>32</v>
      </c>
      <c r="G239" s="72" t="s">
        <v>38</v>
      </c>
      <c r="H239" s="72" t="s">
        <v>34</v>
      </c>
      <c r="I239" s="72" t="s">
        <v>34</v>
      </c>
      <c r="J239" s="73">
        <f t="shared" si="19"/>
        <v>75</v>
      </c>
      <c r="K239" s="72">
        <v>0</v>
      </c>
      <c r="L239" s="72">
        <v>0</v>
      </c>
      <c r="M239" s="72" t="s">
        <v>33</v>
      </c>
      <c r="N239" s="72">
        <v>0</v>
      </c>
      <c r="O239" s="74">
        <f t="shared" si="20"/>
        <v>6.25</v>
      </c>
      <c r="P239" s="72">
        <v>50.3304468857847</v>
      </c>
      <c r="Q239" s="72">
        <v>39.8645247430178</v>
      </c>
      <c r="R239" s="75">
        <f t="shared" si="21"/>
        <v>45.0974858144013</v>
      </c>
      <c r="S239" s="76">
        <v>45.2915478291963</v>
      </c>
      <c r="T239" s="72" t="s">
        <v>32</v>
      </c>
      <c r="U239" s="72" t="s">
        <v>32</v>
      </c>
      <c r="V239" s="72" t="s">
        <v>33</v>
      </c>
      <c r="W239" s="77">
        <f t="shared" si="22"/>
        <v>41.6666666666667</v>
      </c>
      <c r="X239" s="78">
        <f t="shared" si="23"/>
        <v>39.6674619014461</v>
      </c>
      <c r="Z239" s="69" t="s">
        <v>268</v>
      </c>
      <c r="AA239" s="68">
        <v>42.899887122933</v>
      </c>
      <c r="AB239" s="68">
        <v>245</v>
      </c>
    </row>
    <row r="240" spans="1:28">
      <c r="A240" s="69" t="s">
        <v>111</v>
      </c>
      <c r="B240" s="69">
        <v>40</v>
      </c>
      <c r="C240" s="69">
        <v>40</v>
      </c>
      <c r="D240" s="70">
        <f t="shared" si="18"/>
        <v>40</v>
      </c>
      <c r="E240" s="71">
        <f>D240*1.03</f>
        <v>41.2</v>
      </c>
      <c r="F240" s="72" t="s">
        <v>34</v>
      </c>
      <c r="G240" s="72" t="s">
        <v>38</v>
      </c>
      <c r="H240" s="72" t="s">
        <v>38</v>
      </c>
      <c r="I240" s="72">
        <v>75</v>
      </c>
      <c r="J240" s="73">
        <f t="shared" si="19"/>
        <v>87.5</v>
      </c>
      <c r="K240" s="72" t="s">
        <v>32</v>
      </c>
      <c r="L240" s="72">
        <v>0</v>
      </c>
      <c r="M240" s="72" t="s">
        <v>34</v>
      </c>
      <c r="N240" s="72" t="s">
        <v>32</v>
      </c>
      <c r="O240" s="74">
        <f t="shared" si="20"/>
        <v>43.75</v>
      </c>
      <c r="P240" s="72">
        <v>33.5536312571898</v>
      </c>
      <c r="Q240" s="72">
        <v>33.1843768100388</v>
      </c>
      <c r="R240" s="75">
        <f t="shared" si="21"/>
        <v>33.3690040336143</v>
      </c>
      <c r="S240" s="76">
        <v>34.3723488093308</v>
      </c>
      <c r="T240" s="72">
        <v>75</v>
      </c>
      <c r="U240" s="72" t="s">
        <v>34</v>
      </c>
      <c r="V240" s="72" t="s">
        <v>32</v>
      </c>
      <c r="W240" s="77">
        <f t="shared" si="22"/>
        <v>66.6666666666667</v>
      </c>
      <c r="X240" s="78">
        <f t="shared" si="23"/>
        <v>54.6978030951995</v>
      </c>
      <c r="Z240" s="69" t="s">
        <v>146</v>
      </c>
      <c r="AA240" s="68">
        <v>42.7021641575616</v>
      </c>
      <c r="AB240" s="68">
        <v>246</v>
      </c>
    </row>
    <row r="241" spans="1:28">
      <c r="A241" s="69" t="s">
        <v>243</v>
      </c>
      <c r="B241" s="69" t="s">
        <v>31</v>
      </c>
      <c r="C241" s="69" t="s">
        <v>31</v>
      </c>
      <c r="D241" s="70">
        <f t="shared" si="18"/>
        <v>60</v>
      </c>
      <c r="E241" s="71">
        <v>57.8463604488355</v>
      </c>
      <c r="F241" s="72" t="s">
        <v>32</v>
      </c>
      <c r="G241" s="72" t="s">
        <v>38</v>
      </c>
      <c r="H241" s="72" t="s">
        <v>38</v>
      </c>
      <c r="I241" s="72">
        <v>75</v>
      </c>
      <c r="J241" s="73">
        <f t="shared" si="19"/>
        <v>81.25</v>
      </c>
      <c r="K241" s="72">
        <v>0</v>
      </c>
      <c r="L241" s="72">
        <v>0</v>
      </c>
      <c r="M241" s="72" t="s">
        <v>32</v>
      </c>
      <c r="N241" s="72">
        <v>0</v>
      </c>
      <c r="O241" s="74">
        <f t="shared" si="20"/>
        <v>12.5</v>
      </c>
      <c r="P241" s="72">
        <v>50.3304468857847</v>
      </c>
      <c r="Q241" s="72">
        <v>48.9914027762877</v>
      </c>
      <c r="R241" s="75">
        <f t="shared" si="21"/>
        <v>49.6609248310362</v>
      </c>
      <c r="S241" s="76">
        <v>47.8783959666441</v>
      </c>
      <c r="T241" s="72" t="s">
        <v>32</v>
      </c>
      <c r="U241" s="72" t="s">
        <v>32</v>
      </c>
      <c r="V241" s="72" t="s">
        <v>32</v>
      </c>
      <c r="W241" s="77">
        <f t="shared" si="22"/>
        <v>50</v>
      </c>
      <c r="X241" s="78">
        <f t="shared" si="23"/>
        <v>49.8949512830959</v>
      </c>
      <c r="Z241" s="69" t="s">
        <v>177</v>
      </c>
      <c r="AA241" s="68">
        <v>42.57005559667</v>
      </c>
      <c r="AB241" s="68">
        <v>247</v>
      </c>
    </row>
    <row r="242" spans="1:28">
      <c r="A242" s="69" t="s">
        <v>176</v>
      </c>
      <c r="B242" s="69" t="s">
        <v>31</v>
      </c>
      <c r="C242" s="69" t="s">
        <v>31</v>
      </c>
      <c r="D242" s="70">
        <f t="shared" si="18"/>
        <v>60</v>
      </c>
      <c r="E242" s="71">
        <v>60.6620326132176</v>
      </c>
      <c r="F242" s="72" t="s">
        <v>34</v>
      </c>
      <c r="G242" s="72">
        <v>75</v>
      </c>
      <c r="H242" s="72">
        <v>75</v>
      </c>
      <c r="I242" s="72">
        <v>75</v>
      </c>
      <c r="J242" s="73">
        <f t="shared" si="19"/>
        <v>75</v>
      </c>
      <c r="K242" s="72">
        <v>0</v>
      </c>
      <c r="L242" s="72">
        <v>0</v>
      </c>
      <c r="M242" s="72" t="s">
        <v>34</v>
      </c>
      <c r="N242" s="72" t="s">
        <v>33</v>
      </c>
      <c r="O242" s="74">
        <f t="shared" si="20"/>
        <v>25</v>
      </c>
      <c r="P242" s="72">
        <v>25.5646714340494</v>
      </c>
      <c r="Q242" s="72">
        <v>38.1860184380486</v>
      </c>
      <c r="R242" s="75">
        <f t="shared" si="21"/>
        <v>31.875344936049</v>
      </c>
      <c r="S242" s="76">
        <v>32.2270535678027</v>
      </c>
      <c r="T242" s="72">
        <v>75</v>
      </c>
      <c r="U242" s="72" t="s">
        <v>34</v>
      </c>
      <c r="V242" s="72">
        <v>50</v>
      </c>
      <c r="W242" s="77">
        <f t="shared" si="22"/>
        <v>66.6666666666667</v>
      </c>
      <c r="X242" s="78">
        <f t="shared" si="23"/>
        <v>51.9111505695374</v>
      </c>
      <c r="Z242" s="69" t="s">
        <v>321</v>
      </c>
      <c r="AA242" s="68">
        <v>42.3973273609153</v>
      </c>
      <c r="AB242" s="68">
        <v>248</v>
      </c>
    </row>
    <row r="243" spans="1:28">
      <c r="A243" s="69" t="s">
        <v>322</v>
      </c>
      <c r="B243" s="69" t="s">
        <v>31</v>
      </c>
      <c r="C243" s="69" t="s">
        <v>31</v>
      </c>
      <c r="D243" s="70">
        <f t="shared" si="18"/>
        <v>60</v>
      </c>
      <c r="E243" s="71">
        <v>64.0728163135476</v>
      </c>
      <c r="F243" s="72" t="s">
        <v>32</v>
      </c>
      <c r="G243" s="72" t="s">
        <v>33</v>
      </c>
      <c r="H243" s="72" t="s">
        <v>38</v>
      </c>
      <c r="I243" s="72">
        <v>75</v>
      </c>
      <c r="J243" s="73">
        <f t="shared" si="19"/>
        <v>62.5</v>
      </c>
      <c r="K243" s="72">
        <v>0</v>
      </c>
      <c r="L243" s="72">
        <v>0</v>
      </c>
      <c r="M243" s="72">
        <v>0</v>
      </c>
      <c r="N243" s="72">
        <v>0</v>
      </c>
      <c r="O243" s="74">
        <f t="shared" si="20"/>
        <v>0</v>
      </c>
      <c r="P243" s="72">
        <v>20.7712955401651</v>
      </c>
      <c r="Q243" s="72">
        <v>22.0303952527204</v>
      </c>
      <c r="R243" s="75">
        <f t="shared" si="21"/>
        <v>21.4008453964427</v>
      </c>
      <c r="S243" s="76">
        <v>22.8535406006818</v>
      </c>
      <c r="T243" s="72">
        <v>75</v>
      </c>
      <c r="U243" s="72" t="s">
        <v>33</v>
      </c>
      <c r="V243" s="72" t="s">
        <v>33</v>
      </c>
      <c r="W243" s="77">
        <f t="shared" si="22"/>
        <v>41.6666666666667</v>
      </c>
      <c r="X243" s="78">
        <f t="shared" si="23"/>
        <v>38.2186047161792</v>
      </c>
      <c r="Z243" s="69" t="s">
        <v>171</v>
      </c>
      <c r="AA243" s="68">
        <v>42.1574987564649</v>
      </c>
      <c r="AB243" s="68">
        <v>206</v>
      </c>
    </row>
    <row r="244" spans="1:28">
      <c r="A244" s="69" t="s">
        <v>227</v>
      </c>
      <c r="B244" s="69" t="s">
        <v>45</v>
      </c>
      <c r="C244" s="69" t="s">
        <v>45</v>
      </c>
      <c r="D244" s="70">
        <f t="shared" si="18"/>
        <v>80</v>
      </c>
      <c r="E244" s="71">
        <v>86.7420468227872</v>
      </c>
      <c r="F244" s="72" t="s">
        <v>34</v>
      </c>
      <c r="G244" s="72" t="s">
        <v>38</v>
      </c>
      <c r="H244" s="72" t="s">
        <v>38</v>
      </c>
      <c r="I244" s="72">
        <v>75</v>
      </c>
      <c r="J244" s="73">
        <f t="shared" si="19"/>
        <v>87.5</v>
      </c>
      <c r="K244" s="72">
        <v>0</v>
      </c>
      <c r="L244" s="72">
        <v>0</v>
      </c>
      <c r="M244" s="72" t="s">
        <v>32</v>
      </c>
      <c r="N244" s="72">
        <v>0</v>
      </c>
      <c r="O244" s="74">
        <f t="shared" si="20"/>
        <v>12.5</v>
      </c>
      <c r="P244" s="72">
        <v>15.5784716551238</v>
      </c>
      <c r="Q244" s="72">
        <v>16.6381937480069</v>
      </c>
      <c r="R244" s="75">
        <f t="shared" si="21"/>
        <v>16.1083327015653</v>
      </c>
      <c r="S244" s="76">
        <v>17.4658718679527</v>
      </c>
      <c r="T244" s="72">
        <v>75</v>
      </c>
      <c r="U244" s="72" t="s">
        <v>32</v>
      </c>
      <c r="V244" s="72" t="s">
        <v>33</v>
      </c>
      <c r="W244" s="77">
        <f t="shared" si="22"/>
        <v>50</v>
      </c>
      <c r="X244" s="78">
        <f t="shared" si="23"/>
        <v>50.841583738148</v>
      </c>
      <c r="Z244" s="69" t="s">
        <v>93</v>
      </c>
      <c r="AA244" s="68">
        <v>41.9842992829907</v>
      </c>
      <c r="AB244" s="68">
        <v>249</v>
      </c>
    </row>
    <row r="245" spans="1:28">
      <c r="A245" s="69" t="s">
        <v>323</v>
      </c>
      <c r="B245" s="69" t="s">
        <v>41</v>
      </c>
      <c r="C245" s="69" t="s">
        <v>31</v>
      </c>
      <c r="D245" s="70">
        <f t="shared" si="18"/>
        <v>50</v>
      </c>
      <c r="E245" s="71">
        <v>49.2625346874837</v>
      </c>
      <c r="F245" s="72" t="s">
        <v>34</v>
      </c>
      <c r="G245" s="72" t="s">
        <v>33</v>
      </c>
      <c r="H245" s="72" t="s">
        <v>34</v>
      </c>
      <c r="I245" s="72" t="s">
        <v>34</v>
      </c>
      <c r="J245" s="73">
        <f t="shared" si="19"/>
        <v>62.5</v>
      </c>
      <c r="K245" s="72">
        <v>0</v>
      </c>
      <c r="L245" s="72">
        <v>0</v>
      </c>
      <c r="M245" s="72" t="s">
        <v>34</v>
      </c>
      <c r="N245" s="72">
        <v>0</v>
      </c>
      <c r="O245" s="74">
        <f t="shared" si="20"/>
        <v>18.75</v>
      </c>
      <c r="P245" s="72">
        <v>15.5784716551238</v>
      </c>
      <c r="Q245" s="72">
        <v>44.3755104376225</v>
      </c>
      <c r="R245" s="75">
        <f t="shared" si="21"/>
        <v>29.9769910463732</v>
      </c>
      <c r="S245" s="76">
        <v>29.5348512249669</v>
      </c>
      <c r="T245" s="72" t="s">
        <v>34</v>
      </c>
      <c r="U245" s="72" t="s">
        <v>33</v>
      </c>
      <c r="V245" s="72" t="s">
        <v>33</v>
      </c>
      <c r="W245" s="77">
        <f t="shared" si="22"/>
        <v>41.6666666666667</v>
      </c>
      <c r="X245" s="78">
        <f t="shared" si="23"/>
        <v>40.3428105158235</v>
      </c>
      <c r="Z245" s="69" t="s">
        <v>88</v>
      </c>
      <c r="AA245" s="68">
        <v>41.7451805761328</v>
      </c>
      <c r="AB245" s="68">
        <v>250</v>
      </c>
    </row>
    <row r="246" spans="1:28">
      <c r="A246" s="69" t="s">
        <v>250</v>
      </c>
      <c r="B246" s="69" t="s">
        <v>31</v>
      </c>
      <c r="C246" s="69" t="s">
        <v>31</v>
      </c>
      <c r="D246" s="70">
        <f t="shared" si="18"/>
        <v>60</v>
      </c>
      <c r="E246" s="71">
        <v>49.6974682868508</v>
      </c>
      <c r="F246" s="72" t="s">
        <v>34</v>
      </c>
      <c r="G246" s="72" t="s">
        <v>34</v>
      </c>
      <c r="H246" s="72">
        <v>50</v>
      </c>
      <c r="I246" s="72">
        <v>50</v>
      </c>
      <c r="J246" s="73">
        <f t="shared" si="19"/>
        <v>62.5</v>
      </c>
      <c r="K246" s="72" t="s">
        <v>33</v>
      </c>
      <c r="L246" s="72">
        <v>0</v>
      </c>
      <c r="M246" s="72" t="s">
        <v>32</v>
      </c>
      <c r="N246" s="72" t="s">
        <v>33</v>
      </c>
      <c r="O246" s="74">
        <f t="shared" si="20"/>
        <v>25</v>
      </c>
      <c r="P246" s="72">
        <v>74.2973263552059</v>
      </c>
      <c r="Q246" s="72">
        <v>72.3855844017955</v>
      </c>
      <c r="R246" s="75">
        <f t="shared" si="21"/>
        <v>73.3414553785007</v>
      </c>
      <c r="S246" s="76">
        <v>60.7480775464087</v>
      </c>
      <c r="T246" s="72">
        <v>75</v>
      </c>
      <c r="U246" s="72">
        <v>50</v>
      </c>
      <c r="V246" s="72" t="s">
        <v>33</v>
      </c>
      <c r="W246" s="77">
        <f t="shared" si="22"/>
        <v>50</v>
      </c>
      <c r="X246" s="78">
        <f t="shared" si="23"/>
        <v>49.5891091666519</v>
      </c>
      <c r="Z246" s="69" t="s">
        <v>86</v>
      </c>
      <c r="AA246" s="68">
        <v>41.4189911147997</v>
      </c>
      <c r="AB246" s="68">
        <v>219</v>
      </c>
    </row>
    <row r="247" spans="1:28">
      <c r="A247" s="69" t="s">
        <v>324</v>
      </c>
      <c r="B247" s="69" t="s">
        <v>31</v>
      </c>
      <c r="C247" s="69" t="s">
        <v>31</v>
      </c>
      <c r="D247" s="70">
        <f t="shared" si="18"/>
        <v>60</v>
      </c>
      <c r="E247" s="71">
        <v>62.8611950709792</v>
      </c>
      <c r="F247" s="72" t="s">
        <v>32</v>
      </c>
      <c r="G247" s="72" t="s">
        <v>33</v>
      </c>
      <c r="H247" s="72" t="s">
        <v>38</v>
      </c>
      <c r="I247" s="72">
        <v>75</v>
      </c>
      <c r="J247" s="73">
        <f t="shared" si="19"/>
        <v>62.5</v>
      </c>
      <c r="K247" s="72">
        <v>0</v>
      </c>
      <c r="L247" s="72">
        <v>0</v>
      </c>
      <c r="M247" s="72" t="s">
        <v>33</v>
      </c>
      <c r="N247" s="72">
        <v>0</v>
      </c>
      <c r="O247" s="74">
        <f t="shared" si="20"/>
        <v>6.25</v>
      </c>
      <c r="P247" s="72">
        <v>13.3815077037602</v>
      </c>
      <c r="Q247" s="72">
        <v>28.1989059234821</v>
      </c>
      <c r="R247" s="75">
        <f t="shared" si="21"/>
        <v>20.7902068136212</v>
      </c>
      <c r="S247" s="76">
        <v>21.7816207679507</v>
      </c>
      <c r="T247" s="72">
        <v>50</v>
      </c>
      <c r="U247" s="72" t="s">
        <v>32</v>
      </c>
      <c r="V247" s="72" t="s">
        <v>33</v>
      </c>
      <c r="W247" s="77">
        <f t="shared" si="22"/>
        <v>41.6666666666667</v>
      </c>
      <c r="X247" s="78">
        <f t="shared" si="23"/>
        <v>39.0118965011193</v>
      </c>
      <c r="Z247" s="69" t="s">
        <v>43</v>
      </c>
      <c r="AA247" s="68">
        <v>41.3578418369337</v>
      </c>
      <c r="AB247" s="68">
        <v>234</v>
      </c>
    </row>
    <row r="248" spans="1:28">
      <c r="A248" s="69" t="s">
        <v>304</v>
      </c>
      <c r="B248" s="69" t="s">
        <v>31</v>
      </c>
      <c r="C248" s="69" t="s">
        <v>31</v>
      </c>
      <c r="D248" s="70">
        <f t="shared" si="18"/>
        <v>60</v>
      </c>
      <c r="E248" s="71">
        <v>59.7374243299658</v>
      </c>
      <c r="F248" s="72" t="s">
        <v>32</v>
      </c>
      <c r="G248" s="72" t="s">
        <v>34</v>
      </c>
      <c r="H248" s="72" t="s">
        <v>38</v>
      </c>
      <c r="I248" s="72">
        <v>75</v>
      </c>
      <c r="J248" s="73">
        <f t="shared" si="19"/>
        <v>75</v>
      </c>
      <c r="K248" s="72">
        <v>0</v>
      </c>
      <c r="L248" s="72">
        <v>0</v>
      </c>
      <c r="M248" s="72" t="s">
        <v>32</v>
      </c>
      <c r="N248" s="72">
        <v>0</v>
      </c>
      <c r="O248" s="74">
        <f t="shared" si="20"/>
        <v>12.5</v>
      </c>
      <c r="P248" s="72">
        <v>20.3718475490081</v>
      </c>
      <c r="Q248" s="72">
        <v>41.9626576242293</v>
      </c>
      <c r="R248" s="75">
        <f t="shared" si="21"/>
        <v>31.1672525866187</v>
      </c>
      <c r="S248" s="76">
        <v>31.0308565494344</v>
      </c>
      <c r="T248" s="72">
        <v>50</v>
      </c>
      <c r="U248" s="72">
        <v>75</v>
      </c>
      <c r="V248" s="72" t="s">
        <v>33</v>
      </c>
      <c r="W248" s="77">
        <f t="shared" si="22"/>
        <v>50</v>
      </c>
      <c r="X248" s="78">
        <f t="shared" si="23"/>
        <v>45.65365617588</v>
      </c>
      <c r="Z248" s="69" t="s">
        <v>325</v>
      </c>
      <c r="AA248" s="68">
        <v>41.1984022796402</v>
      </c>
      <c r="AB248" s="68">
        <v>251</v>
      </c>
    </row>
    <row r="249" spans="1:28">
      <c r="A249" s="69" t="s">
        <v>311</v>
      </c>
      <c r="B249" s="69" t="s">
        <v>31</v>
      </c>
      <c r="C249" s="69" t="s">
        <v>31</v>
      </c>
      <c r="D249" s="70">
        <f t="shared" si="18"/>
        <v>60</v>
      </c>
      <c r="E249" s="71">
        <v>64.6890708297984</v>
      </c>
      <c r="F249" s="72" t="s">
        <v>34</v>
      </c>
      <c r="G249" s="72" t="s">
        <v>34</v>
      </c>
      <c r="H249" s="72" t="s">
        <v>38</v>
      </c>
      <c r="I249" s="72">
        <v>75</v>
      </c>
      <c r="J249" s="73">
        <f t="shared" si="19"/>
        <v>81.25</v>
      </c>
      <c r="K249" s="72">
        <v>0</v>
      </c>
      <c r="L249" s="72">
        <v>0</v>
      </c>
      <c r="M249" s="72" t="s">
        <v>32</v>
      </c>
      <c r="N249" s="72" t="s">
        <v>33</v>
      </c>
      <c r="O249" s="74">
        <f t="shared" si="20"/>
        <v>18.75</v>
      </c>
      <c r="P249" s="72">
        <v>14.5998240767891</v>
      </c>
      <c r="Q249" s="72">
        <v>18.6943639715941</v>
      </c>
      <c r="R249" s="75">
        <f t="shared" si="21"/>
        <v>16.6470940241916</v>
      </c>
      <c r="S249" s="76">
        <v>17.9480840740207</v>
      </c>
      <c r="T249" s="72">
        <v>50</v>
      </c>
      <c r="U249" s="72" t="s">
        <v>32</v>
      </c>
      <c r="V249" s="72" t="s">
        <v>33</v>
      </c>
      <c r="W249" s="77">
        <f t="shared" si="22"/>
        <v>41.6666666666667</v>
      </c>
      <c r="X249" s="78">
        <f t="shared" si="23"/>
        <v>44.8607643140972</v>
      </c>
      <c r="Z249" s="69" t="s">
        <v>81</v>
      </c>
      <c r="AA249" s="68">
        <v>41.0602811414617</v>
      </c>
      <c r="AB249" s="68">
        <v>252</v>
      </c>
    </row>
    <row r="250" spans="1:28">
      <c r="A250" s="69" t="s">
        <v>161</v>
      </c>
      <c r="B250" s="69" t="s">
        <v>41</v>
      </c>
      <c r="C250" s="69" t="s">
        <v>45</v>
      </c>
      <c r="D250" s="70">
        <f t="shared" si="18"/>
        <v>60</v>
      </c>
      <c r="E250" s="71">
        <v>65.8778046540288</v>
      </c>
      <c r="F250" s="72" t="s">
        <v>34</v>
      </c>
      <c r="G250" s="72" t="s">
        <v>38</v>
      </c>
      <c r="H250" s="72" t="s">
        <v>38</v>
      </c>
      <c r="I250" s="72">
        <v>75</v>
      </c>
      <c r="J250" s="73">
        <f t="shared" si="19"/>
        <v>87.5</v>
      </c>
      <c r="K250" s="72" t="s">
        <v>33</v>
      </c>
      <c r="L250" s="72">
        <v>0</v>
      </c>
      <c r="M250" s="72" t="s">
        <v>34</v>
      </c>
      <c r="N250" s="72" t="s">
        <v>33</v>
      </c>
      <c r="O250" s="74">
        <f t="shared" si="20"/>
        <v>31.25</v>
      </c>
      <c r="P250" s="72">
        <v>24.9255546481981</v>
      </c>
      <c r="Q250" s="72">
        <v>11.8544507788448</v>
      </c>
      <c r="R250" s="75">
        <f t="shared" si="21"/>
        <v>18.3900027135215</v>
      </c>
      <c r="S250" s="76">
        <v>20.1915501058071</v>
      </c>
      <c r="T250" s="72">
        <v>50</v>
      </c>
      <c r="U250" s="72" t="s">
        <v>34</v>
      </c>
      <c r="V250" s="72" t="s">
        <v>32</v>
      </c>
      <c r="W250" s="77">
        <f t="shared" si="22"/>
        <v>58.3333333333333</v>
      </c>
      <c r="X250" s="78">
        <f t="shared" si="23"/>
        <v>52.6305376186338</v>
      </c>
      <c r="Z250" s="69" t="s">
        <v>165</v>
      </c>
      <c r="AA250" s="68">
        <v>41.0356974595581</v>
      </c>
      <c r="AB250" s="68">
        <v>253</v>
      </c>
    </row>
    <row r="251" spans="1:28">
      <c r="A251" s="69" t="s">
        <v>247</v>
      </c>
      <c r="B251" s="69" t="s">
        <v>41</v>
      </c>
      <c r="C251" s="69" t="s">
        <v>31</v>
      </c>
      <c r="D251" s="70">
        <f t="shared" si="18"/>
        <v>50</v>
      </c>
      <c r="E251" s="71">
        <v>41.414556905709</v>
      </c>
      <c r="F251" s="72" t="s">
        <v>34</v>
      </c>
      <c r="G251" s="72" t="s">
        <v>34</v>
      </c>
      <c r="H251" s="72">
        <v>50</v>
      </c>
      <c r="I251" s="72">
        <v>50</v>
      </c>
      <c r="J251" s="73">
        <f t="shared" si="19"/>
        <v>62.5</v>
      </c>
      <c r="K251" s="72" t="s">
        <v>33</v>
      </c>
      <c r="L251" s="72">
        <v>0</v>
      </c>
      <c r="M251" s="72" t="s">
        <v>34</v>
      </c>
      <c r="N251" s="72">
        <v>0</v>
      </c>
      <c r="O251" s="74">
        <f t="shared" si="20"/>
        <v>25</v>
      </c>
      <c r="P251" s="72">
        <v>74.2973263552059</v>
      </c>
      <c r="Q251" s="72">
        <v>94.625792942637</v>
      </c>
      <c r="R251" s="75">
        <f t="shared" si="21"/>
        <v>84.4615596489215</v>
      </c>
      <c r="S251" s="76">
        <v>69.9587613685038</v>
      </c>
      <c r="T251" s="72">
        <v>75</v>
      </c>
      <c r="U251" s="72">
        <v>50</v>
      </c>
      <c r="V251" s="72">
        <v>25</v>
      </c>
      <c r="W251" s="77">
        <f t="shared" si="22"/>
        <v>50</v>
      </c>
      <c r="X251" s="78">
        <f t="shared" si="23"/>
        <v>49.7746636548426</v>
      </c>
      <c r="Z251" s="69" t="s">
        <v>326</v>
      </c>
      <c r="AA251" s="68">
        <v>40.8782325177412</v>
      </c>
      <c r="AB251" s="68">
        <v>55</v>
      </c>
    </row>
    <row r="252" spans="1:28">
      <c r="A252" s="69" t="s">
        <v>290</v>
      </c>
      <c r="B252" s="69" t="s">
        <v>31</v>
      </c>
      <c r="C252" s="69" t="s">
        <v>45</v>
      </c>
      <c r="D252" s="70">
        <f t="shared" si="18"/>
        <v>70</v>
      </c>
      <c r="E252" s="71">
        <v>73.4827373945728</v>
      </c>
      <c r="F252" s="72" t="s">
        <v>34</v>
      </c>
      <c r="G252" s="72" t="s">
        <v>34</v>
      </c>
      <c r="H252" s="72" t="s">
        <v>38</v>
      </c>
      <c r="I252" s="72" t="s">
        <v>34</v>
      </c>
      <c r="J252" s="73">
        <f t="shared" si="19"/>
        <v>81.25</v>
      </c>
      <c r="K252" s="72">
        <v>0</v>
      </c>
      <c r="L252" s="72">
        <v>0</v>
      </c>
      <c r="M252" s="72" t="s">
        <v>32</v>
      </c>
      <c r="N252" s="72" t="s">
        <v>33</v>
      </c>
      <c r="O252" s="74">
        <f t="shared" si="20"/>
        <v>18.75</v>
      </c>
      <c r="P252" s="72">
        <v>46.93513896095</v>
      </c>
      <c r="Q252" s="72">
        <v>27.5904473879308</v>
      </c>
      <c r="R252" s="75">
        <f t="shared" si="21"/>
        <v>37.2627931744404</v>
      </c>
      <c r="S252" s="76">
        <v>39.1167435060812</v>
      </c>
      <c r="T252" s="72" t="s">
        <v>33</v>
      </c>
      <c r="U252" s="72">
        <v>0</v>
      </c>
      <c r="V252" s="72" t="s">
        <v>32</v>
      </c>
      <c r="W252" s="77">
        <f t="shared" si="22"/>
        <v>25</v>
      </c>
      <c r="X252" s="78">
        <f t="shared" si="23"/>
        <v>47.5198961801308</v>
      </c>
      <c r="Z252" s="69" t="s">
        <v>63</v>
      </c>
      <c r="AA252" s="68">
        <v>40.6466452366561</v>
      </c>
      <c r="AB252" s="68">
        <v>254</v>
      </c>
    </row>
    <row r="253" spans="1:28">
      <c r="A253" s="69" t="s">
        <v>327</v>
      </c>
      <c r="B253" s="69" t="s">
        <v>31</v>
      </c>
      <c r="C253" s="69" t="s">
        <v>31</v>
      </c>
      <c r="D253" s="70">
        <f t="shared" si="18"/>
        <v>60</v>
      </c>
      <c r="E253" s="71">
        <v>64.3822043901342</v>
      </c>
      <c r="F253" s="72" t="s">
        <v>32</v>
      </c>
      <c r="G253" s="72" t="s">
        <v>33</v>
      </c>
      <c r="H253" s="72" t="s">
        <v>38</v>
      </c>
      <c r="I253" s="72">
        <v>75</v>
      </c>
      <c r="J253" s="73">
        <f t="shared" si="19"/>
        <v>62.5</v>
      </c>
      <c r="K253" s="72">
        <v>0</v>
      </c>
      <c r="L253" s="72">
        <v>0</v>
      </c>
      <c r="M253" s="72" t="s">
        <v>33</v>
      </c>
      <c r="N253" s="72">
        <v>0</v>
      </c>
      <c r="O253" s="74">
        <f t="shared" si="20"/>
        <v>6.25</v>
      </c>
      <c r="P253" s="72">
        <v>14.5798516772313</v>
      </c>
      <c r="Q253" s="72">
        <v>20.3728702765633</v>
      </c>
      <c r="R253" s="75">
        <f t="shared" si="21"/>
        <v>17.4763609768973</v>
      </c>
      <c r="S253" s="76">
        <v>18.7527774068395</v>
      </c>
      <c r="T253" s="72">
        <v>75</v>
      </c>
      <c r="U253" s="72">
        <v>0</v>
      </c>
      <c r="V253" s="72" t="s">
        <v>33</v>
      </c>
      <c r="W253" s="77">
        <f t="shared" si="22"/>
        <v>33.3333333333333</v>
      </c>
      <c r="X253" s="78">
        <f t="shared" si="23"/>
        <v>37.0436630260614</v>
      </c>
      <c r="Z253" s="69" t="s">
        <v>273</v>
      </c>
      <c r="AA253" s="68">
        <v>40.5579207224707</v>
      </c>
      <c r="AB253" s="68">
        <v>255</v>
      </c>
    </row>
    <row r="254" spans="1:28">
      <c r="A254" s="69" t="s">
        <v>235</v>
      </c>
      <c r="B254" s="69" t="s">
        <v>37</v>
      </c>
      <c r="C254" s="69" t="s">
        <v>31</v>
      </c>
      <c r="D254" s="70">
        <f t="shared" si="18"/>
        <v>40</v>
      </c>
      <c r="E254" s="71">
        <v>40.6622315664584</v>
      </c>
      <c r="F254" s="72" t="s">
        <v>34</v>
      </c>
      <c r="G254" s="72" t="s">
        <v>32</v>
      </c>
      <c r="H254" s="72" t="s">
        <v>38</v>
      </c>
      <c r="I254" s="72" t="s">
        <v>34</v>
      </c>
      <c r="J254" s="73">
        <f t="shared" si="19"/>
        <v>75</v>
      </c>
      <c r="K254" s="72" t="s">
        <v>33</v>
      </c>
      <c r="L254" s="72">
        <v>0</v>
      </c>
      <c r="M254" s="72" t="s">
        <v>32</v>
      </c>
      <c r="N254" s="72">
        <v>0</v>
      </c>
      <c r="O254" s="74">
        <f t="shared" si="20"/>
        <v>18.75</v>
      </c>
      <c r="P254" s="72">
        <v>79.2904262446687</v>
      </c>
      <c r="Q254" s="72">
        <v>36.7744424916099</v>
      </c>
      <c r="R254" s="75">
        <f t="shared" si="21"/>
        <v>58.0324343681393</v>
      </c>
      <c r="S254" s="76">
        <v>58.9932071160645</v>
      </c>
      <c r="T254" s="72">
        <v>75</v>
      </c>
      <c r="U254" s="72" t="s">
        <v>34</v>
      </c>
      <c r="V254" s="72" t="s">
        <v>33</v>
      </c>
      <c r="W254" s="77">
        <f t="shared" si="22"/>
        <v>58.3333333333333</v>
      </c>
      <c r="X254" s="78">
        <f t="shared" si="23"/>
        <v>50.3477544031712</v>
      </c>
      <c r="Z254" s="69" t="s">
        <v>209</v>
      </c>
      <c r="AA254" s="68">
        <v>40.4951805761328</v>
      </c>
      <c r="AB254" s="68">
        <v>256</v>
      </c>
    </row>
    <row r="255" spans="1:28">
      <c r="A255" s="69" t="s">
        <v>319</v>
      </c>
      <c r="B255" s="69" t="s">
        <v>41</v>
      </c>
      <c r="C255" s="69" t="s">
        <v>31</v>
      </c>
      <c r="D255" s="70">
        <f t="shared" si="18"/>
        <v>50</v>
      </c>
      <c r="E255" s="71">
        <v>53.6518369917785</v>
      </c>
      <c r="F255" s="72" t="s">
        <v>34</v>
      </c>
      <c r="G255" s="72" t="s">
        <v>34</v>
      </c>
      <c r="H255" s="72" t="s">
        <v>38</v>
      </c>
      <c r="I255" s="72">
        <v>75</v>
      </c>
      <c r="J255" s="73">
        <f t="shared" si="19"/>
        <v>81.25</v>
      </c>
      <c r="K255" s="72">
        <v>0</v>
      </c>
      <c r="L255" s="72">
        <v>0</v>
      </c>
      <c r="M255" s="72" t="s">
        <v>32</v>
      </c>
      <c r="N255" s="72">
        <v>0</v>
      </c>
      <c r="O255" s="74">
        <f t="shared" si="20"/>
        <v>12.5</v>
      </c>
      <c r="P255" s="72">
        <v>12.3828877258677</v>
      </c>
      <c r="Q255" s="72">
        <v>20.3728702765633</v>
      </c>
      <c r="R255" s="75">
        <f t="shared" si="21"/>
        <v>16.3778790012155</v>
      </c>
      <c r="S255" s="76">
        <v>17.5740658888857</v>
      </c>
      <c r="T255" s="72">
        <v>75</v>
      </c>
      <c r="U255" s="72" t="s">
        <v>32</v>
      </c>
      <c r="V255" s="72" t="s">
        <v>33</v>
      </c>
      <c r="W255" s="77">
        <f t="shared" si="22"/>
        <v>50</v>
      </c>
      <c r="X255" s="78">
        <f t="shared" si="23"/>
        <v>42.9951805761328</v>
      </c>
      <c r="Z255" s="69" t="s">
        <v>55</v>
      </c>
      <c r="AA255" s="68">
        <v>40.4633940299929</v>
      </c>
      <c r="AB255" s="68">
        <v>257</v>
      </c>
    </row>
    <row r="256" spans="1:28">
      <c r="A256" s="69" t="s">
        <v>217</v>
      </c>
      <c r="B256" s="69" t="s">
        <v>41</v>
      </c>
      <c r="C256" s="69" t="s">
        <v>31</v>
      </c>
      <c r="D256" s="70">
        <f t="shared" si="18"/>
        <v>50</v>
      </c>
      <c r="E256" s="71">
        <v>47.9518710921128</v>
      </c>
      <c r="F256" s="72" t="s">
        <v>34</v>
      </c>
      <c r="G256" s="72" t="s">
        <v>38</v>
      </c>
      <c r="H256" s="72" t="s">
        <v>38</v>
      </c>
      <c r="I256" s="72" t="s">
        <v>34</v>
      </c>
      <c r="J256" s="73">
        <f t="shared" si="19"/>
        <v>87.5</v>
      </c>
      <c r="K256" s="72">
        <v>0</v>
      </c>
      <c r="L256" s="72">
        <v>0</v>
      </c>
      <c r="M256" s="72" t="s">
        <v>32</v>
      </c>
      <c r="N256" s="72" t="s">
        <v>33</v>
      </c>
      <c r="O256" s="74">
        <f t="shared" si="20"/>
        <v>18.75</v>
      </c>
      <c r="P256" s="72">
        <v>40.3442471068591</v>
      </c>
      <c r="Q256" s="72">
        <v>50.0404692168934</v>
      </c>
      <c r="R256" s="75">
        <f t="shared" si="21"/>
        <v>45.1923581618762</v>
      </c>
      <c r="S256" s="76">
        <v>43.3411626585376</v>
      </c>
      <c r="T256" s="72" t="s">
        <v>34</v>
      </c>
      <c r="U256" s="72">
        <v>75</v>
      </c>
      <c r="V256" s="72" t="s">
        <v>33</v>
      </c>
      <c r="W256" s="77">
        <f t="shared" si="22"/>
        <v>58.3333333333333</v>
      </c>
      <c r="X256" s="78">
        <f t="shared" si="23"/>
        <v>51.1752734167967</v>
      </c>
      <c r="Z256" s="69" t="s">
        <v>187</v>
      </c>
      <c r="AA256" s="68">
        <v>40.3477544031713</v>
      </c>
      <c r="AB256" s="68">
        <v>258</v>
      </c>
    </row>
    <row r="257" spans="1:28">
      <c r="A257" s="69" t="s">
        <v>133</v>
      </c>
      <c r="B257" s="69" t="s">
        <v>45</v>
      </c>
      <c r="C257" s="69" t="s">
        <v>45</v>
      </c>
      <c r="D257" s="70">
        <f t="shared" si="18"/>
        <v>80</v>
      </c>
      <c r="E257" s="71">
        <v>69.9066085996988</v>
      </c>
      <c r="F257" s="72" t="s">
        <v>34</v>
      </c>
      <c r="G257" s="72" t="s">
        <v>34</v>
      </c>
      <c r="H257" s="72" t="s">
        <v>38</v>
      </c>
      <c r="I257" s="72">
        <v>75</v>
      </c>
      <c r="J257" s="73">
        <f t="shared" si="19"/>
        <v>81.25</v>
      </c>
      <c r="K257" s="72" t="s">
        <v>33</v>
      </c>
      <c r="L257" s="72">
        <v>0</v>
      </c>
      <c r="M257" s="72" t="s">
        <v>32</v>
      </c>
      <c r="N257" s="72" t="s">
        <v>33</v>
      </c>
      <c r="O257" s="74">
        <f t="shared" si="20"/>
        <v>25</v>
      </c>
      <c r="P257" s="72">
        <v>13.9806796904957</v>
      </c>
      <c r="Q257" s="72">
        <v>64.8065001169915</v>
      </c>
      <c r="R257" s="75">
        <f t="shared" si="21"/>
        <v>39.3935899037436</v>
      </c>
      <c r="S257" s="76">
        <v>34.4234033842256</v>
      </c>
      <c r="T257" s="72">
        <v>75</v>
      </c>
      <c r="U257" s="72" t="s">
        <v>34</v>
      </c>
      <c r="V257" s="72" t="s">
        <v>33</v>
      </c>
      <c r="W257" s="77">
        <f t="shared" si="22"/>
        <v>58.3333333333333</v>
      </c>
      <c r="X257" s="78">
        <f t="shared" si="23"/>
        <v>53.7826690634515</v>
      </c>
      <c r="Z257" s="69" t="s">
        <v>323</v>
      </c>
      <c r="AA257" s="68">
        <v>40.3428105158235</v>
      </c>
      <c r="AB257" s="68">
        <v>259</v>
      </c>
    </row>
    <row r="258" spans="1:28">
      <c r="A258" s="69" t="s">
        <v>308</v>
      </c>
      <c r="B258" s="69" t="s">
        <v>31</v>
      </c>
      <c r="C258" s="69" t="s">
        <v>31</v>
      </c>
      <c r="D258" s="70">
        <f t="shared" si="18"/>
        <v>60</v>
      </c>
      <c r="E258" s="71">
        <v>62.5312040741352</v>
      </c>
      <c r="F258" s="72" t="s">
        <v>32</v>
      </c>
      <c r="G258" s="72" t="s">
        <v>34</v>
      </c>
      <c r="H258" s="72" t="s">
        <v>38</v>
      </c>
      <c r="I258" s="72" t="s">
        <v>34</v>
      </c>
      <c r="J258" s="73">
        <f t="shared" si="19"/>
        <v>75</v>
      </c>
      <c r="K258" s="72">
        <v>0</v>
      </c>
      <c r="L258" s="72">
        <v>0</v>
      </c>
      <c r="M258" s="72" t="s">
        <v>33</v>
      </c>
      <c r="N258" s="72" t="s">
        <v>33</v>
      </c>
      <c r="O258" s="74">
        <f t="shared" si="20"/>
        <v>12.5</v>
      </c>
      <c r="P258" s="72">
        <v>34.991644025355</v>
      </c>
      <c r="Q258" s="72">
        <v>29.7934869132028</v>
      </c>
      <c r="R258" s="75">
        <f t="shared" si="21"/>
        <v>32.3925654692789</v>
      </c>
      <c r="S258" s="76">
        <v>33.7591020307377</v>
      </c>
      <c r="T258" s="72" t="s">
        <v>34</v>
      </c>
      <c r="U258" s="72" t="s">
        <v>32</v>
      </c>
      <c r="V258" s="72">
        <v>0</v>
      </c>
      <c r="W258" s="77">
        <f t="shared" si="22"/>
        <v>41.6666666666667</v>
      </c>
      <c r="X258" s="78">
        <f t="shared" si="23"/>
        <v>45.0913945543079</v>
      </c>
      <c r="Z258" s="69" t="s">
        <v>167</v>
      </c>
      <c r="AA258" s="68">
        <v>40.3024714723018</v>
      </c>
      <c r="AB258" s="68">
        <v>260</v>
      </c>
    </row>
    <row r="259" spans="1:28">
      <c r="A259" s="69" t="s">
        <v>219</v>
      </c>
      <c r="B259" s="69" t="s">
        <v>45</v>
      </c>
      <c r="C259" s="69" t="s">
        <v>31</v>
      </c>
      <c r="D259" s="70">
        <f t="shared" ref="D259:D298" si="24">(B259+C259)/2</f>
        <v>70</v>
      </c>
      <c r="E259" s="71">
        <v>76.9409710293203</v>
      </c>
      <c r="F259" s="72" t="s">
        <v>34</v>
      </c>
      <c r="G259" s="72" t="s">
        <v>34</v>
      </c>
      <c r="H259" s="72" t="s">
        <v>38</v>
      </c>
      <c r="I259" s="72">
        <v>75</v>
      </c>
      <c r="J259" s="73">
        <f t="shared" ref="J259:J298" si="25">(F259+G259+H259+I259)/4</f>
        <v>81.25</v>
      </c>
      <c r="K259" s="72" t="s">
        <v>33</v>
      </c>
      <c r="L259" s="72">
        <v>0</v>
      </c>
      <c r="M259" s="72" t="s">
        <v>34</v>
      </c>
      <c r="N259" s="72" t="s">
        <v>33</v>
      </c>
      <c r="O259" s="74">
        <f t="shared" ref="O259:O298" si="26">(K259+L259+M259+N259)/4</f>
        <v>31.25</v>
      </c>
      <c r="P259" s="72">
        <v>4.33401070405368</v>
      </c>
      <c r="Q259" s="72">
        <v>9.44159796545159</v>
      </c>
      <c r="R259" s="75">
        <f t="shared" ref="R259:R298" si="27">(P259+Q259)/2</f>
        <v>6.88780433475264</v>
      </c>
      <c r="S259" s="76">
        <v>7.57077648251185</v>
      </c>
      <c r="T259" s="72">
        <v>75</v>
      </c>
      <c r="U259" s="72">
        <v>75</v>
      </c>
      <c r="V259" s="72" t="s">
        <v>33</v>
      </c>
      <c r="W259" s="77">
        <f t="shared" ref="W259:W298" si="28">(T259+U259+V259)/3</f>
        <v>58.3333333333333</v>
      </c>
      <c r="X259" s="78">
        <f t="shared" ref="X259:X298" si="29">(E259+J259+O259+S259+W259)/5</f>
        <v>51.0690161690331</v>
      </c>
      <c r="Z259" s="69" t="s">
        <v>49</v>
      </c>
      <c r="AA259" s="68">
        <v>40.2958954655289</v>
      </c>
      <c r="AB259" s="68">
        <v>261</v>
      </c>
    </row>
    <row r="260" spans="1:28">
      <c r="A260" s="69" t="s">
        <v>267</v>
      </c>
      <c r="B260" s="69" t="s">
        <v>41</v>
      </c>
      <c r="C260" s="69" t="s">
        <v>45</v>
      </c>
      <c r="D260" s="70">
        <f t="shared" si="24"/>
        <v>60</v>
      </c>
      <c r="E260" s="71">
        <v>59.0596673091945</v>
      </c>
      <c r="F260" s="72" t="s">
        <v>34</v>
      </c>
      <c r="G260" s="72" t="s">
        <v>32</v>
      </c>
      <c r="H260" s="72" t="s">
        <v>38</v>
      </c>
      <c r="I260" s="72">
        <v>75</v>
      </c>
      <c r="J260" s="73">
        <f t="shared" si="25"/>
        <v>75</v>
      </c>
      <c r="K260" s="72" t="s">
        <v>33</v>
      </c>
      <c r="L260" s="72">
        <v>0</v>
      </c>
      <c r="M260" s="72" t="s">
        <v>32</v>
      </c>
      <c r="N260" s="72" t="s">
        <v>33</v>
      </c>
      <c r="O260" s="74">
        <f t="shared" si="26"/>
        <v>25</v>
      </c>
      <c r="P260" s="72">
        <v>29.3594273500411</v>
      </c>
      <c r="Q260" s="72">
        <v>44.5853237257436</v>
      </c>
      <c r="R260" s="75">
        <f t="shared" si="27"/>
        <v>36.9723755378923</v>
      </c>
      <c r="S260" s="76">
        <v>36.3929366483087</v>
      </c>
      <c r="T260" s="72">
        <v>50</v>
      </c>
      <c r="U260" s="72" t="s">
        <v>34</v>
      </c>
      <c r="V260" s="72" t="s">
        <v>33</v>
      </c>
      <c r="W260" s="77">
        <f t="shared" si="28"/>
        <v>50</v>
      </c>
      <c r="X260" s="78">
        <f t="shared" si="29"/>
        <v>49.0905207915006</v>
      </c>
      <c r="Z260" s="69" t="s">
        <v>245</v>
      </c>
      <c r="AA260" s="68">
        <v>40.0482202961384</v>
      </c>
      <c r="AB260" s="68">
        <v>262</v>
      </c>
    </row>
    <row r="261" spans="1:28">
      <c r="A261" s="69" t="s">
        <v>276</v>
      </c>
      <c r="B261" s="69" t="s">
        <v>31</v>
      </c>
      <c r="C261" s="69" t="s">
        <v>31</v>
      </c>
      <c r="D261" s="70">
        <f t="shared" si="24"/>
        <v>60</v>
      </c>
      <c r="E261" s="71">
        <v>61.9491569477802</v>
      </c>
      <c r="F261" s="72" t="s">
        <v>32</v>
      </c>
      <c r="G261" s="72" t="s">
        <v>34</v>
      </c>
      <c r="H261" s="72" t="s">
        <v>38</v>
      </c>
      <c r="I261" s="72">
        <v>75</v>
      </c>
      <c r="J261" s="73">
        <f t="shared" si="25"/>
        <v>75</v>
      </c>
      <c r="K261" s="72">
        <v>0</v>
      </c>
      <c r="L261" s="72">
        <v>0</v>
      </c>
      <c r="M261" s="72" t="s">
        <v>32</v>
      </c>
      <c r="N261" s="72">
        <v>0</v>
      </c>
      <c r="O261" s="74">
        <f t="shared" si="26"/>
        <v>12.5</v>
      </c>
      <c r="P261" s="72">
        <v>51.6086804574871</v>
      </c>
      <c r="Q261" s="72">
        <v>32.5210596587777</v>
      </c>
      <c r="R261" s="75">
        <f t="shared" si="27"/>
        <v>42.0648700581324</v>
      </c>
      <c r="S261" s="76">
        <v>43.4313872869871</v>
      </c>
      <c r="T261" s="72">
        <v>50</v>
      </c>
      <c r="U261" s="72">
        <v>75</v>
      </c>
      <c r="V261" s="72" t="s">
        <v>33</v>
      </c>
      <c r="W261" s="77">
        <f t="shared" si="28"/>
        <v>50</v>
      </c>
      <c r="X261" s="78">
        <f t="shared" si="29"/>
        <v>48.5761088469535</v>
      </c>
      <c r="Z261" s="69" t="s">
        <v>248</v>
      </c>
      <c r="AA261" s="68">
        <v>39.8278172362041</v>
      </c>
      <c r="AB261" s="68">
        <v>263</v>
      </c>
    </row>
    <row r="262" spans="1:28">
      <c r="A262" s="69" t="s">
        <v>224</v>
      </c>
      <c r="B262" s="69" t="s">
        <v>45</v>
      </c>
      <c r="C262" s="69" t="s">
        <v>45</v>
      </c>
      <c r="D262" s="70">
        <f t="shared" si="24"/>
        <v>80</v>
      </c>
      <c r="E262" s="71">
        <v>75.0124635660643</v>
      </c>
      <c r="F262" s="72" t="s">
        <v>32</v>
      </c>
      <c r="G262" s="72" t="s">
        <v>34</v>
      </c>
      <c r="H262" s="72" t="s">
        <v>38</v>
      </c>
      <c r="I262" s="72">
        <v>75</v>
      </c>
      <c r="J262" s="73">
        <f t="shared" si="25"/>
        <v>75</v>
      </c>
      <c r="K262" s="72">
        <v>0</v>
      </c>
      <c r="L262" s="72">
        <v>0</v>
      </c>
      <c r="M262" s="72" t="s">
        <v>32</v>
      </c>
      <c r="N262" s="72" t="s">
        <v>33</v>
      </c>
      <c r="O262" s="74">
        <f t="shared" si="26"/>
        <v>18.75</v>
      </c>
      <c r="P262" s="72">
        <v>40.1445231112806</v>
      </c>
      <c r="Q262" s="72">
        <v>54.2367349793163</v>
      </c>
      <c r="R262" s="75">
        <f t="shared" si="27"/>
        <v>47.1906290452985</v>
      </c>
      <c r="S262" s="76">
        <v>44.2485667740013</v>
      </c>
      <c r="T262" s="72">
        <v>50</v>
      </c>
      <c r="U262" s="72" t="s">
        <v>32</v>
      </c>
      <c r="V262" s="72" t="s">
        <v>33</v>
      </c>
      <c r="W262" s="77">
        <f t="shared" si="28"/>
        <v>41.6666666666667</v>
      </c>
      <c r="X262" s="78">
        <f t="shared" si="29"/>
        <v>50.9355394013464</v>
      </c>
      <c r="Z262" s="69" t="s">
        <v>125</v>
      </c>
      <c r="AA262" s="68">
        <v>39.6943677548043</v>
      </c>
      <c r="AB262" s="68">
        <v>264</v>
      </c>
    </row>
    <row r="263" spans="1:28">
      <c r="A263" s="69" t="s">
        <v>197</v>
      </c>
      <c r="B263" s="69" t="s">
        <v>41</v>
      </c>
      <c r="C263" s="69" t="s">
        <v>31</v>
      </c>
      <c r="D263" s="70">
        <f t="shared" si="24"/>
        <v>50</v>
      </c>
      <c r="E263" s="71">
        <v>42.8217582765185</v>
      </c>
      <c r="F263" s="72" t="s">
        <v>34</v>
      </c>
      <c r="G263" s="72" t="s">
        <v>38</v>
      </c>
      <c r="H263" s="72" t="s">
        <v>38</v>
      </c>
      <c r="I263" s="72">
        <v>75</v>
      </c>
      <c r="J263" s="73">
        <f t="shared" si="25"/>
        <v>87.5</v>
      </c>
      <c r="K263" s="72">
        <v>0</v>
      </c>
      <c r="L263" s="72">
        <v>0</v>
      </c>
      <c r="M263" s="72" t="s">
        <v>34</v>
      </c>
      <c r="N263" s="72" t="s">
        <v>33</v>
      </c>
      <c r="O263" s="74">
        <f t="shared" si="26"/>
        <v>25</v>
      </c>
      <c r="P263" s="72">
        <v>34.9516992262393</v>
      </c>
      <c r="Q263" s="72">
        <v>67.2451588428274</v>
      </c>
      <c r="R263" s="75">
        <f t="shared" si="27"/>
        <v>51.0984290345333</v>
      </c>
      <c r="S263" s="76">
        <v>43.7624915285324</v>
      </c>
      <c r="T263" s="72">
        <v>50</v>
      </c>
      <c r="U263" s="72" t="s">
        <v>38</v>
      </c>
      <c r="V263" s="72" t="s">
        <v>33</v>
      </c>
      <c r="W263" s="77">
        <f t="shared" si="28"/>
        <v>58.3333333333333</v>
      </c>
      <c r="X263" s="78">
        <f t="shared" si="29"/>
        <v>51.4835166276768</v>
      </c>
      <c r="Z263" s="69" t="s">
        <v>320</v>
      </c>
      <c r="AA263" s="68">
        <v>39.6674619014461</v>
      </c>
      <c r="AB263" s="68">
        <v>265</v>
      </c>
    </row>
    <row r="264" spans="1:28">
      <c r="A264" s="69" t="s">
        <v>189</v>
      </c>
      <c r="B264" s="69" t="s">
        <v>45</v>
      </c>
      <c r="C264" s="69" t="s">
        <v>31</v>
      </c>
      <c r="D264" s="70">
        <f t="shared" si="24"/>
        <v>70</v>
      </c>
      <c r="E264" s="71">
        <v>68.8705528877967</v>
      </c>
      <c r="F264" s="72" t="s">
        <v>34</v>
      </c>
      <c r="G264" s="72">
        <v>75</v>
      </c>
      <c r="H264" s="72">
        <v>75</v>
      </c>
      <c r="I264" s="72">
        <v>75</v>
      </c>
      <c r="J264" s="73">
        <f t="shared" si="25"/>
        <v>75</v>
      </c>
      <c r="K264" s="72">
        <v>0</v>
      </c>
      <c r="L264" s="72">
        <v>0</v>
      </c>
      <c r="M264" s="72" t="s">
        <v>34</v>
      </c>
      <c r="N264" s="72" t="s">
        <v>33</v>
      </c>
      <c r="O264" s="74">
        <f t="shared" si="26"/>
        <v>25</v>
      </c>
      <c r="P264" s="72">
        <v>51.6086804574871</v>
      </c>
      <c r="Q264" s="72">
        <v>44.6902303698042</v>
      </c>
      <c r="R264" s="75">
        <f t="shared" si="27"/>
        <v>48.1494554136456</v>
      </c>
      <c r="S264" s="76">
        <v>47.3725659369156</v>
      </c>
      <c r="T264" s="72">
        <v>50</v>
      </c>
      <c r="U264" s="72">
        <v>50</v>
      </c>
      <c r="V264" s="72" t="s">
        <v>33</v>
      </c>
      <c r="W264" s="77">
        <f t="shared" si="28"/>
        <v>41.6666666666667</v>
      </c>
      <c r="X264" s="78">
        <f t="shared" si="29"/>
        <v>51.5819570982758</v>
      </c>
      <c r="Z264" s="69" t="s">
        <v>261</v>
      </c>
      <c r="AA264" s="68">
        <v>39.1408522580743</v>
      </c>
      <c r="AB264" s="68">
        <v>266</v>
      </c>
    </row>
    <row r="265" spans="1:28">
      <c r="A265" s="69" t="s">
        <v>92</v>
      </c>
      <c r="B265" s="69" t="s">
        <v>41</v>
      </c>
      <c r="C265" s="69" t="s">
        <v>45</v>
      </c>
      <c r="D265" s="70">
        <f t="shared" si="24"/>
        <v>60</v>
      </c>
      <c r="E265" s="71">
        <v>55.6088036375926</v>
      </c>
      <c r="F265" s="72" t="s">
        <v>34</v>
      </c>
      <c r="G265" s="72" t="s">
        <v>38</v>
      </c>
      <c r="H265" s="72" t="s">
        <v>38</v>
      </c>
      <c r="I265" s="72">
        <v>75</v>
      </c>
      <c r="J265" s="73">
        <f t="shared" si="25"/>
        <v>87.5</v>
      </c>
      <c r="K265" s="72">
        <v>0</v>
      </c>
      <c r="L265" s="72">
        <v>0</v>
      </c>
      <c r="M265" s="72" t="s">
        <v>32</v>
      </c>
      <c r="N265" s="72" t="s">
        <v>33</v>
      </c>
      <c r="O265" s="74">
        <f t="shared" si="26"/>
        <v>18.75</v>
      </c>
      <c r="P265" s="72">
        <v>50.3304468857847</v>
      </c>
      <c r="Q265" s="72">
        <v>56.2299612164672</v>
      </c>
      <c r="R265" s="75">
        <f t="shared" si="27"/>
        <v>53.2802040511259</v>
      </c>
      <c r="S265" s="76">
        <v>49.3808067474988</v>
      </c>
      <c r="T265" s="72">
        <v>75</v>
      </c>
      <c r="U265" s="72" t="s">
        <v>34</v>
      </c>
      <c r="V265" s="72" t="s">
        <v>32</v>
      </c>
      <c r="W265" s="77">
        <f t="shared" si="28"/>
        <v>66.6666666666667</v>
      </c>
      <c r="X265" s="78">
        <f t="shared" si="29"/>
        <v>55.5812554103516</v>
      </c>
      <c r="Z265" s="69" t="s">
        <v>324</v>
      </c>
      <c r="AA265" s="68">
        <v>39.0118965011193</v>
      </c>
      <c r="AB265" s="68">
        <v>267</v>
      </c>
    </row>
    <row r="266" spans="1:28">
      <c r="A266" s="69" t="s">
        <v>328</v>
      </c>
      <c r="B266" s="69" t="s">
        <v>41</v>
      </c>
      <c r="C266" s="69" t="s">
        <v>31</v>
      </c>
      <c r="D266" s="70">
        <f t="shared" si="24"/>
        <v>50</v>
      </c>
      <c r="E266" s="71">
        <v>49.2625346874837</v>
      </c>
      <c r="F266" s="72" t="s">
        <v>34</v>
      </c>
      <c r="G266" s="72" t="s">
        <v>33</v>
      </c>
      <c r="H266" s="72" t="s">
        <v>38</v>
      </c>
      <c r="I266" s="72" t="s">
        <v>34</v>
      </c>
      <c r="J266" s="73">
        <f t="shared" si="25"/>
        <v>68.75</v>
      </c>
      <c r="K266" s="72">
        <v>0</v>
      </c>
      <c r="L266" s="72">
        <v>0</v>
      </c>
      <c r="M266" s="72">
        <v>0</v>
      </c>
      <c r="N266" s="72">
        <v>0</v>
      </c>
      <c r="O266" s="74">
        <f t="shared" si="26"/>
        <v>0</v>
      </c>
      <c r="P266" s="72">
        <v>15.5784716551238</v>
      </c>
      <c r="Q266" s="72">
        <v>44.3755104376225</v>
      </c>
      <c r="R266" s="75">
        <f t="shared" si="27"/>
        <v>29.9769910463732</v>
      </c>
      <c r="S266" s="76">
        <v>29.5348512249669</v>
      </c>
      <c r="T266" s="72" t="s">
        <v>32</v>
      </c>
      <c r="U266" s="72">
        <v>0</v>
      </c>
      <c r="V266" s="72" t="s">
        <v>33</v>
      </c>
      <c r="W266" s="77">
        <f t="shared" si="28"/>
        <v>25</v>
      </c>
      <c r="X266" s="78">
        <f t="shared" si="29"/>
        <v>34.5094771824901</v>
      </c>
      <c r="Z266" s="69" t="s">
        <v>329</v>
      </c>
      <c r="AA266" s="68">
        <v>38.6761438491568</v>
      </c>
      <c r="AB266" s="68">
        <v>268</v>
      </c>
    </row>
    <row r="267" spans="1:28">
      <c r="A267" s="69" t="s">
        <v>275</v>
      </c>
      <c r="B267" s="69" t="s">
        <v>41</v>
      </c>
      <c r="C267" s="69" t="s">
        <v>31</v>
      </c>
      <c r="D267" s="70">
        <f t="shared" si="24"/>
        <v>50</v>
      </c>
      <c r="E267" s="71">
        <v>52.487669567552</v>
      </c>
      <c r="F267" s="72" t="s">
        <v>34</v>
      </c>
      <c r="G267" s="72" t="s">
        <v>34</v>
      </c>
      <c r="H267" s="72" t="s">
        <v>38</v>
      </c>
      <c r="I267" s="72">
        <v>75</v>
      </c>
      <c r="J267" s="73">
        <f t="shared" si="25"/>
        <v>81.25</v>
      </c>
      <c r="K267" s="72">
        <v>0</v>
      </c>
      <c r="L267" s="72">
        <v>0</v>
      </c>
      <c r="M267" s="72" t="s">
        <v>32</v>
      </c>
      <c r="N267" s="72" t="s">
        <v>33</v>
      </c>
      <c r="O267" s="74">
        <f t="shared" si="26"/>
        <v>18.75</v>
      </c>
      <c r="P267" s="72">
        <v>33.5536312571898</v>
      </c>
      <c r="Q267" s="72">
        <v>27.5904473879308</v>
      </c>
      <c r="R267" s="75">
        <f t="shared" si="27"/>
        <v>30.5720393225603</v>
      </c>
      <c r="S267" s="76">
        <v>32.093101959375</v>
      </c>
      <c r="T267" s="72">
        <v>75</v>
      </c>
      <c r="U267" s="72" t="s">
        <v>34</v>
      </c>
      <c r="V267" s="72" t="s">
        <v>33</v>
      </c>
      <c r="W267" s="77">
        <f t="shared" si="28"/>
        <v>58.3333333333333</v>
      </c>
      <c r="X267" s="78">
        <f t="shared" si="29"/>
        <v>48.5828209720521</v>
      </c>
      <c r="Z267" s="69" t="s">
        <v>307</v>
      </c>
      <c r="AA267" s="68">
        <v>38.5374565355686</v>
      </c>
      <c r="AB267" s="68">
        <v>269</v>
      </c>
    </row>
    <row r="268" spans="1:28">
      <c r="A268" s="69" t="s">
        <v>302</v>
      </c>
      <c r="B268" s="69" t="s">
        <v>41</v>
      </c>
      <c r="C268" s="69" t="s">
        <v>31</v>
      </c>
      <c r="D268" s="70">
        <f t="shared" si="24"/>
        <v>50</v>
      </c>
      <c r="E268" s="71">
        <v>52.540784536144</v>
      </c>
      <c r="F268" s="72" t="s">
        <v>34</v>
      </c>
      <c r="G268" s="72" t="s">
        <v>38</v>
      </c>
      <c r="H268" s="72" t="s">
        <v>38</v>
      </c>
      <c r="I268" s="72">
        <v>75</v>
      </c>
      <c r="J268" s="73">
        <f t="shared" si="25"/>
        <v>87.5</v>
      </c>
      <c r="K268" s="72">
        <v>0</v>
      </c>
      <c r="L268" s="72">
        <v>0</v>
      </c>
      <c r="M268" s="72" t="s">
        <v>32</v>
      </c>
      <c r="N268" s="72">
        <v>0</v>
      </c>
      <c r="O268" s="74">
        <f t="shared" si="26"/>
        <v>12.5</v>
      </c>
      <c r="P268" s="72">
        <v>26.3635674163634</v>
      </c>
      <c r="Q268" s="72">
        <v>27.275727455749</v>
      </c>
      <c r="R268" s="75">
        <f t="shared" si="27"/>
        <v>26.8196474360562</v>
      </c>
      <c r="S268" s="76">
        <v>28.1825063454635</v>
      </c>
      <c r="T268" s="72">
        <v>50</v>
      </c>
      <c r="U268" s="72" t="s">
        <v>34</v>
      </c>
      <c r="V268" s="72" t="s">
        <v>33</v>
      </c>
      <c r="W268" s="77">
        <f t="shared" si="28"/>
        <v>50</v>
      </c>
      <c r="X268" s="78">
        <f t="shared" si="29"/>
        <v>46.1446581763215</v>
      </c>
      <c r="Z268" s="69" t="s">
        <v>256</v>
      </c>
      <c r="AA268" s="68">
        <v>38.5015753868236</v>
      </c>
      <c r="AB268" s="68">
        <v>270</v>
      </c>
    </row>
    <row r="269" spans="1:28">
      <c r="A269" s="69" t="s">
        <v>303</v>
      </c>
      <c r="B269" s="69" t="s">
        <v>45</v>
      </c>
      <c r="C269" s="69" t="s">
        <v>45</v>
      </c>
      <c r="D269" s="70">
        <f t="shared" si="24"/>
        <v>80</v>
      </c>
      <c r="E269" s="71">
        <v>84.0086398661792</v>
      </c>
      <c r="F269" s="72" t="s">
        <v>32</v>
      </c>
      <c r="G269" s="72" t="s">
        <v>34</v>
      </c>
      <c r="H269" s="72" t="s">
        <v>38</v>
      </c>
      <c r="I269" s="72" t="s">
        <v>34</v>
      </c>
      <c r="J269" s="73">
        <f t="shared" si="25"/>
        <v>75</v>
      </c>
      <c r="K269" s="72">
        <v>0</v>
      </c>
      <c r="L269" s="72">
        <v>0</v>
      </c>
      <c r="M269" s="72" t="s">
        <v>33</v>
      </c>
      <c r="N269" s="72">
        <v>0</v>
      </c>
      <c r="O269" s="74">
        <f t="shared" si="26"/>
        <v>6.25</v>
      </c>
      <c r="P269" s="72">
        <v>0.998619977892553</v>
      </c>
      <c r="Q269" s="72">
        <v>27.4855407438702</v>
      </c>
      <c r="R269" s="75">
        <f t="shared" si="27"/>
        <v>14.2420803608814</v>
      </c>
      <c r="S269" s="76">
        <v>14.9557224997808</v>
      </c>
      <c r="T269" s="72">
        <v>50</v>
      </c>
      <c r="U269" s="72">
        <v>75</v>
      </c>
      <c r="V269" s="72" t="s">
        <v>33</v>
      </c>
      <c r="W269" s="77">
        <f t="shared" si="28"/>
        <v>50</v>
      </c>
      <c r="X269" s="78">
        <f t="shared" si="29"/>
        <v>46.042872473192</v>
      </c>
      <c r="Z269" s="69" t="s">
        <v>298</v>
      </c>
      <c r="AA269" s="68">
        <v>38.3472262932976</v>
      </c>
      <c r="AB269" s="68">
        <v>271</v>
      </c>
    </row>
    <row r="270" spans="1:28">
      <c r="A270" s="69" t="s">
        <v>121</v>
      </c>
      <c r="B270" s="69" t="s">
        <v>41</v>
      </c>
      <c r="C270" s="69" t="s">
        <v>31</v>
      </c>
      <c r="D270" s="70">
        <f t="shared" si="24"/>
        <v>50</v>
      </c>
      <c r="E270" s="71">
        <v>41.414556905709</v>
      </c>
      <c r="F270" s="72" t="s">
        <v>34</v>
      </c>
      <c r="G270" s="72">
        <v>75</v>
      </c>
      <c r="H270" s="72">
        <v>75</v>
      </c>
      <c r="I270" s="72">
        <v>75</v>
      </c>
      <c r="J270" s="73">
        <f t="shared" si="25"/>
        <v>75</v>
      </c>
      <c r="K270" s="72" t="s">
        <v>32</v>
      </c>
      <c r="L270" s="72">
        <v>0</v>
      </c>
      <c r="M270" s="72" t="s">
        <v>34</v>
      </c>
      <c r="N270" s="72" t="s">
        <v>33</v>
      </c>
      <c r="O270" s="74">
        <f t="shared" si="26"/>
        <v>37.5</v>
      </c>
      <c r="P270" s="72">
        <v>19.173503575537</v>
      </c>
      <c r="Q270" s="72">
        <v>85.0616057544731</v>
      </c>
      <c r="R270" s="75">
        <f t="shared" si="27"/>
        <v>52.1175546650051</v>
      </c>
      <c r="S270" s="76">
        <v>43.168508669205</v>
      </c>
      <c r="T270" s="72">
        <v>75</v>
      </c>
      <c r="U270" s="72">
        <v>75</v>
      </c>
      <c r="V270" s="72" t="s">
        <v>34</v>
      </c>
      <c r="W270" s="77">
        <f t="shared" si="28"/>
        <v>75</v>
      </c>
      <c r="X270" s="78">
        <f t="shared" si="29"/>
        <v>54.4166131149828</v>
      </c>
      <c r="Z270" s="69" t="s">
        <v>40</v>
      </c>
      <c r="AA270" s="68">
        <v>38.2437751343661</v>
      </c>
      <c r="AB270" s="68">
        <v>272</v>
      </c>
    </row>
    <row r="271" spans="1:28">
      <c r="A271" s="69" t="s">
        <v>330</v>
      </c>
      <c r="B271" s="69" t="s">
        <v>31</v>
      </c>
      <c r="C271" s="69" t="s">
        <v>41</v>
      </c>
      <c r="D271" s="70">
        <f t="shared" si="24"/>
        <v>50</v>
      </c>
      <c r="E271" s="71">
        <v>49.2625346874837</v>
      </c>
      <c r="F271" s="72" t="s">
        <v>33</v>
      </c>
      <c r="G271" s="72">
        <v>0</v>
      </c>
      <c r="H271" s="72" t="s">
        <v>32</v>
      </c>
      <c r="I271" s="72" t="s">
        <v>33</v>
      </c>
      <c r="J271" s="73">
        <f t="shared" si="25"/>
        <v>25</v>
      </c>
      <c r="K271" s="72">
        <v>0</v>
      </c>
      <c r="L271" s="72">
        <v>0</v>
      </c>
      <c r="M271" s="72">
        <v>0</v>
      </c>
      <c r="N271" s="72">
        <v>0</v>
      </c>
      <c r="O271" s="74">
        <f t="shared" si="26"/>
        <v>0</v>
      </c>
      <c r="P271" s="72">
        <v>15.5784716551238</v>
      </c>
      <c r="Q271" s="72">
        <v>44.3755104376225</v>
      </c>
      <c r="R271" s="75">
        <f t="shared" si="27"/>
        <v>29.9769910463732</v>
      </c>
      <c r="S271" s="76">
        <v>29.5348512249669</v>
      </c>
      <c r="T271" s="72">
        <v>0</v>
      </c>
      <c r="U271" s="72">
        <v>0</v>
      </c>
      <c r="V271" s="72">
        <v>0</v>
      </c>
      <c r="W271" s="77">
        <f t="shared" si="28"/>
        <v>0</v>
      </c>
      <c r="X271" s="78">
        <f t="shared" si="29"/>
        <v>20.7594771824901</v>
      </c>
      <c r="Z271" s="69" t="s">
        <v>322</v>
      </c>
      <c r="AA271" s="68">
        <v>38.2186047161792</v>
      </c>
      <c r="AB271" s="68">
        <v>273</v>
      </c>
    </row>
    <row r="272" spans="1:28">
      <c r="A272" s="69" t="s">
        <v>255</v>
      </c>
      <c r="B272" s="69" t="s">
        <v>41</v>
      </c>
      <c r="C272" s="69" t="s">
        <v>31</v>
      </c>
      <c r="D272" s="70">
        <f t="shared" si="24"/>
        <v>50</v>
      </c>
      <c r="E272" s="71">
        <v>49.7811869416381</v>
      </c>
      <c r="F272" s="72" t="s">
        <v>34</v>
      </c>
      <c r="G272" s="72" t="s">
        <v>34</v>
      </c>
      <c r="H272" s="72" t="s">
        <v>38</v>
      </c>
      <c r="I272" s="72">
        <v>75</v>
      </c>
      <c r="J272" s="73">
        <f t="shared" si="25"/>
        <v>81.25</v>
      </c>
      <c r="K272" s="72">
        <v>0</v>
      </c>
      <c r="L272" s="72">
        <v>0</v>
      </c>
      <c r="M272" s="72" t="s">
        <v>32</v>
      </c>
      <c r="N272" s="72" t="s">
        <v>33</v>
      </c>
      <c r="O272" s="74">
        <f t="shared" si="26"/>
        <v>18.75</v>
      </c>
      <c r="P272" s="72">
        <v>20.3718475490081</v>
      </c>
      <c r="Q272" s="72">
        <v>41.9626576242293</v>
      </c>
      <c r="R272" s="75">
        <f t="shared" si="27"/>
        <v>31.1672525866187</v>
      </c>
      <c r="S272" s="76">
        <v>31.0308565494344</v>
      </c>
      <c r="T272" s="72">
        <v>50</v>
      </c>
      <c r="U272" s="72">
        <v>75</v>
      </c>
      <c r="V272" s="72" t="s">
        <v>34</v>
      </c>
      <c r="W272" s="77">
        <f t="shared" si="28"/>
        <v>66.6666666666667</v>
      </c>
      <c r="X272" s="78">
        <f t="shared" si="29"/>
        <v>49.4957420315478</v>
      </c>
      <c r="Z272" s="69" t="s">
        <v>79</v>
      </c>
      <c r="AA272" s="68">
        <v>37.7606810730864</v>
      </c>
      <c r="AB272" s="68">
        <v>222</v>
      </c>
    </row>
    <row r="273" spans="1:28">
      <c r="A273" s="69" t="s">
        <v>242</v>
      </c>
      <c r="B273" s="69" t="s">
        <v>31</v>
      </c>
      <c r="C273" s="69" t="s">
        <v>31</v>
      </c>
      <c r="D273" s="70">
        <f t="shared" si="24"/>
        <v>60</v>
      </c>
      <c r="E273" s="71">
        <v>62.7705134589756</v>
      </c>
      <c r="F273" s="72" t="s">
        <v>34</v>
      </c>
      <c r="G273" s="72" t="s">
        <v>34</v>
      </c>
      <c r="H273" s="72" t="s">
        <v>38</v>
      </c>
      <c r="I273" s="72">
        <v>75</v>
      </c>
      <c r="J273" s="73">
        <f t="shared" si="25"/>
        <v>81.25</v>
      </c>
      <c r="K273" s="72" t="s">
        <v>33</v>
      </c>
      <c r="L273" s="72">
        <v>0</v>
      </c>
      <c r="M273" s="72" t="s">
        <v>32</v>
      </c>
      <c r="N273" s="72">
        <v>0</v>
      </c>
      <c r="O273" s="74">
        <f t="shared" si="26"/>
        <v>18.75</v>
      </c>
      <c r="P273" s="72">
        <v>25.7643954296279</v>
      </c>
      <c r="Q273" s="72">
        <v>28.6406361218517</v>
      </c>
      <c r="R273" s="75">
        <f t="shared" si="27"/>
        <v>27.2025157757398</v>
      </c>
      <c r="S273" s="76">
        <v>28.4585980436512</v>
      </c>
      <c r="T273" s="72">
        <v>75</v>
      </c>
      <c r="U273" s="72" t="s">
        <v>34</v>
      </c>
      <c r="V273" s="72" t="s">
        <v>33</v>
      </c>
      <c r="W273" s="77">
        <f t="shared" si="28"/>
        <v>58.3333333333333</v>
      </c>
      <c r="X273" s="78">
        <f t="shared" si="29"/>
        <v>49.912488967192</v>
      </c>
      <c r="Z273" s="69" t="s">
        <v>143</v>
      </c>
      <c r="AA273" s="68">
        <v>37.2557379696875</v>
      </c>
      <c r="AB273" s="68">
        <v>274</v>
      </c>
    </row>
    <row r="274" spans="1:28">
      <c r="A274" s="69" t="s">
        <v>140</v>
      </c>
      <c r="B274" s="69" t="s">
        <v>31</v>
      </c>
      <c r="C274" s="69" t="s">
        <v>45</v>
      </c>
      <c r="D274" s="70">
        <f t="shared" si="24"/>
        <v>70</v>
      </c>
      <c r="E274" s="71">
        <v>60.4564971256843</v>
      </c>
      <c r="F274" s="72" t="s">
        <v>34</v>
      </c>
      <c r="G274" s="72" t="s">
        <v>38</v>
      </c>
      <c r="H274" s="72" t="s">
        <v>38</v>
      </c>
      <c r="I274" s="72">
        <v>75</v>
      </c>
      <c r="J274" s="73">
        <f t="shared" si="25"/>
        <v>87.5</v>
      </c>
      <c r="K274" s="72">
        <v>0</v>
      </c>
      <c r="L274" s="72">
        <v>0</v>
      </c>
      <c r="M274" s="72" t="s">
        <v>34</v>
      </c>
      <c r="N274" s="72">
        <v>0</v>
      </c>
      <c r="O274" s="74">
        <f t="shared" si="26"/>
        <v>18.75</v>
      </c>
      <c r="P274" s="72">
        <v>33.7533552527683</v>
      </c>
      <c r="Q274" s="72">
        <v>66.2526203238358</v>
      </c>
      <c r="R274" s="75">
        <f t="shared" si="27"/>
        <v>50.0029877883021</v>
      </c>
      <c r="S274" s="76">
        <v>43.1857926785587</v>
      </c>
      <c r="T274" s="72">
        <v>50</v>
      </c>
      <c r="U274" s="72" t="s">
        <v>34</v>
      </c>
      <c r="V274" s="72" t="s">
        <v>32</v>
      </c>
      <c r="W274" s="77">
        <f t="shared" si="28"/>
        <v>58.3333333333333</v>
      </c>
      <c r="X274" s="78">
        <f t="shared" si="29"/>
        <v>53.6451246275153</v>
      </c>
      <c r="Z274" s="69" t="s">
        <v>30</v>
      </c>
      <c r="AA274" s="68">
        <v>37.2554412481096</v>
      </c>
      <c r="AB274" s="68">
        <v>186</v>
      </c>
    </row>
    <row r="275" spans="1:28">
      <c r="A275" s="69" t="s">
        <v>186</v>
      </c>
      <c r="B275" s="69" t="s">
        <v>41</v>
      </c>
      <c r="C275" s="69" t="s">
        <v>31</v>
      </c>
      <c r="D275" s="70">
        <f t="shared" si="24"/>
        <v>50</v>
      </c>
      <c r="E275" s="71">
        <v>54.192156075709</v>
      </c>
      <c r="F275" s="72" t="s">
        <v>32</v>
      </c>
      <c r="G275" s="72" t="s">
        <v>38</v>
      </c>
      <c r="H275" s="72" t="s">
        <v>38</v>
      </c>
      <c r="I275" s="72">
        <v>75</v>
      </c>
      <c r="J275" s="73">
        <f t="shared" si="25"/>
        <v>81.25</v>
      </c>
      <c r="K275" s="72" t="s">
        <v>33</v>
      </c>
      <c r="L275" s="72">
        <v>0</v>
      </c>
      <c r="M275" s="72" t="s">
        <v>34</v>
      </c>
      <c r="N275" s="72" t="s">
        <v>33</v>
      </c>
      <c r="O275" s="74">
        <f t="shared" si="26"/>
        <v>31.25</v>
      </c>
      <c r="P275" s="72">
        <v>13.3815077037602</v>
      </c>
      <c r="Q275" s="72">
        <v>16.7850630496917</v>
      </c>
      <c r="R275" s="75">
        <f t="shared" si="27"/>
        <v>15.083285376726</v>
      </c>
      <c r="S275" s="76">
        <v>16.3479151053998</v>
      </c>
      <c r="T275" s="72">
        <v>50</v>
      </c>
      <c r="U275" s="72" t="s">
        <v>34</v>
      </c>
      <c r="V275" s="72" t="s">
        <v>38</v>
      </c>
      <c r="W275" s="77">
        <f t="shared" si="28"/>
        <v>75</v>
      </c>
      <c r="X275" s="78">
        <f t="shared" si="29"/>
        <v>51.6080142362218</v>
      </c>
      <c r="Z275" s="69" t="s">
        <v>327</v>
      </c>
      <c r="AA275" s="68">
        <v>37.0436630260614</v>
      </c>
      <c r="AB275" s="68">
        <v>275</v>
      </c>
    </row>
    <row r="276" spans="1:28">
      <c r="A276" s="69" t="s">
        <v>74</v>
      </c>
      <c r="B276" s="69" t="s">
        <v>31</v>
      </c>
      <c r="C276" s="69" t="s">
        <v>31</v>
      </c>
      <c r="D276" s="70">
        <f t="shared" si="24"/>
        <v>60</v>
      </c>
      <c r="E276" s="71">
        <v>59.1150416249804</v>
      </c>
      <c r="F276" s="72" t="s">
        <v>34</v>
      </c>
      <c r="G276" s="72" t="s">
        <v>38</v>
      </c>
      <c r="H276" s="72" t="s">
        <v>38</v>
      </c>
      <c r="I276" s="72">
        <v>75</v>
      </c>
      <c r="J276" s="73">
        <f t="shared" si="25"/>
        <v>87.5</v>
      </c>
      <c r="K276" s="72" t="s">
        <v>33</v>
      </c>
      <c r="L276" s="72">
        <v>0</v>
      </c>
      <c r="M276" s="72" t="s">
        <v>34</v>
      </c>
      <c r="N276" s="72" t="s">
        <v>33</v>
      </c>
      <c r="O276" s="74">
        <f t="shared" si="26"/>
        <v>31.25</v>
      </c>
      <c r="P276" s="72">
        <v>15.5784716551238</v>
      </c>
      <c r="Q276" s="72">
        <v>44.3755104376225</v>
      </c>
      <c r="R276" s="75">
        <f t="shared" si="27"/>
        <v>29.9769910463732</v>
      </c>
      <c r="S276" s="76">
        <v>29.5348512249669</v>
      </c>
      <c r="T276" s="72">
        <v>75</v>
      </c>
      <c r="U276" s="72" t="s">
        <v>34</v>
      </c>
      <c r="V276" s="72" t="s">
        <v>34</v>
      </c>
      <c r="W276" s="77">
        <f t="shared" si="28"/>
        <v>75</v>
      </c>
      <c r="X276" s="78">
        <f t="shared" si="29"/>
        <v>56.4799785699895</v>
      </c>
      <c r="Z276" s="69" t="s">
        <v>95</v>
      </c>
      <c r="AA276" s="68">
        <v>36.3678112478665</v>
      </c>
      <c r="AB276" s="68">
        <v>233</v>
      </c>
    </row>
    <row r="277" spans="1:28">
      <c r="A277" s="69" t="s">
        <v>300</v>
      </c>
      <c r="B277" s="69">
        <v>60</v>
      </c>
      <c r="C277" s="69">
        <v>60</v>
      </c>
      <c r="D277" s="70">
        <f t="shared" si="24"/>
        <v>60</v>
      </c>
      <c r="E277" s="71">
        <f>D277*1.05</f>
        <v>63</v>
      </c>
      <c r="F277" s="72" t="s">
        <v>34</v>
      </c>
      <c r="G277" s="72">
        <v>75</v>
      </c>
      <c r="H277" s="72">
        <v>75</v>
      </c>
      <c r="I277" s="72">
        <v>75</v>
      </c>
      <c r="J277" s="73">
        <f t="shared" si="25"/>
        <v>75</v>
      </c>
      <c r="K277" s="72" t="s">
        <v>33</v>
      </c>
      <c r="L277" s="72">
        <v>0</v>
      </c>
      <c r="M277" s="72" t="s">
        <v>34</v>
      </c>
      <c r="N277" s="72" t="s">
        <v>33</v>
      </c>
      <c r="O277" s="74">
        <f t="shared" si="26"/>
        <v>31.25</v>
      </c>
      <c r="P277" s="72">
        <v>12.063329332942</v>
      </c>
      <c r="Q277" s="72">
        <v>27.4855407438702</v>
      </c>
      <c r="R277" s="75">
        <f t="shared" si="27"/>
        <v>19.7744350384061</v>
      </c>
      <c r="S277" s="76">
        <v>20.7652923962327</v>
      </c>
      <c r="T277" s="72">
        <v>50</v>
      </c>
      <c r="U277" s="72">
        <v>50</v>
      </c>
      <c r="V277" s="72">
        <v>25</v>
      </c>
      <c r="W277" s="77">
        <f t="shared" si="28"/>
        <v>41.6666666666667</v>
      </c>
      <c r="X277" s="78">
        <f t="shared" si="29"/>
        <v>46.3363918125799</v>
      </c>
      <c r="Z277" s="69" t="s">
        <v>295</v>
      </c>
      <c r="AA277" s="68">
        <v>36.3448007354703</v>
      </c>
      <c r="AB277" s="68">
        <v>276</v>
      </c>
    </row>
    <row r="278" spans="1:28">
      <c r="A278" s="69" t="s">
        <v>321</v>
      </c>
      <c r="B278" s="69" t="s">
        <v>31</v>
      </c>
      <c r="C278" s="69" t="s">
        <v>31</v>
      </c>
      <c r="D278" s="70">
        <f t="shared" si="24"/>
        <v>60</v>
      </c>
      <c r="E278" s="71">
        <v>59.4159612320164</v>
      </c>
      <c r="F278" s="72" t="s">
        <v>32</v>
      </c>
      <c r="G278" s="72" t="s">
        <v>34</v>
      </c>
      <c r="H278" s="72" t="s">
        <v>34</v>
      </c>
      <c r="I278" s="72" t="s">
        <v>34</v>
      </c>
      <c r="J278" s="73">
        <f t="shared" si="25"/>
        <v>68.75</v>
      </c>
      <c r="K278" s="72">
        <v>0</v>
      </c>
      <c r="L278" s="72">
        <v>0</v>
      </c>
      <c r="M278" s="72" t="s">
        <v>32</v>
      </c>
      <c r="N278" s="72">
        <v>0</v>
      </c>
      <c r="O278" s="74">
        <f t="shared" si="26"/>
        <v>12.5</v>
      </c>
      <c r="P278" s="72">
        <v>50.3304468857847</v>
      </c>
      <c r="Q278" s="72">
        <v>43.2215373529562</v>
      </c>
      <c r="R278" s="75">
        <f t="shared" si="27"/>
        <v>46.7759921193704</v>
      </c>
      <c r="S278" s="76">
        <v>46.3206755725603</v>
      </c>
      <c r="T278" s="72" t="s">
        <v>32</v>
      </c>
      <c r="U278" s="72">
        <v>0</v>
      </c>
      <c r="V278" s="72" t="s">
        <v>33</v>
      </c>
      <c r="W278" s="77">
        <f t="shared" si="28"/>
        <v>25</v>
      </c>
      <c r="X278" s="78">
        <f t="shared" si="29"/>
        <v>42.3973273609153</v>
      </c>
      <c r="Z278" s="69" t="s">
        <v>285</v>
      </c>
      <c r="AA278" s="68">
        <v>36.1624086982145</v>
      </c>
      <c r="AB278" s="68">
        <v>277</v>
      </c>
    </row>
    <row r="279" spans="1:28">
      <c r="A279" s="69" t="s">
        <v>131</v>
      </c>
      <c r="B279" s="69" t="s">
        <v>31</v>
      </c>
      <c r="C279" s="69" t="s">
        <v>45</v>
      </c>
      <c r="D279" s="70">
        <f t="shared" si="24"/>
        <v>70</v>
      </c>
      <c r="E279" s="71">
        <v>61.5561680383212</v>
      </c>
      <c r="F279" s="72" t="s">
        <v>34</v>
      </c>
      <c r="G279" s="72" t="s">
        <v>34</v>
      </c>
      <c r="H279" s="72" t="s">
        <v>38</v>
      </c>
      <c r="I279" s="72" t="s">
        <v>34</v>
      </c>
      <c r="J279" s="73">
        <f t="shared" si="25"/>
        <v>81.25</v>
      </c>
      <c r="K279" s="72">
        <v>0</v>
      </c>
      <c r="L279" s="72">
        <v>0</v>
      </c>
      <c r="M279" s="72" t="s">
        <v>33</v>
      </c>
      <c r="N279" s="72">
        <v>0</v>
      </c>
      <c r="O279" s="74">
        <f t="shared" si="26"/>
        <v>6.25</v>
      </c>
      <c r="P279" s="72">
        <v>58.3194067089251</v>
      </c>
      <c r="Q279" s="72">
        <v>63.9930528769497</v>
      </c>
      <c r="R279" s="75">
        <f t="shared" si="27"/>
        <v>61.1562297929374</v>
      </c>
      <c r="S279" s="76">
        <v>53.7791879674892</v>
      </c>
      <c r="T279" s="72" t="s">
        <v>34</v>
      </c>
      <c r="U279" s="72" t="s">
        <v>34</v>
      </c>
      <c r="V279" s="72" t="s">
        <v>32</v>
      </c>
      <c r="W279" s="77">
        <f t="shared" si="28"/>
        <v>66.6666666666667</v>
      </c>
      <c r="X279" s="78">
        <f t="shared" si="29"/>
        <v>53.9004045344954</v>
      </c>
      <c r="Z279" s="69" t="s">
        <v>181</v>
      </c>
      <c r="AA279" s="68">
        <v>36.1450898489821</v>
      </c>
      <c r="AB279" s="68">
        <v>278</v>
      </c>
    </row>
    <row r="280" spans="1:28">
      <c r="A280" s="69" t="s">
        <v>306</v>
      </c>
      <c r="B280" s="69" t="s">
        <v>31</v>
      </c>
      <c r="C280" s="69" t="s">
        <v>31</v>
      </c>
      <c r="D280" s="70">
        <f t="shared" si="24"/>
        <v>60</v>
      </c>
      <c r="E280" s="71">
        <v>65.0305872908508</v>
      </c>
      <c r="F280" s="72" t="s">
        <v>34</v>
      </c>
      <c r="G280" s="72" t="s">
        <v>34</v>
      </c>
      <c r="H280" s="72" t="s">
        <v>38</v>
      </c>
      <c r="I280" s="72">
        <v>75</v>
      </c>
      <c r="J280" s="73">
        <f t="shared" si="25"/>
        <v>81.25</v>
      </c>
      <c r="K280" s="72">
        <v>0</v>
      </c>
      <c r="L280" s="72">
        <v>0</v>
      </c>
      <c r="M280" s="72">
        <v>0</v>
      </c>
      <c r="N280" s="72" t="s">
        <v>33</v>
      </c>
      <c r="O280" s="74">
        <f t="shared" si="26"/>
        <v>6.25</v>
      </c>
      <c r="P280" s="72">
        <v>13.3815077037602</v>
      </c>
      <c r="Q280" s="72">
        <v>16.7850630496917</v>
      </c>
      <c r="R280" s="75">
        <f t="shared" si="27"/>
        <v>15.083285376726</v>
      </c>
      <c r="S280" s="76">
        <v>16.3479151053998</v>
      </c>
      <c r="T280" s="72">
        <v>50</v>
      </c>
      <c r="U280" s="72" t="s">
        <v>32</v>
      </c>
      <c r="V280" s="72" t="s">
        <v>34</v>
      </c>
      <c r="W280" s="77">
        <f t="shared" si="28"/>
        <v>58.3333333333333</v>
      </c>
      <c r="X280" s="78">
        <f t="shared" si="29"/>
        <v>45.4423671459168</v>
      </c>
      <c r="Z280" s="69" t="s">
        <v>139</v>
      </c>
      <c r="AA280" s="68">
        <v>35.6331779452612</v>
      </c>
      <c r="AB280" s="68">
        <v>177</v>
      </c>
    </row>
    <row r="281" spans="1:28">
      <c r="A281" s="69" t="s">
        <v>316</v>
      </c>
      <c r="B281" s="69" t="s">
        <v>41</v>
      </c>
      <c r="C281" s="69" t="s">
        <v>31</v>
      </c>
      <c r="D281" s="70">
        <f t="shared" si="24"/>
        <v>50</v>
      </c>
      <c r="E281" s="71">
        <v>49.5583535944546</v>
      </c>
      <c r="F281" s="72" t="s">
        <v>32</v>
      </c>
      <c r="G281" s="72" t="s">
        <v>38</v>
      </c>
      <c r="H281" s="72" t="s">
        <v>34</v>
      </c>
      <c r="I281" s="72" t="s">
        <v>32</v>
      </c>
      <c r="J281" s="73">
        <f t="shared" si="25"/>
        <v>68.75</v>
      </c>
      <c r="K281" s="72">
        <v>0</v>
      </c>
      <c r="L281" s="72">
        <v>0</v>
      </c>
      <c r="M281" s="72">
        <v>0</v>
      </c>
      <c r="N281" s="72" t="s">
        <v>33</v>
      </c>
      <c r="O281" s="74">
        <f t="shared" si="26"/>
        <v>6.25</v>
      </c>
      <c r="P281" s="72">
        <v>51.6086804574871</v>
      </c>
      <c r="Q281" s="72">
        <v>43.011724064835</v>
      </c>
      <c r="R281" s="75">
        <f t="shared" si="27"/>
        <v>47.3102022611611</v>
      </c>
      <c r="S281" s="76">
        <v>46.8923146456757</v>
      </c>
      <c r="T281" s="72">
        <v>50</v>
      </c>
      <c r="U281" s="72" t="s">
        <v>34</v>
      </c>
      <c r="V281" s="72" t="s">
        <v>33</v>
      </c>
      <c r="W281" s="77">
        <f t="shared" si="28"/>
        <v>50</v>
      </c>
      <c r="X281" s="78">
        <f t="shared" si="29"/>
        <v>44.2901336480261</v>
      </c>
      <c r="Z281" s="69" t="s">
        <v>198</v>
      </c>
      <c r="AA281" s="68">
        <v>35.3241878301236</v>
      </c>
      <c r="AB281" s="68">
        <v>279</v>
      </c>
    </row>
    <row r="282" spans="1:28">
      <c r="A282" s="69" t="s">
        <v>315</v>
      </c>
      <c r="B282" s="69" t="s">
        <v>37</v>
      </c>
      <c r="C282" s="69" t="s">
        <v>31</v>
      </c>
      <c r="D282" s="70">
        <f t="shared" si="24"/>
        <v>40</v>
      </c>
      <c r="E282" s="71">
        <v>39.373111539463</v>
      </c>
      <c r="F282" s="72" t="s">
        <v>32</v>
      </c>
      <c r="G282" s="72" t="s">
        <v>32</v>
      </c>
      <c r="H282" s="72" t="s">
        <v>38</v>
      </c>
      <c r="I282" s="72">
        <v>75</v>
      </c>
      <c r="J282" s="73">
        <f t="shared" si="25"/>
        <v>68.75</v>
      </c>
      <c r="K282" s="72" t="s">
        <v>32</v>
      </c>
      <c r="L282" s="72">
        <v>0</v>
      </c>
      <c r="M282" s="72" t="s">
        <v>32</v>
      </c>
      <c r="N282" s="72">
        <v>0</v>
      </c>
      <c r="O282" s="74">
        <f t="shared" si="26"/>
        <v>25</v>
      </c>
      <c r="P282" s="72">
        <v>33.3539072616113</v>
      </c>
      <c r="Q282" s="72">
        <v>44.5853237257436</v>
      </c>
      <c r="R282" s="75">
        <f t="shared" si="27"/>
        <v>38.9696154936775</v>
      </c>
      <c r="S282" s="76">
        <v>38.3588754370637</v>
      </c>
      <c r="T282" s="72" t="s">
        <v>34</v>
      </c>
      <c r="U282" s="72" t="s">
        <v>32</v>
      </c>
      <c r="V282" s="72" t="s">
        <v>33</v>
      </c>
      <c r="W282" s="77">
        <f t="shared" si="28"/>
        <v>50</v>
      </c>
      <c r="X282" s="78">
        <f t="shared" si="29"/>
        <v>44.2963973953053</v>
      </c>
      <c r="Z282" s="69" t="s">
        <v>328</v>
      </c>
      <c r="AA282" s="68">
        <v>34.5094771824901</v>
      </c>
      <c r="AB282" s="68">
        <v>280</v>
      </c>
    </row>
    <row r="283" spans="1:28">
      <c r="A283" s="69" t="s">
        <v>310</v>
      </c>
      <c r="B283" s="69" t="s">
        <v>31</v>
      </c>
      <c r="C283" s="69" t="s">
        <v>31</v>
      </c>
      <c r="D283" s="70">
        <f t="shared" si="24"/>
        <v>60</v>
      </c>
      <c r="E283" s="71">
        <v>49.8689768826156</v>
      </c>
      <c r="F283" s="72" t="s">
        <v>34</v>
      </c>
      <c r="G283" s="72">
        <v>50</v>
      </c>
      <c r="H283" s="72">
        <v>50</v>
      </c>
      <c r="I283" s="72">
        <v>50</v>
      </c>
      <c r="J283" s="73">
        <f t="shared" si="25"/>
        <v>56.25</v>
      </c>
      <c r="K283" s="72" t="s">
        <v>33</v>
      </c>
      <c r="L283" s="72" t="s">
        <v>33</v>
      </c>
      <c r="M283" s="72" t="s">
        <v>32</v>
      </c>
      <c r="N283" s="72">
        <v>0</v>
      </c>
      <c r="O283" s="74">
        <f t="shared" si="26"/>
        <v>25</v>
      </c>
      <c r="P283" s="72">
        <v>74.2973263552059</v>
      </c>
      <c r="Q283" s="72">
        <v>70.4972648087052</v>
      </c>
      <c r="R283" s="75">
        <f t="shared" si="27"/>
        <v>72.3972955819555</v>
      </c>
      <c r="S283" s="76">
        <v>60.1729843290072</v>
      </c>
      <c r="T283" s="72">
        <v>50</v>
      </c>
      <c r="U283" s="72">
        <v>25</v>
      </c>
      <c r="V283" s="72">
        <v>25</v>
      </c>
      <c r="W283" s="77">
        <f t="shared" si="28"/>
        <v>33.3333333333333</v>
      </c>
      <c r="X283" s="78">
        <f t="shared" si="29"/>
        <v>44.9250589089912</v>
      </c>
      <c r="Z283" s="69" t="s">
        <v>331</v>
      </c>
      <c r="AA283" s="68">
        <v>34.3961079147763</v>
      </c>
      <c r="AB283" s="68">
        <v>281</v>
      </c>
    </row>
    <row r="284" spans="1:28">
      <c r="A284" s="69" t="s">
        <v>129</v>
      </c>
      <c r="B284" s="69" t="s">
        <v>45</v>
      </c>
      <c r="C284" s="69" t="s">
        <v>31</v>
      </c>
      <c r="D284" s="70">
        <f t="shared" si="24"/>
        <v>70</v>
      </c>
      <c r="E284" s="71">
        <v>57.9803796679926</v>
      </c>
      <c r="F284" s="72" t="s">
        <v>34</v>
      </c>
      <c r="G284" s="72" t="s">
        <v>34</v>
      </c>
      <c r="H284" s="72" t="s">
        <v>38</v>
      </c>
      <c r="I284" s="72">
        <v>75</v>
      </c>
      <c r="J284" s="73">
        <f t="shared" si="25"/>
        <v>81.25</v>
      </c>
      <c r="K284" s="72">
        <v>0</v>
      </c>
      <c r="L284" s="72">
        <v>0</v>
      </c>
      <c r="M284" s="72" t="s">
        <v>34</v>
      </c>
      <c r="N284" s="72" t="s">
        <v>33</v>
      </c>
      <c r="O284" s="74">
        <f t="shared" si="26"/>
        <v>25</v>
      </c>
      <c r="P284" s="72">
        <v>17.3759876153304</v>
      </c>
      <c r="Q284" s="72">
        <v>76.7792786576018</v>
      </c>
      <c r="R284" s="75">
        <f t="shared" si="27"/>
        <v>47.0776331364661</v>
      </c>
      <c r="S284" s="76">
        <v>38.9939863303253</v>
      </c>
      <c r="T284" s="72">
        <v>50</v>
      </c>
      <c r="U284" s="72">
        <v>75</v>
      </c>
      <c r="V284" s="72" t="s">
        <v>34</v>
      </c>
      <c r="W284" s="77">
        <f t="shared" si="28"/>
        <v>66.6666666666667</v>
      </c>
      <c r="X284" s="78">
        <f t="shared" si="29"/>
        <v>53.9782065329969</v>
      </c>
      <c r="Z284" s="69" t="s">
        <v>332</v>
      </c>
      <c r="AA284" s="68">
        <v>33.5602811414617</v>
      </c>
      <c r="AB284" s="68">
        <v>282</v>
      </c>
    </row>
    <row r="285" spans="1:28">
      <c r="A285" s="69" t="s">
        <v>329</v>
      </c>
      <c r="B285" s="69" t="s">
        <v>41</v>
      </c>
      <c r="C285" s="69" t="s">
        <v>31</v>
      </c>
      <c r="D285" s="70">
        <f t="shared" si="24"/>
        <v>50</v>
      </c>
      <c r="E285" s="71">
        <v>49.2625346874837</v>
      </c>
      <c r="F285" s="72" t="s">
        <v>32</v>
      </c>
      <c r="G285" s="72" t="s">
        <v>32</v>
      </c>
      <c r="H285" s="72" t="s">
        <v>38</v>
      </c>
      <c r="I285" s="72" t="s">
        <v>34</v>
      </c>
      <c r="J285" s="73">
        <f t="shared" si="25"/>
        <v>68.75</v>
      </c>
      <c r="K285" s="72">
        <v>0</v>
      </c>
      <c r="L285" s="72">
        <v>0</v>
      </c>
      <c r="M285" s="72" t="s">
        <v>32</v>
      </c>
      <c r="N285" s="72">
        <v>0</v>
      </c>
      <c r="O285" s="74">
        <f t="shared" si="26"/>
        <v>12.5</v>
      </c>
      <c r="P285" s="72">
        <v>15.5784716551238</v>
      </c>
      <c r="Q285" s="72">
        <v>44.3755104376225</v>
      </c>
      <c r="R285" s="75">
        <f t="shared" si="27"/>
        <v>29.9769910463732</v>
      </c>
      <c r="S285" s="76">
        <v>29.5348512249669</v>
      </c>
      <c r="T285" s="72" t="s">
        <v>33</v>
      </c>
      <c r="U285" s="72" t="s">
        <v>32</v>
      </c>
      <c r="V285" s="72" t="s">
        <v>33</v>
      </c>
      <c r="W285" s="77">
        <f t="shared" si="28"/>
        <v>33.3333333333333</v>
      </c>
      <c r="X285" s="78">
        <f t="shared" si="29"/>
        <v>38.6761438491568</v>
      </c>
      <c r="Z285" s="69" t="s">
        <v>312</v>
      </c>
      <c r="AA285" s="68">
        <v>32.1643403947053</v>
      </c>
      <c r="AB285" s="68">
        <v>283</v>
      </c>
    </row>
    <row r="286" spans="1:28">
      <c r="A286" s="69" t="s">
        <v>333</v>
      </c>
      <c r="B286" s="69" t="s">
        <v>41</v>
      </c>
      <c r="C286" s="69" t="s">
        <v>41</v>
      </c>
      <c r="D286" s="70">
        <f t="shared" si="24"/>
        <v>40</v>
      </c>
      <c r="E286" s="71">
        <v>43.1032422932688</v>
      </c>
      <c r="F286" s="72" t="s">
        <v>33</v>
      </c>
      <c r="G286" s="72">
        <v>0</v>
      </c>
      <c r="H286" s="72">
        <v>0</v>
      </c>
      <c r="I286" s="72">
        <v>0</v>
      </c>
      <c r="J286" s="73">
        <f t="shared" si="25"/>
        <v>6.25</v>
      </c>
      <c r="K286" s="72">
        <v>0</v>
      </c>
      <c r="L286" s="72">
        <v>0</v>
      </c>
      <c r="M286" s="72">
        <v>0</v>
      </c>
      <c r="N286" s="72">
        <v>0</v>
      </c>
      <c r="O286" s="74">
        <f t="shared" si="26"/>
        <v>0</v>
      </c>
      <c r="P286" s="72">
        <v>40.3442471068591</v>
      </c>
      <c r="Q286" s="72">
        <v>18.8831959309032</v>
      </c>
      <c r="R286" s="75">
        <f t="shared" si="27"/>
        <v>29.6137215188811</v>
      </c>
      <c r="S286" s="76">
        <v>31.9111853458431</v>
      </c>
      <c r="T286" s="72">
        <v>0</v>
      </c>
      <c r="U286" s="72">
        <v>0</v>
      </c>
      <c r="V286" s="72">
        <v>0</v>
      </c>
      <c r="W286" s="77">
        <f t="shared" si="28"/>
        <v>0</v>
      </c>
      <c r="X286" s="78">
        <f t="shared" si="29"/>
        <v>16.2528855278224</v>
      </c>
      <c r="Z286" s="69" t="s">
        <v>317</v>
      </c>
      <c r="AA286" s="68">
        <v>30.5656163653081</v>
      </c>
      <c r="AB286" s="68">
        <v>284</v>
      </c>
    </row>
    <row r="287" spans="1:28">
      <c r="A287" s="69" t="s">
        <v>291</v>
      </c>
      <c r="B287" s="69" t="s">
        <v>45</v>
      </c>
      <c r="C287" s="69" t="s">
        <v>45</v>
      </c>
      <c r="D287" s="70">
        <f t="shared" si="24"/>
        <v>80</v>
      </c>
      <c r="E287" s="71">
        <v>84.0086398661792</v>
      </c>
      <c r="F287" s="72" t="s">
        <v>32</v>
      </c>
      <c r="G287" s="72" t="s">
        <v>34</v>
      </c>
      <c r="H287" s="72" t="s">
        <v>38</v>
      </c>
      <c r="I287" s="72" t="s">
        <v>34</v>
      </c>
      <c r="J287" s="73">
        <f t="shared" si="25"/>
        <v>75</v>
      </c>
      <c r="K287" s="72">
        <v>0</v>
      </c>
      <c r="L287" s="72">
        <v>0</v>
      </c>
      <c r="M287" s="72" t="s">
        <v>32</v>
      </c>
      <c r="N287" s="72">
        <v>0</v>
      </c>
      <c r="O287" s="74">
        <f t="shared" si="26"/>
        <v>12.5</v>
      </c>
      <c r="P287" s="72" t="s">
        <v>334</v>
      </c>
      <c r="Q287" s="72">
        <v>27.4855407438702</v>
      </c>
      <c r="R287" s="75">
        <f t="shared" si="27"/>
        <v>13.7427703719351</v>
      </c>
      <c r="S287" s="76">
        <v>14.4313930867437</v>
      </c>
      <c r="T287" s="72">
        <v>50</v>
      </c>
      <c r="U287" s="72" t="s">
        <v>34</v>
      </c>
      <c r="V287" s="72" t="s">
        <v>33</v>
      </c>
      <c r="W287" s="77">
        <f t="shared" si="28"/>
        <v>50</v>
      </c>
      <c r="X287" s="78">
        <f t="shared" si="29"/>
        <v>47.1880065905846</v>
      </c>
      <c r="Z287" s="69" t="s">
        <v>292</v>
      </c>
      <c r="AA287" s="68">
        <v>30.5514448547638</v>
      </c>
      <c r="AB287" s="68">
        <v>285</v>
      </c>
    </row>
    <row r="288" spans="1:28">
      <c r="A288" s="69" t="s">
        <v>240</v>
      </c>
      <c r="B288" s="69" t="s">
        <v>31</v>
      </c>
      <c r="C288" s="69" t="s">
        <v>45</v>
      </c>
      <c r="D288" s="70">
        <f t="shared" si="24"/>
        <v>70</v>
      </c>
      <c r="E288" s="71">
        <v>71.815170247464</v>
      </c>
      <c r="F288" s="72" t="s">
        <v>32</v>
      </c>
      <c r="G288" s="72" t="s">
        <v>38</v>
      </c>
      <c r="H288" s="72" t="s">
        <v>38</v>
      </c>
      <c r="I288" s="72">
        <v>75</v>
      </c>
      <c r="J288" s="73">
        <f t="shared" si="25"/>
        <v>81.25</v>
      </c>
      <c r="K288" s="72">
        <v>0</v>
      </c>
      <c r="L288" s="72">
        <v>0</v>
      </c>
      <c r="M288" s="72" t="s">
        <v>32</v>
      </c>
      <c r="N288" s="72" t="s">
        <v>33</v>
      </c>
      <c r="O288" s="74">
        <f t="shared" si="26"/>
        <v>18.75</v>
      </c>
      <c r="P288" s="72">
        <v>20.7712955401651</v>
      </c>
      <c r="Q288" s="72">
        <v>34.3044726078074</v>
      </c>
      <c r="R288" s="75">
        <f t="shared" si="27"/>
        <v>27.5378840739862</v>
      </c>
      <c r="S288" s="76">
        <v>28.2519690432607</v>
      </c>
      <c r="T288" s="72">
        <v>50</v>
      </c>
      <c r="U288" s="72" t="s">
        <v>34</v>
      </c>
      <c r="V288" s="72" t="s">
        <v>33</v>
      </c>
      <c r="W288" s="77">
        <f t="shared" si="28"/>
        <v>50</v>
      </c>
      <c r="X288" s="78">
        <f t="shared" si="29"/>
        <v>50.0134278581449</v>
      </c>
      <c r="Z288" s="69" t="s">
        <v>288</v>
      </c>
      <c r="AA288" s="68">
        <v>28.0150658484809</v>
      </c>
      <c r="AB288" s="68">
        <v>286</v>
      </c>
    </row>
    <row r="289" spans="1:28">
      <c r="A289" s="69" t="s">
        <v>325</v>
      </c>
      <c r="B289" s="69" t="s">
        <v>41</v>
      </c>
      <c r="C289" s="69" t="s">
        <v>31</v>
      </c>
      <c r="D289" s="70">
        <f t="shared" si="24"/>
        <v>50</v>
      </c>
      <c r="E289" s="71">
        <v>51.6242974564835</v>
      </c>
      <c r="F289" s="72" t="s">
        <v>32</v>
      </c>
      <c r="G289" s="72" t="s">
        <v>34</v>
      </c>
      <c r="H289" s="72" t="s">
        <v>38</v>
      </c>
      <c r="I289" s="72" t="s">
        <v>34</v>
      </c>
      <c r="J289" s="73">
        <f t="shared" si="25"/>
        <v>75</v>
      </c>
      <c r="K289" s="72">
        <v>0</v>
      </c>
      <c r="L289" s="72">
        <v>0</v>
      </c>
      <c r="M289" s="72">
        <v>0</v>
      </c>
      <c r="N289" s="72">
        <v>0</v>
      </c>
      <c r="O289" s="74">
        <f t="shared" si="26"/>
        <v>0</v>
      </c>
      <c r="P289" s="72">
        <v>24.3663274605783</v>
      </c>
      <c r="Q289" s="72">
        <v>32.5210596587777</v>
      </c>
      <c r="R289" s="75">
        <f t="shared" si="27"/>
        <v>28.443693559678</v>
      </c>
      <c r="S289" s="76">
        <v>29.3677139417176</v>
      </c>
      <c r="T289" s="72" t="s">
        <v>34</v>
      </c>
      <c r="U289" s="72" t="s">
        <v>33</v>
      </c>
      <c r="V289" s="72" t="s">
        <v>32</v>
      </c>
      <c r="W289" s="77">
        <f t="shared" si="28"/>
        <v>50</v>
      </c>
      <c r="X289" s="78">
        <f t="shared" si="29"/>
        <v>41.1984022796402</v>
      </c>
      <c r="Z289" s="69" t="s">
        <v>287</v>
      </c>
      <c r="AA289" s="68">
        <v>27.1683353106797</v>
      </c>
      <c r="AB289" s="68">
        <v>287</v>
      </c>
    </row>
    <row r="290" spans="1:28">
      <c r="A290" s="69" t="s">
        <v>326</v>
      </c>
      <c r="B290" s="69" t="s">
        <v>31</v>
      </c>
      <c r="C290" s="69" t="s">
        <v>31</v>
      </c>
      <c r="D290" s="70">
        <f t="shared" si="24"/>
        <v>60</v>
      </c>
      <c r="E290" s="71">
        <v>61.555860212112</v>
      </c>
      <c r="F290" s="72" t="s">
        <v>34</v>
      </c>
      <c r="G290" s="72">
        <v>50</v>
      </c>
      <c r="H290" s="72">
        <v>50</v>
      </c>
      <c r="I290" s="72">
        <v>25</v>
      </c>
      <c r="J290" s="73">
        <f t="shared" si="25"/>
        <v>50</v>
      </c>
      <c r="K290" s="72" t="s">
        <v>33</v>
      </c>
      <c r="L290" s="72">
        <v>0</v>
      </c>
      <c r="M290" s="72" t="s">
        <v>34</v>
      </c>
      <c r="N290" s="72" t="s">
        <v>33</v>
      </c>
      <c r="O290" s="74">
        <f t="shared" si="26"/>
        <v>31.25</v>
      </c>
      <c r="P290" s="72">
        <v>20.7712955401651</v>
      </c>
      <c r="Q290" s="72">
        <v>34.3044726078074</v>
      </c>
      <c r="R290" s="75">
        <f t="shared" si="27"/>
        <v>27.5378840739862</v>
      </c>
      <c r="S290" s="76">
        <v>28.2519690432607</v>
      </c>
      <c r="T290" s="72">
        <v>50</v>
      </c>
      <c r="U290" s="72">
        <v>25</v>
      </c>
      <c r="V290" s="72">
        <v>25</v>
      </c>
      <c r="W290" s="77">
        <f t="shared" si="28"/>
        <v>33.3333333333333</v>
      </c>
      <c r="X290" s="78">
        <f t="shared" si="29"/>
        <v>40.8782325177412</v>
      </c>
      <c r="Z290" s="69" t="s">
        <v>318</v>
      </c>
      <c r="AA290" s="68">
        <v>25.0389757949908</v>
      </c>
      <c r="AB290" s="68">
        <v>288</v>
      </c>
    </row>
    <row r="291" spans="1:28">
      <c r="A291" s="69" t="s">
        <v>331</v>
      </c>
      <c r="B291" s="69">
        <v>20</v>
      </c>
      <c r="C291" s="69" t="s">
        <v>31</v>
      </c>
      <c r="D291" s="70">
        <f t="shared" si="24"/>
        <v>40</v>
      </c>
      <c r="E291" s="71">
        <f>D291*1.013</f>
        <v>40.52</v>
      </c>
      <c r="F291" s="72" t="s">
        <v>34</v>
      </c>
      <c r="G291" s="72" t="s">
        <v>32</v>
      </c>
      <c r="H291" s="72" t="s">
        <v>38</v>
      </c>
      <c r="I291" s="72" t="s">
        <v>34</v>
      </c>
      <c r="J291" s="73">
        <f t="shared" si="25"/>
        <v>75</v>
      </c>
      <c r="K291" s="72">
        <v>0</v>
      </c>
      <c r="L291" s="72">
        <v>0</v>
      </c>
      <c r="M291" s="72">
        <v>0</v>
      </c>
      <c r="N291" s="72">
        <v>0</v>
      </c>
      <c r="O291" s="74">
        <f t="shared" si="26"/>
        <v>0</v>
      </c>
      <c r="P291" s="72">
        <v>24.3663274605783</v>
      </c>
      <c r="Q291" s="72">
        <v>37.7663918618064</v>
      </c>
      <c r="R291" s="75">
        <f t="shared" si="27"/>
        <v>31.0663596611924</v>
      </c>
      <c r="S291" s="76">
        <v>31.4605395738813</v>
      </c>
      <c r="T291" s="72" t="s">
        <v>32</v>
      </c>
      <c r="U291" s="72">
        <v>0</v>
      </c>
      <c r="V291" s="72" t="s">
        <v>33</v>
      </c>
      <c r="W291" s="77">
        <f t="shared" si="28"/>
        <v>25</v>
      </c>
      <c r="X291" s="78">
        <f t="shared" si="29"/>
        <v>34.3961079147763</v>
      </c>
      <c r="Z291" s="69" t="s">
        <v>116</v>
      </c>
      <c r="AA291" s="68">
        <v>24.9683657625496</v>
      </c>
      <c r="AB291" s="68">
        <v>289</v>
      </c>
    </row>
    <row r="292" spans="1:28">
      <c r="A292" s="69" t="s">
        <v>188</v>
      </c>
      <c r="B292" s="69" t="s">
        <v>45</v>
      </c>
      <c r="C292" s="69" t="s">
        <v>31</v>
      </c>
      <c r="D292" s="70">
        <f t="shared" si="24"/>
        <v>70</v>
      </c>
      <c r="E292" s="71">
        <v>72.2446915403696</v>
      </c>
      <c r="F292" s="72" t="s">
        <v>34</v>
      </c>
      <c r="G292" s="72">
        <v>75</v>
      </c>
      <c r="H292" s="72">
        <v>75</v>
      </c>
      <c r="I292" s="72">
        <v>75</v>
      </c>
      <c r="J292" s="73">
        <f t="shared" si="25"/>
        <v>75</v>
      </c>
      <c r="K292" s="72" t="s">
        <v>33</v>
      </c>
      <c r="L292" s="72">
        <v>0</v>
      </c>
      <c r="M292" s="72" t="s">
        <v>34</v>
      </c>
      <c r="N292" s="72" t="s">
        <v>32</v>
      </c>
      <c r="O292" s="74">
        <f t="shared" si="26"/>
        <v>37.5</v>
      </c>
      <c r="P292" s="72">
        <v>28.560531367727</v>
      </c>
      <c r="Q292" s="72">
        <v>32.6364569672443</v>
      </c>
      <c r="R292" s="75">
        <f t="shared" si="27"/>
        <v>30.5984941674856</v>
      </c>
      <c r="S292" s="76">
        <v>31.5796967532828</v>
      </c>
      <c r="T292" s="72">
        <v>50</v>
      </c>
      <c r="U292" s="72">
        <v>50</v>
      </c>
      <c r="V292" s="72">
        <v>25</v>
      </c>
      <c r="W292" s="77">
        <f t="shared" si="28"/>
        <v>41.6666666666667</v>
      </c>
      <c r="X292" s="78">
        <f t="shared" si="29"/>
        <v>51.5982109920638</v>
      </c>
      <c r="Z292" s="69" t="s">
        <v>241</v>
      </c>
      <c r="AA292" s="68">
        <v>23.1698792211894</v>
      </c>
      <c r="AB292" s="68">
        <v>290</v>
      </c>
    </row>
    <row r="293" spans="1:28">
      <c r="A293" s="69" t="s">
        <v>281</v>
      </c>
      <c r="B293" s="69" t="s">
        <v>41</v>
      </c>
      <c r="C293" s="69" t="s">
        <v>31</v>
      </c>
      <c r="D293" s="70">
        <f t="shared" si="24"/>
        <v>50</v>
      </c>
      <c r="E293" s="71">
        <v>42.467831910222</v>
      </c>
      <c r="F293" s="72" t="s">
        <v>34</v>
      </c>
      <c r="G293" s="72" t="s">
        <v>34</v>
      </c>
      <c r="H293" s="72" t="s">
        <v>38</v>
      </c>
      <c r="I293" s="72">
        <v>75</v>
      </c>
      <c r="J293" s="73">
        <f t="shared" si="25"/>
        <v>81.25</v>
      </c>
      <c r="K293" s="72" t="s">
        <v>32</v>
      </c>
      <c r="L293" s="72">
        <v>0</v>
      </c>
      <c r="M293" s="72" t="s">
        <v>32</v>
      </c>
      <c r="N293" s="72">
        <v>0</v>
      </c>
      <c r="O293" s="74">
        <f t="shared" si="26"/>
        <v>25</v>
      </c>
      <c r="P293" s="72">
        <v>33.3539072616113</v>
      </c>
      <c r="Q293" s="72">
        <v>68.1893186393726</v>
      </c>
      <c r="R293" s="75">
        <f t="shared" si="27"/>
        <v>50.7716129504919</v>
      </c>
      <c r="S293" s="76">
        <v>43.1232064918469</v>
      </c>
      <c r="T293" s="72">
        <v>50</v>
      </c>
      <c r="U293" s="72" t="s">
        <v>34</v>
      </c>
      <c r="V293" s="72" t="s">
        <v>33</v>
      </c>
      <c r="W293" s="77">
        <f t="shared" si="28"/>
        <v>50</v>
      </c>
      <c r="X293" s="78">
        <f t="shared" si="29"/>
        <v>48.3682076804138</v>
      </c>
      <c r="Z293" s="69" t="s">
        <v>196</v>
      </c>
      <c r="AA293" s="68">
        <v>22.9866231830405</v>
      </c>
      <c r="AB293" s="68">
        <v>291</v>
      </c>
    </row>
    <row r="294" spans="1:28">
      <c r="A294" s="69" t="s">
        <v>314</v>
      </c>
      <c r="B294" s="69" t="s">
        <v>37</v>
      </c>
      <c r="C294" s="69" t="s">
        <v>31</v>
      </c>
      <c r="D294" s="70">
        <f t="shared" si="24"/>
        <v>40</v>
      </c>
      <c r="E294" s="71">
        <v>33.1316455245672</v>
      </c>
      <c r="F294" s="72" t="s">
        <v>34</v>
      </c>
      <c r="G294" s="72" t="s">
        <v>34</v>
      </c>
      <c r="H294" s="72" t="s">
        <v>38</v>
      </c>
      <c r="I294" s="72" t="s">
        <v>34</v>
      </c>
      <c r="J294" s="73">
        <f t="shared" si="25"/>
        <v>81.25</v>
      </c>
      <c r="K294" s="72">
        <v>0</v>
      </c>
      <c r="L294" s="72">
        <v>0</v>
      </c>
      <c r="M294" s="72" t="s">
        <v>32</v>
      </c>
      <c r="N294" s="72">
        <v>0</v>
      </c>
      <c r="O294" s="74">
        <f t="shared" si="26"/>
        <v>12.5</v>
      </c>
      <c r="P294" s="72">
        <v>17.7754356064874</v>
      </c>
      <c r="Q294" s="72">
        <v>93.4718198579707</v>
      </c>
      <c r="R294" s="75">
        <f t="shared" si="27"/>
        <v>55.6236277322291</v>
      </c>
      <c r="S294" s="76">
        <v>46.0725579203675</v>
      </c>
      <c r="T294" s="72">
        <v>50</v>
      </c>
      <c r="U294" s="72" t="s">
        <v>34</v>
      </c>
      <c r="V294" s="72" t="s">
        <v>33</v>
      </c>
      <c r="W294" s="77">
        <f t="shared" si="28"/>
        <v>50</v>
      </c>
      <c r="X294" s="78">
        <f t="shared" si="29"/>
        <v>44.5908406889869</v>
      </c>
      <c r="Z294" s="69" t="s">
        <v>293</v>
      </c>
      <c r="AA294" s="68">
        <v>22.1704184632743</v>
      </c>
      <c r="AB294" s="68">
        <v>292</v>
      </c>
    </row>
    <row r="295" spans="1:28">
      <c r="A295" s="69" t="s">
        <v>313</v>
      </c>
      <c r="B295" s="69" t="s">
        <v>41</v>
      </c>
      <c r="C295" s="69" t="s">
        <v>31</v>
      </c>
      <c r="D295" s="70">
        <f t="shared" si="24"/>
        <v>50</v>
      </c>
      <c r="E295" s="71">
        <v>49.2163894243287</v>
      </c>
      <c r="F295" s="72" t="s">
        <v>32</v>
      </c>
      <c r="G295" s="72" t="s">
        <v>34</v>
      </c>
      <c r="H295" s="72" t="s">
        <v>38</v>
      </c>
      <c r="I295" s="72">
        <v>75</v>
      </c>
      <c r="J295" s="73">
        <f t="shared" si="25"/>
        <v>75</v>
      </c>
      <c r="K295" s="72">
        <v>0</v>
      </c>
      <c r="L295" s="72">
        <v>0</v>
      </c>
      <c r="M295" s="72" t="s">
        <v>32</v>
      </c>
      <c r="N295" s="72" t="s">
        <v>33</v>
      </c>
      <c r="O295" s="74">
        <f t="shared" si="26"/>
        <v>18.75</v>
      </c>
      <c r="P295" s="72">
        <v>33.3539072616113</v>
      </c>
      <c r="Q295" s="72">
        <v>44.5853237257436</v>
      </c>
      <c r="R295" s="75">
        <f t="shared" si="27"/>
        <v>38.9696154936775</v>
      </c>
      <c r="S295" s="76">
        <v>38.3588754370637</v>
      </c>
      <c r="T295" s="72">
        <v>50</v>
      </c>
      <c r="U295" s="72" t="s">
        <v>32</v>
      </c>
      <c r="V295" s="72" t="s">
        <v>33</v>
      </c>
      <c r="W295" s="77">
        <f t="shared" si="28"/>
        <v>41.6666666666667</v>
      </c>
      <c r="X295" s="78">
        <f t="shared" si="29"/>
        <v>44.5983863056118</v>
      </c>
      <c r="Z295" s="69" t="s">
        <v>330</v>
      </c>
      <c r="AA295" s="68">
        <v>20.7594771824901</v>
      </c>
      <c r="AB295" s="68">
        <v>293</v>
      </c>
    </row>
    <row r="296" spans="1:28">
      <c r="A296" s="69" t="s">
        <v>332</v>
      </c>
      <c r="B296" s="69" t="s">
        <v>37</v>
      </c>
      <c r="C296" s="69" t="s">
        <v>31</v>
      </c>
      <c r="D296" s="70">
        <f t="shared" si="24"/>
        <v>40</v>
      </c>
      <c r="E296" s="71">
        <v>40.5075328000936</v>
      </c>
      <c r="F296" s="72" t="s">
        <v>32</v>
      </c>
      <c r="G296" s="72" t="s">
        <v>33</v>
      </c>
      <c r="H296" s="72" t="s">
        <v>38</v>
      </c>
      <c r="I296" s="72" t="s">
        <v>34</v>
      </c>
      <c r="J296" s="73">
        <f t="shared" si="25"/>
        <v>62.5</v>
      </c>
      <c r="K296" s="72">
        <v>0</v>
      </c>
      <c r="L296" s="72">
        <v>0</v>
      </c>
      <c r="M296" s="72">
        <v>0</v>
      </c>
      <c r="N296" s="72">
        <v>0</v>
      </c>
      <c r="O296" s="74">
        <f t="shared" si="26"/>
        <v>0</v>
      </c>
      <c r="P296" s="72">
        <v>24.3663274605783</v>
      </c>
      <c r="Q296" s="72">
        <v>37.7663918618064</v>
      </c>
      <c r="R296" s="75">
        <f t="shared" si="27"/>
        <v>31.0663596611924</v>
      </c>
      <c r="S296" s="76">
        <v>31.4605395738813</v>
      </c>
      <c r="T296" s="72">
        <v>50</v>
      </c>
      <c r="U296" s="72" t="s">
        <v>33</v>
      </c>
      <c r="V296" s="72" t="s">
        <v>33</v>
      </c>
      <c r="W296" s="77">
        <f t="shared" si="28"/>
        <v>33.3333333333333</v>
      </c>
      <c r="X296" s="78">
        <f t="shared" si="29"/>
        <v>33.5602811414617</v>
      </c>
      <c r="Z296" s="69" t="s">
        <v>309</v>
      </c>
      <c r="AA296" s="68">
        <v>16.5928611947856</v>
      </c>
      <c r="AB296" s="68">
        <v>294</v>
      </c>
    </row>
    <row r="297" spans="1:28">
      <c r="A297" s="69" t="s">
        <v>297</v>
      </c>
      <c r="B297" s="69" t="s">
        <v>41</v>
      </c>
      <c r="C297" s="69" t="s">
        <v>31</v>
      </c>
      <c r="D297" s="70">
        <f t="shared" si="24"/>
        <v>50</v>
      </c>
      <c r="E297" s="71">
        <v>51.178769132432</v>
      </c>
      <c r="F297" s="72" t="s">
        <v>32</v>
      </c>
      <c r="G297" s="72" t="s">
        <v>34</v>
      </c>
      <c r="H297" s="72" t="s">
        <v>38</v>
      </c>
      <c r="I297" s="72" t="s">
        <v>34</v>
      </c>
      <c r="J297" s="73">
        <f t="shared" si="25"/>
        <v>75</v>
      </c>
      <c r="K297" s="72">
        <v>0</v>
      </c>
      <c r="L297" s="72">
        <v>0</v>
      </c>
      <c r="M297" s="72" t="s">
        <v>32</v>
      </c>
      <c r="N297" s="72" t="s">
        <v>33</v>
      </c>
      <c r="O297" s="74">
        <f t="shared" si="26"/>
        <v>18.75</v>
      </c>
      <c r="P297" s="72">
        <v>24.3663274605783</v>
      </c>
      <c r="Q297" s="72">
        <v>34.9339124721709</v>
      </c>
      <c r="R297" s="75">
        <f t="shared" si="27"/>
        <v>29.6501199663746</v>
      </c>
      <c r="S297" s="76">
        <v>30.34913289016</v>
      </c>
      <c r="T297" s="72" t="s">
        <v>32</v>
      </c>
      <c r="U297" s="72" t="s">
        <v>34</v>
      </c>
      <c r="V297" s="72" t="s">
        <v>32</v>
      </c>
      <c r="W297" s="77">
        <f t="shared" si="28"/>
        <v>58.3333333333333</v>
      </c>
      <c r="X297" s="78">
        <f t="shared" si="29"/>
        <v>46.7222470711851</v>
      </c>
      <c r="Z297" s="69" t="s">
        <v>333</v>
      </c>
      <c r="AA297" s="68">
        <v>16.2528855278224</v>
      </c>
      <c r="AB297" s="68">
        <v>295</v>
      </c>
    </row>
    <row r="298" spans="1:28">
      <c r="A298" s="69" t="s">
        <v>101</v>
      </c>
      <c r="B298" s="69" t="s">
        <v>41</v>
      </c>
      <c r="C298" s="69" t="s">
        <v>31</v>
      </c>
      <c r="D298" s="70">
        <f t="shared" si="24"/>
        <v>50</v>
      </c>
      <c r="E298" s="71">
        <v>51.099620598739</v>
      </c>
      <c r="F298" s="72" t="s">
        <v>34</v>
      </c>
      <c r="G298" s="72" t="s">
        <v>38</v>
      </c>
      <c r="H298" s="72" t="s">
        <v>38</v>
      </c>
      <c r="I298" s="72">
        <v>75</v>
      </c>
      <c r="J298" s="73">
        <f t="shared" si="25"/>
        <v>87.5</v>
      </c>
      <c r="K298" s="72" t="s">
        <v>32</v>
      </c>
      <c r="L298" s="72">
        <v>0</v>
      </c>
      <c r="M298" s="72" t="s">
        <v>34</v>
      </c>
      <c r="N298" s="72" t="s">
        <v>33</v>
      </c>
      <c r="O298" s="74">
        <f t="shared" si="26"/>
        <v>37.5</v>
      </c>
      <c r="P298" s="72">
        <v>45.1376230007434</v>
      </c>
      <c r="Q298" s="72">
        <v>35.3535390484132</v>
      </c>
      <c r="R298" s="75">
        <f t="shared" si="27"/>
        <v>40.2455810245783</v>
      </c>
      <c r="S298" s="76">
        <v>41.1306784226352</v>
      </c>
      <c r="T298" s="72">
        <v>50</v>
      </c>
      <c r="U298" s="72">
        <v>75</v>
      </c>
      <c r="V298" s="72" t="s">
        <v>32</v>
      </c>
      <c r="W298" s="77">
        <f t="shared" si="28"/>
        <v>58.3333333333333</v>
      </c>
      <c r="X298" s="78">
        <f t="shared" si="29"/>
        <v>55.1127264709415</v>
      </c>
      <c r="Z298" s="69" t="s">
        <v>83</v>
      </c>
      <c r="AA298" s="68">
        <v>16.1878841192005</v>
      </c>
      <c r="AB298" s="68">
        <v>296</v>
      </c>
    </row>
  </sheetData>
  <sortState ref="Z3:AB298">
    <sortCondition ref="AA3" descending="1"/>
  </sortState>
  <mergeCells count="6">
    <mergeCell ref="B1:E1"/>
    <mergeCell ref="F1:J1"/>
    <mergeCell ref="K1:O1"/>
    <mergeCell ref="P1:S1"/>
    <mergeCell ref="T1:W1"/>
    <mergeCell ref="X1:X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3"/>
  <sheetViews>
    <sheetView topLeftCell="A268" workbookViewId="0">
      <selection activeCell="N105" sqref="N105"/>
    </sheetView>
  </sheetViews>
  <sheetFormatPr defaultColWidth="9" defaultRowHeight="15.6"/>
  <cols>
    <col min="1" max="1" width="11.8796296296296" style="42" customWidth="1"/>
    <col min="2" max="2" width="24.1111111111111" style="43" customWidth="1"/>
    <col min="3" max="3" width="14.212962962963" style="43" customWidth="1"/>
    <col min="4" max="4" width="11.4444444444444" style="44" customWidth="1"/>
    <col min="5" max="5" width="8.87962962962963" style="45"/>
    <col min="9" max="9" width="9.11111111111111" customWidth="1"/>
    <col min="11" max="11" width="13.75"/>
    <col min="12" max="12" width="12.6296296296296"/>
    <col min="14" max="14" width="9.11111111111111" customWidth="1"/>
    <col min="17" max="18" width="9" style="46"/>
  </cols>
  <sheetData>
    <row r="1" spans="1:18">
      <c r="A1" s="47" t="s">
        <v>335</v>
      </c>
      <c r="B1" s="48"/>
      <c r="C1" s="49"/>
      <c r="Q1" s="63" t="s">
        <v>6</v>
      </c>
      <c r="R1" s="63" t="s">
        <v>336</v>
      </c>
    </row>
    <row r="2" spans="1:18">
      <c r="A2" s="48" t="s">
        <v>337</v>
      </c>
      <c r="B2" s="50" t="s">
        <v>338</v>
      </c>
      <c r="C2" s="51"/>
      <c r="D2" s="52" t="s">
        <v>339</v>
      </c>
      <c r="Q2" s="64" t="s">
        <v>145</v>
      </c>
      <c r="R2" s="20">
        <v>1.09170858528091</v>
      </c>
    </row>
    <row r="3" ht="31.2" spans="1:18">
      <c r="A3" s="48"/>
      <c r="B3" s="53" t="s">
        <v>22</v>
      </c>
      <c r="C3" s="54"/>
      <c r="D3" s="55" t="s">
        <v>340</v>
      </c>
      <c r="E3" s="56" t="s">
        <v>341</v>
      </c>
      <c r="F3" s="57" t="s">
        <v>342</v>
      </c>
      <c r="G3" s="58" t="s">
        <v>343</v>
      </c>
      <c r="H3" s="58" t="s">
        <v>344</v>
      </c>
      <c r="I3" s="58" t="s">
        <v>345</v>
      </c>
      <c r="J3" s="58" t="s">
        <v>346</v>
      </c>
      <c r="K3" s="58" t="s">
        <v>347</v>
      </c>
      <c r="L3" s="58" t="s">
        <v>348</v>
      </c>
      <c r="M3" s="58" t="s">
        <v>349</v>
      </c>
      <c r="N3" s="58" t="s">
        <v>350</v>
      </c>
      <c r="Q3" s="64" t="s">
        <v>128</v>
      </c>
      <c r="R3" s="20">
        <v>1.02787702713438</v>
      </c>
    </row>
    <row r="4" spans="1:18">
      <c r="A4" s="59" t="s">
        <v>145</v>
      </c>
      <c r="B4" s="60">
        <v>0.825849168812911</v>
      </c>
      <c r="C4" s="61">
        <f t="shared" ref="C4:C67" si="0">B4*100</f>
        <v>82.5849168812911</v>
      </c>
      <c r="D4" s="44">
        <f t="shared" ref="D4:D67" si="1">LN(C4)</f>
        <v>4.41382705951001</v>
      </c>
      <c r="E4" s="62">
        <f>MEDIAN(D4:D303)</f>
        <v>4.04304511205643</v>
      </c>
      <c r="F4" s="44">
        <f>AVERAGE(D4:D303)</f>
        <v>3.89637933892017</v>
      </c>
      <c r="G4" s="44">
        <f>STDEVP(D4:D303)</f>
        <v>0.547560901607977</v>
      </c>
      <c r="H4" s="44">
        <f>F4+G4</f>
        <v>4.44394024052814</v>
      </c>
      <c r="I4">
        <f>MAX(D4:D303)</f>
        <v>4.56434819146784</v>
      </c>
      <c r="J4" s="44">
        <f>F4-G4</f>
        <v>3.34881843731219</v>
      </c>
      <c r="K4">
        <f>MIN(D4:D303)</f>
        <v>-0.389858301042609</v>
      </c>
      <c r="L4">
        <f>MIN(H4:I4)</f>
        <v>4.44394024052814</v>
      </c>
      <c r="M4">
        <f>MAX(J4:K4)</f>
        <v>3.34881843731219</v>
      </c>
      <c r="N4">
        <f>IF(AND(M$4&lt;=D4,D4&lt;=L$4),D4/E$4,IF(D4&gt;=L$4,L$4/E$4,M$4/E$4))</f>
        <v>1.09170858528091</v>
      </c>
      <c r="Q4" s="64" t="s">
        <v>42</v>
      </c>
      <c r="R4" s="20">
        <v>0.82829113811418</v>
      </c>
    </row>
    <row r="5" spans="1:18">
      <c r="A5" s="59" t="s">
        <v>128</v>
      </c>
      <c r="B5" s="60">
        <v>0.638</v>
      </c>
      <c r="C5" s="61">
        <f t="shared" si="0"/>
        <v>63.8</v>
      </c>
      <c r="D5" s="44">
        <f t="shared" si="1"/>
        <v>4.15575319035074</v>
      </c>
      <c r="N5">
        <f>IF(AND(M$4&lt;=D5,D5&lt;=L$4),D5/E$4,IF(D5&gt;=L$4,L$4/E$4,M$4/E$4))</f>
        <v>1.02787702713438</v>
      </c>
      <c r="Q5" s="64" t="s">
        <v>39</v>
      </c>
      <c r="R5" s="20">
        <v>0.912836517125425</v>
      </c>
    </row>
    <row r="6" spans="1:18">
      <c r="A6" s="59" t="s">
        <v>42</v>
      </c>
      <c r="B6" s="60">
        <v>0.0642914229761558</v>
      </c>
      <c r="C6" s="61">
        <f t="shared" si="0"/>
        <v>6.42914229761558</v>
      </c>
      <c r="D6" s="44">
        <f t="shared" si="1"/>
        <v>1.86084113862367</v>
      </c>
      <c r="N6">
        <f>IF(AND(M$4&lt;=D6,D6&lt;=L$4),D6/E$4,IF(D6&gt;=L$4,L$4/E$4,M$4/E$4))</f>
        <v>0.82829113811418</v>
      </c>
      <c r="Q6" s="64" t="s">
        <v>35</v>
      </c>
      <c r="R6" s="20">
        <v>0.82829113811418</v>
      </c>
    </row>
    <row r="7" spans="1:18">
      <c r="A7" s="59" t="s">
        <v>39</v>
      </c>
      <c r="B7" s="60">
        <v>0.400704525540376</v>
      </c>
      <c r="C7" s="61">
        <f t="shared" si="0"/>
        <v>40.0704525540376</v>
      </c>
      <c r="D7" s="44">
        <f t="shared" si="1"/>
        <v>3.69063921867056</v>
      </c>
      <c r="N7">
        <f>IF(AND(M$4&lt;=D7,D7&lt;=L$4),D7/E$4,IF(D7&gt;=L$4,L$4/E$4,M$4/E$4))</f>
        <v>0.912836517125425</v>
      </c>
      <c r="Q7" s="64" t="s">
        <v>224</v>
      </c>
      <c r="R7" s="20">
        <v>0.937655794575804</v>
      </c>
    </row>
    <row r="8" spans="1:18">
      <c r="A8" s="59" t="s">
        <v>35</v>
      </c>
      <c r="B8" s="60">
        <v>0.0421503156872268</v>
      </c>
      <c r="C8" s="61">
        <f t="shared" si="0"/>
        <v>4.21503156872268</v>
      </c>
      <c r="D8" s="44">
        <f t="shared" si="1"/>
        <v>1.43865708103969</v>
      </c>
      <c r="N8">
        <f>IF(AND(M$4&lt;=D8,D8&lt;=L$4),D8/E$4,IF(D8&gt;=L$4,L$4/E$4,M$4/E$4))</f>
        <v>0.82829113811418</v>
      </c>
      <c r="Q8" s="64" t="s">
        <v>203</v>
      </c>
      <c r="R8" s="20">
        <v>0.998945194765426</v>
      </c>
    </row>
    <row r="9" spans="1:18">
      <c r="A9" s="59" t="s">
        <v>224</v>
      </c>
      <c r="B9" s="60">
        <v>0.443</v>
      </c>
      <c r="C9" s="61">
        <f t="shared" si="0"/>
        <v>44.3</v>
      </c>
      <c r="D9" s="44">
        <f t="shared" si="1"/>
        <v>3.79098467705109</v>
      </c>
      <c r="N9">
        <f>IF(AND(M$4&lt;=D9,D9&lt;=L$4),D9/E$4,IF(D9&gt;=L$4,L$4/E$4,M$4/E$4))</f>
        <v>0.937655794575804</v>
      </c>
      <c r="Q9" s="64" t="s">
        <v>100</v>
      </c>
      <c r="R9" s="20">
        <v>0.868152245062614</v>
      </c>
    </row>
    <row r="10" spans="1:18">
      <c r="A10" s="59" t="s">
        <v>203</v>
      </c>
      <c r="B10" s="60">
        <v>0.567570845757245</v>
      </c>
      <c r="C10" s="61">
        <f t="shared" si="0"/>
        <v>56.7570845757245</v>
      </c>
      <c r="D10" s="44">
        <f t="shared" si="1"/>
        <v>4.03878048690861</v>
      </c>
      <c r="N10">
        <f>IF(AND(M$4&lt;=D10,D10&lt;=L$4),D10/E$4,IF(D10&gt;=L$4,L$4/E$4,M$4/E$4))</f>
        <v>0.998945194765426</v>
      </c>
      <c r="Q10" s="64" t="s">
        <v>50</v>
      </c>
      <c r="R10" s="20">
        <v>0.82829113811418</v>
      </c>
    </row>
    <row r="11" spans="1:18">
      <c r="A11" s="59" t="s">
        <v>100</v>
      </c>
      <c r="B11" s="60">
        <v>0.334475550397655</v>
      </c>
      <c r="C11" s="61">
        <f t="shared" si="0"/>
        <v>33.4475550397655</v>
      </c>
      <c r="D11" s="44">
        <f t="shared" si="1"/>
        <v>3.50997869092122</v>
      </c>
      <c r="N11">
        <f>IF(AND(M$4&lt;=D11,D11&lt;=L$4),D11/E$4,IF(D11&gt;=L$4,L$4/E$4,M$4/E$4))</f>
        <v>0.868152245062614</v>
      </c>
      <c r="Q11" s="64" t="s">
        <v>114</v>
      </c>
      <c r="R11" s="20">
        <v>1.01023293906686</v>
      </c>
    </row>
    <row r="12" spans="1:18">
      <c r="A12" s="59" t="s">
        <v>50</v>
      </c>
      <c r="B12" s="60">
        <v>0.124</v>
      </c>
      <c r="C12" s="61">
        <f t="shared" si="0"/>
        <v>12.4</v>
      </c>
      <c r="D12" s="44">
        <f t="shared" si="1"/>
        <v>2.51769647261099</v>
      </c>
      <c r="N12">
        <f>IF(AND(M$4&lt;=D12,D12&lt;=L$4),D12/E$4,IF(D12&gt;=L$4,L$4/E$4,M$4/E$4))</f>
        <v>0.82829113811418</v>
      </c>
      <c r="Q12" s="64" t="s">
        <v>111</v>
      </c>
      <c r="R12" s="20">
        <v>1.03006816669463</v>
      </c>
    </row>
    <row r="13" spans="1:18">
      <c r="A13" s="59" t="s">
        <v>114</v>
      </c>
      <c r="B13" s="60">
        <v>0.594073137760924</v>
      </c>
      <c r="C13" s="61">
        <f t="shared" si="0"/>
        <v>59.4073137760924</v>
      </c>
      <c r="D13" s="44">
        <f t="shared" si="1"/>
        <v>4.08441734633267</v>
      </c>
      <c r="N13">
        <f>IF(AND(M$4&lt;=D13,D13&lt;=L$4),D13/E$4,IF(D13&gt;=L$4,L$4/E$4,M$4/E$4))</f>
        <v>1.01023293906686</v>
      </c>
      <c r="Q13" s="64" t="s">
        <v>68</v>
      </c>
      <c r="R13" s="20">
        <v>0.82829113811418</v>
      </c>
    </row>
    <row r="14" spans="1:18">
      <c r="A14" s="59" t="s">
        <v>111</v>
      </c>
      <c r="B14" s="60">
        <v>0.643677072055816</v>
      </c>
      <c r="C14" s="61">
        <f t="shared" si="0"/>
        <v>64.3677072055816</v>
      </c>
      <c r="D14" s="44">
        <f t="shared" si="1"/>
        <v>4.16461206643965</v>
      </c>
      <c r="N14">
        <f>IF(AND(M$4&lt;=D14,D14&lt;=L$4),D14/E$4,IF(D14&gt;=L$4,L$4/E$4,M$4/E$4))</f>
        <v>1.03006816669463</v>
      </c>
      <c r="Q14" s="64" t="s">
        <v>265</v>
      </c>
      <c r="R14" s="20">
        <v>1.03248594912967</v>
      </c>
    </row>
    <row r="15" spans="1:18">
      <c r="A15" s="59" t="s">
        <v>68</v>
      </c>
      <c r="B15" s="60">
        <v>0.00677152819548872</v>
      </c>
      <c r="C15" s="61">
        <f t="shared" si="0"/>
        <v>0.677152819548872</v>
      </c>
      <c r="D15" s="44">
        <f t="shared" si="1"/>
        <v>-0.389858301042609</v>
      </c>
      <c r="N15">
        <f>IF(AND(M$4&lt;=D15,D15&lt;=L$4),D15/E$4,IF(D15&gt;=L$4,L$4/E$4,M$4/E$4))</f>
        <v>0.82829113811418</v>
      </c>
      <c r="Q15" s="64" t="s">
        <v>127</v>
      </c>
      <c r="R15" s="20">
        <v>1.0730477802434</v>
      </c>
    </row>
    <row r="16" spans="1:18">
      <c r="A16" s="59" t="s">
        <v>265</v>
      </c>
      <c r="B16" s="60">
        <v>0.65</v>
      </c>
      <c r="C16" s="61">
        <f t="shared" si="0"/>
        <v>65</v>
      </c>
      <c r="D16" s="44">
        <f t="shared" si="1"/>
        <v>4.17438726989564</v>
      </c>
      <c r="N16">
        <f>IF(AND(M$4&lt;=D16,D16&lt;=L$4),D16/E$4,IF(D16&gt;=L$4,L$4/E$4,M$4/E$4))</f>
        <v>1.03248594912967</v>
      </c>
      <c r="Q16" s="64" t="s">
        <v>133</v>
      </c>
      <c r="R16" s="20">
        <v>0.873832607496235</v>
      </c>
    </row>
    <row r="17" spans="1:18">
      <c r="A17" s="59" t="s">
        <v>127</v>
      </c>
      <c r="B17" s="60">
        <v>0.765834183675608</v>
      </c>
      <c r="C17" s="61">
        <f t="shared" si="0"/>
        <v>76.5834183675608</v>
      </c>
      <c r="D17" s="44">
        <f t="shared" si="1"/>
        <v>4.33838058291607</v>
      </c>
      <c r="N17">
        <f>IF(AND(M$4&lt;=D17,D17&lt;=L$4),D17/E$4,IF(D17&gt;=L$4,L$4/E$4,M$4/E$4))</f>
        <v>1.0730477802434</v>
      </c>
      <c r="Q17" s="64" t="s">
        <v>70</v>
      </c>
      <c r="R17" s="20">
        <v>0.859951715370198</v>
      </c>
    </row>
    <row r="18" spans="1:18">
      <c r="A18" s="59" t="s">
        <v>133</v>
      </c>
      <c r="B18" s="60">
        <v>0.342245989304813</v>
      </c>
      <c r="C18" s="61">
        <f t="shared" si="0"/>
        <v>34.2245989304813</v>
      </c>
      <c r="D18" s="44">
        <f t="shared" si="1"/>
        <v>3.53294465249318</v>
      </c>
      <c r="N18">
        <f>IF(AND(M$4&lt;=D18,D18&lt;=L$4),D18/E$4,IF(D18&gt;=L$4,L$4/E$4,M$4/E$4))</f>
        <v>0.873832607496235</v>
      </c>
      <c r="Q18" s="64" t="s">
        <v>140</v>
      </c>
      <c r="R18" s="20">
        <v>0.863664244652633</v>
      </c>
    </row>
    <row r="19" spans="1:18">
      <c r="A19" s="59" t="s">
        <v>70</v>
      </c>
      <c r="B19" s="60">
        <v>0.323567799273642</v>
      </c>
      <c r="C19" s="61">
        <f t="shared" si="0"/>
        <v>32.3567799273642</v>
      </c>
      <c r="D19" s="44">
        <f t="shared" si="1"/>
        <v>3.47682357943202</v>
      </c>
      <c r="N19">
        <f>IF(AND(M$4&lt;=D19,D19&lt;=L$4),D19/E$4,IF(D19&gt;=L$4,L$4/E$4,M$4/E$4))</f>
        <v>0.859951715370198</v>
      </c>
      <c r="Q19" s="64" t="s">
        <v>46</v>
      </c>
      <c r="R19" s="20">
        <v>0.82829113811418</v>
      </c>
    </row>
    <row r="20" spans="1:18">
      <c r="A20" s="59" t="s">
        <v>140</v>
      </c>
      <c r="B20" s="60">
        <v>0.328461159756655</v>
      </c>
      <c r="C20" s="61">
        <f t="shared" si="0"/>
        <v>32.8461159756655</v>
      </c>
      <c r="D20" s="44">
        <f t="shared" si="1"/>
        <v>3.49183350280074</v>
      </c>
      <c r="N20">
        <f>IF(AND(M$4&lt;=D20,D20&lt;=L$4),D20/E$4,IF(D20&gt;=L$4,L$4/E$4,M$4/E$4))</f>
        <v>0.863664244652633</v>
      </c>
      <c r="Q20" s="64" t="s">
        <v>118</v>
      </c>
      <c r="R20" s="20">
        <v>0.82829113811418</v>
      </c>
    </row>
    <row r="21" spans="1:18">
      <c r="A21" s="59" t="s">
        <v>46</v>
      </c>
      <c r="B21" s="60">
        <v>0.156770381276943</v>
      </c>
      <c r="C21" s="61">
        <f t="shared" si="0"/>
        <v>15.6770381276943</v>
      </c>
      <c r="D21" s="44">
        <f t="shared" si="1"/>
        <v>2.75219710216191</v>
      </c>
      <c r="N21">
        <f>IF(AND(M$4&lt;=D21,D21&lt;=L$4),D21/E$4,IF(D21&gt;=L$4,L$4/E$4,M$4/E$4))</f>
        <v>0.82829113811418</v>
      </c>
      <c r="Q21" s="64" t="s">
        <v>242</v>
      </c>
      <c r="R21" s="20">
        <v>1.04617522431626</v>
      </c>
    </row>
    <row r="22" spans="1:18">
      <c r="A22" s="59" t="s">
        <v>118</v>
      </c>
      <c r="B22" s="60">
        <v>0.284194728104068</v>
      </c>
      <c r="C22" s="61">
        <f t="shared" si="0"/>
        <v>28.4194728104068</v>
      </c>
      <c r="D22" s="44">
        <f t="shared" si="1"/>
        <v>3.3470745725464</v>
      </c>
      <c r="N22">
        <f>IF(AND(M$4&lt;=D22,D22&lt;=L$4),D22/E$4,IF(D22&gt;=L$4,L$4/E$4,M$4/E$4))</f>
        <v>0.82829113811418</v>
      </c>
      <c r="Q22" s="64" t="s">
        <v>141</v>
      </c>
      <c r="R22" s="20">
        <v>1.09915672899029</v>
      </c>
    </row>
    <row r="23" spans="1:18">
      <c r="A23" s="59" t="s">
        <v>242</v>
      </c>
      <c r="B23" s="60">
        <v>0.686989301980582</v>
      </c>
      <c r="C23" s="61">
        <f t="shared" si="0"/>
        <v>68.6989301980582</v>
      </c>
      <c r="D23" s="44">
        <f t="shared" si="1"/>
        <v>4.22973362702639</v>
      </c>
      <c r="N23">
        <f>IF(AND(M$4&lt;=D23,D23&lt;=L$4),D23/E$4,IF(D23&gt;=L$4,L$4/E$4,M$4/E$4))</f>
        <v>1.04617522431626</v>
      </c>
      <c r="Q23" s="64" t="s">
        <v>121</v>
      </c>
      <c r="R23" s="20">
        <v>0.82829113811418</v>
      </c>
    </row>
    <row r="24" spans="1:18">
      <c r="A24" s="59" t="s">
        <v>141</v>
      </c>
      <c r="B24" s="60">
        <v>0.9122859347204</v>
      </c>
      <c r="C24" s="61">
        <f t="shared" si="0"/>
        <v>91.22859347204</v>
      </c>
      <c r="D24" s="44">
        <f t="shared" si="1"/>
        <v>4.51336837285434</v>
      </c>
      <c r="N24">
        <f>IF(AND(M$4&lt;=D24,D24&lt;=L$4),D24/E$4,IF(D24&gt;=L$4,L$4/E$4,M$4/E$4))</f>
        <v>1.09915672899029</v>
      </c>
      <c r="Q24" s="64" t="s">
        <v>52</v>
      </c>
      <c r="R24" s="20">
        <v>0.82829113811418</v>
      </c>
    </row>
    <row r="25" spans="1:18">
      <c r="A25" s="59" t="s">
        <v>121</v>
      </c>
      <c r="B25" s="60">
        <v>0.149168555374258</v>
      </c>
      <c r="C25" s="61">
        <f t="shared" si="0"/>
        <v>14.9168555374258</v>
      </c>
      <c r="D25" s="44">
        <f t="shared" si="1"/>
        <v>2.70249181769947</v>
      </c>
      <c r="N25">
        <f>IF(AND(M$4&lt;=D25,D25&lt;=L$4),D25/E$4,IF(D25&gt;=L$4,L$4/E$4,M$4/E$4))</f>
        <v>0.82829113811418</v>
      </c>
      <c r="Q25" s="64" t="s">
        <v>260</v>
      </c>
      <c r="R25" s="20">
        <v>1.03345714417998</v>
      </c>
    </row>
    <row r="26" spans="1:18">
      <c r="A26" s="59" t="s">
        <v>52</v>
      </c>
      <c r="B26" s="60">
        <v>0.270600006477179</v>
      </c>
      <c r="C26" s="61">
        <f t="shared" si="0"/>
        <v>27.0600006477179</v>
      </c>
      <c r="D26" s="44">
        <f t="shared" si="1"/>
        <v>3.298056646679</v>
      </c>
      <c r="N26">
        <f>IF(AND(M$4&lt;=D26,D26&lt;=L$4),D26/E$4,IF(D26&gt;=L$4,L$4/E$4,M$4/E$4))</f>
        <v>0.82829113811418</v>
      </c>
      <c r="Q26" s="64" t="s">
        <v>174</v>
      </c>
      <c r="R26" s="20">
        <v>0.82829113811418</v>
      </c>
    </row>
    <row r="27" spans="1:18">
      <c r="A27" s="59" t="s">
        <v>260</v>
      </c>
      <c r="B27" s="60">
        <v>0.652557297949337</v>
      </c>
      <c r="C27" s="61">
        <f t="shared" si="0"/>
        <v>65.2557297949337</v>
      </c>
      <c r="D27" s="44">
        <f t="shared" si="1"/>
        <v>4.17831385529665</v>
      </c>
      <c r="N27">
        <f>IF(AND(M$4&lt;=D27,D27&lt;=L$4),D27/E$4,IF(D27&gt;=L$4,L$4/E$4,M$4/E$4))</f>
        <v>1.03345714417998</v>
      </c>
      <c r="Q27" s="64" t="s">
        <v>72</v>
      </c>
      <c r="R27" s="20">
        <v>0.975960468108024</v>
      </c>
    </row>
    <row r="28" spans="1:18">
      <c r="A28" s="59" t="s">
        <v>174</v>
      </c>
      <c r="B28" s="60">
        <v>0.242633221374803</v>
      </c>
      <c r="C28" s="61">
        <f t="shared" si="0"/>
        <v>24.2633221374803</v>
      </c>
      <c r="D28" s="44">
        <f t="shared" si="1"/>
        <v>3.188965833031</v>
      </c>
      <c r="N28">
        <f>IF(AND(M$4&lt;=D28,D28&lt;=L$4),D28/E$4,IF(D28&gt;=L$4,L$4/E$4,M$4/E$4))</f>
        <v>0.82829113811418</v>
      </c>
      <c r="Q28" s="64" t="s">
        <v>155</v>
      </c>
      <c r="R28" s="20">
        <v>0.82829113811418</v>
      </c>
    </row>
    <row r="29" spans="1:18">
      <c r="A29" s="59" t="s">
        <v>72</v>
      </c>
      <c r="B29" s="60">
        <v>0.517203954650858</v>
      </c>
      <c r="C29" s="61">
        <f t="shared" si="0"/>
        <v>51.7203954650858</v>
      </c>
      <c r="D29" s="44">
        <f t="shared" si="1"/>
        <v>3.94585220014445</v>
      </c>
      <c r="N29">
        <f>IF(AND(M$4&lt;=D29,D29&lt;=L$4),D29/E$4,IF(D29&gt;=L$4,L$4/E$4,M$4/E$4))</f>
        <v>0.975960468108024</v>
      </c>
      <c r="Q29" s="64" t="s">
        <v>44</v>
      </c>
      <c r="R29" s="20">
        <v>0.82829113811418</v>
      </c>
    </row>
    <row r="30" spans="1:18">
      <c r="A30" s="59" t="s">
        <v>155</v>
      </c>
      <c r="B30" s="60">
        <v>0.0945</v>
      </c>
      <c r="C30" s="61">
        <f t="shared" si="0"/>
        <v>9.45</v>
      </c>
      <c r="D30" s="44">
        <f t="shared" si="1"/>
        <v>2.24601474150565</v>
      </c>
      <c r="N30">
        <f>IF(AND(M$4&lt;=D30,D30&lt;=L$4),D30/E$4,IF(D30&gt;=L$4,L$4/E$4,M$4/E$4))</f>
        <v>0.82829113811418</v>
      </c>
      <c r="Q30" s="64" t="s">
        <v>71</v>
      </c>
      <c r="R30" s="20">
        <v>1.04689808317937</v>
      </c>
    </row>
    <row r="31" spans="1:18">
      <c r="A31" s="59" t="s">
        <v>44</v>
      </c>
      <c r="B31" s="60">
        <v>0.143892796856518</v>
      </c>
      <c r="C31" s="61">
        <f t="shared" si="0"/>
        <v>14.3892796856518</v>
      </c>
      <c r="D31" s="44">
        <f t="shared" si="1"/>
        <v>2.66648346305515</v>
      </c>
      <c r="N31">
        <f>IF(AND(M$4&lt;=D31,D31&lt;=L$4),D31/E$4,IF(D31&gt;=L$4,L$4/E$4,M$4/E$4))</f>
        <v>0.82829113811418</v>
      </c>
      <c r="Q31" s="64" t="s">
        <v>126</v>
      </c>
      <c r="R31" s="20">
        <v>1.01655578916146</v>
      </c>
    </row>
    <row r="32" spans="1:18">
      <c r="A32" s="59" t="s">
        <v>71</v>
      </c>
      <c r="B32" s="60">
        <v>0.689</v>
      </c>
      <c r="C32" s="61">
        <f t="shared" si="0"/>
        <v>68.9</v>
      </c>
      <c r="D32" s="44">
        <f t="shared" si="1"/>
        <v>4.23265617801961</v>
      </c>
      <c r="N32">
        <f>IF(AND(M$4&lt;=D32,D32&lt;=L$4),D32/E$4,IF(D32&gt;=L$4,L$4/E$4,M$4/E$4))</f>
        <v>1.04689808317937</v>
      </c>
      <c r="Q32" s="64" t="s">
        <v>58</v>
      </c>
      <c r="R32" s="20">
        <v>0.82829113811418</v>
      </c>
    </row>
    <row r="33" spans="1:18">
      <c r="A33" s="59" t="s">
        <v>126</v>
      </c>
      <c r="B33" s="60">
        <v>0.609455543822598</v>
      </c>
      <c r="C33" s="61">
        <f t="shared" si="0"/>
        <v>60.9455543822598</v>
      </c>
      <c r="D33" s="44">
        <f t="shared" si="1"/>
        <v>4.1099809145019</v>
      </c>
      <c r="N33">
        <f>IF(AND(M$4&lt;=D33,D33&lt;=L$4),D33/E$4,IF(D33&gt;=L$4,L$4/E$4,M$4/E$4))</f>
        <v>1.01655578916146</v>
      </c>
      <c r="Q33" s="64" t="s">
        <v>327</v>
      </c>
      <c r="R33" s="20">
        <v>1.07303673983557</v>
      </c>
    </row>
    <row r="34" spans="1:18">
      <c r="A34" s="59" t="s">
        <v>58</v>
      </c>
      <c r="B34" s="60">
        <v>0.228204212462389</v>
      </c>
      <c r="C34" s="61">
        <f t="shared" si="0"/>
        <v>22.8204212462389</v>
      </c>
      <c r="D34" s="44">
        <f t="shared" si="1"/>
        <v>3.12765580378323</v>
      </c>
      <c r="N34">
        <f>IF(AND(M$4&lt;=D34,D34&lt;=L$4),D34/E$4,IF(D34&gt;=L$4,L$4/E$4,M$4/E$4))</f>
        <v>0.82829113811418</v>
      </c>
      <c r="Q34" s="64" t="s">
        <v>214</v>
      </c>
      <c r="R34" s="20">
        <v>1.07303673983557</v>
      </c>
    </row>
    <row r="35" spans="1:18">
      <c r="A35" s="59" t="s">
        <v>327</v>
      </c>
      <c r="B35" s="60">
        <v>0.7658</v>
      </c>
      <c r="C35" s="61">
        <f t="shared" si="0"/>
        <v>76.58</v>
      </c>
      <c r="D35" s="44">
        <f t="shared" si="1"/>
        <v>4.33833594604915</v>
      </c>
      <c r="N35">
        <f>IF(AND(M$4&lt;=D35,D35&lt;=L$4),D35/E$4,IF(D35&gt;=L$4,L$4/E$4,M$4/E$4))</f>
        <v>1.07303673983557</v>
      </c>
      <c r="Q35" s="64" t="s">
        <v>210</v>
      </c>
      <c r="R35" s="20">
        <v>1.07303673983557</v>
      </c>
    </row>
    <row r="36" spans="1:18">
      <c r="A36" s="59" t="s">
        <v>214</v>
      </c>
      <c r="B36" s="60">
        <v>0.7658</v>
      </c>
      <c r="C36" s="61">
        <f t="shared" si="0"/>
        <v>76.58</v>
      </c>
      <c r="D36" s="44">
        <f t="shared" si="1"/>
        <v>4.33833594604915</v>
      </c>
      <c r="N36">
        <f>IF(AND(M$4&lt;=D36,D36&lt;=L$4),D36/E$4,IF(D36&gt;=L$4,L$4/E$4,M$4/E$4))</f>
        <v>1.07303673983557</v>
      </c>
      <c r="Q36" s="64" t="s">
        <v>305</v>
      </c>
      <c r="R36" s="20">
        <v>1.00216169632162</v>
      </c>
    </row>
    <row r="37" spans="1:18">
      <c r="A37" s="59" t="s">
        <v>210</v>
      </c>
      <c r="B37" s="60">
        <v>0.7658</v>
      </c>
      <c r="C37" s="61">
        <f t="shared" si="0"/>
        <v>76.58</v>
      </c>
      <c r="D37" s="44">
        <f t="shared" si="1"/>
        <v>4.33833594604915</v>
      </c>
      <c r="N37">
        <f>IF(AND(M$4&lt;=D37,D37&lt;=L$4),D37/E$4,IF(D37&gt;=L$4,L$4/E$4,M$4/E$4))</f>
        <v>1.07303673983557</v>
      </c>
      <c r="Q37" s="64" t="s">
        <v>124</v>
      </c>
      <c r="R37" s="20">
        <v>1.08384312151418</v>
      </c>
    </row>
    <row r="38" spans="1:18">
      <c r="A38" s="59" t="s">
        <v>305</v>
      </c>
      <c r="B38" s="60">
        <v>0.575</v>
      </c>
      <c r="C38" s="61">
        <f t="shared" si="0"/>
        <v>57.5</v>
      </c>
      <c r="D38" s="44">
        <f t="shared" si="1"/>
        <v>4.0517849478033</v>
      </c>
      <c r="N38">
        <f>IF(AND(M$4&lt;=D38,D38&lt;=L$4),D38/E$4,IF(D38&gt;=L$4,L$4/E$4,M$4/E$4))</f>
        <v>1.00216169632162</v>
      </c>
      <c r="Q38" s="64" t="s">
        <v>306</v>
      </c>
      <c r="R38" s="20">
        <v>1.08384312151418</v>
      </c>
    </row>
    <row r="39" spans="1:18">
      <c r="A39" s="59" t="s">
        <v>124</v>
      </c>
      <c r="B39" s="60">
        <v>0.8</v>
      </c>
      <c r="C39" s="61">
        <f t="shared" si="0"/>
        <v>80</v>
      </c>
      <c r="D39" s="44">
        <f t="shared" si="1"/>
        <v>4.38202663467388</v>
      </c>
      <c r="N39">
        <f>IF(AND(M$4&lt;=D39,D39&lt;=L$4),D39/E$4,IF(D39&gt;=L$4,L$4/E$4,M$4/E$4))</f>
        <v>1.08384312151418</v>
      </c>
      <c r="Q39" s="64" t="s">
        <v>186</v>
      </c>
      <c r="R39" s="20">
        <v>1.08384312151418</v>
      </c>
    </row>
    <row r="40" spans="1:18">
      <c r="A40" s="59" t="s">
        <v>306</v>
      </c>
      <c r="B40" s="60">
        <v>0.8</v>
      </c>
      <c r="C40" s="61">
        <f t="shared" si="0"/>
        <v>80</v>
      </c>
      <c r="D40" s="44">
        <f t="shared" si="1"/>
        <v>4.38202663467388</v>
      </c>
      <c r="N40">
        <f>IF(AND(M$4&lt;=D40,D40&lt;=L$4),D40/E$4,IF(D40&gt;=L$4,L$4/E$4,M$4/E$4))</f>
        <v>1.08384312151418</v>
      </c>
      <c r="Q40" s="64" t="s">
        <v>195</v>
      </c>
      <c r="R40" s="20">
        <v>0.964555968878363</v>
      </c>
    </row>
    <row r="41" spans="1:18">
      <c r="A41" s="59" t="s">
        <v>186</v>
      </c>
      <c r="B41" s="60">
        <v>0.8</v>
      </c>
      <c r="C41" s="61">
        <f t="shared" si="0"/>
        <v>80</v>
      </c>
      <c r="D41" s="44">
        <f t="shared" si="1"/>
        <v>4.38202663467388</v>
      </c>
      <c r="N41">
        <f>IF(AND(M$4&lt;=D41,D41&lt;=L$4),D41/E$4,IF(D41&gt;=L$4,L$4/E$4,M$4/E$4))</f>
        <v>1.08384312151418</v>
      </c>
      <c r="Q41" s="64" t="s">
        <v>324</v>
      </c>
      <c r="R41" s="20">
        <v>1.04768658451632</v>
      </c>
    </row>
    <row r="42" spans="1:18">
      <c r="A42" s="59" t="s">
        <v>195</v>
      </c>
      <c r="B42" s="60">
        <v>0.493897688911971</v>
      </c>
      <c r="C42" s="61">
        <f t="shared" si="0"/>
        <v>49.3897688911971</v>
      </c>
      <c r="D42" s="44">
        <f t="shared" si="1"/>
        <v>3.89974329527852</v>
      </c>
      <c r="N42">
        <f>IF(AND(M$4&lt;=D42,D42&lt;=L$4),D42/E$4,IF(D42&gt;=L$4,L$4/E$4,M$4/E$4))</f>
        <v>0.964555968878363</v>
      </c>
      <c r="Q42" s="64" t="s">
        <v>223</v>
      </c>
      <c r="R42" s="20">
        <v>1.08384312151418</v>
      </c>
    </row>
    <row r="43" spans="1:18">
      <c r="A43" s="59" t="s">
        <v>324</v>
      </c>
      <c r="B43" s="60">
        <v>0.6912</v>
      </c>
      <c r="C43" s="61">
        <f t="shared" si="0"/>
        <v>69.12</v>
      </c>
      <c r="D43" s="44">
        <f t="shared" si="1"/>
        <v>4.2358441244958</v>
      </c>
      <c r="N43">
        <f>IF(AND(M$4&lt;=D43,D43&lt;=L$4),D43/E$4,IF(D43&gt;=L$4,L$4/E$4,M$4/E$4))</f>
        <v>1.04768658451632</v>
      </c>
      <c r="Q43" s="64" t="s">
        <v>57</v>
      </c>
      <c r="R43" s="20">
        <v>1.08384312151418</v>
      </c>
    </row>
    <row r="44" spans="1:18">
      <c r="A44" s="59" t="s">
        <v>223</v>
      </c>
      <c r="B44" s="60">
        <v>0.8</v>
      </c>
      <c r="C44" s="61">
        <f t="shared" si="0"/>
        <v>80</v>
      </c>
      <c r="D44" s="44">
        <f t="shared" si="1"/>
        <v>4.38202663467388</v>
      </c>
      <c r="N44">
        <f>IF(AND(M$4&lt;=D44,D44&lt;=L$4),D44/E$4,IF(D44&gt;=L$4,L$4/E$4,M$4/E$4))</f>
        <v>1.08384312151418</v>
      </c>
      <c r="Q44" s="64" t="s">
        <v>134</v>
      </c>
      <c r="R44" s="20">
        <v>1.08384312151418</v>
      </c>
    </row>
    <row r="45" spans="1:18">
      <c r="A45" s="59" t="s">
        <v>57</v>
      </c>
      <c r="B45" s="60">
        <v>0.8</v>
      </c>
      <c r="C45" s="61">
        <f t="shared" si="0"/>
        <v>80</v>
      </c>
      <c r="D45" s="44">
        <f t="shared" si="1"/>
        <v>4.38202663467388</v>
      </c>
      <c r="N45">
        <f>IF(AND(M$4&lt;=D45,D45&lt;=L$4),D45/E$4,IF(D45&gt;=L$4,L$4/E$4,M$4/E$4))</f>
        <v>1.08384312151418</v>
      </c>
      <c r="Q45" s="64" t="s">
        <v>322</v>
      </c>
      <c r="R45" s="20">
        <v>1.06788027189246</v>
      </c>
    </row>
    <row r="46" spans="1:18">
      <c r="A46" s="59" t="s">
        <v>134</v>
      </c>
      <c r="B46" s="60">
        <v>0.8</v>
      </c>
      <c r="C46" s="61">
        <f t="shared" si="0"/>
        <v>80</v>
      </c>
      <c r="D46" s="44">
        <f t="shared" si="1"/>
        <v>4.38202663467388</v>
      </c>
      <c r="N46">
        <f>IF(AND(M$4&lt;=D46,D46&lt;=L$4),D46/E$4,IF(D46&gt;=L$4,L$4/E$4,M$4/E$4))</f>
        <v>1.08384312151418</v>
      </c>
      <c r="Q46" s="64" t="s">
        <v>161</v>
      </c>
      <c r="R46" s="20">
        <v>1.09796341090048</v>
      </c>
    </row>
    <row r="47" spans="1:18">
      <c r="A47" s="59" t="s">
        <v>322</v>
      </c>
      <c r="B47" s="60">
        <v>0.75</v>
      </c>
      <c r="C47" s="61">
        <f t="shared" si="0"/>
        <v>75</v>
      </c>
      <c r="D47" s="44">
        <f t="shared" si="1"/>
        <v>4.31748811353631</v>
      </c>
      <c r="N47">
        <f>IF(AND(M$4&lt;=D47,D47&lt;=L$4),D47/E$4,IF(D47&gt;=L$4,L$4/E$4,M$4/E$4))</f>
        <v>1.06788027189246</v>
      </c>
      <c r="Q47" s="64" t="s">
        <v>139</v>
      </c>
      <c r="R47" s="20">
        <v>1.09915672899029</v>
      </c>
    </row>
    <row r="48" spans="1:18">
      <c r="A48" s="59" t="s">
        <v>161</v>
      </c>
      <c r="B48" s="60">
        <v>0.847</v>
      </c>
      <c r="C48" s="61">
        <f t="shared" si="0"/>
        <v>84.7</v>
      </c>
      <c r="D48" s="44">
        <f t="shared" si="1"/>
        <v>4.43911560165801</v>
      </c>
      <c r="N48">
        <f>IF(AND(M$4&lt;=D48,D48&lt;=L$4),D48/E$4,IF(D48&gt;=L$4,L$4/E$4,M$4/E$4))</f>
        <v>1.09796341090048</v>
      </c>
      <c r="Q48" s="64" t="s">
        <v>194</v>
      </c>
      <c r="R48" s="20">
        <v>1.080731906611</v>
      </c>
    </row>
    <row r="49" spans="1:18">
      <c r="A49" s="59" t="s">
        <v>139</v>
      </c>
      <c r="B49" s="60">
        <v>0.9</v>
      </c>
      <c r="C49" s="61">
        <f t="shared" si="0"/>
        <v>90</v>
      </c>
      <c r="D49" s="44">
        <f t="shared" si="1"/>
        <v>4.49980967033027</v>
      </c>
      <c r="N49">
        <f>IF(AND(M$4&lt;=D49,D49&lt;=L$4),D49/E$4,IF(D49&gt;=L$4,L$4/E$4,M$4/E$4))</f>
        <v>1.09915672899029</v>
      </c>
      <c r="Q49" s="64" t="s">
        <v>123</v>
      </c>
      <c r="R49" s="20">
        <v>0.82829113811418</v>
      </c>
    </row>
    <row r="50" spans="1:18">
      <c r="A50" s="59" t="s">
        <v>194</v>
      </c>
      <c r="B50" s="60">
        <v>0.79</v>
      </c>
      <c r="C50" s="61">
        <f t="shared" si="0"/>
        <v>79</v>
      </c>
      <c r="D50" s="44">
        <f t="shared" si="1"/>
        <v>4.36944785246702</v>
      </c>
      <c r="N50">
        <f>IF(AND(M$4&lt;=D50,D50&lt;=L$4),D50/E$4,IF(D50&gt;=L$4,L$4/E$4,M$4/E$4))</f>
        <v>1.080731906611</v>
      </c>
      <c r="Q50" s="64" t="s">
        <v>330</v>
      </c>
      <c r="R50" s="20">
        <v>0.985250693749673</v>
      </c>
    </row>
    <row r="51" spans="1:18">
      <c r="A51" s="59" t="s">
        <v>123</v>
      </c>
      <c r="B51" s="60">
        <v>0.171684482942267</v>
      </c>
      <c r="C51" s="61">
        <f t="shared" si="0"/>
        <v>17.1684482942267</v>
      </c>
      <c r="D51" s="44">
        <f t="shared" si="1"/>
        <v>2.84307329774609</v>
      </c>
      <c r="N51">
        <f>IF(AND(M$4&lt;=D51,D51&lt;=L$4),D51/E$4,IF(D51&gt;=L$4,L$4/E$4,M$4/E$4))</f>
        <v>0.82829113811418</v>
      </c>
      <c r="Q51" s="64" t="s">
        <v>74</v>
      </c>
      <c r="R51" s="20">
        <v>0.985250693749673</v>
      </c>
    </row>
    <row r="52" spans="1:18">
      <c r="A52" s="59" t="s">
        <v>330</v>
      </c>
      <c r="B52" s="60">
        <v>0.537</v>
      </c>
      <c r="C52" s="61">
        <f t="shared" si="0"/>
        <v>53.7</v>
      </c>
      <c r="D52" s="44">
        <f t="shared" si="1"/>
        <v>3.98341300151482</v>
      </c>
      <c r="N52">
        <f>IF(AND(M$4&lt;=D52,D52&lt;=L$4),D52/E$4,IF(D52&gt;=L$4,L$4/E$4,M$4/E$4))</f>
        <v>0.985250693749673</v>
      </c>
      <c r="Q52" s="64" t="s">
        <v>280</v>
      </c>
      <c r="R52" s="20">
        <v>0.985250693749673</v>
      </c>
    </row>
    <row r="53" spans="1:18">
      <c r="A53" s="59" t="s">
        <v>74</v>
      </c>
      <c r="B53" s="60">
        <v>0.537</v>
      </c>
      <c r="C53" s="61">
        <f t="shared" si="0"/>
        <v>53.7</v>
      </c>
      <c r="D53" s="44">
        <f t="shared" si="1"/>
        <v>3.98341300151482</v>
      </c>
      <c r="N53">
        <f>IF(AND(M$4&lt;=D53,D53&lt;=L$4),D53/E$4,IF(D53&gt;=L$4,L$4/E$4,M$4/E$4))</f>
        <v>0.985250693749673</v>
      </c>
      <c r="Q53" s="64" t="s">
        <v>156</v>
      </c>
      <c r="R53" s="20">
        <v>1.0247559974131</v>
      </c>
    </row>
    <row r="54" spans="1:18">
      <c r="A54" s="59" t="s">
        <v>280</v>
      </c>
      <c r="B54" s="60">
        <v>0.537</v>
      </c>
      <c r="C54" s="61">
        <f t="shared" si="0"/>
        <v>53.7</v>
      </c>
      <c r="D54" s="44">
        <f t="shared" si="1"/>
        <v>3.98341300151482</v>
      </c>
      <c r="N54">
        <f>IF(AND(M$4&lt;=D54,D54&lt;=L$4),D54/E$4,IF(D54&gt;=L$4,L$4/E$4,M$4/E$4))</f>
        <v>0.985250693749673</v>
      </c>
      <c r="Q54" s="64" t="s">
        <v>227</v>
      </c>
      <c r="R54" s="20">
        <v>1.08427558528484</v>
      </c>
    </row>
    <row r="55" spans="1:18">
      <c r="A55" s="59" t="s">
        <v>156</v>
      </c>
      <c r="B55" s="60">
        <v>0.63</v>
      </c>
      <c r="C55" s="61">
        <f t="shared" si="0"/>
        <v>63</v>
      </c>
      <c r="D55" s="44">
        <f t="shared" si="1"/>
        <v>4.14313472639153</v>
      </c>
      <c r="N55">
        <f>IF(AND(M$4&lt;=D55,D55&lt;=L$4),D55/E$4,IF(D55&gt;=L$4,L$4/E$4,M$4/E$4))</f>
        <v>1.0247559974131</v>
      </c>
      <c r="Q55" s="64" t="s">
        <v>311</v>
      </c>
      <c r="R55" s="20">
        <v>1.07815118049664</v>
      </c>
    </row>
    <row r="56" spans="1:18">
      <c r="A56" s="59" t="s">
        <v>227</v>
      </c>
      <c r="B56" s="60">
        <v>0.8014</v>
      </c>
      <c r="C56" s="61">
        <f t="shared" si="0"/>
        <v>80.14</v>
      </c>
      <c r="D56" s="44">
        <f t="shared" si="1"/>
        <v>4.383775105208</v>
      </c>
      <c r="N56">
        <f>IF(AND(M$4&lt;=D56,D56&lt;=L$4),D56/E$4,IF(D56&gt;=L$4,L$4/E$4,M$4/E$4))</f>
        <v>1.08427558528484</v>
      </c>
      <c r="Q56" s="64" t="s">
        <v>259</v>
      </c>
      <c r="R56" s="20">
        <v>1.05081569072288</v>
      </c>
    </row>
    <row r="57" spans="1:18">
      <c r="A57" s="59" t="s">
        <v>311</v>
      </c>
      <c r="B57" s="60">
        <v>0.7818</v>
      </c>
      <c r="C57" s="61">
        <f t="shared" si="0"/>
        <v>78.18</v>
      </c>
      <c r="D57" s="44">
        <f t="shared" si="1"/>
        <v>4.35901386036481</v>
      </c>
      <c r="N57">
        <f>IF(AND(M$4&lt;=D57,D57&lt;=L$4),D57/E$4,IF(D57&gt;=L$4,L$4/E$4,M$4/E$4))</f>
        <v>1.07815118049664</v>
      </c>
      <c r="Q57" s="64" t="s">
        <v>301</v>
      </c>
      <c r="R57" s="20">
        <v>1.0247559974131</v>
      </c>
    </row>
    <row r="58" spans="1:18">
      <c r="A58" s="59" t="s">
        <v>259</v>
      </c>
      <c r="B58" s="60">
        <v>0.7</v>
      </c>
      <c r="C58" s="61">
        <f t="shared" si="0"/>
        <v>70</v>
      </c>
      <c r="D58" s="44">
        <f t="shared" si="1"/>
        <v>4.24849524204936</v>
      </c>
      <c r="N58">
        <f>IF(AND(M$4&lt;=D58,D58&lt;=L$4),D58/E$4,IF(D58&gt;=L$4,L$4/E$4,M$4/E$4))</f>
        <v>1.05081569072288</v>
      </c>
      <c r="Q58" s="64" t="s">
        <v>86</v>
      </c>
      <c r="R58" s="20">
        <v>1.01268832000234</v>
      </c>
    </row>
    <row r="59" spans="1:18">
      <c r="A59" s="59" t="s">
        <v>301</v>
      </c>
      <c r="B59" s="60">
        <v>0.63</v>
      </c>
      <c r="C59" s="61">
        <f t="shared" si="0"/>
        <v>63</v>
      </c>
      <c r="D59" s="44">
        <f t="shared" si="1"/>
        <v>4.14313472639153</v>
      </c>
      <c r="N59">
        <f>IF(AND(M$4&lt;=D59,D59&lt;=L$4),D59/E$4,IF(D59&gt;=L$4,L$4/E$4,M$4/E$4))</f>
        <v>1.0247559974131</v>
      </c>
      <c r="Q59" s="64" t="s">
        <v>298</v>
      </c>
      <c r="R59" s="20">
        <v>1.07471056101059</v>
      </c>
    </row>
    <row r="60" spans="1:18">
      <c r="A60" s="59" t="s">
        <v>86</v>
      </c>
      <c r="B60" s="60">
        <v>0.6</v>
      </c>
      <c r="C60" s="61">
        <f t="shared" si="0"/>
        <v>60</v>
      </c>
      <c r="D60" s="44">
        <f t="shared" si="1"/>
        <v>4.0943445622221</v>
      </c>
      <c r="N60">
        <f>IF(AND(M$4&lt;=D60,D60&lt;=L$4),D60/E$4,IF(D60&gt;=L$4,L$4/E$4,M$4/E$4))</f>
        <v>1.01268832000234</v>
      </c>
      <c r="Q60" s="64" t="s">
        <v>309</v>
      </c>
      <c r="R60" s="20">
        <v>1.01268832000234</v>
      </c>
    </row>
    <row r="61" spans="1:18">
      <c r="A61" s="59" t="s">
        <v>298</v>
      </c>
      <c r="B61" s="60">
        <v>0.771</v>
      </c>
      <c r="C61" s="61">
        <f t="shared" si="0"/>
        <v>77.1</v>
      </c>
      <c r="D61" s="44">
        <f t="shared" si="1"/>
        <v>4.34510328056928</v>
      </c>
      <c r="N61">
        <f>IF(AND(M$4&lt;=D61,D61&lt;=L$4),D61/E$4,IF(D61&gt;=L$4,L$4/E$4,M$4/E$4))</f>
        <v>1.07471056101059</v>
      </c>
      <c r="Q61" s="64" t="s">
        <v>138</v>
      </c>
      <c r="R61" s="20">
        <v>0.955426579267775</v>
      </c>
    </row>
    <row r="62" spans="1:18">
      <c r="A62" s="59" t="s">
        <v>309</v>
      </c>
      <c r="B62" s="60">
        <v>0.6</v>
      </c>
      <c r="C62" s="61">
        <f t="shared" si="0"/>
        <v>60</v>
      </c>
      <c r="D62" s="44">
        <f t="shared" si="1"/>
        <v>4.0943445622221</v>
      </c>
      <c r="N62">
        <f>IF(AND(M$4&lt;=D62,D62&lt;=L$4),D62/E$4,IF(D62&gt;=L$4,L$4/E$4,M$4/E$4))</f>
        <v>1.01268832000234</v>
      </c>
      <c r="Q62" s="64" t="s">
        <v>110</v>
      </c>
      <c r="R62" s="20">
        <v>0.995623738832763</v>
      </c>
    </row>
    <row r="63" spans="1:18">
      <c r="A63" s="59" t="s">
        <v>138</v>
      </c>
      <c r="B63" s="60">
        <v>0.476</v>
      </c>
      <c r="C63" s="61">
        <f t="shared" si="0"/>
        <v>47.6</v>
      </c>
      <c r="D63" s="44">
        <f t="shared" si="1"/>
        <v>3.86283276123737</v>
      </c>
      <c r="N63">
        <f>IF(AND(M$4&lt;=D63,D63&lt;=L$4),D63/E$4,IF(D63&gt;=L$4,L$4/E$4,M$4/E$4))</f>
        <v>0.955426579267775</v>
      </c>
      <c r="Q63" s="64" t="s">
        <v>198</v>
      </c>
      <c r="R63" s="20">
        <v>0.972975662695192</v>
      </c>
    </row>
    <row r="64" spans="1:18">
      <c r="A64" s="59" t="s">
        <v>110</v>
      </c>
      <c r="B64" s="60">
        <v>0.56</v>
      </c>
      <c r="C64" s="61">
        <f t="shared" si="0"/>
        <v>56</v>
      </c>
      <c r="D64" s="44">
        <f t="shared" si="1"/>
        <v>4.02535169073515</v>
      </c>
      <c r="N64">
        <f>IF(AND(M$4&lt;=D64,D64&lt;=L$4),D64/E$4,IF(D64&gt;=L$4,L$4/E$4,M$4/E$4))</f>
        <v>0.995623738832763</v>
      </c>
      <c r="Q64" s="64" t="s">
        <v>289</v>
      </c>
      <c r="R64" s="20">
        <v>1.00936829265659</v>
      </c>
    </row>
    <row r="65" spans="1:18">
      <c r="A65" s="59" t="s">
        <v>198</v>
      </c>
      <c r="B65" s="60">
        <v>0.511</v>
      </c>
      <c r="C65" s="61">
        <f t="shared" si="0"/>
        <v>51.1</v>
      </c>
      <c r="D65" s="44">
        <f t="shared" si="1"/>
        <v>3.93378449720966</v>
      </c>
      <c r="N65">
        <f>IF(AND(M$4&lt;=D65,D65&lt;=L$4),D65/E$4,IF(D65&gt;=L$4,L$4/E$4,M$4/E$4))</f>
        <v>0.972975662695192</v>
      </c>
      <c r="Q65" s="64" t="s">
        <v>120</v>
      </c>
      <c r="R65" s="20">
        <v>0.995623738832763</v>
      </c>
    </row>
    <row r="66" spans="1:18">
      <c r="A66" s="59" t="s">
        <v>289</v>
      </c>
      <c r="B66" s="60">
        <v>0.592</v>
      </c>
      <c r="C66" s="61">
        <f t="shared" si="0"/>
        <v>59.2</v>
      </c>
      <c r="D66" s="44">
        <f t="shared" si="1"/>
        <v>4.08092154188996</v>
      </c>
      <c r="N66">
        <f>IF(AND(M$4&lt;=D66,D66&lt;=L$4),D66/E$4,IF(D66&gt;=L$4,L$4/E$4,M$4/E$4))</f>
        <v>1.00936829265659</v>
      </c>
      <c r="Q66" s="64" t="s">
        <v>285</v>
      </c>
      <c r="R66" s="20">
        <v>0.995623738832763</v>
      </c>
    </row>
    <row r="67" spans="1:18">
      <c r="A67" s="59" t="s">
        <v>120</v>
      </c>
      <c r="B67" s="60">
        <v>0.56</v>
      </c>
      <c r="C67" s="61">
        <f t="shared" si="0"/>
        <v>56</v>
      </c>
      <c r="D67" s="44">
        <f t="shared" si="1"/>
        <v>4.02535169073515</v>
      </c>
      <c r="N67">
        <f>IF(AND(M$4&lt;=D67,D67&lt;=L$4),D67/E$4,IF(D67&gt;=L$4,L$4/E$4,M$4/E$4))</f>
        <v>0.995623738832763</v>
      </c>
      <c r="Q67" s="64" t="s">
        <v>60</v>
      </c>
      <c r="R67" s="20">
        <v>0.995623738832763</v>
      </c>
    </row>
    <row r="68" spans="1:18">
      <c r="A68" s="59" t="s">
        <v>285</v>
      </c>
      <c r="B68" s="60">
        <v>0.56</v>
      </c>
      <c r="C68" s="61">
        <f t="shared" ref="C68:C131" si="2">B68*100</f>
        <v>56</v>
      </c>
      <c r="D68" s="44">
        <f t="shared" ref="D68:D131" si="3">LN(C68)</f>
        <v>4.02535169073515</v>
      </c>
      <c r="N68">
        <f>IF(AND(M$4&lt;=D68,D68&lt;=L$4),D68/E$4,IF(D68&gt;=L$4,L$4/E$4,M$4/E$4))</f>
        <v>0.995623738832763</v>
      </c>
      <c r="Q68" s="64" t="s">
        <v>255</v>
      </c>
      <c r="R68" s="20">
        <v>0.995623738832763</v>
      </c>
    </row>
    <row r="69" spans="1:18">
      <c r="A69" s="59" t="s">
        <v>60</v>
      </c>
      <c r="B69" s="60">
        <v>0.56</v>
      </c>
      <c r="C69" s="61">
        <f t="shared" si="2"/>
        <v>56</v>
      </c>
      <c r="D69" s="44">
        <f t="shared" si="3"/>
        <v>4.02535169073515</v>
      </c>
      <c r="N69">
        <f>IF(AND(M$4&lt;=D69,D69&lt;=L$4),D69/E$4,IF(D69&gt;=L$4,L$4/E$4,M$4/E$4))</f>
        <v>0.995623738832763</v>
      </c>
      <c r="Q69" s="64" t="s">
        <v>277</v>
      </c>
      <c r="R69" s="20">
        <v>0.995623738832763</v>
      </c>
    </row>
    <row r="70" spans="1:18">
      <c r="A70" s="59" t="s">
        <v>255</v>
      </c>
      <c r="B70" s="60">
        <v>0.56</v>
      </c>
      <c r="C70" s="61">
        <f t="shared" si="2"/>
        <v>56</v>
      </c>
      <c r="D70" s="44">
        <f t="shared" si="3"/>
        <v>4.02535169073515</v>
      </c>
      <c r="N70">
        <f>IF(AND(M$4&lt;=D70,D70&lt;=L$4),D70/E$4,IF(D70&gt;=L$4,L$4/E$4,M$4/E$4))</f>
        <v>0.995623738832763</v>
      </c>
      <c r="Q70" s="64" t="s">
        <v>135</v>
      </c>
      <c r="R70" s="20">
        <v>0.886341566600381</v>
      </c>
    </row>
    <row r="71" spans="1:18">
      <c r="A71" s="59" t="s">
        <v>277</v>
      </c>
      <c r="B71" s="60">
        <v>0.56</v>
      </c>
      <c r="C71" s="61">
        <f t="shared" si="2"/>
        <v>56</v>
      </c>
      <c r="D71" s="44">
        <f t="shared" si="3"/>
        <v>4.02535169073515</v>
      </c>
      <c r="N71">
        <f>IF(AND(M$4&lt;=D71,D71&lt;=L$4),D71/E$4,IF(D71&gt;=L$4,L$4/E$4,M$4/E$4))</f>
        <v>0.995623738832763</v>
      </c>
      <c r="Q71" s="64" t="s">
        <v>56</v>
      </c>
      <c r="R71" s="20">
        <v>0.82829113811418</v>
      </c>
    </row>
    <row r="72" spans="1:18">
      <c r="A72" s="59" t="s">
        <v>135</v>
      </c>
      <c r="B72" s="60">
        <v>0.36</v>
      </c>
      <c r="C72" s="61">
        <f t="shared" si="2"/>
        <v>36</v>
      </c>
      <c r="D72" s="44">
        <f t="shared" si="3"/>
        <v>3.58351893845611</v>
      </c>
      <c r="N72">
        <f>IF(AND(M$4&lt;=D72,D72&lt;=L$4),D72/E$4,IF(D72&gt;=L$4,L$4/E$4,M$4/E$4))</f>
        <v>0.886341566600381</v>
      </c>
      <c r="Q72" s="64" t="s">
        <v>66</v>
      </c>
      <c r="R72" s="20">
        <v>0.906139195727706</v>
      </c>
    </row>
    <row r="73" spans="1:18">
      <c r="A73" s="59" t="s">
        <v>56</v>
      </c>
      <c r="B73" s="60">
        <v>0.255095786413605</v>
      </c>
      <c r="C73" s="61">
        <f t="shared" si="2"/>
        <v>25.5095786413605</v>
      </c>
      <c r="D73" s="44">
        <f t="shared" si="3"/>
        <v>3.2390540146265</v>
      </c>
      <c r="N73">
        <f>IF(AND(M$4&lt;=D73,D73&lt;=L$4),D73/E$4,IF(D73&gt;=L$4,L$4/E$4,M$4/E$4))</f>
        <v>0.82829113811418</v>
      </c>
      <c r="Q73" s="64" t="s">
        <v>96</v>
      </c>
      <c r="R73" s="20">
        <v>0.906139195727706</v>
      </c>
    </row>
    <row r="74" spans="1:18">
      <c r="A74" s="59" t="s">
        <v>66</v>
      </c>
      <c r="B74" s="60">
        <v>0.39</v>
      </c>
      <c r="C74" s="61">
        <f t="shared" si="2"/>
        <v>39</v>
      </c>
      <c r="D74" s="44">
        <f t="shared" si="3"/>
        <v>3.66356164612965</v>
      </c>
      <c r="N74">
        <f>IF(AND(M$4&lt;=D74,D74&lt;=L$4),D74/E$4,IF(D74&gt;=L$4,L$4/E$4,M$4/E$4))</f>
        <v>0.906139195727706</v>
      </c>
      <c r="Q74" s="64" t="s">
        <v>257</v>
      </c>
      <c r="R74" s="20">
        <v>0.965606547918329</v>
      </c>
    </row>
    <row r="75" spans="1:18">
      <c r="A75" s="59" t="s">
        <v>96</v>
      </c>
      <c r="B75" s="60">
        <v>0.39</v>
      </c>
      <c r="C75" s="61">
        <f t="shared" si="2"/>
        <v>39</v>
      </c>
      <c r="D75" s="44">
        <f t="shared" si="3"/>
        <v>3.66356164612965</v>
      </c>
      <c r="N75">
        <f>IF(AND(M$4&lt;=D75,D75&lt;=L$4),D75/E$4,IF(D75&gt;=L$4,L$4/E$4,M$4/E$4))</f>
        <v>0.906139195727706</v>
      </c>
      <c r="Q75" s="64" t="s">
        <v>103</v>
      </c>
      <c r="R75" s="20">
        <v>0.861803960085032</v>
      </c>
    </row>
    <row r="76" spans="1:18">
      <c r="A76" s="59" t="s">
        <v>257</v>
      </c>
      <c r="B76" s="60">
        <v>0.496</v>
      </c>
      <c r="C76" s="61">
        <f t="shared" si="2"/>
        <v>49.6</v>
      </c>
      <c r="D76" s="44">
        <f t="shared" si="3"/>
        <v>3.90399083373088</v>
      </c>
      <c r="N76">
        <f>IF(AND(M$4&lt;=D76,D76&lt;=L$4),D76/E$4,IF(D76&gt;=L$4,L$4/E$4,M$4/E$4))</f>
        <v>0.965606547918329</v>
      </c>
      <c r="Q76" s="64" t="s">
        <v>197</v>
      </c>
      <c r="R76" s="20">
        <v>0.856435165530369</v>
      </c>
    </row>
    <row r="77" spans="1:18">
      <c r="A77" s="59" t="s">
        <v>103</v>
      </c>
      <c r="B77" s="60">
        <v>0.326</v>
      </c>
      <c r="C77" s="61">
        <f t="shared" si="2"/>
        <v>32.6</v>
      </c>
      <c r="D77" s="44">
        <f t="shared" si="3"/>
        <v>3.48431228837266</v>
      </c>
      <c r="N77">
        <f>IF(AND(M$4&lt;=D77,D77&lt;=L$4),D77/E$4,IF(D77&gt;=L$4,L$4/E$4,M$4/E$4))</f>
        <v>0.861803960085032</v>
      </c>
      <c r="Q77" s="64" t="s">
        <v>76</v>
      </c>
      <c r="R77" s="20">
        <v>0.995623738832763</v>
      </c>
    </row>
    <row r="78" spans="1:18">
      <c r="A78" s="59" t="s">
        <v>197</v>
      </c>
      <c r="B78" s="60">
        <v>0.319</v>
      </c>
      <c r="C78" s="61">
        <f t="shared" si="2"/>
        <v>31.9</v>
      </c>
      <c r="D78" s="44">
        <f t="shared" si="3"/>
        <v>3.4626060097908</v>
      </c>
      <c r="N78">
        <f>IF(AND(M$4&lt;=D78,D78&lt;=L$4),D78/E$4,IF(D78&gt;=L$4,L$4/E$4,M$4/E$4))</f>
        <v>0.856435165530369</v>
      </c>
      <c r="Q78" s="64" t="s">
        <v>269</v>
      </c>
      <c r="R78" s="20">
        <v>0.906139195727706</v>
      </c>
    </row>
    <row r="79" spans="1:18">
      <c r="A79" s="59" t="s">
        <v>76</v>
      </c>
      <c r="B79" s="60">
        <v>0.56</v>
      </c>
      <c r="C79" s="61">
        <f t="shared" si="2"/>
        <v>56</v>
      </c>
      <c r="D79" s="44">
        <f t="shared" si="3"/>
        <v>4.02535169073515</v>
      </c>
      <c r="N79">
        <f>IF(AND(M$4&lt;=D79,D79&lt;=L$4),D79/E$4,IF(D79&gt;=L$4,L$4/E$4,M$4/E$4))</f>
        <v>0.995623738832763</v>
      </c>
      <c r="Q79" s="64" t="s">
        <v>64</v>
      </c>
      <c r="R79" s="20">
        <v>0.906139195727706</v>
      </c>
    </row>
    <row r="80" spans="1:18">
      <c r="A80" s="59" t="s">
        <v>269</v>
      </c>
      <c r="B80" s="60">
        <v>0.39</v>
      </c>
      <c r="C80" s="61">
        <f t="shared" si="2"/>
        <v>39</v>
      </c>
      <c r="D80" s="44">
        <f t="shared" si="3"/>
        <v>3.66356164612965</v>
      </c>
      <c r="N80">
        <f>IF(AND(M$4&lt;=D80,D80&lt;=L$4),D80/E$4,IF(D80&gt;=L$4,L$4/E$4,M$4/E$4))</f>
        <v>0.906139195727706</v>
      </c>
      <c r="Q80" s="64" t="s">
        <v>65</v>
      </c>
      <c r="R80" s="20">
        <v>0.906139195727706</v>
      </c>
    </row>
    <row r="81" spans="1:18">
      <c r="A81" s="59" t="s">
        <v>64</v>
      </c>
      <c r="B81" s="60">
        <v>0.39</v>
      </c>
      <c r="C81" s="61">
        <f t="shared" si="2"/>
        <v>39</v>
      </c>
      <c r="D81" s="44">
        <f t="shared" si="3"/>
        <v>3.66356164612965</v>
      </c>
      <c r="N81">
        <f>IF(AND(M$4&lt;=D81,D81&lt;=L$4),D81/E$4,IF(D81&gt;=L$4,L$4/E$4,M$4/E$4))</f>
        <v>0.906139195727706</v>
      </c>
      <c r="Q81" s="64" t="s">
        <v>78</v>
      </c>
      <c r="R81" s="20">
        <v>1.05010799832724</v>
      </c>
    </row>
    <row r="82" spans="1:18">
      <c r="A82" s="59" t="s">
        <v>65</v>
      </c>
      <c r="B82" s="60">
        <v>0.39</v>
      </c>
      <c r="C82" s="61">
        <f t="shared" si="2"/>
        <v>39</v>
      </c>
      <c r="D82" s="44">
        <f t="shared" si="3"/>
        <v>3.66356164612965</v>
      </c>
      <c r="N82">
        <f>IF(AND(M$4&lt;=D82,D82&lt;=L$4),D82/E$4,IF(D82&gt;=L$4,L$4/E$4,M$4/E$4))</f>
        <v>0.906139195727706</v>
      </c>
      <c r="Q82" s="64" t="s">
        <v>119</v>
      </c>
      <c r="R82" s="20">
        <v>1.05010799832724</v>
      </c>
    </row>
    <row r="83" spans="1:18">
      <c r="A83" s="59" t="s">
        <v>78</v>
      </c>
      <c r="B83" s="60">
        <v>0.698</v>
      </c>
      <c r="C83" s="61">
        <f t="shared" si="2"/>
        <v>69.8</v>
      </c>
      <c r="D83" s="44">
        <f t="shared" si="3"/>
        <v>4.24563400976833</v>
      </c>
      <c r="N83">
        <f>IF(AND(M$4&lt;=D83,D83&lt;=L$4),D83/E$4,IF(D83&gt;=L$4,L$4/E$4,M$4/E$4))</f>
        <v>1.05010799832724</v>
      </c>
      <c r="Q83" s="64" t="s">
        <v>99</v>
      </c>
      <c r="R83" s="20">
        <v>1.05010799832724</v>
      </c>
    </row>
    <row r="84" spans="1:18">
      <c r="A84" s="59" t="s">
        <v>119</v>
      </c>
      <c r="B84" s="60">
        <v>0.698</v>
      </c>
      <c r="C84" s="61">
        <f t="shared" si="2"/>
        <v>69.8</v>
      </c>
      <c r="D84" s="44">
        <f t="shared" si="3"/>
        <v>4.24563400976833</v>
      </c>
      <c r="N84">
        <f>IF(AND(M$4&lt;=D84,D84&lt;=L$4),D84/E$4,IF(D84&gt;=L$4,L$4/E$4,M$4/E$4))</f>
        <v>1.05010799832724</v>
      </c>
      <c r="Q84" s="64" t="s">
        <v>291</v>
      </c>
      <c r="R84" s="20">
        <v>1.05010799832724</v>
      </c>
    </row>
    <row r="85" spans="1:18">
      <c r="A85" s="59" t="s">
        <v>99</v>
      </c>
      <c r="B85" s="60">
        <v>0.698</v>
      </c>
      <c r="C85" s="61">
        <f t="shared" si="2"/>
        <v>69.8</v>
      </c>
      <c r="D85" s="44">
        <f t="shared" si="3"/>
        <v>4.24563400976833</v>
      </c>
      <c r="N85">
        <f>IF(AND(M$4&lt;=D85,D85&lt;=L$4),D85/E$4,IF(D85&gt;=L$4,L$4/E$4,M$4/E$4))</f>
        <v>1.05010799832724</v>
      </c>
      <c r="Q85" s="64" t="s">
        <v>283</v>
      </c>
      <c r="R85" s="20">
        <v>1.05010799832724</v>
      </c>
    </row>
    <row r="86" spans="1:18">
      <c r="A86" s="59" t="s">
        <v>291</v>
      </c>
      <c r="B86" s="60">
        <v>0.698</v>
      </c>
      <c r="C86" s="61">
        <f t="shared" si="2"/>
        <v>69.8</v>
      </c>
      <c r="D86" s="44">
        <f t="shared" si="3"/>
        <v>4.24563400976833</v>
      </c>
      <c r="N86">
        <f>IF(AND(M$4&lt;=D86,D86&lt;=L$4),D86/E$4,IF(D86&gt;=L$4,L$4/E$4,M$4/E$4))</f>
        <v>1.05010799832724</v>
      </c>
      <c r="Q86" s="64" t="s">
        <v>303</v>
      </c>
      <c r="R86" s="20">
        <v>1.05010799832724</v>
      </c>
    </row>
    <row r="87" spans="1:18">
      <c r="A87" s="59" t="s">
        <v>283</v>
      </c>
      <c r="B87" s="60">
        <v>0.698</v>
      </c>
      <c r="C87" s="61">
        <f t="shared" si="2"/>
        <v>69.8</v>
      </c>
      <c r="D87" s="44">
        <f t="shared" si="3"/>
        <v>4.24563400976833</v>
      </c>
      <c r="N87">
        <f>IF(AND(M$4&lt;=D87,D87&lt;=L$4),D87/E$4,IF(D87&gt;=L$4,L$4/E$4,M$4/E$4))</f>
        <v>1.05010799832724</v>
      </c>
      <c r="Q87" s="64" t="s">
        <v>113</v>
      </c>
      <c r="R87" s="20">
        <v>1.03248594912967</v>
      </c>
    </row>
    <row r="88" spans="1:18">
      <c r="A88" s="59" t="s">
        <v>303</v>
      </c>
      <c r="B88" s="60">
        <v>0.698</v>
      </c>
      <c r="C88" s="61">
        <f t="shared" si="2"/>
        <v>69.8</v>
      </c>
      <c r="D88" s="44">
        <f t="shared" si="3"/>
        <v>4.24563400976833</v>
      </c>
      <c r="N88">
        <f>IF(AND(M$4&lt;=D88,D88&lt;=L$4),D88/E$4,IF(D88&gt;=L$4,L$4/E$4,M$4/E$4))</f>
        <v>1.05010799832724</v>
      </c>
      <c r="Q88" s="64" t="s">
        <v>314</v>
      </c>
      <c r="R88" s="20">
        <v>0.82829113811418</v>
      </c>
    </row>
    <row r="89" spans="1:18">
      <c r="A89" s="59" t="s">
        <v>113</v>
      </c>
      <c r="B89" s="60">
        <v>0.65</v>
      </c>
      <c r="C89" s="61">
        <f t="shared" si="2"/>
        <v>65</v>
      </c>
      <c r="D89" s="44">
        <f t="shared" si="3"/>
        <v>4.17438726989564</v>
      </c>
      <c r="N89">
        <f>IF(AND(M$4&lt;=D89,D89&lt;=L$4),D89/E$4,IF(D89&gt;=L$4,L$4/E$4,M$4/E$4))</f>
        <v>1.03248594912967</v>
      </c>
      <c r="Q89" s="64" t="s">
        <v>300</v>
      </c>
      <c r="R89" s="20">
        <v>1.05010799832724</v>
      </c>
    </row>
    <row r="90" spans="1:18">
      <c r="A90" s="59" t="s">
        <v>314</v>
      </c>
      <c r="B90" s="60">
        <v>0.069</v>
      </c>
      <c r="C90" s="61">
        <f t="shared" si="2"/>
        <v>6.9</v>
      </c>
      <c r="D90" s="44">
        <f t="shared" si="3"/>
        <v>1.93152141160321</v>
      </c>
      <c r="N90">
        <f>IF(AND(M$4&lt;=D90,D90&lt;=L$4),D90/E$4,IF(D90&gt;=L$4,L$4/E$4,M$4/E$4))</f>
        <v>0.82829113811418</v>
      </c>
      <c r="Q90" s="64" t="s">
        <v>185</v>
      </c>
      <c r="R90" s="20">
        <v>1.0259310035352</v>
      </c>
    </row>
    <row r="91" spans="1:18">
      <c r="A91" s="59" t="s">
        <v>300</v>
      </c>
      <c r="B91" s="60">
        <v>0.698</v>
      </c>
      <c r="C91" s="61">
        <f t="shared" si="2"/>
        <v>69.8</v>
      </c>
      <c r="D91" s="44">
        <f t="shared" si="3"/>
        <v>4.24563400976833</v>
      </c>
      <c r="N91">
        <f>IF(AND(M$4&lt;=D91,D91&lt;=L$4),D91/E$4,IF(D91&gt;=L$4,L$4/E$4,M$4/E$4))</f>
        <v>1.05010799832724</v>
      </c>
      <c r="Q91" s="64" t="s">
        <v>152</v>
      </c>
      <c r="R91" s="20">
        <v>0.966601874507123</v>
      </c>
    </row>
    <row r="92" spans="1:18">
      <c r="A92" s="59" t="s">
        <v>185</v>
      </c>
      <c r="B92" s="60">
        <v>0.633</v>
      </c>
      <c r="C92" s="61">
        <f t="shared" si="2"/>
        <v>63.3</v>
      </c>
      <c r="D92" s="44">
        <f t="shared" si="3"/>
        <v>4.14788532915013</v>
      </c>
      <c r="N92">
        <f>IF(AND(M$4&lt;=D92,D92&lt;=L$4),D92/E$4,IF(D92&gt;=L$4,L$4/E$4,M$4/E$4))</f>
        <v>1.0259310035352</v>
      </c>
      <c r="Q92" s="64" t="s">
        <v>87</v>
      </c>
      <c r="R92" s="20">
        <v>1.05010799832724</v>
      </c>
    </row>
    <row r="93" spans="1:18">
      <c r="A93" s="59" t="s">
        <v>152</v>
      </c>
      <c r="B93" s="60">
        <v>0.498</v>
      </c>
      <c r="C93" s="61">
        <f t="shared" si="2"/>
        <v>49.8</v>
      </c>
      <c r="D93" s="44">
        <f t="shared" si="3"/>
        <v>3.90801498403061</v>
      </c>
      <c r="N93">
        <f>IF(AND(M$4&lt;=D93,D93&lt;=L$4),D93/E$4,IF(D93&gt;=L$4,L$4/E$4,M$4/E$4))</f>
        <v>0.966601874507123</v>
      </c>
      <c r="Q93" s="64" t="s">
        <v>184</v>
      </c>
      <c r="R93" s="20">
        <v>1.05010799832724</v>
      </c>
    </row>
    <row r="94" spans="1:18">
      <c r="A94" s="59" t="s">
        <v>87</v>
      </c>
      <c r="B94" s="60">
        <v>0.698</v>
      </c>
      <c r="C94" s="61">
        <f t="shared" si="2"/>
        <v>69.8</v>
      </c>
      <c r="D94" s="44">
        <f t="shared" si="3"/>
        <v>4.24563400976833</v>
      </c>
      <c r="N94">
        <f>IF(AND(M$4&lt;=D94,D94&lt;=L$4),D94/E$4,IF(D94&gt;=L$4,L$4/E$4,M$4/E$4))</f>
        <v>1.05010799832724</v>
      </c>
      <c r="Q94" s="64" t="s">
        <v>271</v>
      </c>
      <c r="R94" s="20">
        <v>1.05081569072288</v>
      </c>
    </row>
    <row r="95" spans="1:18">
      <c r="A95" s="59" t="s">
        <v>184</v>
      </c>
      <c r="B95" s="60">
        <v>0.698</v>
      </c>
      <c r="C95" s="61">
        <f t="shared" si="2"/>
        <v>69.8</v>
      </c>
      <c r="D95" s="44">
        <f t="shared" si="3"/>
        <v>4.24563400976833</v>
      </c>
      <c r="N95">
        <f>IF(AND(M$4&lt;=D95,D95&lt;=L$4),D95/E$4,IF(D95&gt;=L$4,L$4/E$4,M$4/E$4))</f>
        <v>1.05010799832724</v>
      </c>
      <c r="Q95" s="64" t="s">
        <v>79</v>
      </c>
      <c r="R95" s="20">
        <v>1.05010799832724</v>
      </c>
    </row>
    <row r="96" spans="1:18">
      <c r="A96" s="59" t="s">
        <v>271</v>
      </c>
      <c r="B96" s="60">
        <v>0.7</v>
      </c>
      <c r="C96" s="61">
        <f t="shared" si="2"/>
        <v>70</v>
      </c>
      <c r="D96" s="44">
        <f t="shared" si="3"/>
        <v>4.24849524204936</v>
      </c>
      <c r="N96">
        <f>IF(AND(M$4&lt;=D96,D96&lt;=L$4),D96/E$4,IF(D96&gt;=L$4,L$4/E$4,M$4/E$4))</f>
        <v>1.05081569072288</v>
      </c>
      <c r="Q96" s="64" t="s">
        <v>84</v>
      </c>
      <c r="R96" s="20">
        <v>1.00679680948575</v>
      </c>
    </row>
    <row r="97" spans="1:18">
      <c r="A97" s="59" t="s">
        <v>79</v>
      </c>
      <c r="B97" s="60">
        <v>0.698</v>
      </c>
      <c r="C97" s="61">
        <f t="shared" si="2"/>
        <v>69.8</v>
      </c>
      <c r="D97" s="44">
        <f t="shared" si="3"/>
        <v>4.24563400976833</v>
      </c>
      <c r="N97">
        <f>IF(AND(M$4&lt;=D97,D97&lt;=L$4),D97/E$4,IF(D97&gt;=L$4,L$4/E$4,M$4/E$4))</f>
        <v>1.05010799832724</v>
      </c>
      <c r="Q97" s="64" t="s">
        <v>178</v>
      </c>
      <c r="R97" s="20">
        <v>0.832861305441569</v>
      </c>
    </row>
    <row r="98" spans="1:18">
      <c r="A98" s="59" t="s">
        <v>84</v>
      </c>
      <c r="B98" s="60">
        <v>0.585877083478645</v>
      </c>
      <c r="C98" s="61">
        <f t="shared" si="2"/>
        <v>58.5877083478645</v>
      </c>
      <c r="D98" s="44">
        <f t="shared" si="3"/>
        <v>4.07052491942538</v>
      </c>
      <c r="N98">
        <f>IF(AND(M$4&lt;=D98,D98&lt;=L$4),D98/E$4,IF(D98&gt;=L$4,L$4/E$4,M$4/E$4))</f>
        <v>1.00679680948575</v>
      </c>
      <c r="Q98" s="64" t="s">
        <v>40</v>
      </c>
      <c r="R98" s="20">
        <v>0.890429896434229</v>
      </c>
    </row>
    <row r="99" spans="1:18">
      <c r="A99" s="59" t="s">
        <v>178</v>
      </c>
      <c r="B99" s="60">
        <v>0.29</v>
      </c>
      <c r="C99" s="61">
        <f t="shared" si="2"/>
        <v>29</v>
      </c>
      <c r="D99" s="44">
        <f t="shared" si="3"/>
        <v>3.36729582998647</v>
      </c>
      <c r="N99">
        <f>IF(AND(M$4&lt;=D99,D99&lt;=L$4),D99/E$4,IF(D99&gt;=L$4,L$4/E$4,M$4/E$4))</f>
        <v>0.832861305441569</v>
      </c>
      <c r="Q99" s="64" t="s">
        <v>292</v>
      </c>
      <c r="R99" s="20">
        <v>0.939325125930728</v>
      </c>
    </row>
    <row r="100" spans="1:18">
      <c r="A100" s="59" t="s">
        <v>40</v>
      </c>
      <c r="B100" s="60">
        <v>0.366</v>
      </c>
      <c r="C100" s="61">
        <f t="shared" si="2"/>
        <v>36.6</v>
      </c>
      <c r="D100" s="44">
        <f t="shared" si="3"/>
        <v>3.60004824040732</v>
      </c>
      <c r="N100">
        <f>IF(AND(M$4&lt;=D100,D100&lt;=L$4),D100/E$4,IF(D100&gt;=L$4,L$4/E$4,M$4/E$4))</f>
        <v>0.890429896434229</v>
      </c>
      <c r="Q100" s="64" t="s">
        <v>116</v>
      </c>
      <c r="R100" s="20">
        <v>0.957496368112219</v>
      </c>
    </row>
    <row r="101" spans="1:18">
      <c r="A101" s="59" t="s">
        <v>292</v>
      </c>
      <c r="B101" s="60">
        <v>0.446</v>
      </c>
      <c r="C101" s="61">
        <f t="shared" si="2"/>
        <v>44.6</v>
      </c>
      <c r="D101" s="44">
        <f t="shared" si="3"/>
        <v>3.79773385902602</v>
      </c>
      <c r="N101">
        <f>IF(AND(M$4&lt;=D101,D101&lt;=L$4),D101/E$4,IF(D101&gt;=L$4,L$4/E$4,M$4/E$4))</f>
        <v>0.939325125930728</v>
      </c>
      <c r="Q101" s="64" t="s">
        <v>101</v>
      </c>
      <c r="R101" s="20">
        <v>1.02199241197478</v>
      </c>
    </row>
    <row r="102" spans="1:18">
      <c r="A102" s="59" t="s">
        <v>116</v>
      </c>
      <c r="B102" s="60">
        <v>0.48</v>
      </c>
      <c r="C102" s="61">
        <f t="shared" si="2"/>
        <v>48</v>
      </c>
      <c r="D102" s="44">
        <f t="shared" si="3"/>
        <v>3.87120101090789</v>
      </c>
      <c r="N102">
        <f>IF(AND(M$4&lt;=D102,D102&lt;=L$4),D102/E$4,IF(D102&gt;=L$4,L$4/E$4,M$4/E$4))</f>
        <v>0.957496368112219</v>
      </c>
      <c r="Q102" s="64" t="s">
        <v>167</v>
      </c>
      <c r="R102" s="20">
        <v>0.919712284502351</v>
      </c>
    </row>
    <row r="103" spans="1:18">
      <c r="A103" s="59" t="s">
        <v>101</v>
      </c>
      <c r="B103" s="60">
        <v>0.623</v>
      </c>
      <c r="C103" s="61">
        <f t="shared" si="2"/>
        <v>62.3</v>
      </c>
      <c r="D103" s="44">
        <f t="shared" si="3"/>
        <v>4.13196142579341</v>
      </c>
      <c r="N103">
        <f>IF(AND(M$4&lt;=D103,D103&lt;=L$4),D103/E$4,IF(D103&gt;=L$4,L$4/E$4,M$4/E$4))</f>
        <v>1.02199241197478</v>
      </c>
      <c r="Q103" s="64" t="s">
        <v>248</v>
      </c>
      <c r="R103" s="20">
        <v>1.01103387688696</v>
      </c>
    </row>
    <row r="104" spans="1:18">
      <c r="A104" s="59" t="s">
        <v>167</v>
      </c>
      <c r="B104" s="60">
        <v>0.412</v>
      </c>
      <c r="C104" s="61">
        <f t="shared" si="2"/>
        <v>41.2</v>
      </c>
      <c r="D104" s="44">
        <f t="shared" si="3"/>
        <v>3.71843825635548</v>
      </c>
      <c r="N104">
        <f>IF(AND(M$4&lt;=D104,D104&lt;=L$4),D104/E$4,IF(D104&gt;=L$4,L$4/E$4,M$4/E$4))</f>
        <v>0.919712284502351</v>
      </c>
      <c r="Q104" s="64" t="s">
        <v>75</v>
      </c>
      <c r="R104" s="20">
        <v>1.04793694507052</v>
      </c>
    </row>
    <row r="105" spans="1:18">
      <c r="A105" s="59" t="s">
        <v>248</v>
      </c>
      <c r="B105" s="60">
        <v>0.596</v>
      </c>
      <c r="C105" s="61">
        <f t="shared" si="2"/>
        <v>59.6</v>
      </c>
      <c r="D105" s="44">
        <f t="shared" si="3"/>
        <v>4.0876555740713</v>
      </c>
      <c r="N105">
        <f>IF(AND(M$4&lt;=D105,D105&lt;=L$4),D105/E$4,IF(D105&gt;=L$4,L$4/E$4,M$4/E$4))</f>
        <v>1.01103387688696</v>
      </c>
      <c r="Q105" s="64" t="s">
        <v>176</v>
      </c>
      <c r="R105" s="20">
        <v>1.01103387688696</v>
      </c>
    </row>
    <row r="106" spans="1:18">
      <c r="A106" s="59" t="s">
        <v>75</v>
      </c>
      <c r="B106" s="60">
        <v>0.6919</v>
      </c>
      <c r="C106" s="61">
        <f t="shared" si="2"/>
        <v>69.19</v>
      </c>
      <c r="D106" s="44">
        <f t="shared" si="3"/>
        <v>4.23685634351072</v>
      </c>
      <c r="N106">
        <f>IF(AND(M$4&lt;=D106,D106&lt;=L$4),D106/E$4,IF(D106&gt;=L$4,L$4/E$4,M$4/E$4))</f>
        <v>1.04793694507052</v>
      </c>
      <c r="Q106" s="64" t="s">
        <v>181</v>
      </c>
      <c r="R106" s="20">
        <v>1.01103387688696</v>
      </c>
    </row>
    <row r="107" spans="1:18">
      <c r="A107" s="59" t="s">
        <v>176</v>
      </c>
      <c r="B107" s="60">
        <v>0.596</v>
      </c>
      <c r="C107" s="61">
        <f t="shared" si="2"/>
        <v>59.6</v>
      </c>
      <c r="D107" s="44">
        <f t="shared" si="3"/>
        <v>4.0876555740713</v>
      </c>
      <c r="N107">
        <f>IF(AND(M$4&lt;=D107,D107&lt;=L$4),D107/E$4,IF(D107&gt;=L$4,L$4/E$4,M$4/E$4))</f>
        <v>1.01103387688696</v>
      </c>
      <c r="Q107" s="64" t="s">
        <v>236</v>
      </c>
      <c r="R107" s="20">
        <v>1.09883791383931</v>
      </c>
    </row>
    <row r="108" spans="1:18">
      <c r="A108" s="59" t="s">
        <v>181</v>
      </c>
      <c r="B108" s="60">
        <v>0.596</v>
      </c>
      <c r="C108" s="61">
        <f t="shared" si="2"/>
        <v>59.6</v>
      </c>
      <c r="D108" s="44">
        <f t="shared" si="3"/>
        <v>4.0876555740713</v>
      </c>
      <c r="N108">
        <f>IF(AND(M$4&lt;=D108,D108&lt;=L$4),D108/E$4,IF(D108&gt;=L$4,L$4/E$4,M$4/E$4))</f>
        <v>1.01103387688696</v>
      </c>
      <c r="Q108" s="64" t="s">
        <v>47</v>
      </c>
      <c r="R108" s="20">
        <v>0.922695895150994</v>
      </c>
    </row>
    <row r="109" spans="1:18">
      <c r="A109" s="59" t="s">
        <v>236</v>
      </c>
      <c r="B109" s="60">
        <v>0.85</v>
      </c>
      <c r="C109" s="61">
        <f t="shared" si="2"/>
        <v>85</v>
      </c>
      <c r="D109" s="44">
        <f t="shared" si="3"/>
        <v>4.44265125649032</v>
      </c>
      <c r="N109">
        <f>IF(AND(M$4&lt;=D109,D109&lt;=L$4),D109/E$4,IF(D109&gt;=L$4,L$4/E$4,M$4/E$4))</f>
        <v>1.09883791383931</v>
      </c>
      <c r="Q109" s="64" t="s">
        <v>282</v>
      </c>
      <c r="R109" s="20">
        <v>1.01907711260423</v>
      </c>
    </row>
    <row r="110" spans="1:18">
      <c r="A110" s="59" t="s">
        <v>47</v>
      </c>
      <c r="B110" s="60">
        <v>0.417</v>
      </c>
      <c r="C110" s="61">
        <f t="shared" si="2"/>
        <v>41.7</v>
      </c>
      <c r="D110" s="44">
        <f t="shared" si="3"/>
        <v>3.73050112880476</v>
      </c>
      <c r="N110">
        <f>IF(AND(M$4&lt;=D110,D110&lt;=L$4),D110/E$4,IF(D110&gt;=L$4,L$4/E$4,M$4/E$4))</f>
        <v>0.922695895150994</v>
      </c>
      <c r="Q110" s="64" t="s">
        <v>201</v>
      </c>
      <c r="R110" s="20">
        <v>1.05081569072288</v>
      </c>
    </row>
    <row r="111" spans="1:18">
      <c r="A111" s="59" t="s">
        <v>282</v>
      </c>
      <c r="B111" s="60">
        <v>0.6157</v>
      </c>
      <c r="C111" s="61">
        <f t="shared" si="2"/>
        <v>61.57</v>
      </c>
      <c r="D111" s="44">
        <f t="shared" si="3"/>
        <v>4.12017473892312</v>
      </c>
      <c r="N111">
        <f>IF(AND(M$4&lt;=D111,D111&lt;=L$4),D111/E$4,IF(D111&gt;=L$4,L$4/E$4,M$4/E$4))</f>
        <v>1.01907711260423</v>
      </c>
      <c r="Q111" s="64" t="s">
        <v>51</v>
      </c>
      <c r="R111" s="20">
        <v>1.01268832000234</v>
      </c>
    </row>
    <row r="112" spans="1:18">
      <c r="A112" s="59" t="s">
        <v>201</v>
      </c>
      <c r="B112" s="60">
        <v>0.7</v>
      </c>
      <c r="C112" s="61">
        <f t="shared" si="2"/>
        <v>70</v>
      </c>
      <c r="D112" s="44">
        <f t="shared" si="3"/>
        <v>4.24849524204936</v>
      </c>
      <c r="N112">
        <f>IF(AND(M$4&lt;=D112,D112&lt;=L$4),D112/E$4,IF(D112&gt;=L$4,L$4/E$4,M$4/E$4))</f>
        <v>1.05081569072288</v>
      </c>
      <c r="Q112" s="64" t="s">
        <v>199</v>
      </c>
      <c r="R112" s="20">
        <v>1.0247952543489</v>
      </c>
    </row>
    <row r="113" spans="1:18">
      <c r="A113" s="59" t="s">
        <v>51</v>
      </c>
      <c r="B113" s="60">
        <v>0.6</v>
      </c>
      <c r="C113" s="61">
        <f t="shared" si="2"/>
        <v>60</v>
      </c>
      <c r="D113" s="44">
        <f t="shared" si="3"/>
        <v>4.0943445622221</v>
      </c>
      <c r="N113">
        <f>IF(AND(M$4&lt;=D113,D113&lt;=L$4),D113/E$4,IF(D113&gt;=L$4,L$4/E$4,M$4/E$4))</f>
        <v>1.01268832000234</v>
      </c>
      <c r="Q113" s="64" t="s">
        <v>222</v>
      </c>
      <c r="R113" s="20">
        <v>1.0247952543489</v>
      </c>
    </row>
    <row r="114" spans="1:18">
      <c r="A114" s="59" t="s">
        <v>199</v>
      </c>
      <c r="B114" s="60">
        <v>0.6301</v>
      </c>
      <c r="C114" s="61">
        <f t="shared" si="2"/>
        <v>63.01</v>
      </c>
      <c r="D114" s="44">
        <f t="shared" si="3"/>
        <v>4.14329344395396</v>
      </c>
      <c r="N114">
        <f>IF(AND(M$4&lt;=D114,D114&lt;=L$4),D114/E$4,IF(D114&gt;=L$4,L$4/E$4,M$4/E$4))</f>
        <v>1.0247952543489</v>
      </c>
      <c r="Q114" s="64" t="s">
        <v>163</v>
      </c>
      <c r="R114" s="20">
        <v>0.967593211800291</v>
      </c>
    </row>
    <row r="115" spans="1:18">
      <c r="A115" s="59" t="s">
        <v>222</v>
      </c>
      <c r="B115" s="60">
        <v>0.6301</v>
      </c>
      <c r="C115" s="61">
        <f t="shared" si="2"/>
        <v>63.01</v>
      </c>
      <c r="D115" s="44">
        <f t="shared" si="3"/>
        <v>4.14329344395396</v>
      </c>
      <c r="N115">
        <f>IF(AND(M$4&lt;=D115,D115&lt;=L$4),D115/E$4,IF(D115&gt;=L$4,L$4/E$4,M$4/E$4))</f>
        <v>1.0247952543489</v>
      </c>
      <c r="Q115" s="64" t="s">
        <v>239</v>
      </c>
      <c r="R115" s="20">
        <v>1.0247952543489</v>
      </c>
    </row>
    <row r="116" spans="1:18">
      <c r="A116" s="59" t="s">
        <v>163</v>
      </c>
      <c r="B116" s="60">
        <v>0.5</v>
      </c>
      <c r="C116" s="61">
        <f t="shared" si="2"/>
        <v>50</v>
      </c>
      <c r="D116" s="44">
        <f t="shared" si="3"/>
        <v>3.91202300542815</v>
      </c>
      <c r="N116">
        <f>IF(AND(M$4&lt;=D116,D116&lt;=L$4),D116/E$4,IF(D116&gt;=L$4,L$4/E$4,M$4/E$4))</f>
        <v>0.967593211800291</v>
      </c>
      <c r="Q116" s="64" t="s">
        <v>85</v>
      </c>
      <c r="R116" s="20">
        <v>1.0247952543489</v>
      </c>
    </row>
    <row r="117" spans="1:18">
      <c r="A117" s="59" t="s">
        <v>239</v>
      </c>
      <c r="B117" s="60">
        <v>0.6301</v>
      </c>
      <c r="C117" s="61">
        <f t="shared" si="2"/>
        <v>63.01</v>
      </c>
      <c r="D117" s="44">
        <f t="shared" si="3"/>
        <v>4.14329344395396</v>
      </c>
      <c r="N117">
        <f>IF(AND(M$4&lt;=D117,D117&lt;=L$4),D117/E$4,IF(D117&gt;=L$4,L$4/E$4,M$4/E$4))</f>
        <v>1.0247952543489</v>
      </c>
      <c r="Q117" s="64" t="s">
        <v>230</v>
      </c>
      <c r="R117" s="20">
        <v>1.0247952543489</v>
      </c>
    </row>
    <row r="118" spans="1:18">
      <c r="A118" s="59" t="s">
        <v>85</v>
      </c>
      <c r="B118" s="60">
        <v>0.6301</v>
      </c>
      <c r="C118" s="61">
        <f t="shared" si="2"/>
        <v>63.01</v>
      </c>
      <c r="D118" s="44">
        <f t="shared" si="3"/>
        <v>4.14329344395396</v>
      </c>
      <c r="N118">
        <f>IF(AND(M$4&lt;=D118,D118&lt;=L$4),D118/E$4,IF(D118&gt;=L$4,L$4/E$4,M$4/E$4))</f>
        <v>1.0247952543489</v>
      </c>
      <c r="Q118" s="64" t="s">
        <v>204</v>
      </c>
      <c r="R118" s="20">
        <v>1.0259310035352</v>
      </c>
    </row>
    <row r="119" spans="1:18">
      <c r="A119" s="59" t="s">
        <v>230</v>
      </c>
      <c r="B119" s="60">
        <v>0.6301</v>
      </c>
      <c r="C119" s="61">
        <f t="shared" si="2"/>
        <v>63.01</v>
      </c>
      <c r="D119" s="44">
        <f t="shared" si="3"/>
        <v>4.14329344395396</v>
      </c>
      <c r="N119">
        <f>IF(AND(M$4&lt;=D119,D119&lt;=L$4),D119/E$4,IF(D119&gt;=L$4,L$4/E$4,M$4/E$4))</f>
        <v>1.0247952543489</v>
      </c>
      <c r="Q119" s="64" t="s">
        <v>173</v>
      </c>
      <c r="R119" s="20">
        <v>1.05081569072288</v>
      </c>
    </row>
    <row r="120" spans="1:18">
      <c r="A120" s="59" t="s">
        <v>204</v>
      </c>
      <c r="B120" s="60">
        <v>0.633</v>
      </c>
      <c r="C120" s="61">
        <f t="shared" si="2"/>
        <v>63.3</v>
      </c>
      <c r="D120" s="44">
        <f t="shared" si="3"/>
        <v>4.14788532915013</v>
      </c>
      <c r="N120">
        <f>IF(AND(M$4&lt;=D120,D120&lt;=L$4),D120/E$4,IF(D120&gt;=L$4,L$4/E$4,M$4/E$4))</f>
        <v>1.0259310035352</v>
      </c>
      <c r="Q120" s="64" t="s">
        <v>326</v>
      </c>
      <c r="R120" s="20">
        <v>1.0259310035352</v>
      </c>
    </row>
    <row r="121" spans="1:18">
      <c r="A121" s="59" t="s">
        <v>173</v>
      </c>
      <c r="B121" s="60">
        <v>0.7</v>
      </c>
      <c r="C121" s="61">
        <f t="shared" si="2"/>
        <v>70</v>
      </c>
      <c r="D121" s="44">
        <f t="shared" si="3"/>
        <v>4.24849524204936</v>
      </c>
      <c r="N121">
        <f>IF(AND(M$4&lt;=D121,D121&lt;=L$4),D121/E$4,IF(D121&gt;=L$4,L$4/E$4,M$4/E$4))</f>
        <v>1.05081569072288</v>
      </c>
      <c r="Q121" s="64" t="s">
        <v>43</v>
      </c>
      <c r="R121" s="20">
        <v>1.0259310035352</v>
      </c>
    </row>
    <row r="122" spans="1:18">
      <c r="A122" s="59" t="s">
        <v>326</v>
      </c>
      <c r="B122" s="60">
        <v>0.633</v>
      </c>
      <c r="C122" s="61">
        <f t="shared" si="2"/>
        <v>63.3</v>
      </c>
      <c r="D122" s="44">
        <f t="shared" si="3"/>
        <v>4.14788532915013</v>
      </c>
      <c r="N122">
        <f>IF(AND(M$4&lt;=D122,D122&lt;=L$4),D122/E$4,IF(D122&gt;=L$4,L$4/E$4,M$4/E$4))</f>
        <v>1.0259310035352</v>
      </c>
      <c r="Q122" s="64" t="s">
        <v>122</v>
      </c>
      <c r="R122" s="20">
        <v>1.0259310035352</v>
      </c>
    </row>
    <row r="123" spans="1:18">
      <c r="A123" s="59" t="s">
        <v>43</v>
      </c>
      <c r="B123" s="60">
        <v>0.633</v>
      </c>
      <c r="C123" s="61">
        <f t="shared" si="2"/>
        <v>63.3</v>
      </c>
      <c r="D123" s="44">
        <f t="shared" si="3"/>
        <v>4.14788532915013</v>
      </c>
      <c r="N123">
        <f>IF(AND(M$4&lt;=D123,D123&lt;=L$4),D123/E$4,IF(D123&gt;=L$4,L$4/E$4,M$4/E$4))</f>
        <v>1.0259310035352</v>
      </c>
      <c r="Q123" s="64" t="s">
        <v>149</v>
      </c>
      <c r="R123" s="20">
        <v>1.0259310035352</v>
      </c>
    </row>
    <row r="124" spans="1:18">
      <c r="A124" s="59" t="s">
        <v>122</v>
      </c>
      <c r="B124" s="60">
        <v>0.633</v>
      </c>
      <c r="C124" s="61">
        <f t="shared" si="2"/>
        <v>63.3</v>
      </c>
      <c r="D124" s="44">
        <f t="shared" si="3"/>
        <v>4.14788532915013</v>
      </c>
      <c r="N124">
        <f>IF(AND(M$4&lt;=D124,D124&lt;=L$4),D124/E$4,IF(D124&gt;=L$4,L$4/E$4,M$4/E$4))</f>
        <v>1.0259310035352</v>
      </c>
      <c r="Q124" s="64" t="s">
        <v>91</v>
      </c>
      <c r="R124" s="20">
        <v>1.0259310035352</v>
      </c>
    </row>
    <row r="125" spans="1:18">
      <c r="A125" s="59" t="s">
        <v>149</v>
      </c>
      <c r="B125" s="60">
        <v>0.633</v>
      </c>
      <c r="C125" s="61">
        <f t="shared" si="2"/>
        <v>63.3</v>
      </c>
      <c r="D125" s="44">
        <f t="shared" si="3"/>
        <v>4.14788532915013</v>
      </c>
      <c r="N125">
        <f>IF(AND(M$4&lt;=D125,D125&lt;=L$4),D125/E$4,IF(D125&gt;=L$4,L$4/E$4,M$4/E$4))</f>
        <v>1.0259310035352</v>
      </c>
      <c r="Q125" s="64" t="s">
        <v>313</v>
      </c>
      <c r="R125" s="20">
        <v>0.984327788486575</v>
      </c>
    </row>
    <row r="126" spans="1:18">
      <c r="A126" s="59" t="s">
        <v>91</v>
      </c>
      <c r="B126" s="60">
        <v>0.633</v>
      </c>
      <c r="C126" s="61">
        <f t="shared" si="2"/>
        <v>63.3</v>
      </c>
      <c r="D126" s="44">
        <f t="shared" si="3"/>
        <v>4.14788532915013</v>
      </c>
      <c r="N126">
        <f>IF(AND(M$4&lt;=D126,D126&lt;=L$4),D126/E$4,IF(D126&gt;=L$4,L$4/E$4,M$4/E$4))</f>
        <v>1.0259310035352</v>
      </c>
      <c r="Q126" s="64" t="s">
        <v>109</v>
      </c>
      <c r="R126" s="20">
        <v>0.941533518490503</v>
      </c>
    </row>
    <row r="127" spans="1:18">
      <c r="A127" s="59" t="s">
        <v>313</v>
      </c>
      <c r="B127" s="60">
        <v>0.535</v>
      </c>
      <c r="C127" s="61">
        <f t="shared" si="2"/>
        <v>53.5</v>
      </c>
      <c r="D127" s="44">
        <f t="shared" si="3"/>
        <v>3.97968165390196</v>
      </c>
      <c r="N127">
        <f>IF(AND(M$4&lt;=D127,D127&lt;=L$4),D127/E$4,IF(D127&gt;=L$4,L$4/E$4,M$4/E$4))</f>
        <v>0.984327788486575</v>
      </c>
      <c r="Q127" s="64" t="s">
        <v>153</v>
      </c>
      <c r="R127" s="20">
        <v>0.984327788486575</v>
      </c>
    </row>
    <row r="128" spans="1:18">
      <c r="A128" s="59" t="s">
        <v>109</v>
      </c>
      <c r="B128" s="60">
        <v>0.45</v>
      </c>
      <c r="C128" s="61">
        <f t="shared" si="2"/>
        <v>45</v>
      </c>
      <c r="D128" s="44">
        <f t="shared" si="3"/>
        <v>3.80666248977032</v>
      </c>
      <c r="N128">
        <f>IF(AND(M$4&lt;=D128,D128&lt;=L$4),D128/E$4,IF(D128&gt;=L$4,L$4/E$4,M$4/E$4))</f>
        <v>0.941533518490503</v>
      </c>
      <c r="Q128" s="64" t="s">
        <v>267</v>
      </c>
      <c r="R128" s="20">
        <v>0.984327788486575</v>
      </c>
    </row>
    <row r="129" spans="1:18">
      <c r="A129" s="59" t="s">
        <v>153</v>
      </c>
      <c r="B129" s="60">
        <v>0.535</v>
      </c>
      <c r="C129" s="61">
        <f t="shared" si="2"/>
        <v>53.5</v>
      </c>
      <c r="D129" s="44">
        <f t="shared" si="3"/>
        <v>3.97968165390196</v>
      </c>
      <c r="N129">
        <f>IF(AND(M$4&lt;=D129,D129&lt;=L$4),D129/E$4,IF(D129&gt;=L$4,L$4/E$4,M$4/E$4))</f>
        <v>0.984327788486575</v>
      </c>
      <c r="Q129" s="64" t="s">
        <v>165</v>
      </c>
      <c r="R129" s="20">
        <v>0.984327788486575</v>
      </c>
    </row>
    <row r="130" spans="1:18">
      <c r="A130" s="59" t="s">
        <v>267</v>
      </c>
      <c r="B130" s="60">
        <v>0.535</v>
      </c>
      <c r="C130" s="61">
        <f t="shared" si="2"/>
        <v>53.5</v>
      </c>
      <c r="D130" s="44">
        <f t="shared" si="3"/>
        <v>3.97968165390196</v>
      </c>
      <c r="N130">
        <f>IF(AND(M$4&lt;=D130,D130&lt;=L$4),D130/E$4,IF(D130&gt;=L$4,L$4/E$4,M$4/E$4))</f>
        <v>0.984327788486575</v>
      </c>
      <c r="Q130" s="64" t="s">
        <v>105</v>
      </c>
      <c r="R130" s="20">
        <v>0.984327788486575</v>
      </c>
    </row>
    <row r="131" spans="1:18">
      <c r="A131" s="59" t="s">
        <v>165</v>
      </c>
      <c r="B131" s="60">
        <v>0.535</v>
      </c>
      <c r="C131" s="61">
        <f t="shared" si="2"/>
        <v>53.5</v>
      </c>
      <c r="D131" s="44">
        <f t="shared" si="3"/>
        <v>3.97968165390196</v>
      </c>
      <c r="N131">
        <f>IF(AND(M$4&lt;=D131,D131&lt;=L$4),D131/E$4,IF(D131&gt;=L$4,L$4/E$4,M$4/E$4))</f>
        <v>0.984327788486575</v>
      </c>
      <c r="Q131" s="64" t="s">
        <v>281</v>
      </c>
      <c r="R131" s="20">
        <v>0.849356638204441</v>
      </c>
    </row>
    <row r="132" spans="1:18">
      <c r="A132" s="59" t="s">
        <v>105</v>
      </c>
      <c r="B132" s="60">
        <v>0.535</v>
      </c>
      <c r="C132" s="61">
        <f t="shared" ref="C132:C195" si="4">B132*100</f>
        <v>53.5</v>
      </c>
      <c r="D132" s="44">
        <f t="shared" ref="D132:D195" si="5">LN(C132)</f>
        <v>3.97968165390196</v>
      </c>
      <c r="N132">
        <f>IF(AND(M$4&lt;=D132,D132&lt;=L$4),D132/E$4,IF(D132&gt;=L$4,L$4/E$4,M$4/E$4))</f>
        <v>0.984327788486575</v>
      </c>
      <c r="Q132" s="64" t="s">
        <v>143</v>
      </c>
      <c r="R132" s="20">
        <v>1.02059895294524</v>
      </c>
    </row>
    <row r="133" spans="1:18">
      <c r="A133" s="59" t="s">
        <v>281</v>
      </c>
      <c r="B133" s="60">
        <v>0.31</v>
      </c>
      <c r="C133" s="61">
        <f t="shared" si="4"/>
        <v>31</v>
      </c>
      <c r="D133" s="44">
        <f t="shared" si="5"/>
        <v>3.43398720448515</v>
      </c>
      <c r="N133">
        <f>IF(AND(M$4&lt;=D133,D133&lt;=L$4),D133/E$4,IF(D133&gt;=L$4,L$4/E$4,M$4/E$4))</f>
        <v>0.849356638204441</v>
      </c>
      <c r="Q133" s="64" t="s">
        <v>315</v>
      </c>
      <c r="R133" s="20">
        <v>0.984327788486575</v>
      </c>
    </row>
    <row r="134" spans="1:18">
      <c r="A134" s="59" t="s">
        <v>143</v>
      </c>
      <c r="B134" s="60">
        <v>0.6195</v>
      </c>
      <c r="C134" s="61">
        <f t="shared" si="4"/>
        <v>61.95</v>
      </c>
      <c r="D134" s="44">
        <f t="shared" si="5"/>
        <v>4.12632760807515</v>
      </c>
      <c r="N134">
        <f>IF(AND(M$4&lt;=D134,D134&lt;=L$4),D134/E$4,IF(D134&gt;=L$4,L$4/E$4,M$4/E$4))</f>
        <v>1.02059895294524</v>
      </c>
      <c r="Q134" s="64" t="s">
        <v>258</v>
      </c>
      <c r="R134" s="20">
        <v>0.959037421842255</v>
      </c>
    </row>
    <row r="135" spans="1:18">
      <c r="A135" s="59" t="s">
        <v>315</v>
      </c>
      <c r="B135" s="60">
        <v>0.535</v>
      </c>
      <c r="C135" s="61">
        <f t="shared" si="4"/>
        <v>53.5</v>
      </c>
      <c r="D135" s="44">
        <f t="shared" si="5"/>
        <v>3.97968165390196</v>
      </c>
      <c r="N135">
        <f>IF(AND(M$4&lt;=D135,D135&lt;=L$4),D135/E$4,IF(D135&gt;=L$4,L$4/E$4,M$4/E$4))</f>
        <v>0.984327788486575</v>
      </c>
      <c r="Q135" s="64" t="s">
        <v>142</v>
      </c>
      <c r="R135" s="20">
        <v>1.04545797242373</v>
      </c>
    </row>
    <row r="136" spans="1:18">
      <c r="A136" s="59" t="s">
        <v>258</v>
      </c>
      <c r="B136" s="60">
        <v>0.483</v>
      </c>
      <c r="C136" s="61">
        <f t="shared" si="4"/>
        <v>48.3</v>
      </c>
      <c r="D136" s="44">
        <f t="shared" si="5"/>
        <v>3.87743156065853</v>
      </c>
      <c r="N136">
        <f>IF(AND(M$4&lt;=D136,D136&lt;=L$4),D136/E$4,IF(D136&gt;=L$4,L$4/E$4,M$4/E$4))</f>
        <v>0.959037421842255</v>
      </c>
      <c r="Q136" s="64" t="s">
        <v>237</v>
      </c>
      <c r="R136" s="20">
        <v>0.959037421842255</v>
      </c>
    </row>
    <row r="137" spans="1:18">
      <c r="A137" s="59" t="s">
        <v>142</v>
      </c>
      <c r="B137" s="60">
        <v>0.685</v>
      </c>
      <c r="C137" s="61">
        <f t="shared" si="4"/>
        <v>68.5</v>
      </c>
      <c r="D137" s="44">
        <f t="shared" si="5"/>
        <v>4.22683374526818</v>
      </c>
      <c r="N137">
        <f>IF(AND(M$4&lt;=D137,D137&lt;=L$4),D137/E$4,IF(D137&gt;=L$4,L$4/E$4,M$4/E$4))</f>
        <v>1.04545797242373</v>
      </c>
      <c r="Q137" s="64" t="s">
        <v>217</v>
      </c>
      <c r="R137" s="20">
        <v>0.959037421842255</v>
      </c>
    </row>
    <row r="138" spans="1:18">
      <c r="A138" s="59" t="s">
        <v>237</v>
      </c>
      <c r="B138" s="60">
        <v>0.483</v>
      </c>
      <c r="C138" s="61">
        <f t="shared" si="4"/>
        <v>48.3</v>
      </c>
      <c r="D138" s="44">
        <f t="shared" si="5"/>
        <v>3.87743156065853</v>
      </c>
      <c r="N138">
        <f>IF(AND(M$4&lt;=D138,D138&lt;=L$4),D138/E$4,IF(D138&gt;=L$4,L$4/E$4,M$4/E$4))</f>
        <v>0.959037421842255</v>
      </c>
      <c r="Q138" s="64" t="s">
        <v>168</v>
      </c>
      <c r="R138" s="20">
        <v>0.959037421842255</v>
      </c>
    </row>
    <row r="139" spans="1:18">
      <c r="A139" s="59" t="s">
        <v>217</v>
      </c>
      <c r="B139" s="60">
        <v>0.483</v>
      </c>
      <c r="C139" s="61">
        <f t="shared" si="4"/>
        <v>48.3</v>
      </c>
      <c r="D139" s="44">
        <f t="shared" si="5"/>
        <v>3.87743156065853</v>
      </c>
      <c r="N139">
        <f>IF(AND(M$4&lt;=D139,D139&lt;=L$4),D139/E$4,IF(D139&gt;=L$4,L$4/E$4,M$4/E$4))</f>
        <v>0.959037421842255</v>
      </c>
      <c r="Q139" s="64" t="s">
        <v>200</v>
      </c>
      <c r="R139" s="20">
        <v>0.995623738832763</v>
      </c>
    </row>
    <row r="140" spans="1:18">
      <c r="A140" s="59" t="s">
        <v>168</v>
      </c>
      <c r="B140" s="60">
        <v>0.483</v>
      </c>
      <c r="C140" s="61">
        <f t="shared" si="4"/>
        <v>48.3</v>
      </c>
      <c r="D140" s="44">
        <f t="shared" si="5"/>
        <v>3.87743156065853</v>
      </c>
      <c r="N140">
        <f>IF(AND(M$4&lt;=D140,D140&lt;=L$4),D140/E$4,IF(D140&gt;=L$4,L$4/E$4,M$4/E$4))</f>
        <v>0.959037421842255</v>
      </c>
      <c r="Q140" s="64" t="s">
        <v>216</v>
      </c>
      <c r="R140" s="20">
        <v>0.82829113811418</v>
      </c>
    </row>
    <row r="141" spans="1:18">
      <c r="A141" s="59" t="s">
        <v>200</v>
      </c>
      <c r="B141" s="60">
        <v>0.56</v>
      </c>
      <c r="C141" s="61">
        <f t="shared" si="4"/>
        <v>56</v>
      </c>
      <c r="D141" s="44">
        <f t="shared" si="5"/>
        <v>4.02535169073515</v>
      </c>
      <c r="N141">
        <f>IF(AND(M$4&lt;=D141,D141&lt;=L$4),D141/E$4,IF(D141&gt;=L$4,L$4/E$4,M$4/E$4))</f>
        <v>0.995623738832763</v>
      </c>
      <c r="Q141" s="64" t="s">
        <v>215</v>
      </c>
      <c r="R141" s="20">
        <v>0.959037421842255</v>
      </c>
    </row>
    <row r="142" spans="1:18">
      <c r="A142" s="59" t="s">
        <v>216</v>
      </c>
      <c r="B142" s="60">
        <v>0.26</v>
      </c>
      <c r="C142" s="61">
        <f t="shared" si="4"/>
        <v>26</v>
      </c>
      <c r="D142" s="44">
        <f t="shared" si="5"/>
        <v>3.25809653802148</v>
      </c>
      <c r="N142">
        <f>IF(AND(M$4&lt;=D142,D142&lt;=L$4),D142/E$4,IF(D142&gt;=L$4,L$4/E$4,M$4/E$4))</f>
        <v>0.82829113811418</v>
      </c>
      <c r="Q142" s="64" t="s">
        <v>308</v>
      </c>
      <c r="R142" s="20">
        <v>1.04218673456892</v>
      </c>
    </row>
    <row r="143" spans="1:18">
      <c r="A143" s="59" t="s">
        <v>215</v>
      </c>
      <c r="B143" s="60">
        <v>0.483</v>
      </c>
      <c r="C143" s="61">
        <f t="shared" si="4"/>
        <v>48.3</v>
      </c>
      <c r="D143" s="44">
        <f t="shared" si="5"/>
        <v>3.87743156065853</v>
      </c>
      <c r="N143">
        <f>IF(AND(M$4&lt;=D143,D143&lt;=L$4),D143/E$4,IF(D143&gt;=L$4,L$4/E$4,M$4/E$4))</f>
        <v>0.959037421842255</v>
      </c>
      <c r="Q143" s="64" t="s">
        <v>266</v>
      </c>
      <c r="R143" s="20">
        <v>0.959037421842255</v>
      </c>
    </row>
    <row r="144" spans="1:18">
      <c r="A144" s="59" t="s">
        <v>308</v>
      </c>
      <c r="B144" s="60">
        <v>0.676</v>
      </c>
      <c r="C144" s="61">
        <f t="shared" si="4"/>
        <v>67.6</v>
      </c>
      <c r="D144" s="44">
        <f t="shared" si="5"/>
        <v>4.21360798304892</v>
      </c>
      <c r="N144">
        <f>IF(AND(M$4&lt;=D144,D144&lt;=L$4),D144/E$4,IF(D144&gt;=L$4,L$4/E$4,M$4/E$4))</f>
        <v>1.04218673456892</v>
      </c>
      <c r="Q144" s="64" t="s">
        <v>213</v>
      </c>
      <c r="R144" s="20">
        <v>0.959037421842255</v>
      </c>
    </row>
    <row r="145" spans="1:18">
      <c r="A145" s="59" t="s">
        <v>266</v>
      </c>
      <c r="B145" s="60">
        <v>0.483</v>
      </c>
      <c r="C145" s="61">
        <f t="shared" si="4"/>
        <v>48.3</v>
      </c>
      <c r="D145" s="44">
        <f t="shared" si="5"/>
        <v>3.87743156065853</v>
      </c>
      <c r="N145">
        <f>IF(AND(M$4&lt;=D145,D145&lt;=L$4),D145/E$4,IF(D145&gt;=L$4,L$4/E$4,M$4/E$4))</f>
        <v>0.959037421842255</v>
      </c>
      <c r="Q145" s="64" t="s">
        <v>158</v>
      </c>
      <c r="R145" s="20">
        <v>1.09915672899029</v>
      </c>
    </row>
    <row r="146" spans="1:18">
      <c r="A146" s="59" t="s">
        <v>213</v>
      </c>
      <c r="B146" s="60">
        <v>0.483</v>
      </c>
      <c r="C146" s="61">
        <f t="shared" si="4"/>
        <v>48.3</v>
      </c>
      <c r="D146" s="44">
        <f t="shared" si="5"/>
        <v>3.87743156065853</v>
      </c>
      <c r="N146">
        <f>IF(AND(M$4&lt;=D146,D146&lt;=L$4),D146/E$4,IF(D146&gt;=L$4,L$4/E$4,M$4/E$4))</f>
        <v>0.959037421842255</v>
      </c>
      <c r="Q146" s="64" t="s">
        <v>333</v>
      </c>
      <c r="R146" s="20">
        <v>1.07758105733172</v>
      </c>
    </row>
    <row r="147" spans="1:18">
      <c r="A147" s="59" t="s">
        <v>158</v>
      </c>
      <c r="B147" s="60">
        <v>0.878</v>
      </c>
      <c r="C147" s="61">
        <f t="shared" si="4"/>
        <v>87.8</v>
      </c>
      <c r="D147" s="44">
        <f t="shared" si="5"/>
        <v>4.47506150064107</v>
      </c>
      <c r="N147">
        <f>IF(AND(M$4&lt;=D147,D147&lt;=L$4),D147/E$4,IF(D147&gt;=L$4,L$4/E$4,M$4/E$4))</f>
        <v>1.09915672899029</v>
      </c>
      <c r="Q147" s="64" t="s">
        <v>48</v>
      </c>
      <c r="R147" s="20">
        <v>0.82829113811418</v>
      </c>
    </row>
    <row r="148" spans="1:18">
      <c r="A148" s="59" t="s">
        <v>333</v>
      </c>
      <c r="B148" s="60">
        <v>0.78</v>
      </c>
      <c r="C148" s="61">
        <f t="shared" si="4"/>
        <v>78</v>
      </c>
      <c r="D148" s="44">
        <f t="shared" si="5"/>
        <v>4.35670882668959</v>
      </c>
      <c r="N148">
        <f>IF(AND(M$4&lt;=D148,D148&lt;=L$4),D148/E$4,IF(D148&gt;=L$4,L$4/E$4,M$4/E$4))</f>
        <v>1.07758105733172</v>
      </c>
      <c r="Q148" s="64" t="s">
        <v>284</v>
      </c>
      <c r="R148" s="20">
        <v>0.933716306824701</v>
      </c>
    </row>
    <row r="149" spans="1:18">
      <c r="A149" s="59" t="s">
        <v>48</v>
      </c>
      <c r="B149" s="60">
        <v>0.145</v>
      </c>
      <c r="C149" s="61">
        <f t="shared" si="4"/>
        <v>14.5</v>
      </c>
      <c r="D149" s="44">
        <f t="shared" si="5"/>
        <v>2.67414864942653</v>
      </c>
      <c r="N149">
        <f>IF(AND(M$4&lt;=D149,D149&lt;=L$4),D149/E$4,IF(D149&gt;=L$4,L$4/E$4,M$4/E$4))</f>
        <v>0.82829113811418</v>
      </c>
      <c r="Q149" s="64" t="s">
        <v>183</v>
      </c>
      <c r="R149" s="20">
        <v>1.09737868645904</v>
      </c>
    </row>
    <row r="150" spans="1:18">
      <c r="A150" s="59" t="s">
        <v>284</v>
      </c>
      <c r="B150" s="60">
        <v>0.436</v>
      </c>
      <c r="C150" s="61">
        <f t="shared" si="4"/>
        <v>43.6</v>
      </c>
      <c r="D150" s="44">
        <f t="shared" si="5"/>
        <v>3.77505715035499</v>
      </c>
      <c r="N150">
        <f>IF(AND(M$4&lt;=D150,D150&lt;=L$4),D150/E$4,IF(D150&gt;=L$4,L$4/E$4,M$4/E$4))</f>
        <v>0.933716306824701</v>
      </c>
      <c r="Q150" s="64" t="s">
        <v>62</v>
      </c>
      <c r="R150" s="20">
        <v>0.82829113811418</v>
      </c>
    </row>
    <row r="151" spans="1:18">
      <c r="A151" s="59" t="s">
        <v>183</v>
      </c>
      <c r="B151" s="60">
        <v>0.845</v>
      </c>
      <c r="C151" s="61">
        <f t="shared" si="4"/>
        <v>84.5</v>
      </c>
      <c r="D151" s="44">
        <f t="shared" si="5"/>
        <v>4.43675153436313</v>
      </c>
      <c r="N151">
        <f>IF(AND(M$4&lt;=D151,D151&lt;=L$4),D151/E$4,IF(D151&gt;=L$4,L$4/E$4,M$4/E$4))</f>
        <v>1.09737868645904</v>
      </c>
      <c r="Q151" s="64" t="s">
        <v>246</v>
      </c>
      <c r="R151" s="20">
        <v>1.00086785732834</v>
      </c>
    </row>
    <row r="152" spans="1:18">
      <c r="A152" s="59" t="s">
        <v>62</v>
      </c>
      <c r="B152" s="60">
        <v>0.246</v>
      </c>
      <c r="C152" s="61">
        <f t="shared" si="4"/>
        <v>24.6</v>
      </c>
      <c r="D152" s="44">
        <f t="shared" si="5"/>
        <v>3.20274644293832</v>
      </c>
      <c r="N152">
        <f>IF(AND(M$4&lt;=D152,D152&lt;=L$4),D152/E$4,IF(D152&gt;=L$4,L$4/E$4,M$4/E$4))</f>
        <v>0.82829113811418</v>
      </c>
      <c r="Q152" s="64" t="s">
        <v>82</v>
      </c>
      <c r="R152" s="20">
        <v>0.879373829118875</v>
      </c>
    </row>
    <row r="153" spans="1:18">
      <c r="A153" s="59" t="s">
        <v>246</v>
      </c>
      <c r="B153" s="60">
        <v>0.572</v>
      </c>
      <c r="C153" s="61">
        <f t="shared" si="4"/>
        <v>57.2</v>
      </c>
      <c r="D153" s="44">
        <f t="shared" si="5"/>
        <v>4.04655389838575</v>
      </c>
      <c r="N153">
        <f>IF(AND(M$4&lt;=D153,D153&lt;=L$4),D153/E$4,IF(D153&gt;=L$4,L$4/E$4,M$4/E$4))</f>
        <v>1.00086785732834</v>
      </c>
      <c r="Q153" s="64" t="s">
        <v>208</v>
      </c>
      <c r="R153" s="20">
        <v>0.879373829118875</v>
      </c>
    </row>
    <row r="154" spans="1:18">
      <c r="A154" s="59" t="s">
        <v>82</v>
      </c>
      <c r="B154" s="60">
        <v>0.35</v>
      </c>
      <c r="C154" s="61">
        <f t="shared" si="4"/>
        <v>35</v>
      </c>
      <c r="D154" s="44">
        <f t="shared" si="5"/>
        <v>3.55534806148941</v>
      </c>
      <c r="N154">
        <f>IF(AND(M$4&lt;=D154,D154&lt;=L$4),D154/E$4,IF(D154&gt;=L$4,L$4/E$4,M$4/E$4))</f>
        <v>0.879373829118875</v>
      </c>
      <c r="Q154" s="64" t="s">
        <v>312</v>
      </c>
      <c r="R154" s="20">
        <v>0.9166922430315</v>
      </c>
    </row>
    <row r="155" spans="1:18">
      <c r="A155" s="59" t="s">
        <v>208</v>
      </c>
      <c r="B155" s="60">
        <v>0.35</v>
      </c>
      <c r="C155" s="61">
        <f t="shared" si="4"/>
        <v>35</v>
      </c>
      <c r="D155" s="44">
        <f t="shared" si="5"/>
        <v>3.55534806148941</v>
      </c>
      <c r="N155">
        <f>IF(AND(M$4&lt;=D155,D155&lt;=L$4),D155/E$4,IF(D155&gt;=L$4,L$4/E$4,M$4/E$4))</f>
        <v>0.879373829118875</v>
      </c>
      <c r="Q155" s="64" t="s">
        <v>226</v>
      </c>
      <c r="R155" s="20">
        <v>0.82829113811418</v>
      </c>
    </row>
    <row r="156" spans="1:18">
      <c r="A156" s="59" t="s">
        <v>312</v>
      </c>
      <c r="B156" s="60">
        <v>0.407</v>
      </c>
      <c r="C156" s="61">
        <f t="shared" si="4"/>
        <v>40.7</v>
      </c>
      <c r="D156" s="44">
        <f t="shared" si="5"/>
        <v>3.70622809244855</v>
      </c>
      <c r="N156">
        <f>IF(AND(M$4&lt;=D156,D156&lt;=L$4),D156/E$4,IF(D156&gt;=L$4,L$4/E$4,M$4/E$4))</f>
        <v>0.9166922430315</v>
      </c>
      <c r="Q156" s="64" t="s">
        <v>261</v>
      </c>
      <c r="R156" s="20">
        <v>0.868908648320979</v>
      </c>
    </row>
    <row r="157" spans="1:18">
      <c r="A157" s="59" t="s">
        <v>226</v>
      </c>
      <c r="B157" s="60">
        <v>0.174193548387097</v>
      </c>
      <c r="C157" s="61">
        <f t="shared" si="4"/>
        <v>17.4193548387097</v>
      </c>
      <c r="D157" s="44">
        <f t="shared" si="5"/>
        <v>2.85758193507317</v>
      </c>
      <c r="N157">
        <f>IF(AND(M$4&lt;=D157,D157&lt;=L$4),D157/E$4,IF(D157&gt;=L$4,L$4/E$4,M$4/E$4))</f>
        <v>0.82829113811418</v>
      </c>
      <c r="Q157" s="64" t="s">
        <v>268</v>
      </c>
      <c r="R157" s="20">
        <v>0.879373829118875</v>
      </c>
    </row>
    <row r="158" spans="1:18">
      <c r="A158" s="59" t="s">
        <v>261</v>
      </c>
      <c r="B158" s="60">
        <v>0.3355</v>
      </c>
      <c r="C158" s="61">
        <f t="shared" si="4"/>
        <v>33.55</v>
      </c>
      <c r="D158" s="44">
        <f t="shared" si="5"/>
        <v>3.51303686341769</v>
      </c>
      <c r="N158">
        <f>IF(AND(M$4&lt;=D158,D158&lt;=L$4),D158/E$4,IF(D158&gt;=L$4,L$4/E$4,M$4/E$4))</f>
        <v>0.868908648320979</v>
      </c>
      <c r="Q158" s="64" t="s">
        <v>164</v>
      </c>
      <c r="R158" s="20">
        <v>0.911968038664731</v>
      </c>
    </row>
    <row r="159" spans="1:18">
      <c r="A159" s="59" t="s">
        <v>268</v>
      </c>
      <c r="B159" s="60">
        <v>0.35</v>
      </c>
      <c r="C159" s="61">
        <f t="shared" si="4"/>
        <v>35</v>
      </c>
      <c r="D159" s="44">
        <f t="shared" si="5"/>
        <v>3.55534806148941</v>
      </c>
      <c r="N159">
        <f>IF(AND(M$4&lt;=D159,D159&lt;=L$4),D159/E$4,IF(D159&gt;=L$4,L$4/E$4,M$4/E$4))</f>
        <v>0.879373829118875</v>
      </c>
      <c r="Q159" s="64" t="s">
        <v>131</v>
      </c>
      <c r="R159" s="20">
        <v>0.879373829118875</v>
      </c>
    </row>
    <row r="160" spans="1:18">
      <c r="A160" s="59" t="s">
        <v>164</v>
      </c>
      <c r="B160" s="60">
        <v>0.3993</v>
      </c>
      <c r="C160" s="61">
        <f t="shared" si="4"/>
        <v>39.93</v>
      </c>
      <c r="D160" s="44">
        <f t="shared" si="5"/>
        <v>3.68712792107513</v>
      </c>
      <c r="N160">
        <f>IF(AND(M$4&lt;=D160,D160&lt;=L$4),D160/E$4,IF(D160&gt;=L$4,L$4/E$4,M$4/E$4))</f>
        <v>0.911968038664731</v>
      </c>
      <c r="Q160" s="64" t="s">
        <v>287</v>
      </c>
      <c r="R160" s="20">
        <v>0.879373829118875</v>
      </c>
    </row>
    <row r="161" spans="1:18">
      <c r="A161" s="59" t="s">
        <v>131</v>
      </c>
      <c r="B161" s="60">
        <v>0.35</v>
      </c>
      <c r="C161" s="61">
        <f t="shared" si="4"/>
        <v>35</v>
      </c>
      <c r="D161" s="44">
        <f t="shared" si="5"/>
        <v>3.55534806148941</v>
      </c>
      <c r="N161">
        <f>IF(AND(M$4&lt;=D161,D161&lt;=L$4),D161/E$4,IF(D161&gt;=L$4,L$4/E$4,M$4/E$4))</f>
        <v>0.879373829118875</v>
      </c>
      <c r="Q161" s="64" t="s">
        <v>49</v>
      </c>
      <c r="R161" s="20">
        <v>0.82829113811418</v>
      </c>
    </row>
    <row r="162" spans="1:18">
      <c r="A162" s="59" t="s">
        <v>287</v>
      </c>
      <c r="B162" s="60">
        <v>0.35</v>
      </c>
      <c r="C162" s="61">
        <f t="shared" si="4"/>
        <v>35</v>
      </c>
      <c r="D162" s="44">
        <f t="shared" si="5"/>
        <v>3.55534806148941</v>
      </c>
      <c r="N162">
        <f>IF(AND(M$4&lt;=D162,D162&lt;=L$4),D162/E$4,IF(D162&gt;=L$4,L$4/E$4,M$4/E$4))</f>
        <v>0.879373829118875</v>
      </c>
      <c r="Q162" s="64" t="s">
        <v>55</v>
      </c>
      <c r="R162" s="20">
        <v>0.82829113811418</v>
      </c>
    </row>
    <row r="163" spans="1:18">
      <c r="A163" s="59" t="s">
        <v>49</v>
      </c>
      <c r="B163" s="60">
        <v>0.227</v>
      </c>
      <c r="C163" s="61">
        <f t="shared" si="4"/>
        <v>22.7</v>
      </c>
      <c r="D163" s="44">
        <f t="shared" si="5"/>
        <v>3.12236492448736</v>
      </c>
      <c r="N163">
        <f>IF(AND(M$4&lt;=D163,D163&lt;=L$4),D163/E$4,IF(D163&gt;=L$4,L$4/E$4,M$4/E$4))</f>
        <v>0.82829113811418</v>
      </c>
      <c r="Q163" s="64" t="s">
        <v>293</v>
      </c>
      <c r="R163" s="20">
        <v>0.995623738832763</v>
      </c>
    </row>
    <row r="164" spans="1:18">
      <c r="A164" s="59" t="s">
        <v>55</v>
      </c>
      <c r="B164" s="60">
        <v>0.251</v>
      </c>
      <c r="C164" s="61">
        <f t="shared" si="4"/>
        <v>25.1</v>
      </c>
      <c r="D164" s="44">
        <f t="shared" si="5"/>
        <v>3.22286784613774</v>
      </c>
      <c r="N164">
        <f>IF(AND(M$4&lt;=D164,D164&lt;=L$4),D164/E$4,IF(D164&gt;=L$4,L$4/E$4,M$4/E$4))</f>
        <v>0.82829113811418</v>
      </c>
      <c r="Q164" s="64" t="s">
        <v>231</v>
      </c>
      <c r="R164" s="20">
        <v>0.899714462467669</v>
      </c>
    </row>
    <row r="165" spans="1:18">
      <c r="A165" s="59" t="s">
        <v>293</v>
      </c>
      <c r="B165" s="60">
        <v>0.56</v>
      </c>
      <c r="C165" s="61">
        <f t="shared" si="4"/>
        <v>56</v>
      </c>
      <c r="D165" s="44">
        <f t="shared" si="5"/>
        <v>4.02535169073515</v>
      </c>
      <c r="N165">
        <f>IF(AND(M$4&lt;=D165,D165&lt;=L$4),D165/E$4,IF(D165&gt;=L$4,L$4/E$4,M$4/E$4))</f>
        <v>0.995623738832763</v>
      </c>
      <c r="Q165" s="64" t="s">
        <v>77</v>
      </c>
      <c r="R165" s="20">
        <v>1.04364596194919</v>
      </c>
    </row>
    <row r="166" spans="1:18">
      <c r="A166" s="59" t="s">
        <v>231</v>
      </c>
      <c r="B166" s="60">
        <v>0.38</v>
      </c>
      <c r="C166" s="61">
        <f t="shared" si="4"/>
        <v>38</v>
      </c>
      <c r="D166" s="44">
        <f t="shared" si="5"/>
        <v>3.63758615972639</v>
      </c>
      <c r="N166">
        <f>IF(AND(M$4&lt;=D166,D166&lt;=L$4),D166/E$4,IF(D166&gt;=L$4,L$4/E$4,M$4/E$4))</f>
        <v>0.899714462467669</v>
      </c>
      <c r="Q166" s="64" t="s">
        <v>263</v>
      </c>
      <c r="R166" s="20">
        <v>0.952289053176491</v>
      </c>
    </row>
    <row r="167" spans="1:18">
      <c r="A167" s="59" t="s">
        <v>77</v>
      </c>
      <c r="B167" s="60">
        <v>0.68</v>
      </c>
      <c r="C167" s="61">
        <f t="shared" si="4"/>
        <v>68</v>
      </c>
      <c r="D167" s="44">
        <f t="shared" si="5"/>
        <v>4.21950770517611</v>
      </c>
      <c r="N167">
        <f>IF(AND(M$4&lt;=D167,D167&lt;=L$4),D167/E$4,IF(D167&gt;=L$4,L$4/E$4,M$4/E$4))</f>
        <v>1.04364596194919</v>
      </c>
      <c r="Q167" s="64" t="s">
        <v>107</v>
      </c>
      <c r="R167" s="20">
        <v>0.964106007480591</v>
      </c>
    </row>
    <row r="168" spans="1:18">
      <c r="A168" s="59" t="s">
        <v>263</v>
      </c>
      <c r="B168" s="60">
        <v>0.47</v>
      </c>
      <c r="C168" s="61">
        <f t="shared" si="4"/>
        <v>47</v>
      </c>
      <c r="D168" s="44">
        <f t="shared" si="5"/>
        <v>3.85014760171006</v>
      </c>
      <c r="N168">
        <f>IF(AND(M$4&lt;=D168,D168&lt;=L$4),D168/E$4,IF(D168&gt;=L$4,L$4/E$4,M$4/E$4))</f>
        <v>0.952289053176491</v>
      </c>
      <c r="Q168" s="64" t="s">
        <v>321</v>
      </c>
      <c r="R168" s="20">
        <v>0.990266020533607</v>
      </c>
    </row>
    <row r="169" spans="1:18">
      <c r="A169" s="59" t="s">
        <v>107</v>
      </c>
      <c r="B169" s="60">
        <v>0.493</v>
      </c>
      <c r="C169" s="61">
        <f t="shared" si="4"/>
        <v>49.3</v>
      </c>
      <c r="D169" s="44">
        <f t="shared" si="5"/>
        <v>3.89792408104864</v>
      </c>
      <c r="N169">
        <f>IF(AND(M$4&lt;=D169,D169&lt;=L$4),D169/E$4,IF(D169&gt;=L$4,L$4/E$4,M$4/E$4))</f>
        <v>0.964106007480591</v>
      </c>
      <c r="Q169" s="64" t="s">
        <v>92</v>
      </c>
      <c r="R169" s="20">
        <v>0.926813393959877</v>
      </c>
    </row>
    <row r="170" spans="1:18">
      <c r="A170" s="59" t="s">
        <v>321</v>
      </c>
      <c r="B170" s="60">
        <v>0.548</v>
      </c>
      <c r="C170" s="61">
        <f t="shared" si="4"/>
        <v>54.8</v>
      </c>
      <c r="D170" s="44">
        <f t="shared" si="5"/>
        <v>4.00369019395397</v>
      </c>
      <c r="N170">
        <f>IF(AND(M$4&lt;=D170,D170&lt;=L$4),D170/E$4,IF(D170&gt;=L$4,L$4/E$4,M$4/E$4))</f>
        <v>0.990266020533607</v>
      </c>
      <c r="Q170" s="64" t="s">
        <v>320</v>
      </c>
      <c r="R170" s="20">
        <v>1.00430316704558</v>
      </c>
    </row>
    <row r="171" spans="1:18">
      <c r="A171" s="59" t="s">
        <v>92</v>
      </c>
      <c r="B171" s="60">
        <v>0.424</v>
      </c>
      <c r="C171" s="61">
        <f t="shared" si="4"/>
        <v>42.4</v>
      </c>
      <c r="D171" s="44">
        <f t="shared" si="5"/>
        <v>3.74714836223791</v>
      </c>
      <c r="N171">
        <f>IF(AND(M$4&lt;=D171,D171&lt;=L$4),D171/E$4,IF(D171&gt;=L$4,L$4/E$4,M$4/E$4))</f>
        <v>0.926813393959877</v>
      </c>
      <c r="Q171" s="64" t="s">
        <v>262</v>
      </c>
      <c r="R171" s="20">
        <v>0.82829113811418</v>
      </c>
    </row>
    <row r="172" spans="1:18">
      <c r="A172" s="59" t="s">
        <v>320</v>
      </c>
      <c r="B172" s="60">
        <v>0.58</v>
      </c>
      <c r="C172" s="61">
        <f t="shared" si="4"/>
        <v>58</v>
      </c>
      <c r="D172" s="44">
        <f t="shared" si="5"/>
        <v>4.06044301054642</v>
      </c>
      <c r="N172">
        <f>IF(AND(M$4&lt;=D172,D172&lt;=L$4),D172/E$4,IF(D172&gt;=L$4,L$4/E$4,M$4/E$4))</f>
        <v>1.00430316704558</v>
      </c>
      <c r="Q172" s="64" t="s">
        <v>286</v>
      </c>
      <c r="R172" s="20">
        <v>0.967593211800291</v>
      </c>
    </row>
    <row r="173" spans="1:18">
      <c r="A173" s="59" t="s">
        <v>262</v>
      </c>
      <c r="B173" s="60">
        <v>0.2698</v>
      </c>
      <c r="C173" s="61">
        <f t="shared" si="4"/>
        <v>26.98</v>
      </c>
      <c r="D173" s="44">
        <f t="shared" si="5"/>
        <v>3.29509585077961</v>
      </c>
      <c r="N173">
        <f>IF(AND(M$4&lt;=D173,D173&lt;=L$4),D173/E$4,IF(D173&gt;=L$4,L$4/E$4,M$4/E$4))</f>
        <v>0.82829113811418</v>
      </c>
      <c r="Q173" s="64" t="s">
        <v>243</v>
      </c>
      <c r="R173" s="20">
        <v>0.964106007480591</v>
      </c>
    </row>
    <row r="174" spans="1:18">
      <c r="A174" s="59" t="s">
        <v>286</v>
      </c>
      <c r="B174" s="60">
        <v>0.5</v>
      </c>
      <c r="C174" s="61">
        <f t="shared" si="4"/>
        <v>50</v>
      </c>
      <c r="D174" s="44">
        <f t="shared" si="5"/>
        <v>3.91202300542815</v>
      </c>
      <c r="N174">
        <f>IF(AND(M$4&lt;=D174,D174&lt;=L$4),D174/E$4,IF(D174&gt;=L$4,L$4/E$4,M$4/E$4))</f>
        <v>0.967593211800291</v>
      </c>
      <c r="Q174" s="64" t="s">
        <v>274</v>
      </c>
      <c r="R174" s="20">
        <v>0.82829113811418</v>
      </c>
    </row>
    <row r="175" spans="1:18">
      <c r="A175" s="59" t="s">
        <v>243</v>
      </c>
      <c r="B175" s="60">
        <v>0.493</v>
      </c>
      <c r="C175" s="61">
        <f t="shared" si="4"/>
        <v>49.3</v>
      </c>
      <c r="D175" s="44">
        <f t="shared" si="5"/>
        <v>3.89792408104864</v>
      </c>
      <c r="N175">
        <f>IF(AND(M$4&lt;=D175,D175&lt;=L$4),D175/E$4,IF(D175&gt;=L$4,L$4/E$4,M$4/E$4))</f>
        <v>0.964106007480591</v>
      </c>
      <c r="Q175" s="64" t="s">
        <v>193</v>
      </c>
      <c r="R175" s="20">
        <v>0.952289053176491</v>
      </c>
    </row>
    <row r="176" spans="1:18">
      <c r="A176" s="59" t="s">
        <v>274</v>
      </c>
      <c r="B176" s="60">
        <v>0.24</v>
      </c>
      <c r="C176" s="61">
        <f t="shared" si="4"/>
        <v>24</v>
      </c>
      <c r="D176" s="44">
        <f t="shared" si="5"/>
        <v>3.17805383034795</v>
      </c>
      <c r="N176">
        <f>IF(AND(M$4&lt;=D176,D176&lt;=L$4),D176/E$4,IF(D176&gt;=L$4,L$4/E$4,M$4/E$4))</f>
        <v>0.82829113811418</v>
      </c>
      <c r="Q176" s="64" t="s">
        <v>190</v>
      </c>
      <c r="R176" s="20">
        <v>0.964106007480591</v>
      </c>
    </row>
    <row r="177" spans="1:18">
      <c r="A177" s="59" t="s">
        <v>193</v>
      </c>
      <c r="B177" s="60">
        <v>0.47</v>
      </c>
      <c r="C177" s="61">
        <f t="shared" si="4"/>
        <v>47</v>
      </c>
      <c r="D177" s="44">
        <f t="shared" si="5"/>
        <v>3.85014760171006</v>
      </c>
      <c r="N177">
        <f>IF(AND(M$4&lt;=D177,D177&lt;=L$4),D177/E$4,IF(D177&gt;=L$4,L$4/E$4,M$4/E$4))</f>
        <v>0.952289053176491</v>
      </c>
      <c r="Q177" s="64" t="s">
        <v>36</v>
      </c>
      <c r="R177" s="20">
        <v>0.899714462467669</v>
      </c>
    </row>
    <row r="178" spans="1:18">
      <c r="A178" s="59" t="s">
        <v>190</v>
      </c>
      <c r="B178" s="60">
        <v>0.493</v>
      </c>
      <c r="C178" s="61">
        <f t="shared" si="4"/>
        <v>49.3</v>
      </c>
      <c r="D178" s="44">
        <f t="shared" si="5"/>
        <v>3.89792408104864</v>
      </c>
      <c r="N178">
        <f>IF(AND(M$4&lt;=D178,D178&lt;=L$4),D178/E$4,IF(D178&gt;=L$4,L$4/E$4,M$4/E$4))</f>
        <v>0.964106007480591</v>
      </c>
      <c r="Q178" s="64" t="s">
        <v>351</v>
      </c>
      <c r="R178" s="20">
        <v>0.899714462467669</v>
      </c>
    </row>
    <row r="179" spans="1:18">
      <c r="A179" s="59" t="s">
        <v>36</v>
      </c>
      <c r="B179" s="60">
        <v>0.38</v>
      </c>
      <c r="C179" s="61">
        <f t="shared" si="4"/>
        <v>38</v>
      </c>
      <c r="D179" s="44">
        <f t="shared" si="5"/>
        <v>3.63758615972639</v>
      </c>
      <c r="N179">
        <f>IF(AND(M$4&lt;=D179,D179&lt;=L$4),D179/E$4,IF(D179&gt;=L$4,L$4/E$4,M$4/E$4))</f>
        <v>0.899714462467669</v>
      </c>
      <c r="Q179" s="64" t="s">
        <v>191</v>
      </c>
      <c r="R179" s="20">
        <v>0.82829113811418</v>
      </c>
    </row>
    <row r="180" spans="1:18">
      <c r="A180" s="59" t="s">
        <v>351</v>
      </c>
      <c r="B180" s="60">
        <v>0.38</v>
      </c>
      <c r="C180" s="61">
        <f t="shared" si="4"/>
        <v>38</v>
      </c>
      <c r="D180" s="44">
        <f t="shared" si="5"/>
        <v>3.63758615972639</v>
      </c>
      <c r="N180">
        <f>IF(AND(M$4&lt;=D180,D180&lt;=L$4),D180/E$4,IF(D180&gt;=L$4,L$4/E$4,M$4/E$4))</f>
        <v>0.899714462467669</v>
      </c>
      <c r="Q180" s="64" t="s">
        <v>278</v>
      </c>
      <c r="R180" s="20">
        <v>0.845334788232178</v>
      </c>
    </row>
    <row r="181" spans="1:18">
      <c r="A181" s="59" t="s">
        <v>191</v>
      </c>
      <c r="B181" s="60">
        <v>0.14</v>
      </c>
      <c r="C181" s="61">
        <f t="shared" si="4"/>
        <v>14</v>
      </c>
      <c r="D181" s="44">
        <f t="shared" si="5"/>
        <v>2.63905732961526</v>
      </c>
      <c r="N181">
        <f>IF(AND(M$4&lt;=D181,D181&lt;=L$4),D181/E$4,IF(D181&gt;=L$4,L$4/E$4,M$4/E$4))</f>
        <v>0.82829113811418</v>
      </c>
      <c r="Q181" s="64" t="s">
        <v>54</v>
      </c>
      <c r="R181" s="20">
        <v>0.82829113811418</v>
      </c>
    </row>
    <row r="182" spans="1:18">
      <c r="A182" s="59" t="s">
        <v>278</v>
      </c>
      <c r="B182" s="60">
        <v>0.305</v>
      </c>
      <c r="C182" s="61">
        <f t="shared" si="4"/>
        <v>30.5</v>
      </c>
      <c r="D182" s="44">
        <f t="shared" si="5"/>
        <v>3.41772668361337</v>
      </c>
      <c r="N182">
        <f>IF(AND(M$4&lt;=D182,D182&lt;=L$4),D182/E$4,IF(D182&gt;=L$4,L$4/E$4,M$4/E$4))</f>
        <v>0.845334788232178</v>
      </c>
      <c r="Q182" s="64" t="s">
        <v>225</v>
      </c>
      <c r="R182" s="20">
        <v>0.82829113811418</v>
      </c>
    </row>
    <row r="183" spans="1:18">
      <c r="A183" s="59" t="s">
        <v>54</v>
      </c>
      <c r="B183" s="60">
        <v>0.27</v>
      </c>
      <c r="C183" s="61">
        <f t="shared" si="4"/>
        <v>27</v>
      </c>
      <c r="D183" s="44">
        <f t="shared" si="5"/>
        <v>3.29583686600433</v>
      </c>
      <c r="N183">
        <f>IF(AND(M$4&lt;=D183,D183&lt;=L$4),D183/E$4,IF(D183&gt;=L$4,L$4/E$4,M$4/E$4))</f>
        <v>0.82829113811418</v>
      </c>
      <c r="Q183" s="64" t="s">
        <v>180</v>
      </c>
      <c r="R183" s="20">
        <v>0.82829113811418</v>
      </c>
    </row>
    <row r="184" spans="1:18">
      <c r="A184" s="59" t="s">
        <v>225</v>
      </c>
      <c r="B184" s="60">
        <v>0.27</v>
      </c>
      <c r="C184" s="61">
        <f t="shared" si="4"/>
        <v>27</v>
      </c>
      <c r="D184" s="44">
        <f t="shared" si="5"/>
        <v>3.29583686600433</v>
      </c>
      <c r="N184">
        <f>IF(AND(M$4&lt;=D184,D184&lt;=L$4),D184/E$4,IF(D184&gt;=L$4,L$4/E$4,M$4/E$4))</f>
        <v>0.82829113811418</v>
      </c>
      <c r="Q184" s="64" t="s">
        <v>247</v>
      </c>
      <c r="R184" s="20">
        <v>0.82829113811418</v>
      </c>
    </row>
    <row r="185" spans="1:18">
      <c r="A185" s="59" t="s">
        <v>180</v>
      </c>
      <c r="B185" s="60">
        <v>0.27</v>
      </c>
      <c r="C185" s="61">
        <f t="shared" si="4"/>
        <v>27</v>
      </c>
      <c r="D185" s="44">
        <f t="shared" si="5"/>
        <v>3.29583686600433</v>
      </c>
      <c r="N185">
        <f>IF(AND(M$4&lt;=D185,D185&lt;=L$4),D185/E$4,IF(D185&gt;=L$4,L$4/E$4,M$4/E$4))</f>
        <v>0.82829113811418</v>
      </c>
      <c r="Q185" s="64" t="s">
        <v>102</v>
      </c>
      <c r="R185" s="20">
        <v>1.03998162346804</v>
      </c>
    </row>
    <row r="186" spans="1:18">
      <c r="A186" s="59" t="s">
        <v>247</v>
      </c>
      <c r="B186" s="60">
        <v>0.058</v>
      </c>
      <c r="C186" s="61">
        <f t="shared" si="4"/>
        <v>5.8</v>
      </c>
      <c r="D186" s="44">
        <f t="shared" si="5"/>
        <v>1.75785791755237</v>
      </c>
      <c r="N186">
        <f>IF(AND(M$4&lt;=D186,D186&lt;=L$4),D186/E$4,IF(D186&gt;=L$4,L$4/E$4,M$4/E$4))</f>
        <v>0.82829113811418</v>
      </c>
      <c r="Q186" s="64" t="s">
        <v>73</v>
      </c>
      <c r="R186" s="20">
        <v>0.82829113811418</v>
      </c>
    </row>
    <row r="187" spans="1:18">
      <c r="A187" s="59" t="s">
        <v>102</v>
      </c>
      <c r="B187" s="60">
        <v>0.67</v>
      </c>
      <c r="C187" s="61">
        <f t="shared" si="4"/>
        <v>67</v>
      </c>
      <c r="D187" s="44">
        <f t="shared" si="5"/>
        <v>4.20469261939097</v>
      </c>
      <c r="N187">
        <f>IF(AND(M$4&lt;=D187,D187&lt;=L$4),D187/E$4,IF(D187&gt;=L$4,L$4/E$4,M$4/E$4))</f>
        <v>1.03998162346804</v>
      </c>
      <c r="Q187" s="64" t="s">
        <v>179</v>
      </c>
      <c r="R187" s="20">
        <v>0.82829113811418</v>
      </c>
    </row>
    <row r="188" spans="1:18">
      <c r="A188" s="59" t="s">
        <v>73</v>
      </c>
      <c r="B188" s="60">
        <v>0.27</v>
      </c>
      <c r="C188" s="61">
        <f t="shared" si="4"/>
        <v>27</v>
      </c>
      <c r="D188" s="44">
        <f t="shared" si="5"/>
        <v>3.29583686600433</v>
      </c>
      <c r="N188">
        <f>IF(AND(M$4&lt;=D188,D188&lt;=L$4),D188/E$4,IF(D188&gt;=L$4,L$4/E$4,M$4/E$4))</f>
        <v>0.82829113811418</v>
      </c>
      <c r="Q188" s="64" t="s">
        <v>205</v>
      </c>
      <c r="R188" s="20">
        <v>0.995623738832763</v>
      </c>
    </row>
    <row r="189" spans="1:18">
      <c r="A189" s="59" t="s">
        <v>179</v>
      </c>
      <c r="B189" s="60">
        <v>0.27</v>
      </c>
      <c r="C189" s="61">
        <f t="shared" si="4"/>
        <v>27</v>
      </c>
      <c r="D189" s="44">
        <f t="shared" si="5"/>
        <v>3.29583686600433</v>
      </c>
      <c r="N189">
        <f>IF(AND(M$4&lt;=D189,D189&lt;=L$4),D189/E$4,IF(D189&gt;=L$4,L$4/E$4,M$4/E$4))</f>
        <v>0.82829113811418</v>
      </c>
      <c r="Q189" s="64" t="s">
        <v>310</v>
      </c>
      <c r="R189" s="20">
        <v>0.83114961471026</v>
      </c>
    </row>
    <row r="190" spans="1:18">
      <c r="A190" s="59" t="s">
        <v>205</v>
      </c>
      <c r="B190" s="60">
        <v>0.56</v>
      </c>
      <c r="C190" s="61">
        <f t="shared" si="4"/>
        <v>56</v>
      </c>
      <c r="D190" s="44">
        <f t="shared" si="5"/>
        <v>4.02535169073515</v>
      </c>
      <c r="N190">
        <f>IF(AND(M$4&lt;=D190,D190&lt;=L$4),D190/E$4,IF(D190&gt;=L$4,L$4/E$4,M$4/E$4))</f>
        <v>0.995623738832763</v>
      </c>
      <c r="Q190" s="64" t="s">
        <v>192</v>
      </c>
      <c r="R190" s="20">
        <v>0.82829113811418</v>
      </c>
    </row>
    <row r="191" spans="1:18">
      <c r="A191" s="59" t="s">
        <v>310</v>
      </c>
      <c r="B191" s="60">
        <v>0.288</v>
      </c>
      <c r="C191" s="61">
        <f t="shared" si="4"/>
        <v>28.8</v>
      </c>
      <c r="D191" s="44">
        <f t="shared" si="5"/>
        <v>3.3603753871419</v>
      </c>
      <c r="N191">
        <f>IF(AND(M$4&lt;=D191,D191&lt;=L$4),D191/E$4,IF(D191&gt;=L$4,L$4/E$4,M$4/E$4))</f>
        <v>0.83114961471026</v>
      </c>
      <c r="Q191" s="64" t="s">
        <v>98</v>
      </c>
      <c r="R191" s="20">
        <v>0.932008555574052</v>
      </c>
    </row>
    <row r="192" spans="1:18">
      <c r="A192" s="59" t="s">
        <v>192</v>
      </c>
      <c r="B192" s="60">
        <v>0.27</v>
      </c>
      <c r="C192" s="61">
        <f t="shared" si="4"/>
        <v>27</v>
      </c>
      <c r="D192" s="44">
        <f t="shared" si="5"/>
        <v>3.29583686600433</v>
      </c>
      <c r="N192">
        <f>IF(AND(M$4&lt;=D192,D192&lt;=L$4),D192/E$4,IF(D192&gt;=L$4,L$4/E$4,M$4/E$4))</f>
        <v>0.82829113811418</v>
      </c>
      <c r="Q192" s="64" t="s">
        <v>290</v>
      </c>
      <c r="R192" s="20">
        <v>1.04975339135104</v>
      </c>
    </row>
    <row r="193" spans="1:18">
      <c r="A193" s="59" t="s">
        <v>98</v>
      </c>
      <c r="B193" s="60">
        <v>0.433</v>
      </c>
      <c r="C193" s="61">
        <f t="shared" si="4"/>
        <v>43.3</v>
      </c>
      <c r="D193" s="44">
        <f t="shared" si="5"/>
        <v>3.76815263500844</v>
      </c>
      <c r="N193">
        <f>IF(AND(M$4&lt;=D193,D193&lt;=L$4),D193/E$4,IF(D193&gt;=L$4,L$4/E$4,M$4/E$4))</f>
        <v>0.932008555574052</v>
      </c>
      <c r="Q193" s="64" t="s">
        <v>175</v>
      </c>
      <c r="R193" s="20">
        <v>1.03998162346804</v>
      </c>
    </row>
    <row r="194" spans="1:18">
      <c r="A194" s="59" t="s">
        <v>290</v>
      </c>
      <c r="B194" s="60">
        <v>0.697</v>
      </c>
      <c r="C194" s="61">
        <f t="shared" si="4"/>
        <v>69.7</v>
      </c>
      <c r="D194" s="44">
        <f t="shared" si="5"/>
        <v>4.24420031776648</v>
      </c>
      <c r="N194">
        <f>IF(AND(M$4&lt;=D194,D194&lt;=L$4),D194/E$4,IF(D194&gt;=L$4,L$4/E$4,M$4/E$4))</f>
        <v>1.04975339135104</v>
      </c>
      <c r="Q194" s="64" t="s">
        <v>94</v>
      </c>
      <c r="R194" s="20">
        <v>1.08116983976316</v>
      </c>
    </row>
    <row r="195" spans="1:18">
      <c r="A195" s="59" t="s">
        <v>175</v>
      </c>
      <c r="B195" s="60">
        <v>0.67</v>
      </c>
      <c r="C195" s="61">
        <f t="shared" si="4"/>
        <v>67</v>
      </c>
      <c r="D195" s="44">
        <f t="shared" si="5"/>
        <v>4.20469261939097</v>
      </c>
      <c r="N195">
        <f>IF(AND(M$4&lt;=D195,D195&lt;=L$4),D195/E$4,IF(D195&gt;=L$4,L$4/E$4,M$4/E$4))</f>
        <v>1.03998162346804</v>
      </c>
      <c r="Q195" s="64" t="s">
        <v>275</v>
      </c>
      <c r="R195" s="20">
        <v>1.04975339135104</v>
      </c>
    </row>
    <row r="196" spans="1:18">
      <c r="A196" s="59" t="s">
        <v>94</v>
      </c>
      <c r="B196" s="60">
        <v>0.7914</v>
      </c>
      <c r="C196" s="61">
        <f t="shared" ref="C196:C259" si="6">B196*100</f>
        <v>79.14</v>
      </c>
      <c r="D196" s="44">
        <f t="shared" ref="D196:D259" si="7">LN(C196)</f>
        <v>4.37121843595728</v>
      </c>
      <c r="N196">
        <f>IF(AND(M$4&lt;=D196,D196&lt;=L$4),D196/E$4,IF(D196&gt;=L$4,L$4/E$4,M$4/E$4))</f>
        <v>1.08116983976316</v>
      </c>
      <c r="Q196" s="64" t="s">
        <v>233</v>
      </c>
      <c r="R196" s="20">
        <v>0.873871637495788</v>
      </c>
    </row>
    <row r="197" spans="1:18">
      <c r="A197" s="59" t="s">
        <v>275</v>
      </c>
      <c r="B197" s="60">
        <v>0.697</v>
      </c>
      <c r="C197" s="61">
        <f t="shared" si="6"/>
        <v>69.7</v>
      </c>
      <c r="D197" s="44">
        <f t="shared" si="7"/>
        <v>4.24420031776648</v>
      </c>
      <c r="N197">
        <f>IF(AND(M$4&lt;=D197,D197&lt;=L$4),D197/E$4,IF(D197&gt;=L$4,L$4/E$4,M$4/E$4))</f>
        <v>1.04975339135104</v>
      </c>
      <c r="Q197" s="64" t="s">
        <v>299</v>
      </c>
      <c r="R197" s="20">
        <v>0.992959386424281</v>
      </c>
    </row>
    <row r="198" spans="1:18">
      <c r="A198" s="59" t="s">
        <v>233</v>
      </c>
      <c r="B198" s="60">
        <v>0.3423</v>
      </c>
      <c r="C198" s="61">
        <f t="shared" si="6"/>
        <v>34.23</v>
      </c>
      <c r="D198" s="44">
        <f t="shared" si="7"/>
        <v>3.53310245254209</v>
      </c>
      <c r="N198">
        <f>IF(AND(M$4&lt;=D198,D198&lt;=L$4),D198/E$4,IF(D198&gt;=L$4,L$4/E$4,M$4/E$4))</f>
        <v>0.873871637495788</v>
      </c>
      <c r="Q198" s="64" t="s">
        <v>67</v>
      </c>
      <c r="R198" s="20">
        <v>0.878453433551001</v>
      </c>
    </row>
    <row r="199" spans="1:18">
      <c r="A199" s="59" t="s">
        <v>299</v>
      </c>
      <c r="B199" s="60">
        <v>0.554</v>
      </c>
      <c r="C199" s="61">
        <f t="shared" si="6"/>
        <v>55.4</v>
      </c>
      <c r="D199" s="44">
        <f t="shared" si="7"/>
        <v>4.01457959375324</v>
      </c>
      <c r="N199">
        <f>IF(AND(M$4&lt;=D199,D199&lt;=L$4),D199/E$4,IF(D199&gt;=L$4,L$4/E$4,M$4/E$4))</f>
        <v>0.992959386424281</v>
      </c>
      <c r="Q199" s="64" t="s">
        <v>238</v>
      </c>
      <c r="R199" s="20">
        <v>1.01655578916146</v>
      </c>
    </row>
    <row r="200" spans="1:18">
      <c r="A200" s="59" t="s">
        <v>67</v>
      </c>
      <c r="B200" s="60">
        <v>0.3487</v>
      </c>
      <c r="C200" s="61">
        <f t="shared" si="6"/>
        <v>34.87</v>
      </c>
      <c r="D200" s="44">
        <f t="shared" si="7"/>
        <v>3.55162686068756</v>
      </c>
      <c r="N200">
        <f>IF(AND(M$4&lt;=D200,D200&lt;=L$4),D200/E$4,IF(D200&gt;=L$4,L$4/E$4,M$4/E$4))</f>
        <v>0.878453433551001</v>
      </c>
      <c r="Q200" s="64" t="s">
        <v>148</v>
      </c>
      <c r="R200" s="20">
        <v>1.01655578916146</v>
      </c>
    </row>
    <row r="201" spans="1:18">
      <c r="A201" s="59" t="s">
        <v>238</v>
      </c>
      <c r="B201" s="60">
        <v>0.609455543822598</v>
      </c>
      <c r="C201" s="61">
        <f t="shared" si="6"/>
        <v>60.9455543822598</v>
      </c>
      <c r="D201" s="44">
        <f t="shared" si="7"/>
        <v>4.1099809145019</v>
      </c>
      <c r="N201">
        <f>IF(AND(M$4&lt;=D201,D201&lt;=L$4),D201/E$4,IF(D201&gt;=L$4,L$4/E$4,M$4/E$4))</f>
        <v>1.01655578916146</v>
      </c>
      <c r="Q201" s="64" t="s">
        <v>254</v>
      </c>
      <c r="R201" s="20">
        <v>1.01655578916146</v>
      </c>
    </row>
    <row r="202" spans="1:18">
      <c r="A202" s="59" t="s">
        <v>148</v>
      </c>
      <c r="B202" s="60">
        <v>0.609455543822598</v>
      </c>
      <c r="C202" s="61">
        <f t="shared" si="6"/>
        <v>60.9455543822598</v>
      </c>
      <c r="D202" s="44">
        <f t="shared" si="7"/>
        <v>4.1099809145019</v>
      </c>
      <c r="N202">
        <f>IF(AND(M$4&lt;=D202,D202&lt;=L$4),D202/E$4,IF(D202&gt;=L$4,L$4/E$4,M$4/E$4))</f>
        <v>1.01655578916146</v>
      </c>
      <c r="Q202" s="64" t="s">
        <v>187</v>
      </c>
      <c r="R202" s="20">
        <v>1.01655578916146</v>
      </c>
    </row>
    <row r="203" spans="1:18">
      <c r="A203" s="59" t="s">
        <v>254</v>
      </c>
      <c r="B203" s="60">
        <v>0.609455543822598</v>
      </c>
      <c r="C203" s="61">
        <f t="shared" si="6"/>
        <v>60.9455543822598</v>
      </c>
      <c r="D203" s="44">
        <f t="shared" si="7"/>
        <v>4.1099809145019</v>
      </c>
      <c r="N203">
        <f>IF(AND(M$4&lt;=D203,D203&lt;=L$4),D203/E$4,IF(D203&gt;=L$4,L$4/E$4,M$4/E$4))</f>
        <v>1.01655578916146</v>
      </c>
      <c r="Q203" s="64" t="s">
        <v>235</v>
      </c>
      <c r="R203" s="20">
        <v>1.01655578916146</v>
      </c>
    </row>
    <row r="204" spans="1:18">
      <c r="A204" s="59" t="s">
        <v>187</v>
      </c>
      <c r="B204" s="60">
        <v>0.609455543822598</v>
      </c>
      <c r="C204" s="61">
        <f t="shared" si="6"/>
        <v>60.9455543822598</v>
      </c>
      <c r="D204" s="44">
        <f t="shared" si="7"/>
        <v>4.1099809145019</v>
      </c>
      <c r="N204">
        <f>IF(AND(M$4&lt;=D204,D204&lt;=L$4),D204/E$4,IF(D204&gt;=L$4,L$4/E$4,M$4/E$4))</f>
        <v>1.01655578916146</v>
      </c>
      <c r="Q204" s="64" t="s">
        <v>302</v>
      </c>
      <c r="R204" s="20">
        <v>1.05081569072288</v>
      </c>
    </row>
    <row r="205" spans="1:18">
      <c r="A205" s="59" t="s">
        <v>235</v>
      </c>
      <c r="B205" s="60">
        <v>0.609455543822598</v>
      </c>
      <c r="C205" s="61">
        <f t="shared" si="6"/>
        <v>60.9455543822598</v>
      </c>
      <c r="D205" s="44">
        <f t="shared" si="7"/>
        <v>4.1099809145019</v>
      </c>
      <c r="N205">
        <f>IF(AND(M$4&lt;=D205,D205&lt;=L$4),D205/E$4,IF(D205&gt;=L$4,L$4/E$4,M$4/E$4))</f>
        <v>1.01655578916146</v>
      </c>
      <c r="Q205" s="64" t="s">
        <v>144</v>
      </c>
      <c r="R205" s="20">
        <v>1.06044851673774</v>
      </c>
    </row>
    <row r="206" spans="1:18">
      <c r="A206" s="59" t="s">
        <v>302</v>
      </c>
      <c r="B206" s="60">
        <v>0.7</v>
      </c>
      <c r="C206" s="61">
        <f t="shared" si="6"/>
        <v>70</v>
      </c>
      <c r="D206" s="44">
        <f t="shared" si="7"/>
        <v>4.24849524204936</v>
      </c>
      <c r="N206">
        <f>IF(AND(M$4&lt;=D206,D206&lt;=L$4),D206/E$4,IF(D206&gt;=L$4,L$4/E$4,M$4/E$4))</f>
        <v>1.05081569072288</v>
      </c>
      <c r="Q206" s="64" t="s">
        <v>288</v>
      </c>
      <c r="R206" s="20">
        <v>1.08384312151418</v>
      </c>
    </row>
    <row r="207" spans="1:18">
      <c r="A207" s="59" t="s">
        <v>144</v>
      </c>
      <c r="B207" s="60">
        <v>0.7278</v>
      </c>
      <c r="C207" s="61">
        <f t="shared" si="6"/>
        <v>72.78</v>
      </c>
      <c r="D207" s="44">
        <f t="shared" si="7"/>
        <v>4.28744119218401</v>
      </c>
      <c r="N207">
        <f>IF(AND(M$4&lt;=D207,D207&lt;=L$4),D207/E$4,IF(D207&gt;=L$4,L$4/E$4,M$4/E$4))</f>
        <v>1.06044851673774</v>
      </c>
      <c r="Q207" s="64" t="s">
        <v>211</v>
      </c>
      <c r="R207" s="20">
        <v>0.977293997239544</v>
      </c>
    </row>
    <row r="208" spans="1:18">
      <c r="A208" s="59" t="s">
        <v>288</v>
      </c>
      <c r="B208" s="60">
        <v>0.8</v>
      </c>
      <c r="C208" s="61">
        <f t="shared" si="6"/>
        <v>80</v>
      </c>
      <c r="D208" s="44">
        <f t="shared" si="7"/>
        <v>4.38202663467388</v>
      </c>
      <c r="N208">
        <f>IF(AND(M$4&lt;=D208,D208&lt;=L$4),D208/E$4,IF(D208&gt;=L$4,L$4/E$4,M$4/E$4))</f>
        <v>1.08384312151418</v>
      </c>
      <c r="Q208" s="64" t="s">
        <v>89</v>
      </c>
      <c r="R208" s="20">
        <v>1.05081569072288</v>
      </c>
    </row>
    <row r="209" spans="1:18">
      <c r="A209" s="59" t="s">
        <v>211</v>
      </c>
      <c r="B209" s="60">
        <v>0.52</v>
      </c>
      <c r="C209" s="61">
        <f t="shared" si="6"/>
        <v>52</v>
      </c>
      <c r="D209" s="44">
        <f t="shared" si="7"/>
        <v>3.95124371858143</v>
      </c>
      <c r="N209">
        <f>IF(AND(M$4&lt;=D209,D209&lt;=L$4),D209/E$4,IF(D209&gt;=L$4,L$4/E$4,M$4/E$4))</f>
        <v>0.977293997239544</v>
      </c>
      <c r="Q209" s="64" t="s">
        <v>169</v>
      </c>
      <c r="R209" s="20">
        <v>1.06788027189246</v>
      </c>
    </row>
    <row r="210" spans="1:18">
      <c r="A210" s="59" t="s">
        <v>89</v>
      </c>
      <c r="B210" s="60">
        <v>0.7</v>
      </c>
      <c r="C210" s="61">
        <f t="shared" si="6"/>
        <v>70</v>
      </c>
      <c r="D210" s="44">
        <f t="shared" si="7"/>
        <v>4.24849524204936</v>
      </c>
      <c r="N210">
        <f>IF(AND(M$4&lt;=D210,D210&lt;=L$4),D210/E$4,IF(D210&gt;=L$4,L$4/E$4,M$4/E$4))</f>
        <v>1.05081569072288</v>
      </c>
      <c r="Q210" s="64" t="s">
        <v>171</v>
      </c>
      <c r="R210" s="20">
        <v>0.972345624496975</v>
      </c>
    </row>
    <row r="211" spans="1:18">
      <c r="A211" s="59" t="s">
        <v>169</v>
      </c>
      <c r="B211" s="60">
        <v>0.75</v>
      </c>
      <c r="C211" s="61">
        <f t="shared" si="6"/>
        <v>75</v>
      </c>
      <c r="D211" s="44">
        <f t="shared" si="7"/>
        <v>4.31748811353631</v>
      </c>
      <c r="N211">
        <f>IF(AND(M$4&lt;=D211,D211&lt;=L$4),D211/E$4,IF(D211&gt;=L$4,L$4/E$4,M$4/E$4))</f>
        <v>1.06788027189246</v>
      </c>
      <c r="Q211" s="64" t="s">
        <v>154</v>
      </c>
      <c r="R211" s="20">
        <v>1.05081569072288</v>
      </c>
    </row>
    <row r="212" spans="1:18">
      <c r="A212" s="59" t="s">
        <v>171</v>
      </c>
      <c r="B212" s="60">
        <v>0.5097</v>
      </c>
      <c r="C212" s="61">
        <f t="shared" si="6"/>
        <v>50.97</v>
      </c>
      <c r="D212" s="44">
        <f t="shared" si="7"/>
        <v>3.93123722435195</v>
      </c>
      <c r="N212">
        <f>IF(AND(M$4&lt;=D212,D212&lt;=L$4),D212/E$4,IF(D212&gt;=L$4,L$4/E$4,M$4/E$4))</f>
        <v>0.972345624496975</v>
      </c>
      <c r="Q212" s="64" t="s">
        <v>189</v>
      </c>
      <c r="R212" s="20">
        <v>0.983865041254239</v>
      </c>
    </row>
    <row r="213" spans="1:18">
      <c r="A213" s="59" t="s">
        <v>154</v>
      </c>
      <c r="B213" s="60">
        <v>0.7</v>
      </c>
      <c r="C213" s="61">
        <f t="shared" si="6"/>
        <v>70</v>
      </c>
      <c r="D213" s="44">
        <f t="shared" si="7"/>
        <v>4.24849524204936</v>
      </c>
      <c r="N213">
        <f>IF(AND(M$4&lt;=D213,D213&lt;=L$4),D213/E$4,IF(D213&gt;=L$4,L$4/E$4,M$4/E$4))</f>
        <v>1.05081569072288</v>
      </c>
      <c r="Q213" s="64" t="s">
        <v>117</v>
      </c>
      <c r="R213" s="20">
        <v>1.08384312151418</v>
      </c>
    </row>
    <row r="214" spans="1:18">
      <c r="A214" s="59" t="s">
        <v>189</v>
      </c>
      <c r="B214" s="60">
        <v>0.534</v>
      </c>
      <c r="C214" s="61">
        <f t="shared" si="6"/>
        <v>53.4</v>
      </c>
      <c r="D214" s="44">
        <f t="shared" si="7"/>
        <v>3.97781074596615</v>
      </c>
      <c r="N214">
        <f>IF(AND(M$4&lt;=D214,D214&lt;=L$4),D214/E$4,IF(D214&gt;=L$4,L$4/E$4,M$4/E$4))</f>
        <v>0.983865041254239</v>
      </c>
      <c r="Q214" s="64" t="s">
        <v>157</v>
      </c>
      <c r="R214" s="20">
        <v>1.01268832000234</v>
      </c>
    </row>
    <row r="215" spans="1:18">
      <c r="A215" s="59" t="s">
        <v>117</v>
      </c>
      <c r="B215" s="60">
        <v>0.8</v>
      </c>
      <c r="C215" s="61">
        <f t="shared" si="6"/>
        <v>80</v>
      </c>
      <c r="D215" s="44">
        <f t="shared" si="7"/>
        <v>4.38202663467388</v>
      </c>
      <c r="N215">
        <f>IF(AND(M$4&lt;=D215,D215&lt;=L$4),D215/E$4,IF(D215&gt;=L$4,L$4/E$4,M$4/E$4))</f>
        <v>1.08384312151418</v>
      </c>
      <c r="Q215" s="64" t="s">
        <v>206</v>
      </c>
      <c r="R215" s="20">
        <v>1.02079849980845</v>
      </c>
    </row>
    <row r="216" spans="1:18">
      <c r="A216" s="59" t="s">
        <v>157</v>
      </c>
      <c r="B216" s="60">
        <v>0.6</v>
      </c>
      <c r="C216" s="61">
        <f t="shared" si="6"/>
        <v>60</v>
      </c>
      <c r="D216" s="44">
        <f t="shared" si="7"/>
        <v>4.0943445622221</v>
      </c>
      <c r="N216">
        <f>IF(AND(M$4&lt;=D216,D216&lt;=L$4),D216/E$4,IF(D216&gt;=L$4,L$4/E$4,M$4/E$4))</f>
        <v>1.01268832000234</v>
      </c>
      <c r="Q216" s="64" t="s">
        <v>218</v>
      </c>
      <c r="R216" s="20">
        <v>0.983865041254239</v>
      </c>
    </row>
    <row r="217" spans="1:18">
      <c r="A217" s="59" t="s">
        <v>206</v>
      </c>
      <c r="B217" s="60">
        <v>0.62</v>
      </c>
      <c r="C217" s="61">
        <f t="shared" si="6"/>
        <v>62</v>
      </c>
      <c r="D217" s="44">
        <f t="shared" si="7"/>
        <v>4.12713438504509</v>
      </c>
      <c r="N217">
        <f>IF(AND(M$4&lt;=D217,D217&lt;=L$4),D217/E$4,IF(D217&gt;=L$4,L$4/E$4,M$4/E$4))</f>
        <v>1.02079849980845</v>
      </c>
      <c r="Q217" s="64" t="s">
        <v>202</v>
      </c>
      <c r="R217" s="20">
        <v>1.062175675738</v>
      </c>
    </row>
    <row r="218" spans="1:18">
      <c r="A218" s="59" t="s">
        <v>218</v>
      </c>
      <c r="B218" s="60">
        <v>0.534</v>
      </c>
      <c r="C218" s="61">
        <f t="shared" si="6"/>
        <v>53.4</v>
      </c>
      <c r="D218" s="44">
        <f t="shared" si="7"/>
        <v>3.97781074596615</v>
      </c>
      <c r="N218">
        <f>IF(AND(M$4&lt;=D218,D218&lt;=L$4),D218/E$4,IF(D218&gt;=L$4,L$4/E$4,M$4/E$4))</f>
        <v>0.983865041254239</v>
      </c>
      <c r="Q218" s="64" t="s">
        <v>276</v>
      </c>
      <c r="R218" s="20">
        <v>1.03248594912967</v>
      </c>
    </row>
    <row r="219" spans="1:18">
      <c r="A219" s="59" t="s">
        <v>202</v>
      </c>
      <c r="B219" s="60">
        <v>0.7329</v>
      </c>
      <c r="C219" s="61">
        <f t="shared" si="6"/>
        <v>73.29</v>
      </c>
      <c r="D219" s="44">
        <f t="shared" si="7"/>
        <v>4.29442417393776</v>
      </c>
      <c r="N219">
        <f>IF(AND(M$4&lt;=D219,D219&lt;=L$4),D219/E$4,IF(D219&gt;=L$4,L$4/E$4,M$4/E$4))</f>
        <v>1.062175675738</v>
      </c>
      <c r="Q219" s="64" t="s">
        <v>207</v>
      </c>
      <c r="R219" s="20">
        <v>0.983865041254239</v>
      </c>
    </row>
    <row r="220" spans="1:18">
      <c r="A220" s="59" t="s">
        <v>276</v>
      </c>
      <c r="B220" s="60">
        <v>0.65</v>
      </c>
      <c r="C220" s="61">
        <f t="shared" si="6"/>
        <v>65</v>
      </c>
      <c r="D220" s="44">
        <f t="shared" si="7"/>
        <v>4.17438726989564</v>
      </c>
      <c r="N220">
        <f>IF(AND(M$4&lt;=D220,D220&lt;=L$4),D220/E$4,IF(D220&gt;=L$4,L$4/E$4,M$4/E$4))</f>
        <v>1.03248594912967</v>
      </c>
      <c r="Q220" s="64" t="s">
        <v>177</v>
      </c>
      <c r="R220" s="20">
        <v>1.00302051080786</v>
      </c>
    </row>
    <row r="221" spans="1:18">
      <c r="A221" s="59" t="s">
        <v>207</v>
      </c>
      <c r="B221" s="60">
        <v>0.534</v>
      </c>
      <c r="C221" s="61">
        <f t="shared" si="6"/>
        <v>53.4</v>
      </c>
      <c r="D221" s="44">
        <f t="shared" si="7"/>
        <v>3.97781074596615</v>
      </c>
      <c r="N221">
        <f>IF(AND(M$4&lt;=D221,D221&lt;=L$4),D221/E$4,IF(D221&gt;=L$4,L$4/E$4,M$4/E$4))</f>
        <v>0.983865041254239</v>
      </c>
      <c r="Q221" s="64" t="s">
        <v>316</v>
      </c>
      <c r="R221" s="20">
        <v>0.991167071889091</v>
      </c>
    </row>
    <row r="222" spans="1:18">
      <c r="A222" s="59" t="s">
        <v>177</v>
      </c>
      <c r="B222" s="60">
        <v>0.577</v>
      </c>
      <c r="C222" s="61">
        <f t="shared" si="6"/>
        <v>57.7</v>
      </c>
      <c r="D222" s="44">
        <f t="shared" si="7"/>
        <v>4.05525717351405</v>
      </c>
      <c r="N222">
        <f>IF(AND(M$4&lt;=D222,D222&lt;=L$4),D222/E$4,IF(D222&gt;=L$4,L$4/E$4,M$4/E$4))</f>
        <v>1.00302051080786</v>
      </c>
      <c r="Q222" s="64" t="s">
        <v>228</v>
      </c>
      <c r="R222" s="20">
        <v>1.09915672899029</v>
      </c>
    </row>
    <row r="223" spans="1:18">
      <c r="A223" s="59" t="s">
        <v>316</v>
      </c>
      <c r="B223" s="60">
        <v>0.55</v>
      </c>
      <c r="C223" s="61">
        <f t="shared" si="6"/>
        <v>55</v>
      </c>
      <c r="D223" s="44">
        <f t="shared" si="7"/>
        <v>4.00733318523247</v>
      </c>
      <c r="N223">
        <f>IF(AND(M$4&lt;=D223,D223&lt;=L$4),D223/E$4,IF(D223&gt;=L$4,L$4/E$4,M$4/E$4))</f>
        <v>0.991167071889091</v>
      </c>
      <c r="Q223" s="64" t="s">
        <v>136</v>
      </c>
      <c r="R223" s="20">
        <v>1.08691568678472</v>
      </c>
    </row>
    <row r="224" spans="1:18">
      <c r="A224" s="59" t="s">
        <v>228</v>
      </c>
      <c r="B224" s="60">
        <v>0.859</v>
      </c>
      <c r="C224" s="61">
        <f t="shared" si="6"/>
        <v>85.9</v>
      </c>
      <c r="D224" s="44">
        <f t="shared" si="7"/>
        <v>4.45318382899021</v>
      </c>
      <c r="N224">
        <f>IF(AND(M$4&lt;=D224,D224&lt;=L$4),D224/E$4,IF(D224&gt;=L$4,L$4/E$4,M$4/E$4))</f>
        <v>1.09915672899029</v>
      </c>
      <c r="Q224" s="64" t="s">
        <v>97</v>
      </c>
      <c r="R224" s="20">
        <v>1.08691568678472</v>
      </c>
    </row>
    <row r="225" spans="1:18">
      <c r="A225" s="59" t="s">
        <v>136</v>
      </c>
      <c r="B225" s="60">
        <v>0.81</v>
      </c>
      <c r="C225" s="61">
        <f t="shared" si="6"/>
        <v>81</v>
      </c>
      <c r="D225" s="44">
        <f t="shared" si="7"/>
        <v>4.39444915467244</v>
      </c>
      <c r="N225">
        <f>IF(AND(M$4&lt;=D225,D225&lt;=L$4),D225/E$4,IF(D225&gt;=L$4,L$4/E$4,M$4/E$4))</f>
        <v>1.08691568678472</v>
      </c>
      <c r="Q225" s="64" t="s">
        <v>53</v>
      </c>
      <c r="R225" s="20">
        <v>1.08260332782288</v>
      </c>
    </row>
    <row r="226" spans="1:18">
      <c r="A226" s="59" t="s">
        <v>97</v>
      </c>
      <c r="B226" s="60">
        <v>0.81</v>
      </c>
      <c r="C226" s="61">
        <f t="shared" si="6"/>
        <v>81</v>
      </c>
      <c r="D226" s="44">
        <f t="shared" si="7"/>
        <v>4.39444915467244</v>
      </c>
      <c r="N226">
        <f>IF(AND(M$4&lt;=D226,D226&lt;=L$4),D226/E$4,IF(D226&gt;=L$4,L$4/E$4,M$4/E$4))</f>
        <v>1.08691568678472</v>
      </c>
      <c r="Q226" s="64" t="s">
        <v>352</v>
      </c>
      <c r="R226" s="20">
        <v>1.04689808317937</v>
      </c>
    </row>
    <row r="227" spans="1:18">
      <c r="A227" s="59" t="s">
        <v>53</v>
      </c>
      <c r="B227" s="60">
        <v>0.796</v>
      </c>
      <c r="C227" s="61">
        <f t="shared" si="6"/>
        <v>79.6</v>
      </c>
      <c r="D227" s="44">
        <f t="shared" si="7"/>
        <v>4.37701409285034</v>
      </c>
      <c r="N227">
        <f>IF(AND(M$4&lt;=D227,D227&lt;=L$4),D227/E$4,IF(D227&gt;=L$4,L$4/E$4,M$4/E$4))</f>
        <v>1.08260332782288</v>
      </c>
      <c r="Q227" s="64" t="s">
        <v>249</v>
      </c>
      <c r="R227" s="20">
        <v>1.08384312151418</v>
      </c>
    </row>
    <row r="228" spans="1:18">
      <c r="A228" s="59" t="s">
        <v>352</v>
      </c>
      <c r="B228" s="60">
        <v>0.689</v>
      </c>
      <c r="C228" s="61">
        <f t="shared" si="6"/>
        <v>68.9</v>
      </c>
      <c r="D228" s="44">
        <f t="shared" si="7"/>
        <v>4.23265617801961</v>
      </c>
      <c r="N228">
        <f>IF(AND(M$4&lt;=D228,D228&lt;=L$4),D228/E$4,IF(D228&gt;=L$4,L$4/E$4,M$4/E$4))</f>
        <v>1.04689808317937</v>
      </c>
      <c r="Q228" s="64" t="s">
        <v>245</v>
      </c>
      <c r="R228" s="20">
        <v>1.06119504537661</v>
      </c>
    </row>
    <row r="229" spans="1:18">
      <c r="A229" s="59" t="s">
        <v>249</v>
      </c>
      <c r="B229" s="60">
        <v>0.8</v>
      </c>
      <c r="C229" s="61">
        <f t="shared" si="6"/>
        <v>80</v>
      </c>
      <c r="D229" s="44">
        <f t="shared" si="7"/>
        <v>4.38202663467388</v>
      </c>
      <c r="N229">
        <f>IF(AND(M$4&lt;=D229,D229&lt;=L$4),D229/E$4,IF(D229&gt;=L$4,L$4/E$4,M$4/E$4))</f>
        <v>1.08384312151418</v>
      </c>
      <c r="Q229" s="64" t="s">
        <v>130</v>
      </c>
      <c r="R229" s="20">
        <v>0.962596308041469</v>
      </c>
    </row>
    <row r="230" spans="1:18">
      <c r="A230" s="59" t="s">
        <v>245</v>
      </c>
      <c r="B230" s="60">
        <v>0.73</v>
      </c>
      <c r="C230" s="61">
        <f t="shared" si="6"/>
        <v>73</v>
      </c>
      <c r="D230" s="44">
        <f t="shared" si="7"/>
        <v>4.29045944114839</v>
      </c>
      <c r="N230">
        <f>IF(AND(M$4&lt;=D230,D230&lt;=L$4),D230/E$4,IF(D230&gt;=L$4,L$4/E$4,M$4/E$4))</f>
        <v>1.06119504537661</v>
      </c>
      <c r="Q230" s="64" t="s">
        <v>256</v>
      </c>
      <c r="R230" s="20">
        <v>0.912401259910169</v>
      </c>
    </row>
    <row r="231" spans="1:18">
      <c r="A231" s="59" t="s">
        <v>130</v>
      </c>
      <c r="B231" s="60">
        <v>0.49</v>
      </c>
      <c r="C231" s="61">
        <f t="shared" si="6"/>
        <v>49</v>
      </c>
      <c r="D231" s="44">
        <f t="shared" si="7"/>
        <v>3.89182029811063</v>
      </c>
      <c r="N231">
        <f>IF(AND(M$4&lt;=D231,D231&lt;=L$4),D231/E$4,IF(D231&gt;=L$4,L$4/E$4,M$4/E$4))</f>
        <v>0.962596308041469</v>
      </c>
      <c r="Q231" s="64" t="s">
        <v>294</v>
      </c>
      <c r="R231" s="20">
        <v>0.995623738832763</v>
      </c>
    </row>
    <row r="232" spans="1:18">
      <c r="A232" s="59" t="s">
        <v>256</v>
      </c>
      <c r="B232" s="60">
        <v>0.4</v>
      </c>
      <c r="C232" s="61">
        <f t="shared" si="6"/>
        <v>40</v>
      </c>
      <c r="D232" s="44">
        <f t="shared" si="7"/>
        <v>3.68887945411394</v>
      </c>
      <c r="N232">
        <f>IF(AND(M$4&lt;=D232,D232&lt;=L$4),D232/E$4,IF(D232&gt;=L$4,L$4/E$4,M$4/E$4))</f>
        <v>0.912401259910169</v>
      </c>
      <c r="Q232" s="64" t="s">
        <v>166</v>
      </c>
      <c r="R232" s="20">
        <v>0.933716306824701</v>
      </c>
    </row>
    <row r="233" spans="1:18">
      <c r="A233" s="59" t="s">
        <v>294</v>
      </c>
      <c r="B233" s="60">
        <v>0.56</v>
      </c>
      <c r="C233" s="61">
        <f t="shared" si="6"/>
        <v>56</v>
      </c>
      <c r="D233" s="44">
        <f t="shared" si="7"/>
        <v>4.02535169073515</v>
      </c>
      <c r="N233">
        <f>IF(AND(M$4&lt;=D233,D233&lt;=L$4),D233/E$4,IF(D233&gt;=L$4,L$4/E$4,M$4/E$4))</f>
        <v>0.995623738832763</v>
      </c>
      <c r="Q233" s="64" t="s">
        <v>108</v>
      </c>
      <c r="R233" s="20">
        <v>0.991167071889091</v>
      </c>
    </row>
    <row r="234" spans="1:18">
      <c r="A234" s="59" t="s">
        <v>166</v>
      </c>
      <c r="B234" s="60">
        <v>0.436</v>
      </c>
      <c r="C234" s="61">
        <f t="shared" si="6"/>
        <v>43.6</v>
      </c>
      <c r="D234" s="44">
        <f t="shared" si="7"/>
        <v>3.77505715035499</v>
      </c>
      <c r="N234">
        <f>IF(AND(M$4&lt;=D234,D234&lt;=L$4),D234/E$4,IF(D234&gt;=L$4,L$4/E$4,M$4/E$4))</f>
        <v>0.933716306824701</v>
      </c>
      <c r="Q234" s="64" t="s">
        <v>80</v>
      </c>
      <c r="R234" s="20">
        <v>0.986628626692553</v>
      </c>
    </row>
    <row r="235" spans="1:18">
      <c r="A235" s="59" t="s">
        <v>108</v>
      </c>
      <c r="B235" s="60">
        <v>0.55</v>
      </c>
      <c r="C235" s="61">
        <f t="shared" si="6"/>
        <v>55</v>
      </c>
      <c r="D235" s="44">
        <f t="shared" si="7"/>
        <v>4.00733318523247</v>
      </c>
      <c r="N235">
        <f>IF(AND(M$4&lt;=D235,D235&lt;=L$4),D235/E$4,IF(D235&gt;=L$4,L$4/E$4,M$4/E$4))</f>
        <v>0.991167071889091</v>
      </c>
      <c r="Q235" s="64" t="s">
        <v>150</v>
      </c>
      <c r="R235" s="20">
        <v>1.00853127553448</v>
      </c>
    </row>
    <row r="236" spans="1:18">
      <c r="A236" s="59" t="s">
        <v>80</v>
      </c>
      <c r="B236" s="60">
        <v>0.54</v>
      </c>
      <c r="C236" s="61">
        <f t="shared" si="6"/>
        <v>54</v>
      </c>
      <c r="D236" s="44">
        <f t="shared" si="7"/>
        <v>3.98898404656427</v>
      </c>
      <c r="N236">
        <f>IF(AND(M$4&lt;=D236,D236&lt;=L$4),D236/E$4,IF(D236&gt;=L$4,L$4/E$4,M$4/E$4))</f>
        <v>0.986628626692553</v>
      </c>
      <c r="Q236" s="64" t="s">
        <v>162</v>
      </c>
      <c r="R236" s="20">
        <v>0.964106007480591</v>
      </c>
    </row>
    <row r="237" spans="1:18">
      <c r="A237" s="59" t="s">
        <v>150</v>
      </c>
      <c r="B237" s="60">
        <v>0.59</v>
      </c>
      <c r="C237" s="61">
        <f t="shared" si="6"/>
        <v>59</v>
      </c>
      <c r="D237" s="44">
        <f t="shared" si="7"/>
        <v>4.07753744390572</v>
      </c>
      <c r="N237">
        <f>IF(AND(M$4&lt;=D237,D237&lt;=L$4),D237/E$4,IF(D237&gt;=L$4,L$4/E$4,M$4/E$4))</f>
        <v>1.00853127553448</v>
      </c>
      <c r="Q237" s="64" t="s">
        <v>93</v>
      </c>
      <c r="R237" s="20">
        <v>0.899714462467669</v>
      </c>
    </row>
    <row r="238" spans="1:18">
      <c r="A238" s="59" t="s">
        <v>162</v>
      </c>
      <c r="B238" s="60">
        <v>0.493</v>
      </c>
      <c r="C238" s="61">
        <f t="shared" si="6"/>
        <v>49.3</v>
      </c>
      <c r="D238" s="44">
        <f t="shared" si="7"/>
        <v>3.89792408104864</v>
      </c>
      <c r="N238">
        <f>IF(AND(M$4&lt;=D238,D238&lt;=L$4),D238/E$4,IF(D238&gt;=L$4,L$4/E$4,M$4/E$4))</f>
        <v>0.964106007480591</v>
      </c>
      <c r="Q238" s="64" t="s">
        <v>182</v>
      </c>
      <c r="R238" s="20">
        <v>1.09854675627357</v>
      </c>
    </row>
    <row r="239" spans="1:18">
      <c r="A239" s="59" t="s">
        <v>93</v>
      </c>
      <c r="B239" s="60">
        <v>0.38</v>
      </c>
      <c r="C239" s="61">
        <f t="shared" si="6"/>
        <v>38</v>
      </c>
      <c r="D239" s="44">
        <f t="shared" si="7"/>
        <v>3.63758615972639</v>
      </c>
      <c r="N239">
        <f>IF(AND(M$4&lt;=D239,D239&lt;=L$4),D239/E$4,IF(D239&gt;=L$4,L$4/E$4,M$4/E$4))</f>
        <v>0.899714462467669</v>
      </c>
      <c r="Q239" s="64" t="s">
        <v>151</v>
      </c>
      <c r="R239" s="20">
        <v>0.999132142671656</v>
      </c>
    </row>
    <row r="240" spans="1:18">
      <c r="A240" s="59" t="s">
        <v>182</v>
      </c>
      <c r="B240" s="60">
        <v>0.849</v>
      </c>
      <c r="C240" s="61">
        <f t="shared" si="6"/>
        <v>84.9</v>
      </c>
      <c r="D240" s="44">
        <f t="shared" si="7"/>
        <v>4.4414740933173</v>
      </c>
      <c r="N240">
        <f>IF(AND(M$4&lt;=D240,D240&lt;=L$4),D240/E$4,IF(D240&gt;=L$4,L$4/E$4,M$4/E$4))</f>
        <v>1.09854675627357</v>
      </c>
      <c r="Q240" s="64" t="s">
        <v>147</v>
      </c>
      <c r="R240" s="20">
        <v>1.07303673983557</v>
      </c>
    </row>
    <row r="241" spans="1:18">
      <c r="A241" s="59" t="s">
        <v>151</v>
      </c>
      <c r="B241" s="60">
        <v>0.568</v>
      </c>
      <c r="C241" s="61">
        <f t="shared" si="6"/>
        <v>56.8</v>
      </c>
      <c r="D241" s="44">
        <f t="shared" si="7"/>
        <v>4.03953632572711</v>
      </c>
      <c r="N241">
        <f>IF(AND(M$4&lt;=D241,D241&lt;=L$4),D241/E$4,IF(D241&gt;=L$4,L$4/E$4,M$4/E$4))</f>
        <v>0.999132142671656</v>
      </c>
      <c r="Q241" s="64" t="s">
        <v>307</v>
      </c>
      <c r="R241" s="20">
        <v>0.939879075375127</v>
      </c>
    </row>
    <row r="242" spans="1:18">
      <c r="A242" s="59" t="s">
        <v>147</v>
      </c>
      <c r="B242" s="60">
        <v>0.7658</v>
      </c>
      <c r="C242" s="61">
        <f t="shared" si="6"/>
        <v>76.58</v>
      </c>
      <c r="D242" s="44">
        <f t="shared" si="7"/>
        <v>4.33833594604915</v>
      </c>
      <c r="N242">
        <f>IF(AND(M$4&lt;=D242,D242&lt;=L$4),D242/E$4,IF(D242&gt;=L$4,L$4/E$4,M$4/E$4))</f>
        <v>1.07303673983557</v>
      </c>
      <c r="Q242" s="64" t="s">
        <v>88</v>
      </c>
      <c r="R242" s="20">
        <v>1.07303673983557</v>
      </c>
    </row>
    <row r="243" spans="1:18">
      <c r="A243" s="59" t="s">
        <v>307</v>
      </c>
      <c r="B243" s="60">
        <v>0.447</v>
      </c>
      <c r="C243" s="61">
        <f t="shared" si="6"/>
        <v>44.7</v>
      </c>
      <c r="D243" s="44">
        <f t="shared" si="7"/>
        <v>3.79997350161952</v>
      </c>
      <c r="N243">
        <f>IF(AND(M$4&lt;=D243,D243&lt;=L$4),D243/E$4,IF(D243&gt;=L$4,L$4/E$4,M$4/E$4))</f>
        <v>0.939879075375127</v>
      </c>
      <c r="Q243" s="64" t="s">
        <v>209</v>
      </c>
      <c r="R243" s="20">
        <v>1.07303673983557</v>
      </c>
    </row>
    <row r="244" spans="1:18">
      <c r="A244" s="59" t="s">
        <v>88</v>
      </c>
      <c r="B244" s="60">
        <v>0.7658</v>
      </c>
      <c r="C244" s="61">
        <f t="shared" si="6"/>
        <v>76.58</v>
      </c>
      <c r="D244" s="44">
        <f t="shared" si="7"/>
        <v>4.33833594604915</v>
      </c>
      <c r="N244">
        <f>IF(AND(M$4&lt;=D244,D244&lt;=L$4),D244/E$4,IF(D244&gt;=L$4,L$4/E$4,M$4/E$4))</f>
        <v>1.07303673983557</v>
      </c>
      <c r="Q244" s="64" t="s">
        <v>273</v>
      </c>
      <c r="R244" s="20">
        <v>1.07303673983557</v>
      </c>
    </row>
    <row r="245" spans="1:18">
      <c r="A245" s="59" t="s">
        <v>209</v>
      </c>
      <c r="B245" s="60">
        <v>0.7658</v>
      </c>
      <c r="C245" s="61">
        <f t="shared" si="6"/>
        <v>76.58</v>
      </c>
      <c r="D245" s="44">
        <f t="shared" si="7"/>
        <v>4.33833594604915</v>
      </c>
      <c r="N245">
        <f>IF(AND(M$4&lt;=D245,D245&lt;=L$4),D245/E$4,IF(D245&gt;=L$4,L$4/E$4,M$4/E$4))</f>
        <v>1.07303673983557</v>
      </c>
      <c r="Q245" s="64" t="s">
        <v>129</v>
      </c>
      <c r="R245" s="20">
        <v>0.82829113811418</v>
      </c>
    </row>
    <row r="246" spans="1:18">
      <c r="A246" s="59" t="s">
        <v>273</v>
      </c>
      <c r="B246" s="60">
        <v>0.7658</v>
      </c>
      <c r="C246" s="61">
        <f t="shared" si="6"/>
        <v>76.58</v>
      </c>
      <c r="D246" s="44">
        <f t="shared" si="7"/>
        <v>4.33833594604915</v>
      </c>
      <c r="N246">
        <f>IF(AND(M$4&lt;=D246,D246&lt;=L$4),D246/E$4,IF(D246&gt;=L$4,L$4/E$4,M$4/E$4))</f>
        <v>1.07303673983557</v>
      </c>
      <c r="Q246" s="64" t="s">
        <v>295</v>
      </c>
      <c r="R246" s="20">
        <v>0.993850696662831</v>
      </c>
    </row>
    <row r="247" spans="1:18">
      <c r="A247" s="59" t="s">
        <v>129</v>
      </c>
      <c r="B247" s="60">
        <v>0.228118055389615</v>
      </c>
      <c r="C247" s="61">
        <f t="shared" si="6"/>
        <v>22.8118055389615</v>
      </c>
      <c r="D247" s="44">
        <f t="shared" si="7"/>
        <v>3.12727818875162</v>
      </c>
      <c r="N247">
        <f>IF(AND(M$4&lt;=D247,D247&lt;=L$4),D247/E$4,IF(D247&gt;=L$4,L$4/E$4,M$4/E$4))</f>
        <v>0.82829113811418</v>
      </c>
      <c r="Q247" s="64" t="s">
        <v>104</v>
      </c>
      <c r="R247" s="20">
        <v>1.09591079892493</v>
      </c>
    </row>
    <row r="248" spans="1:18">
      <c r="A248" s="59" t="s">
        <v>295</v>
      </c>
      <c r="B248" s="60">
        <v>0.556</v>
      </c>
      <c r="C248" s="61">
        <f t="shared" si="6"/>
        <v>55.6</v>
      </c>
      <c r="D248" s="44">
        <f t="shared" si="7"/>
        <v>4.01818320125654</v>
      </c>
      <c r="N248">
        <f>IF(AND(M$4&lt;=D248,D248&lt;=L$4),D248/E$4,IF(D248&gt;=L$4,L$4/E$4,M$4/E$4))</f>
        <v>0.993850696662831</v>
      </c>
      <c r="Q248" s="64" t="s">
        <v>83</v>
      </c>
      <c r="R248" s="20">
        <v>1.09915672899029</v>
      </c>
    </row>
    <row r="249" spans="1:18">
      <c r="A249" s="59" t="s">
        <v>104</v>
      </c>
      <c r="B249" s="60">
        <v>0.84</v>
      </c>
      <c r="C249" s="61">
        <f t="shared" si="6"/>
        <v>84</v>
      </c>
      <c r="D249" s="44">
        <f t="shared" si="7"/>
        <v>4.43081679884331</v>
      </c>
      <c r="N249">
        <f>IF(AND(M$4&lt;=D249,D249&lt;=L$4),D249/E$4,IF(D249&gt;=L$4,L$4/E$4,M$4/E$4))</f>
        <v>1.09591079892493</v>
      </c>
      <c r="Q249" s="64" t="s">
        <v>219</v>
      </c>
      <c r="R249" s="20">
        <v>1.09915672899029</v>
      </c>
    </row>
    <row r="250" spans="1:18">
      <c r="A250" s="59" t="s">
        <v>83</v>
      </c>
      <c r="B250" s="60">
        <v>0.8978</v>
      </c>
      <c r="C250" s="61">
        <f t="shared" si="6"/>
        <v>89.78</v>
      </c>
      <c r="D250" s="44">
        <f t="shared" si="7"/>
        <v>4.49736223335379</v>
      </c>
      <c r="N250">
        <f>IF(AND(M$4&lt;=D250,D250&lt;=L$4),D250/E$4,IF(D250&gt;=L$4,L$4/E$4,M$4/E$4))</f>
        <v>1.09915672899029</v>
      </c>
      <c r="Q250" s="64" t="s">
        <v>69</v>
      </c>
      <c r="R250" s="20">
        <v>1.03057599119452</v>
      </c>
    </row>
    <row r="251" spans="1:18">
      <c r="A251" s="59" t="s">
        <v>219</v>
      </c>
      <c r="B251" s="60">
        <v>0.87</v>
      </c>
      <c r="C251" s="61">
        <f t="shared" si="6"/>
        <v>87</v>
      </c>
      <c r="D251" s="44">
        <f t="shared" si="7"/>
        <v>4.46590811865458</v>
      </c>
      <c r="N251">
        <f>IF(AND(M$4&lt;=D251,D251&lt;=L$4),D251/E$4,IF(D251&gt;=L$4,L$4/E$4,M$4/E$4))</f>
        <v>1.09915672899029</v>
      </c>
      <c r="Q251" s="64" t="s">
        <v>329</v>
      </c>
      <c r="R251" s="20">
        <v>0.985250693749673</v>
      </c>
    </row>
    <row r="252" spans="1:18">
      <c r="A252" s="59" t="s">
        <v>69</v>
      </c>
      <c r="B252" s="60">
        <v>0.645</v>
      </c>
      <c r="C252" s="61">
        <f t="shared" si="6"/>
        <v>64.5</v>
      </c>
      <c r="D252" s="44">
        <f t="shared" si="7"/>
        <v>4.16666522380173</v>
      </c>
      <c r="N252">
        <f>IF(AND(M$4&lt;=D252,D252&lt;=L$4),D252/E$4,IF(D252&gt;=L$4,L$4/E$4,M$4/E$4))</f>
        <v>1.03057599119452</v>
      </c>
      <c r="Q252" s="64" t="s">
        <v>229</v>
      </c>
      <c r="R252" s="20">
        <v>1.01268832000234</v>
      </c>
    </row>
    <row r="253" spans="1:18">
      <c r="A253" s="59" t="s">
        <v>329</v>
      </c>
      <c r="B253" s="60">
        <v>0.537</v>
      </c>
      <c r="C253" s="61">
        <f t="shared" si="6"/>
        <v>53.7</v>
      </c>
      <c r="D253" s="44">
        <f t="shared" si="7"/>
        <v>3.98341300151482</v>
      </c>
      <c r="N253">
        <f>IF(AND(M$4&lt;=D253,D253&lt;=L$4),D253/E$4,IF(D253&gt;=L$4,L$4/E$4,M$4/E$4))</f>
        <v>0.985250693749673</v>
      </c>
      <c r="Q253" s="64" t="s">
        <v>253</v>
      </c>
      <c r="R253" s="20">
        <v>1.08135728829319</v>
      </c>
    </row>
    <row r="254" spans="1:18">
      <c r="A254" s="59" t="s">
        <v>229</v>
      </c>
      <c r="B254" s="60">
        <v>0.6</v>
      </c>
      <c r="C254" s="61">
        <f t="shared" si="6"/>
        <v>60</v>
      </c>
      <c r="D254" s="44">
        <f t="shared" si="7"/>
        <v>4.0943445622221</v>
      </c>
      <c r="N254">
        <f>IF(AND(M$4&lt;=D254,D254&lt;=L$4),D254/E$4,IF(D254&gt;=L$4,L$4/E$4,M$4/E$4))</f>
        <v>1.01268832000234</v>
      </c>
      <c r="Q254" s="64" t="s">
        <v>63</v>
      </c>
      <c r="R254" s="20">
        <v>0.985250693749673</v>
      </c>
    </row>
    <row r="255" spans="1:18">
      <c r="A255" s="59" t="s">
        <v>253</v>
      </c>
      <c r="B255" s="60">
        <v>0.792</v>
      </c>
      <c r="C255" s="61">
        <f t="shared" si="6"/>
        <v>79.2</v>
      </c>
      <c r="D255" s="44">
        <f t="shared" si="7"/>
        <v>4.37197629882038</v>
      </c>
      <c r="N255">
        <f>IF(AND(M$4&lt;=D255,D255&lt;=L$4),D255/E$4,IF(D255&gt;=L$4,L$4/E$4,M$4/E$4))</f>
        <v>1.08135728829319</v>
      </c>
      <c r="Q255" s="64" t="s">
        <v>318</v>
      </c>
      <c r="R255" s="20">
        <v>0.985250693749673</v>
      </c>
    </row>
    <row r="256" spans="1:18">
      <c r="A256" s="59" t="s">
        <v>63</v>
      </c>
      <c r="B256" s="60">
        <v>0.537</v>
      </c>
      <c r="C256" s="61">
        <f t="shared" si="6"/>
        <v>53.7</v>
      </c>
      <c r="D256" s="44">
        <f t="shared" si="7"/>
        <v>3.98341300151482</v>
      </c>
      <c r="N256">
        <f>IF(AND(M$4&lt;=D256,D256&lt;=L$4),D256/E$4,IF(D256&gt;=L$4,L$4/E$4,M$4/E$4))</f>
        <v>0.985250693749673</v>
      </c>
      <c r="Q256" s="64" t="s">
        <v>323</v>
      </c>
      <c r="R256" s="20">
        <v>0.985250693749673</v>
      </c>
    </row>
    <row r="257" spans="1:18">
      <c r="A257" s="59" t="s">
        <v>318</v>
      </c>
      <c r="B257" s="60">
        <v>0.537</v>
      </c>
      <c r="C257" s="61">
        <f t="shared" si="6"/>
        <v>53.7</v>
      </c>
      <c r="D257" s="44">
        <f t="shared" si="7"/>
        <v>3.98341300151482</v>
      </c>
      <c r="N257">
        <f>IF(AND(M$4&lt;=D257,D257&lt;=L$4),D257/E$4,IF(D257&gt;=L$4,L$4/E$4,M$4/E$4))</f>
        <v>0.985250693749673</v>
      </c>
      <c r="Q257" s="64" t="s">
        <v>328</v>
      </c>
      <c r="R257" s="20">
        <v>0.985250693749673</v>
      </c>
    </row>
    <row r="258" spans="1:18">
      <c r="A258" s="59" t="s">
        <v>323</v>
      </c>
      <c r="B258" s="60">
        <v>0.537</v>
      </c>
      <c r="C258" s="61">
        <f t="shared" si="6"/>
        <v>53.7</v>
      </c>
      <c r="D258" s="44">
        <f t="shared" si="7"/>
        <v>3.98341300151482</v>
      </c>
      <c r="N258">
        <f>IF(AND(M$4&lt;=D258,D258&lt;=L$4),D258/E$4,IF(D258&gt;=L$4,L$4/E$4,M$4/E$4))</f>
        <v>0.985250693749673</v>
      </c>
      <c r="Q258" s="64" t="s">
        <v>251</v>
      </c>
      <c r="R258" s="20">
        <v>1.04364596194919</v>
      </c>
    </row>
    <row r="259" spans="1:18">
      <c r="A259" s="59" t="s">
        <v>328</v>
      </c>
      <c r="B259" s="60">
        <v>0.537</v>
      </c>
      <c r="C259" s="61">
        <f t="shared" si="6"/>
        <v>53.7</v>
      </c>
      <c r="D259" s="44">
        <f t="shared" si="7"/>
        <v>3.98341300151482</v>
      </c>
      <c r="N259">
        <f>IF(AND(M$4&lt;=D259,D259&lt;=L$4),D259/E$4,IF(D259&gt;=L$4,L$4/E$4,M$4/E$4))</f>
        <v>0.985250693749673</v>
      </c>
      <c r="Q259" s="64" t="s">
        <v>270</v>
      </c>
      <c r="R259" s="20">
        <v>0.985250693749673</v>
      </c>
    </row>
    <row r="260" spans="1:18">
      <c r="A260" s="59" t="s">
        <v>251</v>
      </c>
      <c r="B260" s="60">
        <v>0.68</v>
      </c>
      <c r="C260" s="61">
        <f t="shared" ref="C260:C303" si="8">B260*100</f>
        <v>68</v>
      </c>
      <c r="D260" s="44">
        <f t="shared" ref="D260:D303" si="9">LN(C260)</f>
        <v>4.21950770517611</v>
      </c>
      <c r="N260">
        <f>IF(AND(M$4&lt;=D260,D260&lt;=L$4),D260/E$4,IF(D260&gt;=L$4,L$4/E$4,M$4/E$4))</f>
        <v>1.04364596194919</v>
      </c>
      <c r="Q260" s="64" t="s">
        <v>325</v>
      </c>
      <c r="R260" s="20">
        <v>1.03248594912967</v>
      </c>
    </row>
    <row r="261" spans="1:18">
      <c r="A261" s="59" t="s">
        <v>270</v>
      </c>
      <c r="B261" s="60">
        <v>0.537</v>
      </c>
      <c r="C261" s="61">
        <f t="shared" si="8"/>
        <v>53.7</v>
      </c>
      <c r="D261" s="44">
        <f t="shared" si="9"/>
        <v>3.98341300151482</v>
      </c>
      <c r="N261">
        <f>IF(AND(M$4&lt;=D261,D261&lt;=L$4),D261/E$4,IF(D261&gt;=L$4,L$4/E$4,M$4/E$4))</f>
        <v>0.985250693749673</v>
      </c>
      <c r="Q261" s="64" t="s">
        <v>331</v>
      </c>
      <c r="R261" s="20">
        <v>1.01268832000234</v>
      </c>
    </row>
    <row r="262" spans="1:18">
      <c r="A262" s="59" t="s">
        <v>325</v>
      </c>
      <c r="B262" s="60">
        <v>0.65</v>
      </c>
      <c r="C262" s="61">
        <f t="shared" si="8"/>
        <v>65</v>
      </c>
      <c r="D262" s="44">
        <f t="shared" si="9"/>
        <v>4.17438726989564</v>
      </c>
      <c r="N262">
        <f>IF(AND(M$4&lt;=D262,D262&lt;=L$4),D262/E$4,IF(D262&gt;=L$4,L$4/E$4,M$4/E$4))</f>
        <v>1.03248594912967</v>
      </c>
      <c r="Q262" s="64" t="s">
        <v>125</v>
      </c>
      <c r="R262" s="20">
        <v>1.01268832000234</v>
      </c>
    </row>
    <row r="263" spans="1:18">
      <c r="A263" s="59" t="s">
        <v>331</v>
      </c>
      <c r="B263" s="60">
        <v>0.6</v>
      </c>
      <c r="C263" s="61">
        <f t="shared" si="8"/>
        <v>60</v>
      </c>
      <c r="D263" s="44">
        <f t="shared" si="9"/>
        <v>4.0943445622221</v>
      </c>
      <c r="N263">
        <f>IF(AND(M$4&lt;=D263,D263&lt;=L$4),D263/E$4,IF(D263&gt;=L$4,L$4/E$4,M$4/E$4))</f>
        <v>1.01268832000234</v>
      </c>
      <c r="Q263" s="64" t="s">
        <v>159</v>
      </c>
      <c r="R263" s="20">
        <v>1.01268832000234</v>
      </c>
    </row>
    <row r="264" spans="1:18">
      <c r="A264" s="59" t="s">
        <v>125</v>
      </c>
      <c r="B264" s="60">
        <v>0.6</v>
      </c>
      <c r="C264" s="61">
        <f t="shared" si="8"/>
        <v>60</v>
      </c>
      <c r="D264" s="44">
        <f t="shared" si="9"/>
        <v>4.0943445622221</v>
      </c>
      <c r="N264">
        <f>IF(AND(M$4&lt;=D264,D264&lt;=L$4),D264/E$4,IF(D264&gt;=L$4,L$4/E$4,M$4/E$4))</f>
        <v>1.01268832000234</v>
      </c>
      <c r="Q264" s="64" t="s">
        <v>81</v>
      </c>
      <c r="R264" s="20">
        <v>1.01268832000234</v>
      </c>
    </row>
    <row r="265" spans="1:18">
      <c r="A265" s="59" t="s">
        <v>159</v>
      </c>
      <c r="B265" s="60">
        <v>0.6</v>
      </c>
      <c r="C265" s="61">
        <f t="shared" si="8"/>
        <v>60</v>
      </c>
      <c r="D265" s="44">
        <f t="shared" si="9"/>
        <v>4.0943445622221</v>
      </c>
      <c r="N265">
        <f>IF(AND(M$4&lt;=D265,D265&lt;=L$4),D265/E$4,IF(D265&gt;=L$4,L$4/E$4,M$4/E$4))</f>
        <v>1.01268832000234</v>
      </c>
      <c r="Q265" s="64" t="s">
        <v>332</v>
      </c>
      <c r="R265" s="20">
        <v>1.01268832000234</v>
      </c>
    </row>
    <row r="266" spans="1:18">
      <c r="A266" s="59" t="s">
        <v>81</v>
      </c>
      <c r="B266" s="60">
        <v>0.6</v>
      </c>
      <c r="C266" s="61">
        <f t="shared" si="8"/>
        <v>60</v>
      </c>
      <c r="D266" s="44">
        <f t="shared" si="9"/>
        <v>4.0943445622221</v>
      </c>
      <c r="N266">
        <f>IF(AND(M$4&lt;=D266,D266&lt;=L$4),D266/E$4,IF(D266&gt;=L$4,L$4/E$4,M$4/E$4))</f>
        <v>1.01268832000234</v>
      </c>
      <c r="Q266" s="64" t="s">
        <v>115</v>
      </c>
      <c r="R266" s="20">
        <v>0.965805933921498</v>
      </c>
    </row>
    <row r="267" spans="1:18">
      <c r="A267" s="59" t="s">
        <v>332</v>
      </c>
      <c r="B267" s="60">
        <v>0.6</v>
      </c>
      <c r="C267" s="61">
        <f t="shared" si="8"/>
        <v>60</v>
      </c>
      <c r="D267" s="44">
        <f t="shared" si="9"/>
        <v>4.0943445622221</v>
      </c>
      <c r="N267">
        <f>IF(AND(M$4&lt;=D267,D267&lt;=L$4),D267/E$4,IF(D267&gt;=L$4,L$4/E$4,M$4/E$4))</f>
        <v>1.01268832000234</v>
      </c>
      <c r="Q267" s="64" t="s">
        <v>188</v>
      </c>
      <c r="R267" s="20">
        <v>1.03206702200528</v>
      </c>
    </row>
    <row r="268" spans="1:18">
      <c r="A268" s="59" t="s">
        <v>115</v>
      </c>
      <c r="B268" s="60">
        <v>0.4964</v>
      </c>
      <c r="C268" s="61">
        <f t="shared" si="8"/>
        <v>49.64</v>
      </c>
      <c r="D268" s="44">
        <f t="shared" si="9"/>
        <v>3.90479696033641</v>
      </c>
      <c r="N268">
        <f>IF(AND(M$4&lt;=D268,D268&lt;=L$4),D268/E$4,IF(D268&gt;=L$4,L$4/E$4,M$4/E$4))</f>
        <v>0.965805933921498</v>
      </c>
      <c r="Q268" s="64" t="s">
        <v>296</v>
      </c>
      <c r="R268" s="20">
        <v>1.0247952543489</v>
      </c>
    </row>
    <row r="269" spans="1:18">
      <c r="A269" s="59" t="s">
        <v>188</v>
      </c>
      <c r="B269" s="60">
        <v>0.6489</v>
      </c>
      <c r="C269" s="61">
        <f t="shared" si="8"/>
        <v>64.89</v>
      </c>
      <c r="D269" s="44">
        <f t="shared" si="9"/>
        <v>4.17269352863308</v>
      </c>
      <c r="N269">
        <f>IF(AND(M$4&lt;=D269,D269&lt;=L$4),D269/E$4,IF(D269&gt;=L$4,L$4/E$4,M$4/E$4))</f>
        <v>1.03206702200528</v>
      </c>
      <c r="Q269" s="64" t="s">
        <v>170</v>
      </c>
      <c r="R269" s="20">
        <v>1.02671125125964</v>
      </c>
    </row>
    <row r="270" spans="1:18">
      <c r="A270" s="59" t="s">
        <v>296</v>
      </c>
      <c r="B270" s="60">
        <v>0.6301</v>
      </c>
      <c r="C270" s="61">
        <f t="shared" si="8"/>
        <v>63.01</v>
      </c>
      <c r="D270" s="44">
        <f t="shared" si="9"/>
        <v>4.14329344395396</v>
      </c>
      <c r="N270">
        <f>IF(AND(M$4&lt;=D270,D270&lt;=L$4),D270/E$4,IF(D270&gt;=L$4,L$4/E$4,M$4/E$4))</f>
        <v>1.0247952543489</v>
      </c>
      <c r="Q270" s="64" t="s">
        <v>59</v>
      </c>
      <c r="R270" s="20">
        <v>1.00936829265659</v>
      </c>
    </row>
    <row r="271" spans="1:18">
      <c r="A271" s="59" t="s">
        <v>170</v>
      </c>
      <c r="B271" s="60">
        <v>0.635</v>
      </c>
      <c r="C271" s="61">
        <f t="shared" si="8"/>
        <v>63.5</v>
      </c>
      <c r="D271" s="44">
        <f t="shared" si="9"/>
        <v>4.15103990589865</v>
      </c>
      <c r="N271">
        <f>IF(AND(M$4&lt;=D271,D271&lt;=L$4),D271/E$4,IF(D271&gt;=L$4,L$4/E$4,M$4/E$4))</f>
        <v>1.02671125125964</v>
      </c>
      <c r="Q271" s="64" t="s">
        <v>220</v>
      </c>
      <c r="R271" s="20">
        <v>1.0247952543489</v>
      </c>
    </row>
    <row r="272" spans="1:18">
      <c r="A272" s="59" t="s">
        <v>59</v>
      </c>
      <c r="B272" s="60">
        <v>0.592</v>
      </c>
      <c r="C272" s="61">
        <f t="shared" si="8"/>
        <v>59.2</v>
      </c>
      <c r="D272" s="44">
        <f t="shared" si="9"/>
        <v>4.08092154188996</v>
      </c>
      <c r="N272">
        <f>IF(AND(M$4&lt;=D272,D272&lt;=L$4),D272/E$4,IF(D272&gt;=L$4,L$4/E$4,M$4/E$4))</f>
        <v>1.00936829265659</v>
      </c>
      <c r="Q272" s="64" t="s">
        <v>272</v>
      </c>
      <c r="R272" s="20">
        <v>1.0247952543489</v>
      </c>
    </row>
    <row r="273" spans="1:18">
      <c r="A273" s="59" t="s">
        <v>220</v>
      </c>
      <c r="B273" s="60">
        <v>0.6301</v>
      </c>
      <c r="C273" s="61">
        <f t="shared" si="8"/>
        <v>63.01</v>
      </c>
      <c r="D273" s="44">
        <f t="shared" si="9"/>
        <v>4.14329344395396</v>
      </c>
      <c r="N273">
        <f>IF(AND(M$4&lt;=D273,D273&lt;=L$4),D273/E$4,IF(D273&gt;=L$4,L$4/E$4,M$4/E$4))</f>
        <v>1.0247952543489</v>
      </c>
      <c r="Q273" s="64" t="s">
        <v>212</v>
      </c>
      <c r="R273" s="20">
        <v>1.0259310035352</v>
      </c>
    </row>
    <row r="274" spans="1:18">
      <c r="A274" s="59" t="s">
        <v>272</v>
      </c>
      <c r="B274" s="60">
        <v>0.6301</v>
      </c>
      <c r="C274" s="61">
        <f t="shared" si="8"/>
        <v>63.01</v>
      </c>
      <c r="D274" s="44">
        <f t="shared" si="9"/>
        <v>4.14329344395396</v>
      </c>
      <c r="N274">
        <f>IF(AND(M$4&lt;=D274,D274&lt;=L$4),D274/E$4,IF(D274&gt;=L$4,L$4/E$4,M$4/E$4))</f>
        <v>1.0247952543489</v>
      </c>
      <c r="Q274" s="64" t="s">
        <v>279</v>
      </c>
      <c r="R274" s="20">
        <v>1.03248594912967</v>
      </c>
    </row>
    <row r="275" spans="1:18">
      <c r="A275" s="59" t="s">
        <v>212</v>
      </c>
      <c r="B275" s="60">
        <v>0.633</v>
      </c>
      <c r="C275" s="61">
        <f t="shared" si="8"/>
        <v>63.3</v>
      </c>
      <c r="D275" s="44">
        <f t="shared" si="9"/>
        <v>4.14788532915013</v>
      </c>
      <c r="N275">
        <f>IF(AND(M$4&lt;=D275,D275&lt;=L$4),D275/E$4,IF(D275&gt;=L$4,L$4/E$4,M$4/E$4))</f>
        <v>1.0259310035352</v>
      </c>
      <c r="Q275" s="64" t="s">
        <v>234</v>
      </c>
      <c r="R275" s="20">
        <v>1.05743966397458</v>
      </c>
    </row>
    <row r="276" spans="1:18">
      <c r="A276" s="59" t="s">
        <v>279</v>
      </c>
      <c r="B276" s="60">
        <v>0.65</v>
      </c>
      <c r="C276" s="61">
        <f t="shared" si="8"/>
        <v>65</v>
      </c>
      <c r="D276" s="44">
        <f t="shared" si="9"/>
        <v>4.17438726989564</v>
      </c>
      <c r="N276">
        <f>IF(AND(M$4&lt;=D276,D276&lt;=L$4),D276/E$4,IF(D276&gt;=L$4,L$4/E$4,M$4/E$4))</f>
        <v>1.03248594912967</v>
      </c>
      <c r="Q276" s="64" t="s">
        <v>221</v>
      </c>
      <c r="R276" s="20">
        <v>1.04617907591857</v>
      </c>
    </row>
    <row r="277" spans="1:18">
      <c r="A277" s="59" t="s">
        <v>234</v>
      </c>
      <c r="B277" s="60">
        <v>0.719</v>
      </c>
      <c r="C277" s="61">
        <f t="shared" si="8"/>
        <v>71.9</v>
      </c>
      <c r="D277" s="44">
        <f t="shared" si="9"/>
        <v>4.275276264727</v>
      </c>
      <c r="N277">
        <f>IF(AND(M$4&lt;=D277,D277&lt;=L$4),D277/E$4,IF(D277&gt;=L$4,L$4/E$4,M$4/E$4))</f>
        <v>1.05743966397458</v>
      </c>
      <c r="Q277" s="64" t="s">
        <v>160</v>
      </c>
      <c r="R277" s="20">
        <v>0.924468937320925</v>
      </c>
    </row>
    <row r="278" spans="1:18">
      <c r="A278" s="59" t="s">
        <v>221</v>
      </c>
      <c r="B278" s="60">
        <v>0.687</v>
      </c>
      <c r="C278" s="61">
        <f t="shared" si="8"/>
        <v>68.7</v>
      </c>
      <c r="D278" s="44">
        <f t="shared" si="9"/>
        <v>4.2297491992283</v>
      </c>
      <c r="N278">
        <f>IF(AND(M$4&lt;=D278,D278&lt;=L$4),D278/E$4,IF(D278&gt;=L$4,L$4/E$4,M$4/E$4))</f>
        <v>1.04617907591857</v>
      </c>
      <c r="Q278" s="64" t="s">
        <v>172</v>
      </c>
      <c r="R278" s="20">
        <v>1.0259310035352</v>
      </c>
    </row>
    <row r="279" spans="1:18">
      <c r="A279" s="59" t="s">
        <v>160</v>
      </c>
      <c r="B279" s="60">
        <v>0.42</v>
      </c>
      <c r="C279" s="61">
        <f t="shared" si="8"/>
        <v>42</v>
      </c>
      <c r="D279" s="44">
        <f t="shared" si="9"/>
        <v>3.73766961828337</v>
      </c>
      <c r="N279">
        <f>IF(AND(M$4&lt;=D279,D279&lt;=L$4),D279/E$4,IF(D279&gt;=L$4,L$4/E$4,M$4/E$4))</f>
        <v>0.924468937320925</v>
      </c>
      <c r="Q279" s="64" t="s">
        <v>137</v>
      </c>
      <c r="R279" s="20">
        <v>1.0259310035352</v>
      </c>
    </row>
    <row r="280" spans="1:18">
      <c r="A280" s="59" t="s">
        <v>172</v>
      </c>
      <c r="B280" s="60">
        <v>0.633</v>
      </c>
      <c r="C280" s="61">
        <f t="shared" si="8"/>
        <v>63.3</v>
      </c>
      <c r="D280" s="44">
        <f t="shared" si="9"/>
        <v>4.14788532915013</v>
      </c>
      <c r="N280">
        <f>IF(AND(M$4&lt;=D280,D280&lt;=L$4),D280/E$4,IF(D280&gt;=L$4,L$4/E$4,M$4/E$4))</f>
        <v>1.0259310035352</v>
      </c>
      <c r="Q280" s="64" t="s">
        <v>232</v>
      </c>
      <c r="R280" s="20">
        <v>1.05081569072288</v>
      </c>
    </row>
    <row r="281" spans="1:18">
      <c r="A281" s="59" t="s">
        <v>137</v>
      </c>
      <c r="B281" s="60">
        <v>0.633</v>
      </c>
      <c r="C281" s="61">
        <f t="shared" si="8"/>
        <v>63.3</v>
      </c>
      <c r="D281" s="44">
        <f t="shared" si="9"/>
        <v>4.14788532915013</v>
      </c>
      <c r="N281">
        <f>IF(AND(M$4&lt;=D281,D281&lt;=L$4),D281/E$4,IF(D281&gt;=L$4,L$4/E$4,M$4/E$4))</f>
        <v>1.0259310035352</v>
      </c>
      <c r="Q281" s="64" t="s">
        <v>250</v>
      </c>
      <c r="R281" s="20">
        <v>0.82829113811418</v>
      </c>
    </row>
    <row r="282" spans="1:18">
      <c r="A282" s="59" t="s">
        <v>232</v>
      </c>
      <c r="B282" s="60">
        <v>0.7</v>
      </c>
      <c r="C282" s="61">
        <f t="shared" si="8"/>
        <v>70</v>
      </c>
      <c r="D282" s="44">
        <f t="shared" si="9"/>
        <v>4.24849524204936</v>
      </c>
      <c r="N282">
        <f>IF(AND(M$4&lt;=D282,D282&lt;=L$4),D282/E$4,IF(D282&gt;=L$4,L$4/E$4,M$4/E$4))</f>
        <v>1.05081569072288</v>
      </c>
      <c r="Q282" s="64" t="s">
        <v>90</v>
      </c>
      <c r="R282" s="20">
        <v>0.878453433551001</v>
      </c>
    </row>
    <row r="283" spans="1:18">
      <c r="A283" s="59" t="s">
        <v>250</v>
      </c>
      <c r="B283" s="60">
        <v>0.27</v>
      </c>
      <c r="C283" s="61">
        <f t="shared" si="8"/>
        <v>27</v>
      </c>
      <c r="D283" s="44">
        <f t="shared" si="9"/>
        <v>3.29583686600433</v>
      </c>
      <c r="N283">
        <f>IF(AND(M$4&lt;=D283,D283&lt;=L$4),D283/E$4,IF(D283&gt;=L$4,L$4/E$4,M$4/E$4))</f>
        <v>0.82829113811418</v>
      </c>
      <c r="Q283" s="64" t="s">
        <v>95</v>
      </c>
      <c r="R283" s="20">
        <v>1.08384312151418</v>
      </c>
    </row>
    <row r="284" spans="1:18">
      <c r="A284" s="59" t="s">
        <v>90</v>
      </c>
      <c r="B284" s="60">
        <v>0.3487</v>
      </c>
      <c r="C284" s="61">
        <f t="shared" si="8"/>
        <v>34.87</v>
      </c>
      <c r="D284" s="44">
        <f t="shared" si="9"/>
        <v>3.55162686068756</v>
      </c>
      <c r="N284">
        <f>IF(AND(M$4&lt;=D284,D284&lt;=L$4),D284/E$4,IF(D284&gt;=L$4,L$4/E$4,M$4/E$4))</f>
        <v>0.878453433551001</v>
      </c>
      <c r="Q284" s="64" t="s">
        <v>132</v>
      </c>
      <c r="R284" s="20">
        <v>1.09915672899029</v>
      </c>
    </row>
    <row r="285" spans="1:18">
      <c r="A285" s="59" t="s">
        <v>95</v>
      </c>
      <c r="B285" s="60">
        <v>0.8</v>
      </c>
      <c r="C285" s="61">
        <f t="shared" si="8"/>
        <v>80</v>
      </c>
      <c r="D285" s="44">
        <f t="shared" si="9"/>
        <v>4.38202663467388</v>
      </c>
      <c r="N285">
        <f>IF(AND(M$4&lt;=D285,D285&lt;=L$4),D285/E$4,IF(D285&gt;=L$4,L$4/E$4,M$4/E$4))</f>
        <v>1.08384312151418</v>
      </c>
      <c r="Q285" s="64" t="s">
        <v>146</v>
      </c>
      <c r="R285" s="20">
        <v>1.08384312151418</v>
      </c>
    </row>
    <row r="286" spans="1:18">
      <c r="A286" s="59" t="s">
        <v>132</v>
      </c>
      <c r="B286" s="60">
        <v>0.96</v>
      </c>
      <c r="C286" s="61">
        <f t="shared" si="8"/>
        <v>96</v>
      </c>
      <c r="D286" s="44">
        <f t="shared" si="9"/>
        <v>4.56434819146784</v>
      </c>
      <c r="N286">
        <f>IF(AND(M$4&lt;=D286,D286&lt;=L$4),D286/E$4,IF(D286&gt;=L$4,L$4/E$4,M$4/E$4))</f>
        <v>1.09915672899029</v>
      </c>
      <c r="Q286" s="64" t="s">
        <v>353</v>
      </c>
      <c r="R286" s="20">
        <v>1.04689808317937</v>
      </c>
    </row>
    <row r="287" spans="1:18">
      <c r="A287" s="59" t="s">
        <v>146</v>
      </c>
      <c r="B287" s="60">
        <v>0.8</v>
      </c>
      <c r="C287" s="61">
        <f t="shared" si="8"/>
        <v>80</v>
      </c>
      <c r="D287" s="44">
        <f t="shared" si="9"/>
        <v>4.38202663467388</v>
      </c>
      <c r="N287">
        <f>IF(AND(M$4&lt;=D287,D287&lt;=L$4),D287/E$4,IF(D287&gt;=L$4,L$4/E$4,M$4/E$4))</f>
        <v>1.08384312151418</v>
      </c>
      <c r="Q287" s="64" t="s">
        <v>354</v>
      </c>
      <c r="R287" s="20">
        <v>1.04689808317937</v>
      </c>
    </row>
    <row r="288" spans="1:18">
      <c r="A288" s="59" t="s">
        <v>353</v>
      </c>
      <c r="B288" s="60">
        <v>0.689</v>
      </c>
      <c r="C288" s="61">
        <f t="shared" si="8"/>
        <v>68.9</v>
      </c>
      <c r="D288" s="44">
        <f t="shared" si="9"/>
        <v>4.23265617801961</v>
      </c>
      <c r="N288">
        <f>IF(AND(M$4&lt;=D288,D288&lt;=L$4),D288/E$4,IF(D288&gt;=L$4,L$4/E$4,M$4/E$4))</f>
        <v>1.04689808317937</v>
      </c>
      <c r="Q288" s="64" t="s">
        <v>61</v>
      </c>
      <c r="R288" s="20">
        <v>0.878453433551001</v>
      </c>
    </row>
    <row r="289" spans="1:18">
      <c r="A289" s="59" t="s">
        <v>354</v>
      </c>
      <c r="B289" s="60">
        <v>0.689</v>
      </c>
      <c r="C289" s="61">
        <f t="shared" si="8"/>
        <v>68.9</v>
      </c>
      <c r="D289" s="44">
        <f t="shared" si="9"/>
        <v>4.23265617801961</v>
      </c>
      <c r="N289">
        <f>IF(AND(M$4&lt;=D289,D289&lt;=L$4),D289/E$4,IF(D289&gt;=L$4,L$4/E$4,M$4/E$4))</f>
        <v>1.04689808317937</v>
      </c>
      <c r="Q289" s="64" t="s">
        <v>240</v>
      </c>
      <c r="R289" s="20">
        <v>1.0259310035352</v>
      </c>
    </row>
    <row r="290" spans="1:18">
      <c r="A290" s="59" t="s">
        <v>61</v>
      </c>
      <c r="B290" s="60">
        <v>0.3487</v>
      </c>
      <c r="C290" s="61">
        <f t="shared" si="8"/>
        <v>34.87</v>
      </c>
      <c r="D290" s="44">
        <f t="shared" si="9"/>
        <v>3.55162686068756</v>
      </c>
      <c r="N290">
        <f>IF(AND(M$4&lt;=D290,D290&lt;=L$4),D290/E$4,IF(D290&gt;=L$4,L$4/E$4,M$4/E$4))</f>
        <v>0.878453433551001</v>
      </c>
      <c r="Q290" s="64" t="s">
        <v>106</v>
      </c>
      <c r="R290" s="20">
        <v>0.999132142671656</v>
      </c>
    </row>
    <row r="291" spans="1:18">
      <c r="A291" s="59" t="s">
        <v>240</v>
      </c>
      <c r="B291" s="60">
        <v>0.633</v>
      </c>
      <c r="C291" s="61">
        <f t="shared" si="8"/>
        <v>63.3</v>
      </c>
      <c r="D291" s="44">
        <f t="shared" si="9"/>
        <v>4.14788532915013</v>
      </c>
      <c r="N291">
        <f>IF(AND(M$4&lt;=D291,D291&lt;=L$4),D291/E$4,IF(D291&gt;=L$4,L$4/E$4,M$4/E$4))</f>
        <v>1.0259310035352</v>
      </c>
      <c r="Q291" s="64" t="s">
        <v>30</v>
      </c>
      <c r="R291" s="20">
        <v>1.01268832000234</v>
      </c>
    </row>
    <row r="292" spans="1:18">
      <c r="A292" s="59" t="s">
        <v>106</v>
      </c>
      <c r="B292" s="60">
        <v>0.568</v>
      </c>
      <c r="C292" s="61">
        <f t="shared" si="8"/>
        <v>56.8</v>
      </c>
      <c r="D292" s="44">
        <f t="shared" si="9"/>
        <v>4.03953632572711</v>
      </c>
      <c r="N292">
        <f>IF(AND(M$4&lt;=D292,D292&lt;=L$4),D292/E$4,IF(D292&gt;=L$4,L$4/E$4,M$4/E$4))</f>
        <v>0.999132142671656</v>
      </c>
      <c r="Q292" s="66" t="s">
        <v>244</v>
      </c>
      <c r="R292" s="20">
        <v>0.873871637495788</v>
      </c>
    </row>
    <row r="293" spans="1:18">
      <c r="A293" s="59" t="s">
        <v>30</v>
      </c>
      <c r="B293" s="60">
        <v>0.6</v>
      </c>
      <c r="C293" s="61">
        <f t="shared" si="8"/>
        <v>60</v>
      </c>
      <c r="D293" s="44">
        <f t="shared" si="9"/>
        <v>4.0943445622221</v>
      </c>
      <c r="N293">
        <f>IF(AND(M$4&lt;=D293,D293&lt;=L$4),D293/E$4,IF(D293&gt;=L$4,L$4/E$4,M$4/E$4))</f>
        <v>1.01268832000234</v>
      </c>
      <c r="Q293" s="66" t="s">
        <v>112</v>
      </c>
      <c r="R293" s="20">
        <v>0.82829113811418</v>
      </c>
    </row>
    <row r="294" spans="1:18">
      <c r="A294" s="65" t="s">
        <v>244</v>
      </c>
      <c r="B294" s="60">
        <v>0.3423</v>
      </c>
      <c r="C294" s="61">
        <f t="shared" si="8"/>
        <v>34.23</v>
      </c>
      <c r="D294" s="44">
        <f t="shared" si="9"/>
        <v>3.53310245254209</v>
      </c>
      <c r="N294">
        <f>IF(AND(M$4&lt;=D294,D294&lt;=L$4),D294/E$4,IF(D294&gt;=L$4,L$4/E$4,M$4/E$4))</f>
        <v>0.873871637495788</v>
      </c>
      <c r="Q294" s="66" t="s">
        <v>319</v>
      </c>
      <c r="R294" s="20">
        <v>1.07303673983557</v>
      </c>
    </row>
    <row r="295" spans="1:18">
      <c r="A295" s="65" t="s">
        <v>112</v>
      </c>
      <c r="B295" s="60">
        <v>0.09</v>
      </c>
      <c r="C295" s="61">
        <f t="shared" si="8"/>
        <v>9</v>
      </c>
      <c r="D295" s="44">
        <f t="shared" si="9"/>
        <v>2.19722457733622</v>
      </c>
      <c r="N295">
        <f>IF(AND(M$4&lt;=D295,D295&lt;=L$4),D295/E$4,IF(D295&gt;=L$4,L$4/E$4,M$4/E$4))</f>
        <v>0.82829113811418</v>
      </c>
      <c r="Q295" s="66" t="s">
        <v>304</v>
      </c>
      <c r="R295" s="20">
        <v>0.995623738832763</v>
      </c>
    </row>
    <row r="296" spans="1:18">
      <c r="A296" s="65" t="s">
        <v>319</v>
      </c>
      <c r="B296" s="60">
        <v>0.7658</v>
      </c>
      <c r="C296" s="61">
        <f t="shared" si="8"/>
        <v>76.58</v>
      </c>
      <c r="D296" s="44">
        <f t="shared" si="9"/>
        <v>4.33833594604915</v>
      </c>
      <c r="N296">
        <f>IF(AND(M$4&lt;=D296,D296&lt;=L$4),D296/E$4,IF(D296&gt;=L$4,L$4/E$4,M$4/E$4))</f>
        <v>1.07303673983557</v>
      </c>
      <c r="Q296" s="66" t="s">
        <v>264</v>
      </c>
      <c r="R296" s="20">
        <v>0.845334788232178</v>
      </c>
    </row>
    <row r="297" spans="1:18">
      <c r="A297" s="65" t="s">
        <v>304</v>
      </c>
      <c r="B297" s="60">
        <v>0.56</v>
      </c>
      <c r="C297" s="61">
        <f t="shared" si="8"/>
        <v>56</v>
      </c>
      <c r="D297" s="44">
        <f t="shared" si="9"/>
        <v>4.02535169073515</v>
      </c>
      <c r="N297">
        <f>IF(AND(M$4&lt;=D297,D297&lt;=L$4),D297/E$4,IF(D297&gt;=L$4,L$4/E$4,M$4/E$4))</f>
        <v>0.995623738832763</v>
      </c>
      <c r="Q297" s="66" t="s">
        <v>252</v>
      </c>
      <c r="R297" s="20">
        <v>0.82829113811418</v>
      </c>
    </row>
    <row r="298" spans="1:18">
      <c r="A298" s="65" t="s">
        <v>264</v>
      </c>
      <c r="B298" s="60">
        <v>0.305</v>
      </c>
      <c r="C298" s="61">
        <f t="shared" si="8"/>
        <v>30.5</v>
      </c>
      <c r="D298" s="44">
        <f t="shared" si="9"/>
        <v>3.41772668361337</v>
      </c>
      <c r="N298">
        <f>IF(AND(M$4&lt;=D298,D298&lt;=L$4),D298/E$4,IF(D298&gt;=L$4,L$4/E$4,M$4/E$4))</f>
        <v>0.845334788232178</v>
      </c>
      <c r="Q298" s="66" t="s">
        <v>317</v>
      </c>
      <c r="R298" s="20">
        <v>1.01103387688696</v>
      </c>
    </row>
    <row r="299" spans="1:18">
      <c r="A299" s="65" t="s">
        <v>252</v>
      </c>
      <c r="B299" s="60">
        <v>0.1342</v>
      </c>
      <c r="C299" s="61">
        <f t="shared" si="8"/>
        <v>13.42</v>
      </c>
      <c r="D299" s="44">
        <f t="shared" si="9"/>
        <v>2.59674613154354</v>
      </c>
      <c r="N299">
        <f>IF(AND(M$4&lt;=D299,D299&lt;=L$4),D299/E$4,IF(D299&gt;=L$4,L$4/E$4,M$4/E$4))</f>
        <v>0.82829113811418</v>
      </c>
      <c r="Q299" s="66" t="s">
        <v>196</v>
      </c>
      <c r="R299" s="20">
        <v>0.873871637495788</v>
      </c>
    </row>
    <row r="300" spans="1:18">
      <c r="A300" s="65" t="s">
        <v>317</v>
      </c>
      <c r="B300" s="60">
        <v>0.596</v>
      </c>
      <c r="C300" s="61">
        <f t="shared" si="8"/>
        <v>59.6</v>
      </c>
      <c r="D300" s="44">
        <f t="shared" si="9"/>
        <v>4.0876555740713</v>
      </c>
      <c r="N300">
        <f>IF(AND(M$4&lt;=D300,D300&lt;=L$4),D300/E$4,IF(D300&gt;=L$4,L$4/E$4,M$4/E$4))</f>
        <v>1.01103387688696</v>
      </c>
      <c r="Q300" s="66" t="s">
        <v>297</v>
      </c>
      <c r="R300" s="20">
        <v>1.02357538264864</v>
      </c>
    </row>
    <row r="301" spans="1:18">
      <c r="A301" s="65" t="s">
        <v>196</v>
      </c>
      <c r="B301" s="60">
        <v>0.3423</v>
      </c>
      <c r="C301" s="61">
        <f t="shared" si="8"/>
        <v>34.23</v>
      </c>
      <c r="D301" s="44">
        <f t="shared" si="9"/>
        <v>3.53310245254209</v>
      </c>
      <c r="N301">
        <f>IF(AND(M$4&lt;=D301,D301&lt;=L$4),D301/E$4,IF(D301&gt;=L$4,L$4/E$4,M$4/E$4))</f>
        <v>0.873871637495788</v>
      </c>
      <c r="Q301" s="66" t="s">
        <v>241</v>
      </c>
      <c r="R301" s="20">
        <v>0.82829113811418</v>
      </c>
    </row>
    <row r="302" spans="1:14">
      <c r="A302" s="65" t="s">
        <v>297</v>
      </c>
      <c r="B302" s="60">
        <v>0.627</v>
      </c>
      <c r="C302" s="61">
        <f t="shared" si="8"/>
        <v>62.7</v>
      </c>
      <c r="D302" s="44">
        <f t="shared" si="9"/>
        <v>4.13836144763888</v>
      </c>
      <c r="N302">
        <f>IF(AND(M$4&lt;=D302,D302&lt;=L$4),D302/E$4,IF(D302&gt;=L$4,L$4/E$4,M$4/E$4))</f>
        <v>1.02357538264864</v>
      </c>
    </row>
    <row r="303" spans="1:14">
      <c r="A303" s="65" t="s">
        <v>241</v>
      </c>
      <c r="B303" s="60">
        <v>0.142</v>
      </c>
      <c r="C303" s="61">
        <f t="shared" si="8"/>
        <v>14.2</v>
      </c>
      <c r="D303" s="44">
        <f t="shared" si="9"/>
        <v>2.65324196460721</v>
      </c>
      <c r="N303">
        <f>IF(AND(M$4&lt;=D303,D303&lt;=L$4),D303/E$4,IF(D303&gt;=L$4,L$4/E$4,M$4/E$4))</f>
        <v>0.82829113811418</v>
      </c>
    </row>
  </sheetData>
  <mergeCells count="2">
    <mergeCell ref="A1:B1"/>
    <mergeCell ref="A2:A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9"/>
  <sheetViews>
    <sheetView zoomScale="115" zoomScaleNormal="115" workbookViewId="0">
      <selection activeCell="N8" sqref="N8"/>
    </sheetView>
  </sheetViews>
  <sheetFormatPr defaultColWidth="9" defaultRowHeight="14.4"/>
  <cols>
    <col min="1" max="1" width="9" style="1"/>
    <col min="2" max="2" width="9" style="2"/>
    <col min="3" max="3" width="12.6296296296296" style="3"/>
    <col min="4" max="4" width="12.6296296296296" style="4"/>
    <col min="5" max="6" width="9" style="4"/>
    <col min="7" max="7" width="12.6296296296296" style="3"/>
    <col min="8" max="10" width="12.6296296296296" style="4"/>
    <col min="11" max="11" width="12.6296296296296" style="1" customWidth="1"/>
    <col min="12" max="12" width="9" style="3"/>
    <col min="13" max="13" width="15.6296296296296" style="3" customWidth="1"/>
    <col min="14" max="16384" width="9" style="3"/>
  </cols>
  <sheetData>
    <row r="1" spans="1:14">
      <c r="A1" s="5" t="s">
        <v>355</v>
      </c>
      <c r="B1" s="6" t="s">
        <v>356</v>
      </c>
      <c r="C1" s="7" t="s">
        <v>357</v>
      </c>
      <c r="D1" s="7" t="s">
        <v>358</v>
      </c>
      <c r="E1" s="7" t="s">
        <v>359</v>
      </c>
      <c r="F1" s="7" t="s">
        <v>360</v>
      </c>
      <c r="G1" s="7" t="s">
        <v>361</v>
      </c>
      <c r="H1" s="7" t="s">
        <v>362</v>
      </c>
      <c r="I1" s="7" t="s">
        <v>363</v>
      </c>
      <c r="J1" s="7" t="s">
        <v>364</v>
      </c>
      <c r="K1" s="5" t="s">
        <v>365</v>
      </c>
      <c r="M1" s="20" t="s">
        <v>349</v>
      </c>
      <c r="N1" s="20">
        <f>MIN(J2:J297)</f>
        <v>17.6878261788008</v>
      </c>
    </row>
    <row r="2" spans="1:14">
      <c r="A2" s="8" t="s">
        <v>366</v>
      </c>
      <c r="B2" s="9">
        <v>1</v>
      </c>
      <c r="C2" s="10">
        <v>80</v>
      </c>
      <c r="D2" s="11">
        <v>66.264</v>
      </c>
      <c r="E2" s="11">
        <v>93.75</v>
      </c>
      <c r="F2" s="11">
        <v>62.5</v>
      </c>
      <c r="G2" s="10">
        <v>55.3343289074812</v>
      </c>
      <c r="H2" s="11">
        <v>45.832934267562</v>
      </c>
      <c r="I2" s="11">
        <v>91.6666666666667</v>
      </c>
      <c r="J2" s="11">
        <v>68.8776802802686</v>
      </c>
      <c r="K2" s="8" t="s">
        <v>367</v>
      </c>
      <c r="M2" s="20" t="s">
        <v>368</v>
      </c>
      <c r="N2" s="20">
        <f>68.88-(68.88-17.69)*3/4</f>
        <v>30.4875</v>
      </c>
    </row>
    <row r="3" spans="1:14">
      <c r="A3" s="8" t="s">
        <v>369</v>
      </c>
      <c r="B3" s="9">
        <v>1</v>
      </c>
      <c r="C3" s="10">
        <v>90</v>
      </c>
      <c r="D3" s="11">
        <v>82.1552865412882</v>
      </c>
      <c r="E3" s="11">
        <v>93.75</v>
      </c>
      <c r="F3" s="11">
        <v>43.75</v>
      </c>
      <c r="G3" s="10">
        <v>44.0166193069332</v>
      </c>
      <c r="H3" s="11">
        <v>40.1799774637766</v>
      </c>
      <c r="I3" s="11">
        <v>100</v>
      </c>
      <c r="J3" s="11">
        <v>68.7975505473906</v>
      </c>
      <c r="K3" s="8" t="s">
        <v>367</v>
      </c>
      <c r="M3" s="20" t="s">
        <v>370</v>
      </c>
      <c r="N3" s="20">
        <f>68.88-(68.88-17.69)*2/4</f>
        <v>43.285</v>
      </c>
    </row>
    <row r="4" spans="1:14">
      <c r="A4" s="8" t="s">
        <v>371</v>
      </c>
      <c r="B4" s="9">
        <v>1</v>
      </c>
      <c r="C4" s="10">
        <v>90</v>
      </c>
      <c r="D4" s="11">
        <v>74.547</v>
      </c>
      <c r="E4" s="11">
        <v>93.75</v>
      </c>
      <c r="F4" s="11">
        <v>37.5</v>
      </c>
      <c r="G4" s="10">
        <v>64.1591540556734</v>
      </c>
      <c r="H4" s="11">
        <v>53.1424587332167</v>
      </c>
      <c r="I4" s="11">
        <v>75</v>
      </c>
      <c r="J4" s="11">
        <v>66.477137619965</v>
      </c>
      <c r="K4" s="8" t="s">
        <v>367</v>
      </c>
      <c r="M4" s="20" t="s">
        <v>372</v>
      </c>
      <c r="N4" s="20">
        <f>68.88-(68.88-17.69)/4</f>
        <v>56.0825</v>
      </c>
    </row>
    <row r="5" spans="1:14">
      <c r="A5" s="8" t="s">
        <v>373</v>
      </c>
      <c r="B5" s="9">
        <v>1</v>
      </c>
      <c r="C5" s="10">
        <v>60</v>
      </c>
      <c r="D5" s="11">
        <v>49.698</v>
      </c>
      <c r="E5" s="11">
        <v>87.5</v>
      </c>
      <c r="F5" s="11">
        <v>37.5</v>
      </c>
      <c r="G5" s="10">
        <v>79.5282631932907</v>
      </c>
      <c r="H5" s="11">
        <v>65.8725556326148</v>
      </c>
      <c r="I5" s="11">
        <v>83.3333333333333</v>
      </c>
      <c r="J5" s="11">
        <v>65.3263666897844</v>
      </c>
      <c r="K5" s="8" t="s">
        <v>367</v>
      </c>
      <c r="M5" s="20" t="s">
        <v>348</v>
      </c>
      <c r="N5" s="20">
        <f>MAX(J2:J297)</f>
        <v>68.8776802802686</v>
      </c>
    </row>
    <row r="6" spans="1:11">
      <c r="A6" s="8" t="s">
        <v>374</v>
      </c>
      <c r="B6" s="9">
        <v>2</v>
      </c>
      <c r="C6" s="10">
        <v>90</v>
      </c>
      <c r="D6" s="11">
        <v>74.547</v>
      </c>
      <c r="E6" s="11">
        <v>81.25</v>
      </c>
      <c r="F6" s="11">
        <v>25</v>
      </c>
      <c r="G6" s="10">
        <v>86.16131986793</v>
      </c>
      <c r="H6" s="11">
        <v>71.3666576948277</v>
      </c>
      <c r="I6" s="11">
        <v>50</v>
      </c>
      <c r="J6" s="11">
        <v>63.8193973084483</v>
      </c>
      <c r="K6" s="8" t="s">
        <v>367</v>
      </c>
    </row>
    <row r="7" spans="1:18">
      <c r="A7" s="8" t="s">
        <v>375</v>
      </c>
      <c r="B7" s="9">
        <v>1</v>
      </c>
      <c r="C7" s="10">
        <v>70</v>
      </c>
      <c r="D7" s="11">
        <v>57.981</v>
      </c>
      <c r="E7" s="11">
        <v>93.75</v>
      </c>
      <c r="F7" s="11">
        <v>31.25</v>
      </c>
      <c r="G7" s="10">
        <v>73.0106805717822</v>
      </c>
      <c r="H7" s="11">
        <v>60.4740997052923</v>
      </c>
      <c r="I7" s="11">
        <v>66.6666666666667</v>
      </c>
      <c r="J7" s="11">
        <v>63.1759299115877</v>
      </c>
      <c r="K7" s="8" t="s">
        <v>367</v>
      </c>
      <c r="M7" s="20" t="s">
        <v>376</v>
      </c>
      <c r="N7" s="20" t="s">
        <v>367</v>
      </c>
      <c r="O7" s="20" t="s">
        <v>377</v>
      </c>
      <c r="P7" s="20" t="s">
        <v>378</v>
      </c>
      <c r="Q7" s="20" t="s">
        <v>379</v>
      </c>
      <c r="R7" s="20" t="s">
        <v>380</v>
      </c>
    </row>
    <row r="8" spans="1:18">
      <c r="A8" s="8" t="s">
        <v>48</v>
      </c>
      <c r="B8" s="9">
        <v>1</v>
      </c>
      <c r="C8" s="10">
        <v>90</v>
      </c>
      <c r="D8" s="11">
        <v>74.547</v>
      </c>
      <c r="E8" s="11">
        <v>62.5</v>
      </c>
      <c r="F8" s="11">
        <v>37.5</v>
      </c>
      <c r="G8" s="10">
        <v>71.9091608091462</v>
      </c>
      <c r="H8" s="11">
        <v>59.5617206474433</v>
      </c>
      <c r="I8" s="11">
        <v>75</v>
      </c>
      <c r="J8" s="11">
        <v>62.152916194233</v>
      </c>
      <c r="K8" s="8" t="s">
        <v>367</v>
      </c>
      <c r="M8" s="20" t="s">
        <v>381</v>
      </c>
      <c r="N8" s="21">
        <f>COUNTIFS($J$2:$J$297,"&gt;56.08",$B$2:$B$297,"=1")</f>
        <v>11</v>
      </c>
      <c r="O8" s="21">
        <f>COUNTIFS($J$2:$J$297,"&gt;43.29",$J$2:$J$297,"&lt;56.08",$B$2:$B$297,"=1")</f>
        <v>9</v>
      </c>
      <c r="P8" s="21">
        <f>COUNTIFS($J$2:$J$297,"&gt;30.49",$J$2:$J$297,"&lt;43.29",$B$2:$B$297,"=1")</f>
        <v>0</v>
      </c>
      <c r="Q8" s="21">
        <f>COUNTIFS($J$2:$J$297,"&lt;30.49",$B$2:$B$297,"=1")</f>
        <v>1</v>
      </c>
      <c r="R8" s="21">
        <f t="shared" ref="R8:R12" si="0">SUM(N8:Q8)</f>
        <v>21</v>
      </c>
    </row>
    <row r="9" spans="1:18">
      <c r="A9" s="8" t="s">
        <v>56</v>
      </c>
      <c r="B9" s="9">
        <v>2</v>
      </c>
      <c r="C9" s="10">
        <v>70</v>
      </c>
      <c r="D9" s="11">
        <v>57.9803796679926</v>
      </c>
      <c r="E9" s="11">
        <v>87.5</v>
      </c>
      <c r="F9" s="11">
        <v>37.5</v>
      </c>
      <c r="G9" s="10">
        <v>54.4504173288728</v>
      </c>
      <c r="H9" s="11">
        <v>45.1007981401241</v>
      </c>
      <c r="I9" s="11">
        <v>91.6666666666667</v>
      </c>
      <c r="J9" s="11">
        <v>62.0013153756357</v>
      </c>
      <c r="K9" s="8" t="s">
        <v>367</v>
      </c>
      <c r="M9" s="20" t="s">
        <v>382</v>
      </c>
      <c r="N9" s="21">
        <f>COUNTIFS($J$2:$J$297,"&gt;56.08",$B$2:$B$297,"=2")</f>
        <v>11</v>
      </c>
      <c r="O9" s="21">
        <f>COUNTIFS($J$2:$J$297,"&gt;43.29",$J$2:$J$297,"&lt;56.08",$B$2:$B$297,"=2")</f>
        <v>59</v>
      </c>
      <c r="P9" s="21">
        <f>COUNTIFS($J$2:$J$297,"&gt;30.49",$J$2:$J$297,"&lt;43.29",$B$2:$B$297,"=2")</f>
        <v>8</v>
      </c>
      <c r="Q9" s="21">
        <f>COUNTIFS($J$2:$J$297,"&lt;30.49",$B$2:$B$297,"=2")</f>
        <v>2</v>
      </c>
      <c r="R9" s="21">
        <f t="shared" si="0"/>
        <v>80</v>
      </c>
    </row>
    <row r="10" spans="1:18">
      <c r="A10" s="8" t="s">
        <v>54</v>
      </c>
      <c r="B10" s="9">
        <v>3</v>
      </c>
      <c r="C10" s="10">
        <v>60</v>
      </c>
      <c r="D10" s="11">
        <v>49.6974682868508</v>
      </c>
      <c r="E10" s="11">
        <v>87.5</v>
      </c>
      <c r="F10" s="11">
        <v>31.25</v>
      </c>
      <c r="G10" s="10">
        <v>79.2832442469614</v>
      </c>
      <c r="H10" s="11">
        <v>65.6696086107002</v>
      </c>
      <c r="I10" s="11">
        <v>66.6666666666667</v>
      </c>
      <c r="J10" s="11">
        <v>61.8278762405802</v>
      </c>
      <c r="K10" s="8" t="s">
        <v>367</v>
      </c>
      <c r="M10" s="20" t="s">
        <v>383</v>
      </c>
      <c r="N10" s="21">
        <f>COUNTIFS($J$2:$J$297,"&gt;56.08",$B$2:$B$297,"=3")</f>
        <v>13</v>
      </c>
      <c r="O10" s="21">
        <f>COUNTIFS($J$2:$J$297,"&gt;43.29",$J$2:$J$297,"&lt;56.08",$B$2:$B$297,"=3")</f>
        <v>74</v>
      </c>
      <c r="P10" s="21">
        <f>COUNTIFS($J$2:$J$297,"&gt;30.49",$J$2:$J$297,"&lt;43.29",$B$2:$B$297,"=3")</f>
        <v>20</v>
      </c>
      <c r="Q10" s="21">
        <f>COUNTIFS($J$2:$J$297,"&lt;30.49",$B$2:$B$297,"=3")</f>
        <v>4</v>
      </c>
      <c r="R10" s="21">
        <f t="shared" si="0"/>
        <v>111</v>
      </c>
    </row>
    <row r="11" spans="1:18">
      <c r="A11" s="8" t="s">
        <v>64</v>
      </c>
      <c r="B11" s="9">
        <v>2</v>
      </c>
      <c r="C11" s="10">
        <v>80</v>
      </c>
      <c r="D11" s="11">
        <v>72.4911356582165</v>
      </c>
      <c r="E11" s="11">
        <v>87.5</v>
      </c>
      <c r="F11" s="11">
        <v>31.25</v>
      </c>
      <c r="G11" s="10">
        <v>51.0691370885854</v>
      </c>
      <c r="H11" s="11">
        <v>46.2757468079588</v>
      </c>
      <c r="I11" s="11">
        <v>75</v>
      </c>
      <c r="J11" s="11">
        <v>61.8184511740309</v>
      </c>
      <c r="K11" s="8" t="s">
        <v>367</v>
      </c>
      <c r="M11" s="20" t="s">
        <v>384</v>
      </c>
      <c r="N11" s="21">
        <f>COUNTIFS($J$2:$J$297,"&gt;56.08",$B$2:$B$297,"=4")</f>
        <v>9</v>
      </c>
      <c r="O11" s="21">
        <f>COUNTIFS($J$2:$J$297,"&gt;43.29",$J$2:$J$297,"&lt;56.08",$B$2:$B$297,"=4")</f>
        <v>57</v>
      </c>
      <c r="P11" s="21">
        <f>COUNTIFS($J$2:$J$297,"&gt;30.49",$J$2:$J$297,"&lt;43.29",$B$2:$B$297,"=4")</f>
        <v>14</v>
      </c>
      <c r="Q11" s="21">
        <f>COUNTIFS($J$2:$J$297,"&lt;30.49",$B$2:$B$297,"=4")</f>
        <v>4</v>
      </c>
      <c r="R11" s="21">
        <f t="shared" si="0"/>
        <v>84</v>
      </c>
    </row>
    <row r="12" spans="1:18">
      <c r="A12" s="8" t="s">
        <v>385</v>
      </c>
      <c r="B12" s="9">
        <v>1</v>
      </c>
      <c r="C12" s="10">
        <v>90</v>
      </c>
      <c r="D12" s="11">
        <v>74.547</v>
      </c>
      <c r="E12" s="11">
        <v>87.5</v>
      </c>
      <c r="F12" s="11">
        <v>37.5</v>
      </c>
      <c r="G12" s="10">
        <v>49.6980117851802</v>
      </c>
      <c r="H12" s="11">
        <v>41.1644227435588</v>
      </c>
      <c r="I12" s="11">
        <v>75</v>
      </c>
      <c r="J12" s="11">
        <v>61.6337268230676</v>
      </c>
      <c r="K12" s="8" t="s">
        <v>367</v>
      </c>
      <c r="M12" s="20" t="s">
        <v>380</v>
      </c>
      <c r="N12" s="21">
        <f t="shared" ref="N12:Q12" si="1">SUM(N8:N11)</f>
        <v>44</v>
      </c>
      <c r="O12" s="21">
        <f t="shared" si="1"/>
        <v>199</v>
      </c>
      <c r="P12" s="21">
        <f t="shared" si="1"/>
        <v>42</v>
      </c>
      <c r="Q12" s="21">
        <f t="shared" si="1"/>
        <v>11</v>
      </c>
      <c r="R12" s="21">
        <f t="shared" si="0"/>
        <v>296</v>
      </c>
    </row>
    <row r="13" spans="1:11">
      <c r="A13" s="8" t="s">
        <v>180</v>
      </c>
      <c r="B13" s="9">
        <v>4</v>
      </c>
      <c r="C13" s="10">
        <v>80</v>
      </c>
      <c r="D13" s="11">
        <v>66.2632910491344</v>
      </c>
      <c r="E13" s="11">
        <v>75</v>
      </c>
      <c r="F13" s="11">
        <v>31.25</v>
      </c>
      <c r="G13" s="10">
        <v>73.3414553785007</v>
      </c>
      <c r="H13" s="11">
        <v>60.7480775464087</v>
      </c>
      <c r="I13" s="11">
        <v>66.6666666666667</v>
      </c>
      <c r="J13" s="11">
        <v>61.1645814737495</v>
      </c>
      <c r="K13" s="8" t="s">
        <v>367</v>
      </c>
    </row>
    <row r="14" spans="1:11">
      <c r="A14" s="8" t="s">
        <v>191</v>
      </c>
      <c r="B14" s="9">
        <v>3</v>
      </c>
      <c r="C14" s="10">
        <v>60</v>
      </c>
      <c r="D14" s="11">
        <v>49.6974682868508</v>
      </c>
      <c r="E14" s="11">
        <v>87.5</v>
      </c>
      <c r="F14" s="11">
        <v>25</v>
      </c>
      <c r="G14" s="10">
        <v>80.1603872424379</v>
      </c>
      <c r="H14" s="11">
        <v>66.3961383807123</v>
      </c>
      <c r="I14" s="11">
        <v>66.6666666666667</v>
      </c>
      <c r="J14" s="11">
        <v>61.1083351715839</v>
      </c>
      <c r="K14" s="8" t="s">
        <v>367</v>
      </c>
    </row>
    <row r="15" spans="1:11">
      <c r="A15" s="8" t="s">
        <v>206</v>
      </c>
      <c r="B15" s="9">
        <v>4</v>
      </c>
      <c r="C15" s="10">
        <v>70</v>
      </c>
      <c r="D15" s="11">
        <v>71.4558949865915</v>
      </c>
      <c r="E15" s="11">
        <v>81.25</v>
      </c>
      <c r="F15" s="11">
        <v>31.25</v>
      </c>
      <c r="G15" s="10">
        <v>54.5833446767434</v>
      </c>
      <c r="H15" s="11">
        <v>55.7185963605472</v>
      </c>
      <c r="I15" s="11">
        <v>58.3333333333333</v>
      </c>
      <c r="J15" s="11">
        <v>60.6942579054825</v>
      </c>
      <c r="K15" s="8" t="s">
        <v>367</v>
      </c>
    </row>
    <row r="16" spans="1:11">
      <c r="A16" s="8" t="s">
        <v>252</v>
      </c>
      <c r="B16" s="9">
        <v>3</v>
      </c>
      <c r="C16" s="10">
        <v>50</v>
      </c>
      <c r="D16" s="11">
        <v>41.414556905709</v>
      </c>
      <c r="E16" s="11">
        <v>81.25</v>
      </c>
      <c r="F16" s="11">
        <v>25</v>
      </c>
      <c r="G16" s="10">
        <v>93.3159533326107</v>
      </c>
      <c r="H16" s="11">
        <v>77.2927771900778</v>
      </c>
      <c r="I16" s="11">
        <v>58.3333333333333</v>
      </c>
      <c r="J16" s="11">
        <v>60.2207445381651</v>
      </c>
      <c r="K16" s="8" t="s">
        <v>367</v>
      </c>
    </row>
    <row r="17" spans="1:11">
      <c r="A17" s="8" t="s">
        <v>82</v>
      </c>
      <c r="B17" s="9">
        <v>2</v>
      </c>
      <c r="C17" s="10">
        <v>80</v>
      </c>
      <c r="D17" s="11">
        <v>70.34990632951</v>
      </c>
      <c r="E17" s="11">
        <v>81.25</v>
      </c>
      <c r="F17" s="11">
        <v>31.25</v>
      </c>
      <c r="G17" s="10">
        <v>61.1562297929374</v>
      </c>
      <c r="H17" s="11">
        <v>53.7791879674892</v>
      </c>
      <c r="I17" s="11">
        <v>58.3333333333333</v>
      </c>
      <c r="J17" s="11">
        <v>59.8912376561488</v>
      </c>
      <c r="K17" s="8" t="s">
        <v>367</v>
      </c>
    </row>
    <row r="18" spans="1:11">
      <c r="A18" s="8" t="s">
        <v>192</v>
      </c>
      <c r="B18" s="9">
        <v>4</v>
      </c>
      <c r="C18" s="10">
        <v>60</v>
      </c>
      <c r="D18" s="11">
        <v>49.6974682868508</v>
      </c>
      <c r="E18" s="11">
        <v>81.25</v>
      </c>
      <c r="F18" s="11">
        <v>18.75</v>
      </c>
      <c r="G18" s="10">
        <v>73.3414553785007</v>
      </c>
      <c r="H18" s="11">
        <v>60.7480775464087</v>
      </c>
      <c r="I18" s="11">
        <v>83.3333333333333</v>
      </c>
      <c r="J18" s="11">
        <v>59.7264169212928</v>
      </c>
      <c r="K18" s="8" t="s">
        <v>367</v>
      </c>
    </row>
    <row r="19" spans="1:11">
      <c r="A19" s="8" t="s">
        <v>108</v>
      </c>
      <c r="B19" s="9">
        <v>2</v>
      </c>
      <c r="C19" s="10">
        <v>50</v>
      </c>
      <c r="D19" s="11">
        <v>49.5583535944546</v>
      </c>
      <c r="E19" s="11">
        <v>87.5</v>
      </c>
      <c r="F19" s="11">
        <v>43.75</v>
      </c>
      <c r="G19" s="10">
        <v>56.6572852542353</v>
      </c>
      <c r="H19" s="11">
        <v>56.1568355266254</v>
      </c>
      <c r="I19" s="11">
        <v>58.3333333333333</v>
      </c>
      <c r="J19" s="11">
        <v>59.5712213768785</v>
      </c>
      <c r="K19" s="8" t="s">
        <v>367</v>
      </c>
    </row>
    <row r="20" spans="1:11">
      <c r="A20" s="8" t="s">
        <v>386</v>
      </c>
      <c r="B20" s="9">
        <v>1</v>
      </c>
      <c r="C20" s="10">
        <v>70</v>
      </c>
      <c r="D20" s="11">
        <v>57.981</v>
      </c>
      <c r="E20" s="11">
        <v>81.25</v>
      </c>
      <c r="F20" s="11">
        <v>56.25</v>
      </c>
      <c r="G20" s="10">
        <v>47.8241957291324</v>
      </c>
      <c r="H20" s="11">
        <v>39.6123575098784</v>
      </c>
      <c r="I20" s="11">
        <v>75</v>
      </c>
      <c r="J20" s="11">
        <v>59.4174072529635</v>
      </c>
      <c r="K20" s="8" t="s">
        <v>367</v>
      </c>
    </row>
    <row r="21" spans="1:11">
      <c r="A21" s="8" t="s">
        <v>247</v>
      </c>
      <c r="B21" s="9">
        <v>3</v>
      </c>
      <c r="C21" s="10">
        <v>50</v>
      </c>
      <c r="D21" s="11">
        <v>41.414556905709</v>
      </c>
      <c r="E21" s="11">
        <v>81.25</v>
      </c>
      <c r="F21" s="11">
        <v>25</v>
      </c>
      <c r="G21" s="10">
        <v>84.4615596489215</v>
      </c>
      <c r="H21" s="11">
        <v>69.9587613685038</v>
      </c>
      <c r="I21" s="11">
        <v>66.6666666666667</v>
      </c>
      <c r="J21" s="11">
        <v>59.2705397916929</v>
      </c>
      <c r="K21" s="8" t="s">
        <v>367</v>
      </c>
    </row>
    <row r="22" spans="1:11">
      <c r="A22" s="8" t="s">
        <v>387</v>
      </c>
      <c r="B22" s="9">
        <v>2</v>
      </c>
      <c r="C22" s="10">
        <v>60</v>
      </c>
      <c r="D22" s="11">
        <v>49.698</v>
      </c>
      <c r="E22" s="11">
        <v>87.5</v>
      </c>
      <c r="F22" s="11">
        <v>31.25</v>
      </c>
      <c r="G22" s="10">
        <v>67.1762636197519</v>
      </c>
      <c r="H22" s="11">
        <v>55.6415038478625</v>
      </c>
      <c r="I22" s="11">
        <v>66.6666666666667</v>
      </c>
      <c r="J22" s="11">
        <v>58.8195511543587</v>
      </c>
      <c r="K22" s="8" t="s">
        <v>367</v>
      </c>
    </row>
    <row r="23" spans="1:11">
      <c r="A23" s="8" t="s">
        <v>90</v>
      </c>
      <c r="B23" s="9">
        <v>4</v>
      </c>
      <c r="C23" s="10">
        <v>50</v>
      </c>
      <c r="D23" s="11">
        <v>43.92267167755</v>
      </c>
      <c r="E23" s="11">
        <v>87.5</v>
      </c>
      <c r="F23" s="11">
        <v>37.5</v>
      </c>
      <c r="G23" s="10">
        <v>73.2078588462874</v>
      </c>
      <c r="H23" s="11">
        <v>64.3096949664381</v>
      </c>
      <c r="I23" s="11">
        <v>50</v>
      </c>
      <c r="J23" s="11">
        <v>58.7024428254414</v>
      </c>
      <c r="K23" s="8" t="s">
        <v>367</v>
      </c>
    </row>
    <row r="24" spans="1:11">
      <c r="A24" s="8" t="s">
        <v>62</v>
      </c>
      <c r="B24" s="9">
        <v>1</v>
      </c>
      <c r="C24" s="10">
        <v>60</v>
      </c>
      <c r="D24" s="11">
        <v>49.6974682868508</v>
      </c>
      <c r="E24" s="11">
        <v>75</v>
      </c>
      <c r="F24" s="11">
        <v>37.5</v>
      </c>
      <c r="G24" s="10">
        <v>66.6113752840872</v>
      </c>
      <c r="H24" s="11">
        <v>55.1736118454074</v>
      </c>
      <c r="I24" s="11">
        <v>75</v>
      </c>
      <c r="J24" s="11">
        <v>58.3665772109924</v>
      </c>
      <c r="K24" s="8" t="s">
        <v>367</v>
      </c>
    </row>
    <row r="25" spans="1:11">
      <c r="A25" s="8" t="s">
        <v>157</v>
      </c>
      <c r="B25" s="9">
        <v>3</v>
      </c>
      <c r="C25" s="10">
        <v>60</v>
      </c>
      <c r="D25" s="11">
        <v>60.7612992001404</v>
      </c>
      <c r="E25" s="11">
        <v>87.5</v>
      </c>
      <c r="F25" s="11">
        <v>25</v>
      </c>
      <c r="G25" s="10">
        <v>44.6875361596467</v>
      </c>
      <c r="H25" s="11">
        <v>45.2545459185565</v>
      </c>
      <c r="I25" s="11">
        <v>75</v>
      </c>
      <c r="J25" s="11">
        <v>58.228623615595</v>
      </c>
      <c r="K25" s="8" t="s">
        <v>367</v>
      </c>
    </row>
    <row r="26" spans="1:11">
      <c r="A26" s="8" t="s">
        <v>310</v>
      </c>
      <c r="B26" s="9">
        <v>4</v>
      </c>
      <c r="C26" s="10">
        <v>60</v>
      </c>
      <c r="D26" s="11">
        <v>49.8689768826156</v>
      </c>
      <c r="E26" s="11">
        <v>87.5</v>
      </c>
      <c r="F26" s="11">
        <v>25</v>
      </c>
      <c r="G26" s="10">
        <v>72.3972955819555</v>
      </c>
      <c r="H26" s="11">
        <v>60.1729843290072</v>
      </c>
      <c r="I26" s="11">
        <v>58.3333333333333</v>
      </c>
      <c r="J26" s="11">
        <v>58.0256906752253</v>
      </c>
      <c r="K26" s="8" t="s">
        <v>367</v>
      </c>
    </row>
    <row r="27" spans="1:11">
      <c r="A27" s="8" t="s">
        <v>238</v>
      </c>
      <c r="B27" s="9">
        <v>4</v>
      </c>
      <c r="C27" s="10">
        <v>50</v>
      </c>
      <c r="D27" s="11">
        <v>50.827789458073</v>
      </c>
      <c r="E27" s="11">
        <v>87.5</v>
      </c>
      <c r="F27" s="11">
        <v>25</v>
      </c>
      <c r="G27" s="10">
        <v>58.0324343681393</v>
      </c>
      <c r="H27" s="11">
        <v>58.9932071160645</v>
      </c>
      <c r="I27" s="11">
        <v>58.3333333333333</v>
      </c>
      <c r="J27" s="11">
        <v>57.863520026434</v>
      </c>
      <c r="K27" s="8" t="s">
        <v>367</v>
      </c>
    </row>
    <row r="28" spans="1:11">
      <c r="A28" s="8" t="s">
        <v>232</v>
      </c>
      <c r="B28" s="9">
        <v>3</v>
      </c>
      <c r="C28" s="10">
        <v>50</v>
      </c>
      <c r="D28" s="11">
        <v>52.540784536144</v>
      </c>
      <c r="E28" s="11">
        <v>87.5</v>
      </c>
      <c r="F28" s="11">
        <v>25</v>
      </c>
      <c r="G28" s="10">
        <v>50.7865269054774</v>
      </c>
      <c r="H28" s="11">
        <v>53.3672793495954</v>
      </c>
      <c r="I28" s="11">
        <v>66.6666666666667</v>
      </c>
      <c r="J28" s="11">
        <v>57.7683407121074</v>
      </c>
      <c r="K28" s="8" t="s">
        <v>367</v>
      </c>
    </row>
    <row r="29" spans="1:11">
      <c r="A29" s="8" t="s">
        <v>388</v>
      </c>
      <c r="B29" s="9">
        <v>1</v>
      </c>
      <c r="C29" s="10">
        <v>70</v>
      </c>
      <c r="D29" s="11">
        <v>57.9803796679926</v>
      </c>
      <c r="E29" s="11">
        <v>75</v>
      </c>
      <c r="F29" s="11">
        <v>0</v>
      </c>
      <c r="G29" s="10">
        <v>88.7384572577498</v>
      </c>
      <c r="H29" s="11">
        <v>73.5012777565181</v>
      </c>
      <c r="I29" s="11">
        <v>58.3333333333333</v>
      </c>
      <c r="J29" s="11">
        <v>57.3964592605539</v>
      </c>
      <c r="K29" s="8" t="s">
        <v>367</v>
      </c>
    </row>
    <row r="30" spans="1:11">
      <c r="A30" s="8" t="s">
        <v>299</v>
      </c>
      <c r="B30" s="9">
        <v>3</v>
      </c>
      <c r="C30" s="10">
        <v>60</v>
      </c>
      <c r="D30" s="11">
        <v>59.5775631854569</v>
      </c>
      <c r="E30" s="11">
        <v>81.25</v>
      </c>
      <c r="F30" s="11">
        <v>12.5</v>
      </c>
      <c r="G30" s="10">
        <v>62.4391918334695</v>
      </c>
      <c r="H30" s="11">
        <v>61.9995816117899</v>
      </c>
      <c r="I30" s="11">
        <v>58.3333333333333</v>
      </c>
      <c r="J30" s="11">
        <v>57.3903871206283</v>
      </c>
      <c r="K30" s="8" t="s">
        <v>367</v>
      </c>
    </row>
    <row r="31" spans="1:11">
      <c r="A31" s="8" t="s">
        <v>105</v>
      </c>
      <c r="B31" s="9">
        <v>3</v>
      </c>
      <c r="C31" s="10">
        <v>70</v>
      </c>
      <c r="D31" s="11">
        <v>68.9029451940603</v>
      </c>
      <c r="E31" s="11">
        <v>87.5</v>
      </c>
      <c r="F31" s="11">
        <v>37.5</v>
      </c>
      <c r="G31" s="10">
        <v>35.4744455710535</v>
      </c>
      <c r="H31" s="11">
        <v>34.9184825567425</v>
      </c>
      <c r="I31" s="11">
        <v>66.6666666666667</v>
      </c>
      <c r="J31" s="11">
        <v>57.3811338058348</v>
      </c>
      <c r="K31" s="8" t="s">
        <v>367</v>
      </c>
    </row>
    <row r="32" spans="1:11">
      <c r="A32" s="8" t="s">
        <v>389</v>
      </c>
      <c r="B32" s="9">
        <v>1</v>
      </c>
      <c r="C32" s="10">
        <v>80</v>
      </c>
      <c r="D32" s="11">
        <v>68.8</v>
      </c>
      <c r="E32" s="11">
        <v>87.5</v>
      </c>
      <c r="F32" s="11">
        <v>37.5</v>
      </c>
      <c r="G32" s="10">
        <v>50.0599368059493</v>
      </c>
      <c r="H32" s="11">
        <v>43.0491285275998</v>
      </c>
      <c r="I32" s="11">
        <v>50</v>
      </c>
      <c r="J32" s="11">
        <v>57.2997385582799</v>
      </c>
      <c r="K32" s="8" t="s">
        <v>367</v>
      </c>
    </row>
    <row r="33" spans="1:11">
      <c r="A33" s="8" t="s">
        <v>66</v>
      </c>
      <c r="B33" s="9">
        <v>2</v>
      </c>
      <c r="C33" s="10">
        <v>60</v>
      </c>
      <c r="D33" s="11">
        <v>54.3683517436624</v>
      </c>
      <c r="E33" s="11">
        <v>87.5</v>
      </c>
      <c r="F33" s="11">
        <v>31.25</v>
      </c>
      <c r="G33" s="10">
        <v>47.374243170383</v>
      </c>
      <c r="H33" s="11">
        <v>42.9276586046196</v>
      </c>
      <c r="I33" s="11">
        <v>75</v>
      </c>
      <c r="J33" s="11">
        <v>57.1894679301184</v>
      </c>
      <c r="K33" s="8" t="s">
        <v>367</v>
      </c>
    </row>
    <row r="34" spans="1:11">
      <c r="A34" s="8" t="s">
        <v>208</v>
      </c>
      <c r="B34" s="9">
        <v>3</v>
      </c>
      <c r="C34" s="10">
        <v>50</v>
      </c>
      <c r="D34" s="11">
        <v>43.9686914559437</v>
      </c>
      <c r="E34" s="11">
        <v>81.25</v>
      </c>
      <c r="F34" s="11">
        <v>31.25</v>
      </c>
      <c r="G34" s="10">
        <v>61.1562297929374</v>
      </c>
      <c r="H34" s="11">
        <v>53.7791879674892</v>
      </c>
      <c r="I34" s="11">
        <v>75</v>
      </c>
      <c r="J34" s="11">
        <v>57.1149946814355</v>
      </c>
      <c r="K34" s="8" t="s">
        <v>367</v>
      </c>
    </row>
    <row r="35" spans="1:11">
      <c r="A35" s="8" t="s">
        <v>188</v>
      </c>
      <c r="B35" s="9">
        <v>4</v>
      </c>
      <c r="C35" s="10">
        <v>70</v>
      </c>
      <c r="D35" s="11">
        <v>72.2446915403696</v>
      </c>
      <c r="E35" s="11">
        <v>87.5</v>
      </c>
      <c r="F35" s="11">
        <v>37.5</v>
      </c>
      <c r="G35" s="10">
        <v>30.5984941674856</v>
      </c>
      <c r="H35" s="11">
        <v>31.5796967532828</v>
      </c>
      <c r="I35" s="11">
        <v>66.6666666666667</v>
      </c>
      <c r="J35" s="11">
        <v>57.0478473340588</v>
      </c>
      <c r="K35" s="8" t="s">
        <v>367</v>
      </c>
    </row>
    <row r="36" spans="1:11">
      <c r="A36" s="8" t="s">
        <v>250</v>
      </c>
      <c r="B36" s="9">
        <v>3</v>
      </c>
      <c r="C36" s="10">
        <v>60</v>
      </c>
      <c r="D36" s="11">
        <v>49.6974682868508</v>
      </c>
      <c r="E36" s="11">
        <v>81.25</v>
      </c>
      <c r="F36" s="11">
        <v>25</v>
      </c>
      <c r="G36" s="10">
        <v>73.3414553785007</v>
      </c>
      <c r="H36" s="11">
        <v>60.7480775464087</v>
      </c>
      <c r="I36" s="11">
        <v>58.3333333333333</v>
      </c>
      <c r="J36" s="11">
        <v>56.9139169212928</v>
      </c>
      <c r="K36" s="8" t="s">
        <v>367</v>
      </c>
    </row>
    <row r="37" spans="1:11">
      <c r="A37" s="8" t="s">
        <v>109</v>
      </c>
      <c r="B37" s="9">
        <v>2</v>
      </c>
      <c r="C37" s="10">
        <v>80</v>
      </c>
      <c r="D37" s="11">
        <v>75.3226814792402</v>
      </c>
      <c r="E37" s="11">
        <v>81.25</v>
      </c>
      <c r="F37" s="11">
        <v>25</v>
      </c>
      <c r="G37" s="10">
        <v>46.1244218065616</v>
      </c>
      <c r="H37" s="11">
        <v>43.4276891518721</v>
      </c>
      <c r="I37" s="11">
        <v>58.3333333333333</v>
      </c>
      <c r="J37" s="11">
        <v>56.8428430414097</v>
      </c>
      <c r="K37" s="8" t="s">
        <v>367</v>
      </c>
    </row>
    <row r="38" spans="1:11">
      <c r="A38" s="8" t="s">
        <v>189</v>
      </c>
      <c r="B38" s="9">
        <v>4</v>
      </c>
      <c r="C38" s="10">
        <v>70</v>
      </c>
      <c r="D38" s="11">
        <v>68.8705528877967</v>
      </c>
      <c r="E38" s="11">
        <v>87.5</v>
      </c>
      <c r="F38" s="11">
        <v>25</v>
      </c>
      <c r="G38" s="10">
        <v>48.1494554136456</v>
      </c>
      <c r="H38" s="11">
        <v>47.3725659369156</v>
      </c>
      <c r="I38" s="11">
        <v>50</v>
      </c>
      <c r="J38" s="11">
        <v>56.735880358634</v>
      </c>
      <c r="K38" s="8" t="s">
        <v>367</v>
      </c>
    </row>
    <row r="39" spans="1:11">
      <c r="A39" s="8" t="s">
        <v>112</v>
      </c>
      <c r="B39" s="9">
        <v>2</v>
      </c>
      <c r="C39" s="10">
        <v>70</v>
      </c>
      <c r="D39" s="11">
        <v>57.9803796679926</v>
      </c>
      <c r="E39" s="11">
        <v>68.75</v>
      </c>
      <c r="F39" s="11">
        <v>12.5</v>
      </c>
      <c r="G39" s="10">
        <v>82.7830533439523</v>
      </c>
      <c r="H39" s="11">
        <v>68.5684694708291</v>
      </c>
      <c r="I39" s="11">
        <v>58.3333333333333</v>
      </c>
      <c r="J39" s="11">
        <v>56.5416167748472</v>
      </c>
      <c r="K39" s="8" t="s">
        <v>367</v>
      </c>
    </row>
    <row r="40" spans="1:11">
      <c r="A40" s="8" t="s">
        <v>390</v>
      </c>
      <c r="B40" s="9">
        <v>3</v>
      </c>
      <c r="C40" s="10">
        <v>50</v>
      </c>
      <c r="D40" s="11">
        <v>50.85</v>
      </c>
      <c r="E40" s="11">
        <v>87.5</v>
      </c>
      <c r="F40" s="11">
        <v>31.25</v>
      </c>
      <c r="G40" s="10">
        <v>58.332020361507</v>
      </c>
      <c r="H40" s="11">
        <v>59.2977529919742</v>
      </c>
      <c r="I40" s="11">
        <v>41.6666666666667</v>
      </c>
      <c r="J40" s="11">
        <v>56.3968258975923</v>
      </c>
      <c r="K40" s="8" t="s">
        <v>367</v>
      </c>
    </row>
    <row r="41" spans="1:11">
      <c r="A41" s="8" t="s">
        <v>193</v>
      </c>
      <c r="B41" s="9">
        <v>4</v>
      </c>
      <c r="C41" s="10">
        <v>60</v>
      </c>
      <c r="D41" s="11">
        <v>57.1373431905895</v>
      </c>
      <c r="E41" s="11">
        <v>87.5</v>
      </c>
      <c r="F41" s="11">
        <v>18.75</v>
      </c>
      <c r="G41" s="10">
        <v>50.8673512377328</v>
      </c>
      <c r="H41" s="11">
        <v>48.4404217477766</v>
      </c>
      <c r="I41" s="11">
        <v>66.6666666666667</v>
      </c>
      <c r="J41" s="11">
        <v>56.2720951624509</v>
      </c>
      <c r="K41" s="8" t="s">
        <v>367</v>
      </c>
    </row>
    <row r="42" spans="1:11">
      <c r="A42" s="8" t="s">
        <v>92</v>
      </c>
      <c r="B42" s="9">
        <v>3</v>
      </c>
      <c r="C42" s="10">
        <v>60</v>
      </c>
      <c r="D42" s="11">
        <v>55.6088036375926</v>
      </c>
      <c r="E42" s="11">
        <v>87.5</v>
      </c>
      <c r="F42" s="11">
        <v>18.75</v>
      </c>
      <c r="G42" s="10">
        <v>53.2802040511259</v>
      </c>
      <c r="H42" s="11">
        <v>49.3808067474988</v>
      </c>
      <c r="I42" s="11">
        <v>66.6666666666667</v>
      </c>
      <c r="J42" s="11">
        <v>56.2485027517682</v>
      </c>
      <c r="K42" s="8" t="s">
        <v>367</v>
      </c>
    </row>
    <row r="43" spans="1:11">
      <c r="A43" s="8" t="s">
        <v>225</v>
      </c>
      <c r="B43" s="9">
        <v>2</v>
      </c>
      <c r="C43" s="10">
        <v>50</v>
      </c>
      <c r="D43" s="11">
        <v>41.414556905709</v>
      </c>
      <c r="E43" s="11">
        <v>75</v>
      </c>
      <c r="F43" s="11">
        <v>31.25</v>
      </c>
      <c r="G43" s="10">
        <v>73.3414553785007</v>
      </c>
      <c r="H43" s="11">
        <v>60.7480775464087</v>
      </c>
      <c r="I43" s="11">
        <v>66.6666666666667</v>
      </c>
      <c r="J43" s="11">
        <v>56.1948346450644</v>
      </c>
      <c r="K43" s="8" t="s">
        <v>367</v>
      </c>
    </row>
    <row r="44" spans="1:11">
      <c r="A44" s="8" t="s">
        <v>199</v>
      </c>
      <c r="B44" s="9">
        <v>2</v>
      </c>
      <c r="C44" s="10">
        <v>80</v>
      </c>
      <c r="D44" s="11">
        <v>81.983620347912</v>
      </c>
      <c r="E44" s="11">
        <v>81.25</v>
      </c>
      <c r="F44" s="11">
        <v>43.75</v>
      </c>
      <c r="G44" s="10">
        <v>22.6968988184113</v>
      </c>
      <c r="H44" s="11">
        <v>23.2596741975451</v>
      </c>
      <c r="I44" s="11">
        <v>66.6666666666667</v>
      </c>
      <c r="J44" s="11">
        <v>56.1871263288459</v>
      </c>
      <c r="K44" s="8" t="s">
        <v>367</v>
      </c>
    </row>
    <row r="45" spans="1:11">
      <c r="A45" s="12" t="s">
        <v>73</v>
      </c>
      <c r="B45" s="13">
        <v>3</v>
      </c>
      <c r="C45" s="14">
        <v>40</v>
      </c>
      <c r="D45" s="15">
        <v>33.1316455245672</v>
      </c>
      <c r="E45" s="15">
        <v>81.25</v>
      </c>
      <c r="F45" s="15">
        <v>25</v>
      </c>
      <c r="G45" s="14">
        <v>73.3414553785007</v>
      </c>
      <c r="H45" s="15">
        <v>60.7480775464087</v>
      </c>
      <c r="I45" s="15">
        <v>75</v>
      </c>
      <c r="J45" s="15">
        <v>56.100752368836</v>
      </c>
      <c r="K45" s="12" t="s">
        <v>367</v>
      </c>
    </row>
    <row r="46" spans="1:11">
      <c r="A46" s="16" t="s">
        <v>154</v>
      </c>
      <c r="B46" s="17">
        <v>4</v>
      </c>
      <c r="C46" s="18">
        <v>50</v>
      </c>
      <c r="D46" s="19">
        <v>52.540784536144</v>
      </c>
      <c r="E46" s="19">
        <v>81.25</v>
      </c>
      <c r="F46" s="19">
        <v>37.5</v>
      </c>
      <c r="G46" s="18">
        <v>39.442203956618</v>
      </c>
      <c r="H46" s="19">
        <v>41.4464867943063</v>
      </c>
      <c r="I46" s="19">
        <v>75</v>
      </c>
      <c r="J46" s="19">
        <v>56.0671029455207</v>
      </c>
      <c r="K46" s="16" t="s">
        <v>377</v>
      </c>
    </row>
    <row r="47" spans="1:11">
      <c r="A47" s="16" t="s">
        <v>213</v>
      </c>
      <c r="B47" s="17">
        <v>3</v>
      </c>
      <c r="C47" s="18">
        <v>50</v>
      </c>
      <c r="D47" s="19">
        <v>47.9518710921128</v>
      </c>
      <c r="E47" s="19">
        <v>81.25</v>
      </c>
      <c r="F47" s="19">
        <v>31.25</v>
      </c>
      <c r="G47" s="18">
        <v>45.1923581618762</v>
      </c>
      <c r="H47" s="19">
        <v>43.3411626585376</v>
      </c>
      <c r="I47" s="19">
        <v>83.3333333333333</v>
      </c>
      <c r="J47" s="19">
        <v>56.0302230159838</v>
      </c>
      <c r="K47" s="16" t="s">
        <v>377</v>
      </c>
    </row>
    <row r="48" spans="1:11">
      <c r="A48" s="16" t="s">
        <v>183</v>
      </c>
      <c r="B48" s="17">
        <v>2</v>
      </c>
      <c r="C48" s="18">
        <v>50</v>
      </c>
      <c r="D48" s="19">
        <v>54.868934322952</v>
      </c>
      <c r="E48" s="19">
        <v>87.5</v>
      </c>
      <c r="F48" s="19">
        <v>31.25</v>
      </c>
      <c r="G48" s="18">
        <v>35.1918353879455</v>
      </c>
      <c r="H48" s="19">
        <v>38.6187700921064</v>
      </c>
      <c r="I48" s="19">
        <v>75</v>
      </c>
      <c r="J48" s="19">
        <v>55.9969178922223</v>
      </c>
      <c r="K48" s="16" t="s">
        <v>377</v>
      </c>
    </row>
    <row r="49" spans="1:11">
      <c r="A49" s="16" t="s">
        <v>60</v>
      </c>
      <c r="B49" s="17">
        <v>2</v>
      </c>
      <c r="C49" s="18">
        <v>60</v>
      </c>
      <c r="D49" s="19">
        <v>59.7374243299658</v>
      </c>
      <c r="E49" s="19">
        <v>87.5</v>
      </c>
      <c r="F49" s="19">
        <v>31.25</v>
      </c>
      <c r="G49" s="18">
        <v>31.1672525866187</v>
      </c>
      <c r="H49" s="19">
        <v>31.0308565494344</v>
      </c>
      <c r="I49" s="19">
        <v>83.3333333333333</v>
      </c>
      <c r="J49" s="19">
        <v>55.9442418308235</v>
      </c>
      <c r="K49" s="16" t="s">
        <v>377</v>
      </c>
    </row>
    <row r="50" spans="1:11">
      <c r="A50" s="16" t="s">
        <v>246</v>
      </c>
      <c r="B50" s="17">
        <v>2</v>
      </c>
      <c r="C50" s="18">
        <v>60</v>
      </c>
      <c r="D50" s="19">
        <v>60.0520714397004</v>
      </c>
      <c r="E50" s="19">
        <v>75</v>
      </c>
      <c r="F50" s="19">
        <v>18.75</v>
      </c>
      <c r="G50" s="18">
        <v>49.5115923022137</v>
      </c>
      <c r="H50" s="19">
        <v>49.554561300431</v>
      </c>
      <c r="I50" s="19">
        <v>75</v>
      </c>
      <c r="J50" s="19">
        <v>55.9392826780694</v>
      </c>
      <c r="K50" s="16" t="s">
        <v>377</v>
      </c>
    </row>
    <row r="51" spans="1:11">
      <c r="A51" s="16" t="s">
        <v>75</v>
      </c>
      <c r="B51" s="17">
        <v>3</v>
      </c>
      <c r="C51" s="18">
        <v>80</v>
      </c>
      <c r="D51" s="19">
        <v>83.8349556056416</v>
      </c>
      <c r="E51" s="19">
        <v>81.25</v>
      </c>
      <c r="F51" s="19">
        <v>25</v>
      </c>
      <c r="G51" s="18">
        <v>25.0475553931379</v>
      </c>
      <c r="H51" s="19">
        <v>26.2482586801696</v>
      </c>
      <c r="I51" s="19">
        <v>75</v>
      </c>
      <c r="J51" s="19">
        <v>55.8914687251792</v>
      </c>
      <c r="K51" s="16" t="s">
        <v>377</v>
      </c>
    </row>
    <row r="52" spans="1:11">
      <c r="A52" s="16" t="s">
        <v>131</v>
      </c>
      <c r="B52" s="17">
        <v>3</v>
      </c>
      <c r="C52" s="18">
        <v>70</v>
      </c>
      <c r="D52" s="19">
        <v>61.5561680383212</v>
      </c>
      <c r="E52" s="19">
        <v>81.25</v>
      </c>
      <c r="F52" s="19">
        <v>6.25</v>
      </c>
      <c r="G52" s="18">
        <v>61.1562297929374</v>
      </c>
      <c r="H52" s="19">
        <v>53.7791879674892</v>
      </c>
      <c r="I52" s="19">
        <v>66.6666666666667</v>
      </c>
      <c r="J52" s="19">
        <v>55.632489997911</v>
      </c>
      <c r="K52" s="16" t="s">
        <v>377</v>
      </c>
    </row>
    <row r="53" spans="1:11">
      <c r="A53" s="16" t="s">
        <v>176</v>
      </c>
      <c r="B53" s="17">
        <v>2</v>
      </c>
      <c r="C53" s="18">
        <v>60</v>
      </c>
      <c r="D53" s="19">
        <v>60.6620326132176</v>
      </c>
      <c r="E53" s="19">
        <v>87.5</v>
      </c>
      <c r="F53" s="19">
        <v>25</v>
      </c>
      <c r="G53" s="18">
        <v>31.875344936049</v>
      </c>
      <c r="H53" s="19">
        <v>32.2270535678027</v>
      </c>
      <c r="I53" s="19">
        <v>83.3333333333333</v>
      </c>
      <c r="J53" s="19">
        <v>55.5505225929843</v>
      </c>
      <c r="K53" s="16" t="s">
        <v>377</v>
      </c>
    </row>
    <row r="54" spans="1:11">
      <c r="A54" s="16" t="s">
        <v>84</v>
      </c>
      <c r="B54" s="17">
        <v>2</v>
      </c>
      <c r="C54" s="18">
        <v>60</v>
      </c>
      <c r="D54" s="19">
        <v>60.407808569145</v>
      </c>
      <c r="E54" s="19">
        <v>81.25</v>
      </c>
      <c r="F54" s="19">
        <v>37.5</v>
      </c>
      <c r="G54" s="18">
        <v>42.1928013195763</v>
      </c>
      <c r="H54" s="19">
        <v>42.4795777518156</v>
      </c>
      <c r="I54" s="19">
        <v>58.3333333333333</v>
      </c>
      <c r="J54" s="19">
        <v>55.4504350393737</v>
      </c>
      <c r="K54" s="16" t="s">
        <v>377</v>
      </c>
    </row>
    <row r="55" spans="1:11">
      <c r="A55" s="16" t="s">
        <v>148</v>
      </c>
      <c r="B55" s="17">
        <v>4</v>
      </c>
      <c r="C55" s="18">
        <v>50</v>
      </c>
      <c r="D55" s="19">
        <v>50.827789458073</v>
      </c>
      <c r="E55" s="19">
        <v>81.25</v>
      </c>
      <c r="F55" s="19">
        <v>25</v>
      </c>
      <c r="G55" s="18">
        <v>58.0324343681393</v>
      </c>
      <c r="H55" s="19">
        <v>58.9932071160645</v>
      </c>
      <c r="I55" s="19">
        <v>50</v>
      </c>
      <c r="J55" s="19">
        <v>55.363520026434</v>
      </c>
      <c r="K55" s="16" t="s">
        <v>377</v>
      </c>
    </row>
    <row r="56" spans="1:11">
      <c r="A56" s="16" t="s">
        <v>244</v>
      </c>
      <c r="B56" s="17">
        <v>4</v>
      </c>
      <c r="C56" s="18">
        <v>40</v>
      </c>
      <c r="D56" s="19">
        <v>34.9548654998315</v>
      </c>
      <c r="E56" s="19">
        <v>75</v>
      </c>
      <c r="F56" s="19">
        <v>18.75</v>
      </c>
      <c r="G56" s="18">
        <v>73.5435601072812</v>
      </c>
      <c r="H56" s="19">
        <v>64.2676312982197</v>
      </c>
      <c r="I56" s="19">
        <v>75</v>
      </c>
      <c r="J56" s="19">
        <v>55.3337624894322</v>
      </c>
      <c r="K56" s="16" t="s">
        <v>377</v>
      </c>
    </row>
    <row r="57" spans="1:11">
      <c r="A57" s="16" t="s">
        <v>61</v>
      </c>
      <c r="B57" s="17">
        <v>4</v>
      </c>
      <c r="C57" s="18">
        <v>50</v>
      </c>
      <c r="D57" s="19">
        <v>43.92267167755</v>
      </c>
      <c r="E57" s="19">
        <v>68.75</v>
      </c>
      <c r="F57" s="19">
        <v>31.25</v>
      </c>
      <c r="G57" s="18">
        <v>73.2078588462874</v>
      </c>
      <c r="H57" s="19">
        <v>64.3096949664381</v>
      </c>
      <c r="I57" s="19">
        <v>58.3333333333333</v>
      </c>
      <c r="J57" s="19">
        <v>55.2649428254414</v>
      </c>
      <c r="K57" s="16" t="s">
        <v>377</v>
      </c>
    </row>
    <row r="58" spans="1:11">
      <c r="A58" s="16" t="s">
        <v>185</v>
      </c>
      <c r="B58" s="17">
        <v>3</v>
      </c>
      <c r="C58" s="18">
        <v>70</v>
      </c>
      <c r="D58" s="19">
        <v>71.815170247464</v>
      </c>
      <c r="E58" s="19">
        <v>81.25</v>
      </c>
      <c r="F58" s="19">
        <v>37.5</v>
      </c>
      <c r="G58" s="18">
        <v>29.2355380364036</v>
      </c>
      <c r="H58" s="19">
        <v>29.9936448765791</v>
      </c>
      <c r="I58" s="19">
        <v>66.6666666666667</v>
      </c>
      <c r="J58" s="19">
        <v>55.2361275124665</v>
      </c>
      <c r="K58" s="16" t="s">
        <v>377</v>
      </c>
    </row>
    <row r="59" spans="1:11">
      <c r="A59" s="16" t="s">
        <v>205</v>
      </c>
      <c r="B59" s="17">
        <v>4</v>
      </c>
      <c r="C59" s="18">
        <v>60</v>
      </c>
      <c r="D59" s="19">
        <v>59.7374243299658</v>
      </c>
      <c r="E59" s="19">
        <v>75</v>
      </c>
      <c r="F59" s="19">
        <v>12.5</v>
      </c>
      <c r="G59" s="18">
        <v>58.1299919897176</v>
      </c>
      <c r="H59" s="19">
        <v>57.8755999631212</v>
      </c>
      <c r="I59" s="19">
        <v>58.3333333333333</v>
      </c>
      <c r="J59" s="19">
        <v>54.9351648549295</v>
      </c>
      <c r="K59" s="16" t="s">
        <v>377</v>
      </c>
    </row>
    <row r="60" spans="1:11">
      <c r="A60" s="16" t="s">
        <v>103</v>
      </c>
      <c r="B60" s="17">
        <v>2</v>
      </c>
      <c r="C60" s="18">
        <v>70</v>
      </c>
      <c r="D60" s="19">
        <v>60.3262772059522</v>
      </c>
      <c r="E60" s="19">
        <v>81.25</v>
      </c>
      <c r="F60" s="19">
        <v>31.25</v>
      </c>
      <c r="G60" s="18">
        <v>50.7312557803213</v>
      </c>
      <c r="H60" s="19">
        <v>43.7203971315676</v>
      </c>
      <c r="I60" s="19">
        <v>58.3333333333333</v>
      </c>
      <c r="J60" s="19">
        <v>54.8688745806607</v>
      </c>
      <c r="K60" s="16" t="s">
        <v>377</v>
      </c>
    </row>
    <row r="61" spans="1:11">
      <c r="A61" s="16" t="s">
        <v>80</v>
      </c>
      <c r="B61" s="17">
        <v>3</v>
      </c>
      <c r="C61" s="18">
        <v>50</v>
      </c>
      <c r="D61" s="19">
        <v>49.3314313346277</v>
      </c>
      <c r="E61" s="19">
        <v>87.5</v>
      </c>
      <c r="F61" s="19">
        <v>31.25</v>
      </c>
      <c r="G61" s="18">
        <v>38.707348883526</v>
      </c>
      <c r="H61" s="19">
        <v>38.1897784718628</v>
      </c>
      <c r="I61" s="19">
        <v>75</v>
      </c>
      <c r="J61" s="19">
        <v>54.7607198084844</v>
      </c>
      <c r="K61" s="16" t="s">
        <v>377</v>
      </c>
    </row>
    <row r="62" spans="1:11">
      <c r="A62" s="16" t="s">
        <v>149</v>
      </c>
      <c r="B62" s="17">
        <v>3</v>
      </c>
      <c r="C62" s="18">
        <v>70</v>
      </c>
      <c r="D62" s="19">
        <v>71.815170247464</v>
      </c>
      <c r="E62" s="19">
        <v>81.25</v>
      </c>
      <c r="F62" s="19">
        <v>37.5</v>
      </c>
      <c r="G62" s="18">
        <v>27.5378840739862</v>
      </c>
      <c r="H62" s="19">
        <v>28.2519690432607</v>
      </c>
      <c r="I62" s="19">
        <v>66.6666666666667</v>
      </c>
      <c r="J62" s="19">
        <v>54.713624762471</v>
      </c>
      <c r="K62" s="16" t="s">
        <v>377</v>
      </c>
    </row>
    <row r="63" spans="1:11">
      <c r="A63" s="16" t="s">
        <v>96</v>
      </c>
      <c r="B63" s="17">
        <v>3</v>
      </c>
      <c r="C63" s="18">
        <v>60</v>
      </c>
      <c r="D63" s="19">
        <v>54.3683517436624</v>
      </c>
      <c r="E63" s="19">
        <v>81.25</v>
      </c>
      <c r="F63" s="19">
        <v>31.25</v>
      </c>
      <c r="G63" s="18">
        <v>47.374243170383</v>
      </c>
      <c r="H63" s="19">
        <v>42.9276586046196</v>
      </c>
      <c r="I63" s="19">
        <v>66.6666666666667</v>
      </c>
      <c r="J63" s="19">
        <v>54.6894679301184</v>
      </c>
      <c r="K63" s="16" t="s">
        <v>377</v>
      </c>
    </row>
    <row r="64" spans="1:11">
      <c r="A64" s="16" t="s">
        <v>76</v>
      </c>
      <c r="B64" s="17">
        <v>3</v>
      </c>
      <c r="C64" s="18">
        <v>50</v>
      </c>
      <c r="D64" s="19">
        <v>49.7811869416381</v>
      </c>
      <c r="E64" s="19">
        <v>81.25</v>
      </c>
      <c r="F64" s="19">
        <v>37.5</v>
      </c>
      <c r="G64" s="18">
        <v>38.4571784252343</v>
      </c>
      <c r="H64" s="19">
        <v>38.2888797686904</v>
      </c>
      <c r="I64" s="19">
        <v>75</v>
      </c>
      <c r="J64" s="19">
        <v>54.5679013189347</v>
      </c>
      <c r="K64" s="16" t="s">
        <v>377</v>
      </c>
    </row>
    <row r="65" spans="1:11">
      <c r="A65" s="16" t="s">
        <v>164</v>
      </c>
      <c r="B65" s="17">
        <v>3</v>
      </c>
      <c r="C65" s="18">
        <v>60</v>
      </c>
      <c r="D65" s="19">
        <v>54.7180823198839</v>
      </c>
      <c r="E65" s="19">
        <v>68.75</v>
      </c>
      <c r="F65" s="19">
        <v>18.75</v>
      </c>
      <c r="G65" s="18">
        <v>66.5592408399847</v>
      </c>
      <c r="H65" s="19">
        <v>60.6999003238543</v>
      </c>
      <c r="I65" s="19">
        <v>58.3333333333333</v>
      </c>
      <c r="J65" s="19">
        <v>54.4660865611331</v>
      </c>
      <c r="K65" s="16" t="s">
        <v>377</v>
      </c>
    </row>
    <row r="66" spans="1:11">
      <c r="A66" s="16" t="s">
        <v>101</v>
      </c>
      <c r="B66" s="17">
        <v>3</v>
      </c>
      <c r="C66" s="18">
        <v>50</v>
      </c>
      <c r="D66" s="19">
        <v>51.099620598739</v>
      </c>
      <c r="E66" s="19">
        <v>87.5</v>
      </c>
      <c r="F66" s="19">
        <v>37.5</v>
      </c>
      <c r="G66" s="18">
        <v>40.2455810245783</v>
      </c>
      <c r="H66" s="19">
        <v>41.1306784226352</v>
      </c>
      <c r="I66" s="19">
        <v>58.3333333333333</v>
      </c>
      <c r="J66" s="19">
        <v>54.4341276465384</v>
      </c>
      <c r="K66" s="16" t="s">
        <v>377</v>
      </c>
    </row>
    <row r="67" spans="1:11">
      <c r="A67" s="16" t="s">
        <v>391</v>
      </c>
      <c r="B67" s="17">
        <v>2</v>
      </c>
      <c r="C67" s="18">
        <v>70</v>
      </c>
      <c r="D67" s="19">
        <v>68.3172327675617</v>
      </c>
      <c r="E67" s="19">
        <v>81.25</v>
      </c>
      <c r="F67" s="19">
        <v>37.5</v>
      </c>
      <c r="G67" s="18">
        <v>29.9168774123161</v>
      </c>
      <c r="H67" s="19">
        <v>29.1976896836543</v>
      </c>
      <c r="I67" s="19">
        <v>66.6666666666667</v>
      </c>
      <c r="J67" s="19">
        <v>54.2977534586086</v>
      </c>
      <c r="K67" s="16" t="s">
        <v>377</v>
      </c>
    </row>
    <row r="68" spans="1:11">
      <c r="A68" s="16" t="s">
        <v>123</v>
      </c>
      <c r="B68" s="17">
        <v>1</v>
      </c>
      <c r="C68" s="18">
        <v>80</v>
      </c>
      <c r="D68" s="19">
        <v>66.2632910491344</v>
      </c>
      <c r="E68" s="19">
        <v>81.25</v>
      </c>
      <c r="F68" s="19">
        <v>25</v>
      </c>
      <c r="G68" s="18">
        <v>49.139003505263</v>
      </c>
      <c r="H68" s="19">
        <v>40.701401139171</v>
      </c>
      <c r="I68" s="19">
        <v>58.3333333333333</v>
      </c>
      <c r="J68" s="19">
        <v>54.2130785515782</v>
      </c>
      <c r="K68" s="16" t="s">
        <v>377</v>
      </c>
    </row>
    <row r="69" spans="1:11">
      <c r="A69" s="16" t="s">
        <v>36</v>
      </c>
      <c r="B69" s="17">
        <v>3</v>
      </c>
      <c r="C69" s="18">
        <v>40</v>
      </c>
      <c r="D69" s="19">
        <v>35.9885784987068</v>
      </c>
      <c r="E69" s="19">
        <v>87.5</v>
      </c>
      <c r="F69" s="19">
        <v>37.5</v>
      </c>
      <c r="G69" s="18">
        <v>46.6005704194256</v>
      </c>
      <c r="H69" s="19">
        <v>41.9272071656003</v>
      </c>
      <c r="I69" s="19">
        <v>75</v>
      </c>
      <c r="J69" s="19">
        <v>54.1508778494214</v>
      </c>
      <c r="K69" s="16" t="s">
        <v>377</v>
      </c>
    </row>
    <row r="70" spans="1:11">
      <c r="A70" s="16" t="s">
        <v>74</v>
      </c>
      <c r="B70" s="17">
        <v>3</v>
      </c>
      <c r="C70" s="18">
        <v>60</v>
      </c>
      <c r="D70" s="19">
        <v>59.1150416249804</v>
      </c>
      <c r="E70" s="19">
        <v>87.5</v>
      </c>
      <c r="F70" s="19">
        <v>31.25</v>
      </c>
      <c r="G70" s="18">
        <v>29.9769910463732</v>
      </c>
      <c r="H70" s="19">
        <v>29.5348512249669</v>
      </c>
      <c r="I70" s="19">
        <v>75</v>
      </c>
      <c r="J70" s="19">
        <v>54.1209636924861</v>
      </c>
      <c r="K70" s="16" t="s">
        <v>377</v>
      </c>
    </row>
    <row r="71" spans="1:11">
      <c r="A71" s="16" t="s">
        <v>178</v>
      </c>
      <c r="B71" s="17">
        <v>2</v>
      </c>
      <c r="C71" s="18">
        <v>70</v>
      </c>
      <c r="D71" s="19">
        <v>58.31</v>
      </c>
      <c r="E71" s="19">
        <v>75</v>
      </c>
      <c r="F71" s="19">
        <v>18.75</v>
      </c>
      <c r="G71" s="18">
        <v>68.5974950196925</v>
      </c>
      <c r="H71" s="19">
        <v>57.1321992521226</v>
      </c>
      <c r="I71" s="19">
        <v>50</v>
      </c>
      <c r="J71" s="19">
        <v>54.1141597756368</v>
      </c>
      <c r="K71" s="16" t="s">
        <v>377</v>
      </c>
    </row>
    <row r="72" spans="1:11">
      <c r="A72" s="16" t="s">
        <v>392</v>
      </c>
      <c r="B72" s="17">
        <v>1</v>
      </c>
      <c r="C72" s="18">
        <v>70</v>
      </c>
      <c r="D72" s="19">
        <v>60.4564971256843</v>
      </c>
      <c r="E72" s="19">
        <v>87.5</v>
      </c>
      <c r="F72" s="19">
        <v>18.75</v>
      </c>
      <c r="G72" s="18">
        <v>50.0029877883021</v>
      </c>
      <c r="H72" s="19">
        <v>43.1857926785587</v>
      </c>
      <c r="I72" s="19">
        <v>58.3333333333333</v>
      </c>
      <c r="J72" s="19">
        <v>54.1095372287045</v>
      </c>
      <c r="K72" s="16" t="s">
        <v>377</v>
      </c>
    </row>
    <row r="73" spans="1:11">
      <c r="A73" s="16" t="s">
        <v>97</v>
      </c>
      <c r="B73" s="17">
        <v>4</v>
      </c>
      <c r="C73" s="18">
        <v>50</v>
      </c>
      <c r="D73" s="19">
        <v>54.345784339236</v>
      </c>
      <c r="E73" s="19">
        <v>87.5</v>
      </c>
      <c r="F73" s="19">
        <v>31.25</v>
      </c>
      <c r="G73" s="18">
        <v>33.6723385332865</v>
      </c>
      <c r="H73" s="19">
        <v>36.5989929625547</v>
      </c>
      <c r="I73" s="19">
        <v>66.6666666666667</v>
      </c>
      <c r="J73" s="19">
        <v>54.0363547566136</v>
      </c>
      <c r="K73" s="16" t="s">
        <v>377</v>
      </c>
    </row>
    <row r="74" spans="1:11">
      <c r="A74" s="16" t="s">
        <v>170</v>
      </c>
      <c r="B74" s="17">
        <v>2</v>
      </c>
      <c r="C74" s="18">
        <v>70</v>
      </c>
      <c r="D74" s="19">
        <v>71.8697875881748</v>
      </c>
      <c r="E74" s="19">
        <v>87.5</v>
      </c>
      <c r="F74" s="19">
        <v>31.25</v>
      </c>
      <c r="G74" s="18">
        <v>23.638221513934</v>
      </c>
      <c r="H74" s="19">
        <v>24.2696279881237</v>
      </c>
      <c r="I74" s="19">
        <v>66.6666666666667</v>
      </c>
      <c r="J74" s="19">
        <v>53.8423459140721</v>
      </c>
      <c r="K74" s="16" t="s">
        <v>377</v>
      </c>
    </row>
    <row r="75" spans="1:11">
      <c r="A75" s="16" t="s">
        <v>78</v>
      </c>
      <c r="B75" s="17">
        <v>2</v>
      </c>
      <c r="C75" s="18">
        <v>60</v>
      </c>
      <c r="D75" s="19">
        <v>63.0064798996344</v>
      </c>
      <c r="E75" s="19">
        <v>87.5</v>
      </c>
      <c r="F75" s="19">
        <v>37.5</v>
      </c>
      <c r="G75" s="18">
        <v>25.7262101066458</v>
      </c>
      <c r="H75" s="19">
        <v>27.0152989996358</v>
      </c>
      <c r="I75" s="19">
        <v>66.6666666666667</v>
      </c>
      <c r="J75" s="19">
        <v>53.8308856798176</v>
      </c>
      <c r="K75" s="16" t="s">
        <v>377</v>
      </c>
    </row>
    <row r="76" spans="1:11">
      <c r="A76" s="16" t="s">
        <v>233</v>
      </c>
      <c r="B76" s="17">
        <v>3</v>
      </c>
      <c r="C76" s="18">
        <v>60</v>
      </c>
      <c r="D76" s="19">
        <v>52.4322982497473</v>
      </c>
      <c r="E76" s="19">
        <v>75</v>
      </c>
      <c r="F76" s="19">
        <v>18.75</v>
      </c>
      <c r="G76" s="18">
        <v>73.5435601072812</v>
      </c>
      <c r="H76" s="19">
        <v>64.2676312982197</v>
      </c>
      <c r="I76" s="19">
        <v>41.6666666666667</v>
      </c>
      <c r="J76" s="19">
        <v>53.8292490394154</v>
      </c>
      <c r="K76" s="16" t="s">
        <v>377</v>
      </c>
    </row>
    <row r="77" spans="1:11">
      <c r="A77" s="16" t="s">
        <v>117</v>
      </c>
      <c r="B77" s="17">
        <v>4</v>
      </c>
      <c r="C77" s="18">
        <v>60</v>
      </c>
      <c r="D77" s="19">
        <v>65.0305872908508</v>
      </c>
      <c r="E77" s="19">
        <v>81.25</v>
      </c>
      <c r="F77" s="19">
        <v>31.25</v>
      </c>
      <c r="G77" s="18">
        <v>34.1968717535894</v>
      </c>
      <c r="H77" s="19">
        <v>37.0640442274304</v>
      </c>
      <c r="I77" s="19">
        <v>58.3333333333333</v>
      </c>
      <c r="J77" s="19">
        <v>53.8128307263993</v>
      </c>
      <c r="K77" s="16" t="s">
        <v>377</v>
      </c>
    </row>
    <row r="78" spans="1:11">
      <c r="A78" s="16" t="s">
        <v>119</v>
      </c>
      <c r="B78" s="17">
        <v>3</v>
      </c>
      <c r="C78" s="18">
        <v>60</v>
      </c>
      <c r="D78" s="19">
        <v>63.0064798996344</v>
      </c>
      <c r="E78" s="19">
        <v>87.5</v>
      </c>
      <c r="F78" s="19">
        <v>43.75</v>
      </c>
      <c r="G78" s="18">
        <v>22.6304881751788</v>
      </c>
      <c r="H78" s="19">
        <v>23.7644566388053</v>
      </c>
      <c r="I78" s="19">
        <v>66.6666666666667</v>
      </c>
      <c r="J78" s="19">
        <v>53.7931329715685</v>
      </c>
      <c r="K78" s="16" t="s">
        <v>377</v>
      </c>
    </row>
    <row r="79" spans="1:11">
      <c r="A79" s="16" t="s">
        <v>162</v>
      </c>
      <c r="B79" s="17">
        <v>2</v>
      </c>
      <c r="C79" s="18">
        <v>60</v>
      </c>
      <c r="D79" s="19">
        <v>57.8463604488355</v>
      </c>
      <c r="E79" s="19">
        <v>87.5</v>
      </c>
      <c r="F79" s="19">
        <v>18.75</v>
      </c>
      <c r="G79" s="18">
        <v>49.6609248310362</v>
      </c>
      <c r="H79" s="19">
        <v>47.8783959666441</v>
      </c>
      <c r="I79" s="19">
        <v>50</v>
      </c>
      <c r="J79" s="19">
        <v>53.7452908797603</v>
      </c>
      <c r="K79" s="16" t="s">
        <v>377</v>
      </c>
    </row>
    <row r="80" spans="1:11">
      <c r="A80" s="16" t="s">
        <v>150</v>
      </c>
      <c r="B80" s="17">
        <v>2</v>
      </c>
      <c r="C80" s="18">
        <v>60</v>
      </c>
      <c r="D80" s="19">
        <v>60.5118765320688</v>
      </c>
      <c r="E80" s="19">
        <v>81.25</v>
      </c>
      <c r="F80" s="19">
        <v>12.5</v>
      </c>
      <c r="G80" s="18">
        <v>44.5729525940984</v>
      </c>
      <c r="H80" s="19">
        <v>44.953216734064</v>
      </c>
      <c r="I80" s="19">
        <v>66.6666666666667</v>
      </c>
      <c r="J80" s="19">
        <v>53.713340326633</v>
      </c>
      <c r="K80" s="16" t="s">
        <v>377</v>
      </c>
    </row>
    <row r="81" spans="1:11">
      <c r="A81" s="16" t="s">
        <v>115</v>
      </c>
      <c r="B81" s="17">
        <v>3</v>
      </c>
      <c r="C81" s="18">
        <v>60</v>
      </c>
      <c r="D81" s="19">
        <v>57.9483560352899</v>
      </c>
      <c r="E81" s="19">
        <v>87.5</v>
      </c>
      <c r="F81" s="19">
        <v>25</v>
      </c>
      <c r="G81" s="18">
        <v>37.0996958102656</v>
      </c>
      <c r="H81" s="19">
        <v>35.831106360237</v>
      </c>
      <c r="I81" s="19">
        <v>66.6666666666667</v>
      </c>
      <c r="J81" s="19">
        <v>53.5890031151291</v>
      </c>
      <c r="K81" s="16" t="s">
        <v>377</v>
      </c>
    </row>
    <row r="82" spans="1:11">
      <c r="A82" s="16" t="s">
        <v>87</v>
      </c>
      <c r="B82" s="17">
        <v>3</v>
      </c>
      <c r="C82" s="18">
        <v>70</v>
      </c>
      <c r="D82" s="19">
        <v>73.5075598829068</v>
      </c>
      <c r="E82" s="19">
        <v>81.25</v>
      </c>
      <c r="F82" s="19">
        <v>31.25</v>
      </c>
      <c r="G82" s="18">
        <v>24.887369325216</v>
      </c>
      <c r="H82" s="19">
        <v>26.1344255857333</v>
      </c>
      <c r="I82" s="19">
        <v>66.6666666666667</v>
      </c>
      <c r="J82" s="19">
        <v>53.4793396523013</v>
      </c>
      <c r="K82" s="16" t="s">
        <v>377</v>
      </c>
    </row>
    <row r="83" spans="1:11">
      <c r="A83" s="16" t="s">
        <v>153</v>
      </c>
      <c r="B83" s="17">
        <v>2</v>
      </c>
      <c r="C83" s="18">
        <v>70</v>
      </c>
      <c r="D83" s="19">
        <v>68.9029451940603</v>
      </c>
      <c r="E83" s="19">
        <v>81.25</v>
      </c>
      <c r="F83" s="19">
        <v>25</v>
      </c>
      <c r="G83" s="18">
        <v>40.8669934516733</v>
      </c>
      <c r="H83" s="19">
        <v>40.2265172863809</v>
      </c>
      <c r="I83" s="19">
        <v>50</v>
      </c>
      <c r="J83" s="19">
        <v>53.3485442247263</v>
      </c>
      <c r="K83" s="16" t="s">
        <v>377</v>
      </c>
    </row>
    <row r="84" spans="1:11">
      <c r="A84" s="16" t="s">
        <v>129</v>
      </c>
      <c r="B84" s="17">
        <v>1</v>
      </c>
      <c r="C84" s="18">
        <v>70</v>
      </c>
      <c r="D84" s="19">
        <v>57.9803796679926</v>
      </c>
      <c r="E84" s="19">
        <v>81.25</v>
      </c>
      <c r="F84" s="19">
        <v>25</v>
      </c>
      <c r="G84" s="18">
        <v>47.0776331364661</v>
      </c>
      <c r="H84" s="19">
        <v>38.9939863303253</v>
      </c>
      <c r="I84" s="19">
        <v>66.6666666666667</v>
      </c>
      <c r="J84" s="19">
        <v>53.2942718326961</v>
      </c>
      <c r="K84" s="16" t="s">
        <v>377</v>
      </c>
    </row>
    <row r="85" spans="1:11">
      <c r="A85" s="16" t="s">
        <v>110</v>
      </c>
      <c r="B85" s="17">
        <v>2</v>
      </c>
      <c r="C85" s="18">
        <v>60</v>
      </c>
      <c r="D85" s="19">
        <v>59.7374243299658</v>
      </c>
      <c r="E85" s="19">
        <v>87.5</v>
      </c>
      <c r="F85" s="19">
        <v>18.75</v>
      </c>
      <c r="G85" s="18">
        <v>32.6651825534575</v>
      </c>
      <c r="H85" s="19">
        <v>32.5222311835281</v>
      </c>
      <c r="I85" s="19">
        <v>75</v>
      </c>
      <c r="J85" s="19">
        <v>53.2666542210516</v>
      </c>
      <c r="K85" s="16" t="s">
        <v>377</v>
      </c>
    </row>
    <row r="86" spans="1:11">
      <c r="A86" s="16" t="s">
        <v>106</v>
      </c>
      <c r="B86" s="17">
        <v>4</v>
      </c>
      <c r="C86" s="18">
        <v>60</v>
      </c>
      <c r="D86" s="19">
        <v>59.9479285602994</v>
      </c>
      <c r="E86" s="19">
        <v>81.25</v>
      </c>
      <c r="F86" s="19">
        <v>25</v>
      </c>
      <c r="G86" s="18">
        <v>33.3440379528971</v>
      </c>
      <c r="H86" s="19">
        <v>33.315100085203</v>
      </c>
      <c r="I86" s="19">
        <v>75</v>
      </c>
      <c r="J86" s="19">
        <v>53.2341157376208</v>
      </c>
      <c r="K86" s="16" t="s">
        <v>377</v>
      </c>
    </row>
    <row r="87" spans="1:11">
      <c r="A87" s="16" t="s">
        <v>393</v>
      </c>
      <c r="B87" s="17">
        <v>2</v>
      </c>
      <c r="C87" s="18">
        <v>50</v>
      </c>
      <c r="D87" s="19">
        <v>41.414556905709</v>
      </c>
      <c r="E87" s="19">
        <v>75</v>
      </c>
      <c r="F87" s="19">
        <v>37.5</v>
      </c>
      <c r="G87" s="18">
        <v>52.1175546650051</v>
      </c>
      <c r="H87" s="19">
        <v>43.168508669205</v>
      </c>
      <c r="I87" s="19">
        <v>75</v>
      </c>
      <c r="J87" s="19">
        <v>53.1084639819033</v>
      </c>
      <c r="K87" s="16" t="s">
        <v>377</v>
      </c>
    </row>
    <row r="88" spans="1:11">
      <c r="A88" s="16" t="s">
        <v>142</v>
      </c>
      <c r="B88" s="17">
        <v>3</v>
      </c>
      <c r="C88" s="18">
        <v>60</v>
      </c>
      <c r="D88" s="19">
        <v>62.7274783454238</v>
      </c>
      <c r="E88" s="19">
        <v>87.5</v>
      </c>
      <c r="F88" s="19">
        <v>31.25</v>
      </c>
      <c r="G88" s="18">
        <v>34.5967871117584</v>
      </c>
      <c r="H88" s="19">
        <v>36.1694869062343</v>
      </c>
      <c r="I88" s="19">
        <v>50</v>
      </c>
      <c r="J88" s="19">
        <v>53.083841740955</v>
      </c>
      <c r="K88" s="16" t="s">
        <v>377</v>
      </c>
    </row>
    <row r="89" spans="1:11">
      <c r="A89" s="16" t="s">
        <v>394</v>
      </c>
      <c r="B89" s="17">
        <v>1</v>
      </c>
      <c r="C89" s="18">
        <v>80</v>
      </c>
      <c r="D89" s="19">
        <v>69.9066085996988</v>
      </c>
      <c r="E89" s="19">
        <v>81.25</v>
      </c>
      <c r="F89" s="19">
        <v>25</v>
      </c>
      <c r="G89" s="18">
        <v>39.3935899037436</v>
      </c>
      <c r="H89" s="19">
        <v>34.4234033842256</v>
      </c>
      <c r="I89" s="19">
        <v>58.3333333333333</v>
      </c>
      <c r="J89" s="19">
        <v>53.0583427352074</v>
      </c>
      <c r="K89" s="16" t="s">
        <v>377</v>
      </c>
    </row>
    <row r="90" spans="1:11">
      <c r="A90" s="16" t="s">
        <v>89</v>
      </c>
      <c r="B90" s="17">
        <v>3</v>
      </c>
      <c r="C90" s="18">
        <v>50</v>
      </c>
      <c r="D90" s="19">
        <v>52.540784536144</v>
      </c>
      <c r="E90" s="19">
        <v>87.5</v>
      </c>
      <c r="F90" s="19">
        <v>43.75</v>
      </c>
      <c r="G90" s="18">
        <v>26.8196474360562</v>
      </c>
      <c r="H90" s="19">
        <v>28.1825063454635</v>
      </c>
      <c r="I90" s="19">
        <v>66.6666666666667</v>
      </c>
      <c r="J90" s="19">
        <v>53.0254088108679</v>
      </c>
      <c r="K90" s="16" t="s">
        <v>377</v>
      </c>
    </row>
    <row r="91" spans="1:11">
      <c r="A91" s="16" t="s">
        <v>395</v>
      </c>
      <c r="B91" s="17">
        <v>2</v>
      </c>
      <c r="C91" s="18">
        <v>50</v>
      </c>
      <c r="D91" s="19">
        <v>43.4076122531307</v>
      </c>
      <c r="E91" s="19">
        <v>87.5</v>
      </c>
      <c r="F91" s="19">
        <v>18.75</v>
      </c>
      <c r="G91" s="18">
        <v>58.6151756215531</v>
      </c>
      <c r="H91" s="19">
        <v>50.8868963105908</v>
      </c>
      <c r="I91" s="19">
        <v>58.3333333333333</v>
      </c>
      <c r="J91" s="19">
        <v>53.0100913438034</v>
      </c>
      <c r="K91" s="16" t="s">
        <v>377</v>
      </c>
    </row>
    <row r="92" spans="1:11">
      <c r="A92" s="16" t="s">
        <v>152</v>
      </c>
      <c r="B92" s="17">
        <v>4</v>
      </c>
      <c r="C92" s="18">
        <v>70</v>
      </c>
      <c r="D92" s="19">
        <v>67.6621312154986</v>
      </c>
      <c r="E92" s="19">
        <v>75</v>
      </c>
      <c r="F92" s="19">
        <v>25</v>
      </c>
      <c r="G92" s="18">
        <v>41.2099744021658</v>
      </c>
      <c r="H92" s="19">
        <v>39.833638505524</v>
      </c>
      <c r="I92" s="19">
        <v>58.3333333333333</v>
      </c>
      <c r="J92" s="19">
        <v>52.9825177947569</v>
      </c>
      <c r="K92" s="16" t="s">
        <v>377</v>
      </c>
    </row>
    <row r="93" spans="1:11">
      <c r="A93" s="16" t="s">
        <v>326</v>
      </c>
      <c r="B93" s="17">
        <v>3</v>
      </c>
      <c r="C93" s="18">
        <v>60</v>
      </c>
      <c r="D93" s="19">
        <v>61.555860212112</v>
      </c>
      <c r="E93" s="19">
        <v>87.5</v>
      </c>
      <c r="F93" s="19">
        <v>31.25</v>
      </c>
      <c r="G93" s="18">
        <v>27.5378840739862</v>
      </c>
      <c r="H93" s="19">
        <v>28.2519690432607</v>
      </c>
      <c r="I93" s="19">
        <v>66.6666666666667</v>
      </c>
      <c r="J93" s="19">
        <v>52.9742627554006</v>
      </c>
      <c r="K93" s="16" t="s">
        <v>377</v>
      </c>
    </row>
    <row r="94" spans="1:11">
      <c r="A94" s="16" t="s">
        <v>270</v>
      </c>
      <c r="B94" s="17">
        <v>3</v>
      </c>
      <c r="C94" s="18">
        <v>70</v>
      </c>
      <c r="D94" s="19">
        <v>68.9675485624771</v>
      </c>
      <c r="E94" s="19">
        <v>87.5</v>
      </c>
      <c r="F94" s="19">
        <v>18.75</v>
      </c>
      <c r="G94" s="18">
        <v>29.9769910463732</v>
      </c>
      <c r="H94" s="19">
        <v>29.5348512249669</v>
      </c>
      <c r="I94" s="19">
        <v>66.6666666666667</v>
      </c>
      <c r="J94" s="19">
        <v>52.9664650799855</v>
      </c>
      <c r="K94" s="16" t="s">
        <v>377</v>
      </c>
    </row>
    <row r="95" spans="1:11">
      <c r="A95" s="16" t="s">
        <v>264</v>
      </c>
      <c r="B95" s="17">
        <v>4</v>
      </c>
      <c r="C95" s="18">
        <v>50</v>
      </c>
      <c r="D95" s="19">
        <v>42.2667394116089</v>
      </c>
      <c r="E95" s="19">
        <v>75</v>
      </c>
      <c r="F95" s="19">
        <v>18.75</v>
      </c>
      <c r="G95" s="18">
        <v>80.4931689084737</v>
      </c>
      <c r="H95" s="19">
        <v>68.0436758933816</v>
      </c>
      <c r="I95" s="19">
        <v>41.6666666666667</v>
      </c>
      <c r="J95" s="19">
        <v>52.9289506503363</v>
      </c>
      <c r="K95" s="16" t="s">
        <v>377</v>
      </c>
    </row>
    <row r="96" spans="1:11">
      <c r="A96" s="16" t="s">
        <v>138</v>
      </c>
      <c r="B96" s="17">
        <v>2</v>
      </c>
      <c r="C96" s="18">
        <v>80</v>
      </c>
      <c r="D96" s="19">
        <v>76.434126341422</v>
      </c>
      <c r="E96" s="19">
        <v>81.25</v>
      </c>
      <c r="F96" s="19">
        <v>12.5</v>
      </c>
      <c r="G96" s="18">
        <v>33.0767816924314</v>
      </c>
      <c r="H96" s="19">
        <v>31.6024363855867</v>
      </c>
      <c r="I96" s="19">
        <v>66.6666666666667</v>
      </c>
      <c r="J96" s="19">
        <v>52.8925561839604</v>
      </c>
      <c r="K96" s="16" t="s">
        <v>377</v>
      </c>
    </row>
    <row r="97" spans="1:11">
      <c r="A97" s="16" t="s">
        <v>94</v>
      </c>
      <c r="B97" s="17">
        <v>3</v>
      </c>
      <c r="C97" s="18">
        <v>50</v>
      </c>
      <c r="D97" s="19">
        <v>54.058491988158</v>
      </c>
      <c r="E97" s="19">
        <v>87.5</v>
      </c>
      <c r="F97" s="19">
        <v>25</v>
      </c>
      <c r="G97" s="18">
        <v>25.6204457229012</v>
      </c>
      <c r="H97" s="19">
        <v>27.7000531968898</v>
      </c>
      <c r="I97" s="19">
        <v>83.3333333333333</v>
      </c>
      <c r="J97" s="19">
        <v>52.8717143566985</v>
      </c>
      <c r="K97" s="16" t="s">
        <v>377</v>
      </c>
    </row>
    <row r="98" spans="1:11">
      <c r="A98" s="16" t="s">
        <v>85</v>
      </c>
      <c r="B98" s="17">
        <v>2</v>
      </c>
      <c r="C98" s="18">
        <v>60</v>
      </c>
      <c r="D98" s="19">
        <v>61.487715260934</v>
      </c>
      <c r="E98" s="19">
        <v>81.25</v>
      </c>
      <c r="F98" s="19">
        <v>37.5</v>
      </c>
      <c r="G98" s="18">
        <v>23.8952427918824</v>
      </c>
      <c r="H98" s="19">
        <v>24.4877314146358</v>
      </c>
      <c r="I98" s="19">
        <v>75</v>
      </c>
      <c r="J98" s="19">
        <v>52.7688624765776</v>
      </c>
      <c r="K98" s="16" t="s">
        <v>377</v>
      </c>
    </row>
    <row r="99" spans="1:11">
      <c r="A99" s="16" t="s">
        <v>396</v>
      </c>
      <c r="B99" s="17">
        <v>2</v>
      </c>
      <c r="C99" s="18">
        <v>40</v>
      </c>
      <c r="D99" s="19">
        <v>41.2</v>
      </c>
      <c r="E99" s="19">
        <v>87.5</v>
      </c>
      <c r="F99" s="19">
        <v>43.75</v>
      </c>
      <c r="G99" s="18">
        <v>33.3690040336143</v>
      </c>
      <c r="H99" s="19">
        <v>34.3723488093308</v>
      </c>
      <c r="I99" s="19">
        <v>66.6666666666667</v>
      </c>
      <c r="J99" s="19">
        <v>52.6142046427992</v>
      </c>
      <c r="K99" s="16" t="s">
        <v>377</v>
      </c>
    </row>
    <row r="100" spans="1:11">
      <c r="A100" s="16" t="s">
        <v>65</v>
      </c>
      <c r="B100" s="17">
        <v>4</v>
      </c>
      <c r="C100" s="18">
        <v>50</v>
      </c>
      <c r="D100" s="19">
        <v>45.3069597863853</v>
      </c>
      <c r="E100" s="19">
        <v>75</v>
      </c>
      <c r="F100" s="19">
        <v>37.5</v>
      </c>
      <c r="G100" s="18">
        <v>47.374243170383</v>
      </c>
      <c r="H100" s="19">
        <v>42.9276586046196</v>
      </c>
      <c r="I100" s="19">
        <v>66.6666666666667</v>
      </c>
      <c r="J100" s="19">
        <v>52.5646895386629</v>
      </c>
      <c r="K100" s="16" t="s">
        <v>377</v>
      </c>
    </row>
    <row r="101" spans="1:11">
      <c r="A101" s="16" t="s">
        <v>135</v>
      </c>
      <c r="B101" s="17">
        <v>3</v>
      </c>
      <c r="C101" s="18">
        <v>50</v>
      </c>
      <c r="D101" s="19">
        <v>44.3170783300191</v>
      </c>
      <c r="E101" s="19">
        <v>87.5</v>
      </c>
      <c r="F101" s="19">
        <v>25</v>
      </c>
      <c r="G101" s="18">
        <v>41.657916992676</v>
      </c>
      <c r="H101" s="19">
        <v>36.9231434085971</v>
      </c>
      <c r="I101" s="19">
        <v>75</v>
      </c>
      <c r="J101" s="19">
        <v>52.4403586885829</v>
      </c>
      <c r="K101" s="16" t="s">
        <v>377</v>
      </c>
    </row>
    <row r="102" spans="1:11">
      <c r="A102" s="16" t="s">
        <v>254</v>
      </c>
      <c r="B102" s="17">
        <v>4</v>
      </c>
      <c r="C102" s="18">
        <v>40</v>
      </c>
      <c r="D102" s="19">
        <v>40.6622315664584</v>
      </c>
      <c r="E102" s="19">
        <v>87.5</v>
      </c>
      <c r="F102" s="19">
        <v>18.75</v>
      </c>
      <c r="G102" s="18">
        <v>58.0324343681393</v>
      </c>
      <c r="H102" s="19">
        <v>58.9932071160645</v>
      </c>
      <c r="I102" s="19">
        <v>41.6666666666667</v>
      </c>
      <c r="J102" s="19">
        <v>52.392908448111</v>
      </c>
      <c r="K102" s="16" t="s">
        <v>377</v>
      </c>
    </row>
    <row r="103" spans="1:11">
      <c r="A103" s="16" t="s">
        <v>235</v>
      </c>
      <c r="B103" s="17">
        <v>4</v>
      </c>
      <c r="C103" s="18">
        <v>40</v>
      </c>
      <c r="D103" s="19">
        <v>40.6622315664584</v>
      </c>
      <c r="E103" s="19">
        <v>75</v>
      </c>
      <c r="F103" s="19">
        <v>18.75</v>
      </c>
      <c r="G103" s="18">
        <v>58.0324343681393</v>
      </c>
      <c r="H103" s="19">
        <v>58.9932071160645</v>
      </c>
      <c r="I103" s="19">
        <v>58.3333333333333</v>
      </c>
      <c r="J103" s="19">
        <v>52.392908448111</v>
      </c>
      <c r="K103" s="16" t="s">
        <v>377</v>
      </c>
    </row>
    <row r="104" spans="1:11">
      <c r="A104" s="16" t="s">
        <v>113</v>
      </c>
      <c r="B104" s="17">
        <v>3</v>
      </c>
      <c r="C104" s="18">
        <v>60</v>
      </c>
      <c r="D104" s="19">
        <v>61.9491569477802</v>
      </c>
      <c r="E104" s="19">
        <v>87.5</v>
      </c>
      <c r="F104" s="19">
        <v>31.25</v>
      </c>
      <c r="G104" s="18">
        <v>25.1482476326326</v>
      </c>
      <c r="H104" s="19">
        <v>25.9652123259266</v>
      </c>
      <c r="I104" s="19">
        <v>66.6666666666667</v>
      </c>
      <c r="J104" s="19">
        <v>52.366895087334</v>
      </c>
      <c r="K104" s="16" t="s">
        <v>377</v>
      </c>
    </row>
    <row r="105" spans="1:11">
      <c r="A105" s="16" t="s">
        <v>397</v>
      </c>
      <c r="B105" s="17">
        <v>1</v>
      </c>
      <c r="C105" s="18">
        <v>80</v>
      </c>
      <c r="D105" s="19">
        <v>75.0124635660643</v>
      </c>
      <c r="E105" s="19">
        <v>75</v>
      </c>
      <c r="F105" s="19">
        <v>18.75</v>
      </c>
      <c r="G105" s="18">
        <v>47.1906290452985</v>
      </c>
      <c r="H105" s="19">
        <v>44.2485667740013</v>
      </c>
      <c r="I105" s="19">
        <v>41.6666666666667</v>
      </c>
      <c r="J105" s="19">
        <v>52.3395627454132</v>
      </c>
      <c r="K105" s="16" t="s">
        <v>377</v>
      </c>
    </row>
    <row r="106" spans="1:11">
      <c r="A106" s="16" t="s">
        <v>99</v>
      </c>
      <c r="B106" s="17">
        <v>2</v>
      </c>
      <c r="C106" s="18">
        <v>50</v>
      </c>
      <c r="D106" s="19">
        <v>52.505399916362</v>
      </c>
      <c r="E106" s="19">
        <v>87.5</v>
      </c>
      <c r="F106" s="19">
        <v>37.5</v>
      </c>
      <c r="G106" s="18">
        <v>22.6304881751788</v>
      </c>
      <c r="H106" s="19">
        <v>23.7644566388053</v>
      </c>
      <c r="I106" s="19">
        <v>75</v>
      </c>
      <c r="J106" s="19">
        <v>52.005416974914</v>
      </c>
      <c r="K106" s="16" t="s">
        <v>377</v>
      </c>
    </row>
    <row r="107" spans="1:11">
      <c r="A107" s="16" t="s">
        <v>59</v>
      </c>
      <c r="B107" s="17">
        <v>2</v>
      </c>
      <c r="C107" s="18">
        <v>80</v>
      </c>
      <c r="D107" s="19">
        <v>80.7494634125272</v>
      </c>
      <c r="E107" s="19">
        <v>75</v>
      </c>
      <c r="F107" s="19">
        <v>31.25</v>
      </c>
      <c r="G107" s="18">
        <v>24.2959223966082</v>
      </c>
      <c r="H107" s="19">
        <v>24.5235337079814</v>
      </c>
      <c r="I107" s="19">
        <v>58.3333333333333</v>
      </c>
      <c r="J107" s="19">
        <v>51.9444527948999</v>
      </c>
      <c r="K107" s="16" t="s">
        <v>377</v>
      </c>
    </row>
    <row r="108" spans="1:11">
      <c r="A108" s="16" t="s">
        <v>168</v>
      </c>
      <c r="B108" s="17">
        <v>2</v>
      </c>
      <c r="C108" s="18">
        <v>40</v>
      </c>
      <c r="D108" s="19">
        <v>38.3614968736902</v>
      </c>
      <c r="E108" s="19">
        <v>87.5</v>
      </c>
      <c r="F108" s="19">
        <v>25</v>
      </c>
      <c r="G108" s="18">
        <v>45.1923581618762</v>
      </c>
      <c r="H108" s="19">
        <v>43.3411626585376</v>
      </c>
      <c r="I108" s="19">
        <v>66.6666666666667</v>
      </c>
      <c r="J108" s="19">
        <v>51.9246481722993</v>
      </c>
      <c r="K108" s="16" t="s">
        <v>377</v>
      </c>
    </row>
    <row r="109" spans="1:11">
      <c r="A109" s="16" t="s">
        <v>53</v>
      </c>
      <c r="B109" s="17">
        <v>4</v>
      </c>
      <c r="C109" s="18">
        <v>60</v>
      </c>
      <c r="D109" s="19">
        <v>64.9561996693728</v>
      </c>
      <c r="E109" s="19">
        <v>87.5</v>
      </c>
      <c r="F109" s="19">
        <v>31.25</v>
      </c>
      <c r="G109" s="18">
        <v>24.4804024614586</v>
      </c>
      <c r="H109" s="19">
        <v>26.5025651712185</v>
      </c>
      <c r="I109" s="19">
        <v>58.3333333333333</v>
      </c>
      <c r="J109" s="19">
        <v>51.8795094852401</v>
      </c>
      <c r="K109" s="16" t="s">
        <v>377</v>
      </c>
    </row>
    <row r="110" spans="1:11">
      <c r="A110" s="16" t="s">
        <v>98</v>
      </c>
      <c r="B110" s="17">
        <v>3</v>
      </c>
      <c r="C110" s="18">
        <v>50</v>
      </c>
      <c r="D110" s="19">
        <v>46.6004277787026</v>
      </c>
      <c r="E110" s="19">
        <v>81.25</v>
      </c>
      <c r="F110" s="19">
        <v>12.5</v>
      </c>
      <c r="G110" s="18">
        <v>64.791563887564</v>
      </c>
      <c r="H110" s="19">
        <v>60.3862918722324</v>
      </c>
      <c r="I110" s="19">
        <v>41.6666666666667</v>
      </c>
      <c r="J110" s="19">
        <v>51.8109731174102</v>
      </c>
      <c r="K110" s="16" t="s">
        <v>377</v>
      </c>
    </row>
    <row r="111" spans="1:11">
      <c r="A111" s="16" t="s">
        <v>398</v>
      </c>
      <c r="B111" s="17">
        <v>2</v>
      </c>
      <c r="C111" s="18">
        <v>60</v>
      </c>
      <c r="D111" s="19">
        <v>59.9367116859256</v>
      </c>
      <c r="E111" s="19">
        <v>75</v>
      </c>
      <c r="F111" s="19">
        <v>12.5</v>
      </c>
      <c r="G111" s="18">
        <v>43.15302430194</v>
      </c>
      <c r="H111" s="19">
        <v>43.1075062660186</v>
      </c>
      <c r="I111" s="19">
        <v>66.6666666666667</v>
      </c>
      <c r="J111" s="19">
        <v>51.7945942169907</v>
      </c>
      <c r="K111" s="16" t="s">
        <v>377</v>
      </c>
    </row>
    <row r="112" spans="1:11">
      <c r="A112" s="16" t="s">
        <v>166</v>
      </c>
      <c r="B112" s="17">
        <v>2</v>
      </c>
      <c r="C112" s="18">
        <v>70</v>
      </c>
      <c r="D112" s="19">
        <v>65.3601414777291</v>
      </c>
      <c r="E112" s="19">
        <v>87.5</v>
      </c>
      <c r="F112" s="19">
        <v>25</v>
      </c>
      <c r="G112" s="18">
        <v>35.5743625647999</v>
      </c>
      <c r="H112" s="19">
        <v>33.2163624316479</v>
      </c>
      <c r="I112" s="19">
        <v>50</v>
      </c>
      <c r="J112" s="19">
        <v>51.7869370250402</v>
      </c>
      <c r="K112" s="16" t="s">
        <v>377</v>
      </c>
    </row>
    <row r="113" spans="1:11">
      <c r="A113" s="16" t="s">
        <v>200</v>
      </c>
      <c r="B113" s="17">
        <v>3</v>
      </c>
      <c r="C113" s="18">
        <v>60</v>
      </c>
      <c r="D113" s="19">
        <v>59.7374243299658</v>
      </c>
      <c r="E113" s="19">
        <v>81.25</v>
      </c>
      <c r="F113" s="19">
        <v>25</v>
      </c>
      <c r="G113" s="18">
        <v>41.0835489670918</v>
      </c>
      <c r="H113" s="19">
        <v>40.9037566271348</v>
      </c>
      <c r="I113" s="19">
        <v>50</v>
      </c>
      <c r="J113" s="19">
        <v>51.7186118541336</v>
      </c>
      <c r="K113" s="16" t="s">
        <v>377</v>
      </c>
    </row>
    <row r="114" spans="1:11">
      <c r="A114" s="16" t="s">
        <v>197</v>
      </c>
      <c r="B114" s="17">
        <v>3</v>
      </c>
      <c r="C114" s="18">
        <v>50</v>
      </c>
      <c r="D114" s="19">
        <v>42.8217582765185</v>
      </c>
      <c r="E114" s="19">
        <v>87.5</v>
      </c>
      <c r="F114" s="19">
        <v>25</v>
      </c>
      <c r="G114" s="18">
        <v>51.0984290345333</v>
      </c>
      <c r="H114" s="19">
        <v>43.7624915285324</v>
      </c>
      <c r="I114" s="19">
        <v>58.3333333333333</v>
      </c>
      <c r="J114" s="19">
        <v>51.6930991138634</v>
      </c>
      <c r="K114" s="16" t="s">
        <v>377</v>
      </c>
    </row>
    <row r="115" spans="1:11">
      <c r="A115" s="16" t="s">
        <v>217</v>
      </c>
      <c r="B115" s="17">
        <v>3</v>
      </c>
      <c r="C115" s="18">
        <v>50</v>
      </c>
      <c r="D115" s="19">
        <v>47.9518710921128</v>
      </c>
      <c r="E115" s="19">
        <v>87.5</v>
      </c>
      <c r="F115" s="19">
        <v>18.75</v>
      </c>
      <c r="G115" s="18">
        <v>45.1923581618762</v>
      </c>
      <c r="H115" s="19">
        <v>43.3411626585376</v>
      </c>
      <c r="I115" s="19">
        <v>58.3333333333333</v>
      </c>
      <c r="J115" s="19">
        <v>51.6552230159838</v>
      </c>
      <c r="K115" s="16" t="s">
        <v>377</v>
      </c>
    </row>
    <row r="116" spans="1:11">
      <c r="A116" s="16" t="s">
        <v>243</v>
      </c>
      <c r="B116" s="17">
        <v>4</v>
      </c>
      <c r="C116" s="18">
        <v>60</v>
      </c>
      <c r="D116" s="19">
        <v>57.8463604488355</v>
      </c>
      <c r="E116" s="19">
        <v>81.25</v>
      </c>
      <c r="F116" s="19">
        <v>12.5</v>
      </c>
      <c r="G116" s="18">
        <v>49.6609248310362</v>
      </c>
      <c r="H116" s="19">
        <v>47.8783959666441</v>
      </c>
      <c r="I116" s="19">
        <v>50</v>
      </c>
      <c r="J116" s="19">
        <v>51.5577908797603</v>
      </c>
      <c r="K116" s="16" t="s">
        <v>377</v>
      </c>
    </row>
    <row r="117" spans="1:11">
      <c r="A117" s="16" t="s">
        <v>194</v>
      </c>
      <c r="B117" s="17">
        <v>4</v>
      </c>
      <c r="C117" s="18">
        <v>60</v>
      </c>
      <c r="D117" s="19">
        <v>64.84391439666</v>
      </c>
      <c r="E117" s="19">
        <v>87.5</v>
      </c>
      <c r="F117" s="19">
        <v>31.25</v>
      </c>
      <c r="G117" s="18">
        <v>19.3027125152312</v>
      </c>
      <c r="H117" s="19">
        <v>20.8610572993499</v>
      </c>
      <c r="I117" s="19">
        <v>66.6666666666667</v>
      </c>
      <c r="J117" s="19">
        <v>51.414600069137</v>
      </c>
      <c r="K117" s="16" t="s">
        <v>377</v>
      </c>
    </row>
    <row r="118" spans="1:11">
      <c r="A118" s="16" t="s">
        <v>160</v>
      </c>
      <c r="B118" s="17">
        <v>3</v>
      </c>
      <c r="C118" s="18">
        <v>50</v>
      </c>
      <c r="D118" s="19">
        <v>46.2234468660463</v>
      </c>
      <c r="E118" s="19">
        <v>87.5</v>
      </c>
      <c r="F118" s="19">
        <v>37.5</v>
      </c>
      <c r="G118" s="18">
        <v>37.1126497018092</v>
      </c>
      <c r="H118" s="19">
        <v>34.3094918309953</v>
      </c>
      <c r="I118" s="19">
        <v>58.3333333333333</v>
      </c>
      <c r="J118" s="19">
        <v>51.4125369225078</v>
      </c>
      <c r="K118" s="16" t="s">
        <v>377</v>
      </c>
    </row>
    <row r="119" spans="1:11">
      <c r="A119" s="16" t="s">
        <v>130</v>
      </c>
      <c r="B119" s="17">
        <v>2</v>
      </c>
      <c r="C119" s="18">
        <v>50</v>
      </c>
      <c r="D119" s="19">
        <v>48.1298154020734</v>
      </c>
      <c r="E119" s="19">
        <v>87.5</v>
      </c>
      <c r="F119" s="19">
        <v>31.25</v>
      </c>
      <c r="G119" s="18">
        <v>37.5352590690486</v>
      </c>
      <c r="H119" s="19">
        <v>36.1313018012463</v>
      </c>
      <c r="I119" s="19">
        <v>58.3333333333333</v>
      </c>
      <c r="J119" s="19">
        <v>51.4028536207886</v>
      </c>
      <c r="K119" s="16" t="s">
        <v>377</v>
      </c>
    </row>
    <row r="120" spans="1:11">
      <c r="A120" s="16" t="s">
        <v>399</v>
      </c>
      <c r="B120" s="17">
        <v>1</v>
      </c>
      <c r="C120" s="18">
        <v>50</v>
      </c>
      <c r="D120" s="19">
        <v>53.65238901217</v>
      </c>
      <c r="E120" s="19">
        <v>87.5</v>
      </c>
      <c r="F120" s="19">
        <v>37.5</v>
      </c>
      <c r="G120" s="18">
        <v>23.3664257991185</v>
      </c>
      <c r="H120" s="19">
        <v>25.0732913359662</v>
      </c>
      <c r="I120" s="19">
        <v>66.6666666666667</v>
      </c>
      <c r="J120" s="19">
        <v>51.3774652032239</v>
      </c>
      <c r="K120" s="16" t="s">
        <v>377</v>
      </c>
    </row>
    <row r="121" spans="1:11">
      <c r="A121" s="16" t="s">
        <v>215</v>
      </c>
      <c r="B121" s="17">
        <v>3</v>
      </c>
      <c r="C121" s="18">
        <v>50</v>
      </c>
      <c r="D121" s="19">
        <v>47.9518710921128</v>
      </c>
      <c r="E121" s="19">
        <v>81.25</v>
      </c>
      <c r="F121" s="19">
        <v>25</v>
      </c>
      <c r="G121" s="18">
        <v>45.1923581618762</v>
      </c>
      <c r="H121" s="19">
        <v>43.3411626585376</v>
      </c>
      <c r="I121" s="19">
        <v>58.3333333333333</v>
      </c>
      <c r="J121" s="19">
        <v>51.3427230159838</v>
      </c>
      <c r="K121" s="16" t="s">
        <v>377</v>
      </c>
    </row>
    <row r="122" spans="1:11">
      <c r="A122" s="16" t="s">
        <v>67</v>
      </c>
      <c r="B122" s="17">
        <v>4</v>
      </c>
      <c r="C122" s="18">
        <v>50</v>
      </c>
      <c r="D122" s="19">
        <v>43.92267167755</v>
      </c>
      <c r="E122" s="19">
        <v>68.75</v>
      </c>
      <c r="F122" s="19">
        <v>12.5</v>
      </c>
      <c r="G122" s="18">
        <v>73.2078588462874</v>
      </c>
      <c r="H122" s="19">
        <v>64.3096949664381</v>
      </c>
      <c r="I122" s="19">
        <v>50</v>
      </c>
      <c r="J122" s="19">
        <v>51.2024428254414</v>
      </c>
      <c r="K122" s="16" t="s">
        <v>377</v>
      </c>
    </row>
    <row r="123" spans="1:11">
      <c r="A123" s="16" t="s">
        <v>124</v>
      </c>
      <c r="B123" s="17">
        <v>2</v>
      </c>
      <c r="C123" s="18">
        <v>70</v>
      </c>
      <c r="D123" s="19">
        <v>75.8690185059926</v>
      </c>
      <c r="E123" s="19">
        <v>81.25</v>
      </c>
      <c r="F123" s="19">
        <v>31.25</v>
      </c>
      <c r="G123" s="18">
        <v>15.083285376726</v>
      </c>
      <c r="H123" s="19">
        <v>16.3479151053998</v>
      </c>
      <c r="I123" s="19">
        <v>66.6666666666667</v>
      </c>
      <c r="J123" s="19">
        <v>51.0156782328185</v>
      </c>
      <c r="K123" s="16" t="s">
        <v>377</v>
      </c>
    </row>
    <row r="124" spans="1:11">
      <c r="A124" s="16" t="s">
        <v>400</v>
      </c>
      <c r="B124" s="17">
        <v>2</v>
      </c>
      <c r="C124" s="18">
        <v>60</v>
      </c>
      <c r="D124" s="19">
        <v>49.6974682868508</v>
      </c>
      <c r="E124" s="19">
        <v>81.25</v>
      </c>
      <c r="F124" s="19">
        <v>18.75</v>
      </c>
      <c r="G124" s="18">
        <v>48.2305672735474</v>
      </c>
      <c r="H124" s="19">
        <v>39.9489514588991</v>
      </c>
      <c r="I124" s="19">
        <v>66.6666666666667</v>
      </c>
      <c r="J124" s="19">
        <v>50.9866790950399</v>
      </c>
      <c r="K124" s="16" t="s">
        <v>377</v>
      </c>
    </row>
    <row r="125" spans="1:11">
      <c r="A125" s="16" t="s">
        <v>401</v>
      </c>
      <c r="B125" s="17">
        <v>1</v>
      </c>
      <c r="C125" s="18">
        <v>60</v>
      </c>
      <c r="D125" s="19">
        <v>49.6974682868508</v>
      </c>
      <c r="E125" s="19">
        <v>87.5</v>
      </c>
      <c r="F125" s="19">
        <v>31.25</v>
      </c>
      <c r="G125" s="18">
        <v>39.8252346044204</v>
      </c>
      <c r="H125" s="19">
        <v>32.9868888961596</v>
      </c>
      <c r="I125" s="19">
        <v>58.3333333333333</v>
      </c>
      <c r="J125" s="19">
        <v>50.773060326218</v>
      </c>
      <c r="K125" s="16" t="s">
        <v>377</v>
      </c>
    </row>
    <row r="126" spans="1:11">
      <c r="A126" s="16" t="s">
        <v>172</v>
      </c>
      <c r="B126" s="17">
        <v>3</v>
      </c>
      <c r="C126" s="18">
        <v>60</v>
      </c>
      <c r="D126" s="19">
        <v>61.555860212112</v>
      </c>
      <c r="E126" s="19">
        <v>81.25</v>
      </c>
      <c r="F126" s="19">
        <v>31.25</v>
      </c>
      <c r="G126" s="18">
        <v>27.5378840739862</v>
      </c>
      <c r="H126" s="19">
        <v>28.2519690432607</v>
      </c>
      <c r="I126" s="19">
        <v>58.3333333333333</v>
      </c>
      <c r="J126" s="19">
        <v>50.4742627554006</v>
      </c>
      <c r="K126" s="16" t="s">
        <v>377</v>
      </c>
    </row>
    <row r="127" spans="1:11">
      <c r="A127" s="16" t="s">
        <v>237</v>
      </c>
      <c r="B127" s="17">
        <v>2</v>
      </c>
      <c r="C127" s="18">
        <v>60</v>
      </c>
      <c r="D127" s="19">
        <v>57.5422453105353</v>
      </c>
      <c r="E127" s="19">
        <v>68.75</v>
      </c>
      <c r="F127" s="19">
        <v>31.25</v>
      </c>
      <c r="G127" s="18">
        <v>45.1923581618762</v>
      </c>
      <c r="H127" s="19">
        <v>43.3411626585376</v>
      </c>
      <c r="I127" s="19">
        <v>50</v>
      </c>
      <c r="J127" s="19">
        <v>50.4482978596683</v>
      </c>
      <c r="K127" s="16" t="s">
        <v>377</v>
      </c>
    </row>
    <row r="128" spans="1:11">
      <c r="A128" s="16" t="s">
        <v>218</v>
      </c>
      <c r="B128" s="17">
        <v>4</v>
      </c>
      <c r="C128" s="18">
        <v>20</v>
      </c>
      <c r="D128" s="19">
        <v>19.6773008250848</v>
      </c>
      <c r="E128" s="19">
        <v>87.5</v>
      </c>
      <c r="F128" s="19">
        <v>31.25</v>
      </c>
      <c r="G128" s="18">
        <v>48.1494554136456</v>
      </c>
      <c r="H128" s="19">
        <v>47.3725659369156</v>
      </c>
      <c r="I128" s="19">
        <v>66.6666666666667</v>
      </c>
      <c r="J128" s="19">
        <v>50.3347299460916</v>
      </c>
      <c r="K128" s="16" t="s">
        <v>377</v>
      </c>
    </row>
    <row r="129" spans="1:11">
      <c r="A129" s="16" t="s">
        <v>262</v>
      </c>
      <c r="B129" s="17">
        <v>3</v>
      </c>
      <c r="C129" s="18">
        <v>40</v>
      </c>
      <c r="D129" s="19">
        <v>33.1316455245672</v>
      </c>
      <c r="E129" s="19">
        <v>81.25</v>
      </c>
      <c r="F129" s="19">
        <v>31.25</v>
      </c>
      <c r="G129" s="18">
        <v>61.3685063081961</v>
      </c>
      <c r="H129" s="19">
        <v>50.830989934383</v>
      </c>
      <c r="I129" s="19">
        <v>50</v>
      </c>
      <c r="J129" s="19">
        <v>50.3131260852283</v>
      </c>
      <c r="K129" s="16" t="s">
        <v>377</v>
      </c>
    </row>
    <row r="130" spans="1:11">
      <c r="A130" s="16" t="s">
        <v>226</v>
      </c>
      <c r="B130" s="17">
        <v>2</v>
      </c>
      <c r="C130" s="18">
        <v>60</v>
      </c>
      <c r="D130" s="19">
        <v>49.6974682868508</v>
      </c>
      <c r="E130" s="19">
        <v>81.25</v>
      </c>
      <c r="F130" s="19">
        <v>12.5</v>
      </c>
      <c r="G130" s="18">
        <v>54.3000805703209</v>
      </c>
      <c r="H130" s="19">
        <v>44.9762755352828</v>
      </c>
      <c r="I130" s="19">
        <v>58.3333333333333</v>
      </c>
      <c r="J130" s="19">
        <v>50.307376317955</v>
      </c>
      <c r="K130" s="16" t="s">
        <v>377</v>
      </c>
    </row>
    <row r="131" spans="1:11">
      <c r="A131" s="16" t="s">
        <v>158</v>
      </c>
      <c r="B131" s="17">
        <v>3</v>
      </c>
      <c r="C131" s="18">
        <v>50</v>
      </c>
      <c r="D131" s="19">
        <v>54.9578364495145</v>
      </c>
      <c r="E131" s="19">
        <v>87.5</v>
      </c>
      <c r="F131" s="19">
        <v>31.25</v>
      </c>
      <c r="G131" s="18">
        <v>21.4774360262354</v>
      </c>
      <c r="H131" s="19">
        <v>23.6070683296951</v>
      </c>
      <c r="I131" s="19">
        <v>66.6666666666667</v>
      </c>
      <c r="J131" s="19">
        <v>50.2611877888114</v>
      </c>
      <c r="K131" s="16" t="s">
        <v>377</v>
      </c>
    </row>
    <row r="132" spans="1:11">
      <c r="A132" s="16" t="s">
        <v>169</v>
      </c>
      <c r="B132" s="17">
        <v>3</v>
      </c>
      <c r="C132" s="18">
        <v>60</v>
      </c>
      <c r="D132" s="19">
        <v>64.0728163135476</v>
      </c>
      <c r="E132" s="19">
        <v>81.25</v>
      </c>
      <c r="F132" s="19">
        <v>31.25</v>
      </c>
      <c r="G132" s="18">
        <v>24.1969813345419</v>
      </c>
      <c r="H132" s="19">
        <v>25.8394790065074</v>
      </c>
      <c r="I132" s="19">
        <v>58.3333333333333</v>
      </c>
      <c r="J132" s="19">
        <v>50.2539069646617</v>
      </c>
      <c r="K132" s="16" t="s">
        <v>377</v>
      </c>
    </row>
    <row r="133" spans="1:11">
      <c r="A133" s="16" t="s">
        <v>161</v>
      </c>
      <c r="B133" s="17">
        <v>4</v>
      </c>
      <c r="C133" s="18">
        <v>60</v>
      </c>
      <c r="D133" s="19">
        <v>65.8778046540288</v>
      </c>
      <c r="E133" s="19">
        <v>87.5</v>
      </c>
      <c r="F133" s="19">
        <v>31.25</v>
      </c>
      <c r="G133" s="18">
        <v>18.3900027135215</v>
      </c>
      <c r="H133" s="19">
        <v>20.1915501058071</v>
      </c>
      <c r="I133" s="19">
        <v>58.3333333333333</v>
      </c>
      <c r="J133" s="19">
        <v>50.1705259625479</v>
      </c>
      <c r="K133" s="16" t="s">
        <v>377</v>
      </c>
    </row>
    <row r="134" spans="1:11">
      <c r="A134" s="16" t="s">
        <v>402</v>
      </c>
      <c r="B134" s="17">
        <v>1</v>
      </c>
      <c r="C134" s="18">
        <v>60</v>
      </c>
      <c r="D134" s="19">
        <v>65.5025151168546</v>
      </c>
      <c r="E134" s="19">
        <v>87.5</v>
      </c>
      <c r="F134" s="19">
        <v>31.25</v>
      </c>
      <c r="G134" s="18">
        <v>14.8258925764489</v>
      </c>
      <c r="H134" s="19">
        <v>16.1855542101618</v>
      </c>
      <c r="I134" s="19">
        <v>66.6666666666667</v>
      </c>
      <c r="J134" s="19">
        <v>50.1436692864195</v>
      </c>
      <c r="K134" s="16" t="s">
        <v>377</v>
      </c>
    </row>
    <row r="135" spans="1:11">
      <c r="A135" s="16" t="s">
        <v>403</v>
      </c>
      <c r="B135" s="17">
        <v>2</v>
      </c>
      <c r="C135" s="18">
        <v>70</v>
      </c>
      <c r="D135" s="19">
        <v>71.96</v>
      </c>
      <c r="E135" s="19">
        <v>68.75</v>
      </c>
      <c r="F135" s="19">
        <v>50</v>
      </c>
      <c r="G135" s="18">
        <v>22.3823795721613</v>
      </c>
      <c r="H135" s="19">
        <v>23.0063337748265</v>
      </c>
      <c r="I135" s="19">
        <v>50</v>
      </c>
      <c r="J135" s="19">
        <v>50.043900132448</v>
      </c>
      <c r="K135" s="16" t="s">
        <v>377</v>
      </c>
    </row>
    <row r="136" spans="1:11">
      <c r="A136" s="16" t="s">
        <v>286</v>
      </c>
      <c r="B136" s="17">
        <v>4</v>
      </c>
      <c r="C136" s="18">
        <v>50</v>
      </c>
      <c r="D136" s="19">
        <v>48.3796605900146</v>
      </c>
      <c r="E136" s="19">
        <v>87.5</v>
      </c>
      <c r="F136" s="19">
        <v>6.25</v>
      </c>
      <c r="G136" s="18">
        <v>49.2937515768242</v>
      </c>
      <c r="H136" s="19">
        <v>47.696299409905</v>
      </c>
      <c r="I136" s="19">
        <v>50</v>
      </c>
      <c r="J136" s="19">
        <v>49.9223219409744</v>
      </c>
      <c r="K136" s="16" t="s">
        <v>377</v>
      </c>
    </row>
    <row r="137" spans="1:11">
      <c r="A137" s="16" t="s">
        <v>404</v>
      </c>
      <c r="B137" s="17">
        <v>2</v>
      </c>
      <c r="C137" s="18">
        <v>60</v>
      </c>
      <c r="D137" s="19">
        <v>62.8138849907622</v>
      </c>
      <c r="E137" s="19">
        <v>81.25</v>
      </c>
      <c r="F137" s="19">
        <v>18.75</v>
      </c>
      <c r="G137" s="18">
        <v>30.392493912067</v>
      </c>
      <c r="H137" s="19">
        <v>31.8178436195836</v>
      </c>
      <c r="I137" s="19">
        <v>58.3333333333333</v>
      </c>
      <c r="J137" s="19">
        <v>49.9206300840275</v>
      </c>
      <c r="K137" s="16" t="s">
        <v>377</v>
      </c>
    </row>
    <row r="138" spans="1:11">
      <c r="A138" s="16" t="s">
        <v>195</v>
      </c>
      <c r="B138" s="17">
        <v>3</v>
      </c>
      <c r="C138" s="18">
        <v>50</v>
      </c>
      <c r="D138" s="19">
        <v>48.2277984439182</v>
      </c>
      <c r="E138" s="19">
        <v>87.5</v>
      </c>
      <c r="F138" s="19">
        <v>25</v>
      </c>
      <c r="G138" s="18">
        <v>31.1393684744413</v>
      </c>
      <c r="H138" s="19">
        <v>30.0356637291251</v>
      </c>
      <c r="I138" s="19">
        <v>66.6666666666667</v>
      </c>
      <c r="J138" s="19">
        <v>49.9062588075212</v>
      </c>
      <c r="K138" s="16" t="s">
        <v>377</v>
      </c>
    </row>
    <row r="139" spans="1:11">
      <c r="A139" s="16" t="s">
        <v>266</v>
      </c>
      <c r="B139" s="17">
        <v>3</v>
      </c>
      <c r="C139" s="18">
        <v>70</v>
      </c>
      <c r="D139" s="19">
        <v>67.1326195289578</v>
      </c>
      <c r="E139" s="19">
        <v>68.75</v>
      </c>
      <c r="F139" s="19">
        <v>6.25</v>
      </c>
      <c r="G139" s="18">
        <v>45.1923581618762</v>
      </c>
      <c r="H139" s="19">
        <v>43.3411626585376</v>
      </c>
      <c r="I139" s="19">
        <v>58.3333333333333</v>
      </c>
      <c r="J139" s="19">
        <v>49.8663727033528</v>
      </c>
      <c r="K139" s="16" t="s">
        <v>377</v>
      </c>
    </row>
    <row r="140" spans="1:11">
      <c r="A140" s="16" t="s">
        <v>276</v>
      </c>
      <c r="B140" s="17">
        <v>4</v>
      </c>
      <c r="C140" s="18">
        <v>60</v>
      </c>
      <c r="D140" s="19">
        <v>61.9491569477802</v>
      </c>
      <c r="E140" s="19">
        <v>75</v>
      </c>
      <c r="F140" s="19">
        <v>12.5</v>
      </c>
      <c r="G140" s="18">
        <v>42.0648700581324</v>
      </c>
      <c r="H140" s="19">
        <v>43.4313872869871</v>
      </c>
      <c r="I140" s="19">
        <v>50</v>
      </c>
      <c r="J140" s="19">
        <v>49.7942475756522</v>
      </c>
      <c r="K140" s="16" t="s">
        <v>377</v>
      </c>
    </row>
    <row r="141" spans="1:11">
      <c r="A141" s="16" t="s">
        <v>202</v>
      </c>
      <c r="B141" s="17">
        <v>4</v>
      </c>
      <c r="C141" s="18">
        <v>60</v>
      </c>
      <c r="D141" s="19">
        <v>63.73054054428</v>
      </c>
      <c r="E141" s="19">
        <v>81.25</v>
      </c>
      <c r="F141" s="19">
        <v>12.5</v>
      </c>
      <c r="G141" s="18">
        <v>31.4851009997722</v>
      </c>
      <c r="H141" s="19">
        <v>33.4427084301122</v>
      </c>
      <c r="I141" s="19">
        <v>58.3333333333333</v>
      </c>
      <c r="J141" s="19">
        <v>49.6539206378897</v>
      </c>
      <c r="K141" s="16" t="s">
        <v>377</v>
      </c>
    </row>
    <row r="142" spans="1:11">
      <c r="A142" s="16" t="s">
        <v>257</v>
      </c>
      <c r="B142" s="17">
        <v>3</v>
      </c>
      <c r="C142" s="18">
        <v>50</v>
      </c>
      <c r="D142" s="19">
        <v>48.2803273959165</v>
      </c>
      <c r="E142" s="19">
        <v>81.25</v>
      </c>
      <c r="F142" s="19">
        <v>18.75</v>
      </c>
      <c r="G142" s="18">
        <v>41.8141910351726</v>
      </c>
      <c r="H142" s="19">
        <v>40.3760566594706</v>
      </c>
      <c r="I142" s="19">
        <v>58.3333333333333</v>
      </c>
      <c r="J142" s="19">
        <v>49.5813824770245</v>
      </c>
      <c r="K142" s="16" t="s">
        <v>377</v>
      </c>
    </row>
    <row r="143" spans="1:11">
      <c r="A143" s="16" t="s">
        <v>227</v>
      </c>
      <c r="B143" s="17">
        <v>4</v>
      </c>
      <c r="C143" s="18">
        <v>80</v>
      </c>
      <c r="D143" s="19">
        <v>86.7420468227872</v>
      </c>
      <c r="E143" s="19">
        <v>87.5</v>
      </c>
      <c r="F143" s="19">
        <v>12.5</v>
      </c>
      <c r="G143" s="18">
        <v>16.1083327015653</v>
      </c>
      <c r="H143" s="19">
        <v>17.4658718679527</v>
      </c>
      <c r="I143" s="19">
        <v>50</v>
      </c>
      <c r="J143" s="19">
        <v>49.4631709249432</v>
      </c>
      <c r="K143" s="16" t="s">
        <v>377</v>
      </c>
    </row>
    <row r="144" spans="1:11">
      <c r="A144" s="16" t="s">
        <v>222</v>
      </c>
      <c r="B144" s="17">
        <v>2</v>
      </c>
      <c r="C144" s="18">
        <v>60</v>
      </c>
      <c r="D144" s="19">
        <v>61.487715260934</v>
      </c>
      <c r="E144" s="19">
        <v>87.5</v>
      </c>
      <c r="F144" s="19">
        <v>31.25</v>
      </c>
      <c r="G144" s="18">
        <v>24.2946907830394</v>
      </c>
      <c r="H144" s="19">
        <v>24.8970838203327</v>
      </c>
      <c r="I144" s="19">
        <v>50</v>
      </c>
      <c r="J144" s="19">
        <v>49.4541681982866</v>
      </c>
      <c r="K144" s="16" t="s">
        <v>377</v>
      </c>
    </row>
    <row r="145" spans="1:11">
      <c r="A145" s="16" t="s">
        <v>269</v>
      </c>
      <c r="B145" s="17">
        <v>3</v>
      </c>
      <c r="C145" s="18">
        <v>50</v>
      </c>
      <c r="D145" s="19">
        <v>45.3069597863853</v>
      </c>
      <c r="E145" s="19">
        <v>81.25</v>
      </c>
      <c r="F145" s="19">
        <v>25</v>
      </c>
      <c r="G145" s="18">
        <v>47.374243170383</v>
      </c>
      <c r="H145" s="19">
        <v>42.9276586046196</v>
      </c>
      <c r="I145" s="19">
        <v>50</v>
      </c>
      <c r="J145" s="19">
        <v>49.4396895386629</v>
      </c>
      <c r="K145" s="16" t="s">
        <v>377</v>
      </c>
    </row>
    <row r="146" spans="1:11">
      <c r="A146" s="16" t="s">
        <v>173</v>
      </c>
      <c r="B146" s="17">
        <v>3</v>
      </c>
      <c r="C146" s="18">
        <v>70</v>
      </c>
      <c r="D146" s="19">
        <v>73.5570983506016</v>
      </c>
      <c r="E146" s="19">
        <v>81.25</v>
      </c>
      <c r="F146" s="19">
        <v>25</v>
      </c>
      <c r="G146" s="18">
        <v>22.825167524486</v>
      </c>
      <c r="H146" s="19">
        <v>23.9850441781082</v>
      </c>
      <c r="I146" s="19">
        <v>50</v>
      </c>
      <c r="J146" s="19">
        <v>49.4069329235528</v>
      </c>
      <c r="K146" s="16" t="s">
        <v>377</v>
      </c>
    </row>
    <row r="147" spans="1:11">
      <c r="A147" s="16" t="s">
        <v>240</v>
      </c>
      <c r="B147" s="17">
        <v>4</v>
      </c>
      <c r="C147" s="18">
        <v>70</v>
      </c>
      <c r="D147" s="19">
        <v>71.815170247464</v>
      </c>
      <c r="E147" s="19">
        <v>81.25</v>
      </c>
      <c r="F147" s="19">
        <v>18.75</v>
      </c>
      <c r="G147" s="18">
        <v>27.5378840739862</v>
      </c>
      <c r="H147" s="19">
        <v>28.2519690432607</v>
      </c>
      <c r="I147" s="19">
        <v>50</v>
      </c>
      <c r="J147" s="19">
        <v>49.401124762471</v>
      </c>
      <c r="K147" s="16" t="s">
        <v>377</v>
      </c>
    </row>
    <row r="148" spans="1:11">
      <c r="A148" s="16" t="s">
        <v>204</v>
      </c>
      <c r="B148" s="17">
        <v>3</v>
      </c>
      <c r="C148" s="18">
        <v>50</v>
      </c>
      <c r="D148" s="19">
        <v>51.29655017676</v>
      </c>
      <c r="E148" s="19">
        <v>81.25</v>
      </c>
      <c r="F148" s="19">
        <v>37.5</v>
      </c>
      <c r="G148" s="18">
        <v>27.5378840739862</v>
      </c>
      <c r="H148" s="19">
        <v>28.2519690432607</v>
      </c>
      <c r="I148" s="19">
        <v>58.3333333333333</v>
      </c>
      <c r="J148" s="19">
        <v>49.3599007483302</v>
      </c>
      <c r="K148" s="16" t="s">
        <v>377</v>
      </c>
    </row>
    <row r="149" spans="1:11">
      <c r="A149" s="16" t="s">
        <v>290</v>
      </c>
      <c r="B149" s="17">
        <v>2</v>
      </c>
      <c r="C149" s="18">
        <v>70</v>
      </c>
      <c r="D149" s="19">
        <v>73.4827373945728</v>
      </c>
      <c r="E149" s="19">
        <v>81.25</v>
      </c>
      <c r="F149" s="19">
        <v>18.75</v>
      </c>
      <c r="G149" s="18">
        <v>37.2627931744404</v>
      </c>
      <c r="H149" s="19">
        <v>39.1167435060812</v>
      </c>
      <c r="I149" s="19">
        <v>25</v>
      </c>
      <c r="J149" s="19">
        <v>49.2440705307389</v>
      </c>
      <c r="K149" s="16" t="s">
        <v>377</v>
      </c>
    </row>
    <row r="150" spans="1:11">
      <c r="A150" s="16" t="s">
        <v>211</v>
      </c>
      <c r="B150" s="17">
        <v>4</v>
      </c>
      <c r="C150" s="18">
        <v>60</v>
      </c>
      <c r="D150" s="19">
        <v>58.6376398343726</v>
      </c>
      <c r="E150" s="19">
        <v>81.25</v>
      </c>
      <c r="F150" s="19">
        <v>12.5</v>
      </c>
      <c r="G150" s="18">
        <v>36.2612454015078</v>
      </c>
      <c r="H150" s="19">
        <v>35.4378974633236</v>
      </c>
      <c r="I150" s="19">
        <v>58.3333333333333</v>
      </c>
      <c r="J150" s="19">
        <v>49.2338972058716</v>
      </c>
      <c r="K150" s="16" t="s">
        <v>377</v>
      </c>
    </row>
    <row r="151" spans="1:11">
      <c r="A151" s="16" t="s">
        <v>230</v>
      </c>
      <c r="B151" s="17">
        <v>3</v>
      </c>
      <c r="C151" s="18">
        <v>70</v>
      </c>
      <c r="D151" s="19">
        <v>71.735667804423</v>
      </c>
      <c r="E151" s="19">
        <v>81.25</v>
      </c>
      <c r="F151" s="19">
        <v>25</v>
      </c>
      <c r="G151" s="18">
        <v>23.8952427918824</v>
      </c>
      <c r="H151" s="19">
        <v>24.4877314146358</v>
      </c>
      <c r="I151" s="19">
        <v>50</v>
      </c>
      <c r="J151" s="19">
        <v>49.1934529852753</v>
      </c>
      <c r="K151" s="16" t="s">
        <v>377</v>
      </c>
    </row>
    <row r="152" spans="1:11">
      <c r="A152" s="16" t="s">
        <v>221</v>
      </c>
      <c r="B152" s="17">
        <v>3</v>
      </c>
      <c r="C152" s="18">
        <v>50</v>
      </c>
      <c r="D152" s="19">
        <v>52.3089537959285</v>
      </c>
      <c r="E152" s="19">
        <v>87.5</v>
      </c>
      <c r="F152" s="19">
        <v>31.25</v>
      </c>
      <c r="G152" s="18">
        <v>24.7054046843508</v>
      </c>
      <c r="H152" s="19">
        <v>25.8462774428684</v>
      </c>
      <c r="I152" s="19">
        <v>58.3333333333333</v>
      </c>
      <c r="J152" s="19">
        <v>49.1531739920462</v>
      </c>
      <c r="K152" s="16" t="s">
        <v>377</v>
      </c>
    </row>
    <row r="153" spans="1:11">
      <c r="A153" s="16" t="s">
        <v>147</v>
      </c>
      <c r="B153" s="17">
        <v>2</v>
      </c>
      <c r="C153" s="18">
        <v>80</v>
      </c>
      <c r="D153" s="19">
        <v>85.8429391868456</v>
      </c>
      <c r="E153" s="19">
        <v>75</v>
      </c>
      <c r="F153" s="19">
        <v>18.75</v>
      </c>
      <c r="G153" s="18">
        <v>16.3778790012155</v>
      </c>
      <c r="H153" s="19">
        <v>17.5740658888857</v>
      </c>
      <c r="I153" s="19">
        <v>58.3333333333333</v>
      </c>
      <c r="J153" s="19">
        <v>49.0033076040348</v>
      </c>
      <c r="K153" s="16" t="s">
        <v>377</v>
      </c>
    </row>
    <row r="154" spans="1:11">
      <c r="A154" s="16" t="s">
        <v>405</v>
      </c>
      <c r="B154" s="17">
        <v>1</v>
      </c>
      <c r="C154" s="18">
        <v>60</v>
      </c>
      <c r="D154" s="19">
        <v>62.0074286507988</v>
      </c>
      <c r="E154" s="19">
        <v>87.5</v>
      </c>
      <c r="F154" s="19">
        <v>25</v>
      </c>
      <c r="G154" s="18">
        <v>29.3081747647066</v>
      </c>
      <c r="H154" s="19">
        <v>30.2887425934614</v>
      </c>
      <c r="I154" s="19">
        <v>41.6666666666667</v>
      </c>
      <c r="J154" s="19">
        <v>48.9881085081982</v>
      </c>
      <c r="K154" s="16" t="s">
        <v>377</v>
      </c>
    </row>
    <row r="155" spans="1:11">
      <c r="A155" s="16" t="s">
        <v>201</v>
      </c>
      <c r="B155" s="17">
        <v>2</v>
      </c>
      <c r="C155" s="18">
        <v>60</v>
      </c>
      <c r="D155" s="19">
        <v>63.0489414433728</v>
      </c>
      <c r="E155" s="19">
        <v>81.25</v>
      </c>
      <c r="F155" s="19">
        <v>25</v>
      </c>
      <c r="G155" s="18">
        <v>20.2287555819653</v>
      </c>
      <c r="H155" s="19">
        <v>21.2566937693272</v>
      </c>
      <c r="I155" s="19">
        <v>66.6666666666667</v>
      </c>
      <c r="J155" s="19">
        <v>48.9867964194727</v>
      </c>
      <c r="K155" s="16" t="s">
        <v>377</v>
      </c>
    </row>
    <row r="156" spans="1:11">
      <c r="A156" s="16" t="s">
        <v>267</v>
      </c>
      <c r="B156" s="17">
        <v>4</v>
      </c>
      <c r="C156" s="18">
        <v>60</v>
      </c>
      <c r="D156" s="19">
        <v>59.0596673091945</v>
      </c>
      <c r="E156" s="19">
        <v>75</v>
      </c>
      <c r="F156" s="19">
        <v>25</v>
      </c>
      <c r="G156" s="18">
        <v>36.9723755378923</v>
      </c>
      <c r="H156" s="19">
        <v>36.3929366483087</v>
      </c>
      <c r="I156" s="19">
        <v>50</v>
      </c>
      <c r="J156" s="19">
        <v>48.9798144563315</v>
      </c>
      <c r="K156" s="16" t="s">
        <v>377</v>
      </c>
    </row>
    <row r="157" spans="1:11">
      <c r="A157" s="16" t="s">
        <v>281</v>
      </c>
      <c r="B157" s="17">
        <v>4</v>
      </c>
      <c r="C157" s="18">
        <v>50</v>
      </c>
      <c r="D157" s="19">
        <v>42.467831910222</v>
      </c>
      <c r="E157" s="19">
        <v>81.25</v>
      </c>
      <c r="F157" s="19">
        <v>25</v>
      </c>
      <c r="G157" s="18">
        <v>50.7716129504919</v>
      </c>
      <c r="H157" s="19">
        <v>43.1232064918469</v>
      </c>
      <c r="I157" s="19">
        <v>50</v>
      </c>
      <c r="J157" s="19">
        <v>48.9305283295985</v>
      </c>
      <c r="K157" s="16" t="s">
        <v>377</v>
      </c>
    </row>
    <row r="158" spans="1:11">
      <c r="A158" s="16" t="s">
        <v>406</v>
      </c>
      <c r="B158" s="17">
        <v>2</v>
      </c>
      <c r="C158" s="18">
        <v>60</v>
      </c>
      <c r="D158" s="19">
        <v>62.7705134589756</v>
      </c>
      <c r="E158" s="19">
        <v>81.25</v>
      </c>
      <c r="F158" s="19">
        <v>18.75</v>
      </c>
      <c r="G158" s="18">
        <v>27.2025157757398</v>
      </c>
      <c r="H158" s="19">
        <v>28.4585980436512</v>
      </c>
      <c r="I158" s="19">
        <v>58.3333333333333</v>
      </c>
      <c r="J158" s="19">
        <v>48.9041821048905</v>
      </c>
      <c r="K158" s="16" t="s">
        <v>377</v>
      </c>
    </row>
    <row r="159" spans="1:11">
      <c r="A159" s="16" t="s">
        <v>47</v>
      </c>
      <c r="B159" s="17">
        <v>2</v>
      </c>
      <c r="C159" s="18">
        <v>60</v>
      </c>
      <c r="D159" s="19">
        <v>55.3617537090596</v>
      </c>
      <c r="E159" s="19">
        <v>68.75</v>
      </c>
      <c r="F159" s="19">
        <v>18.75</v>
      </c>
      <c r="G159" s="18">
        <v>45.1591074932512</v>
      </c>
      <c r="H159" s="19">
        <v>41.6681231127054</v>
      </c>
      <c r="I159" s="19">
        <v>58.3333333333333</v>
      </c>
      <c r="J159" s="19">
        <v>48.8852876756235</v>
      </c>
      <c r="K159" s="16" t="s">
        <v>377</v>
      </c>
    </row>
    <row r="160" spans="1:11">
      <c r="A160" s="16" t="s">
        <v>278</v>
      </c>
      <c r="B160" s="17">
        <v>3</v>
      </c>
      <c r="C160" s="18">
        <v>50</v>
      </c>
      <c r="D160" s="19">
        <v>42.2667394116089</v>
      </c>
      <c r="E160" s="19">
        <v>62.5</v>
      </c>
      <c r="F160" s="19">
        <v>6.25</v>
      </c>
      <c r="G160" s="18">
        <v>71.5055891074407</v>
      </c>
      <c r="H160" s="19">
        <v>60.4461620255555</v>
      </c>
      <c r="I160" s="19">
        <v>58.3333333333333</v>
      </c>
      <c r="J160" s="19">
        <v>48.7746964899884</v>
      </c>
      <c r="K160" s="16" t="s">
        <v>377</v>
      </c>
    </row>
    <row r="161" spans="1:11">
      <c r="A161" s="16" t="s">
        <v>407</v>
      </c>
      <c r="B161" s="17">
        <v>2</v>
      </c>
      <c r="C161" s="18">
        <v>50</v>
      </c>
      <c r="D161" s="19">
        <v>50.5</v>
      </c>
      <c r="E161" s="19">
        <v>87.5</v>
      </c>
      <c r="F161" s="19">
        <v>18.75</v>
      </c>
      <c r="G161" s="18">
        <v>30.9777952836907</v>
      </c>
      <c r="H161" s="19">
        <v>31.2947891752544</v>
      </c>
      <c r="I161" s="19">
        <v>58.3333333333333</v>
      </c>
      <c r="J161" s="19">
        <v>48.5509367525763</v>
      </c>
      <c r="K161" s="16" t="s">
        <v>377</v>
      </c>
    </row>
    <row r="162" spans="1:11">
      <c r="A162" s="16" t="s">
        <v>210</v>
      </c>
      <c r="B162" s="17">
        <v>3</v>
      </c>
      <c r="C162" s="18">
        <v>60</v>
      </c>
      <c r="D162" s="19">
        <v>64.3822043901342</v>
      </c>
      <c r="E162" s="19">
        <v>81.25</v>
      </c>
      <c r="F162" s="19">
        <v>25</v>
      </c>
      <c r="G162" s="18">
        <v>17.4763609768973</v>
      </c>
      <c r="H162" s="19">
        <v>18.7527774068395</v>
      </c>
      <c r="I162" s="19">
        <v>66.6666666666667</v>
      </c>
      <c r="J162" s="19">
        <v>48.5022741000787</v>
      </c>
      <c r="K162" s="16" t="s">
        <v>377</v>
      </c>
    </row>
    <row r="163" spans="1:11">
      <c r="A163" s="16" t="s">
        <v>408</v>
      </c>
      <c r="B163" s="17">
        <v>2</v>
      </c>
      <c r="C163" s="18">
        <v>50</v>
      </c>
      <c r="D163" s="19">
        <v>54.9578364495145</v>
      </c>
      <c r="E163" s="19">
        <v>81.25</v>
      </c>
      <c r="F163" s="19">
        <v>37.5</v>
      </c>
      <c r="G163" s="18">
        <v>12.8884090015675</v>
      </c>
      <c r="H163" s="19">
        <v>14.166381480052</v>
      </c>
      <c r="I163" s="19">
        <v>75</v>
      </c>
      <c r="J163" s="19">
        <v>48.3664817339185</v>
      </c>
      <c r="K163" s="16" t="s">
        <v>377</v>
      </c>
    </row>
    <row r="164" spans="1:11">
      <c r="A164" s="16" t="s">
        <v>144</v>
      </c>
      <c r="B164" s="17">
        <v>2</v>
      </c>
      <c r="C164" s="18">
        <v>50</v>
      </c>
      <c r="D164" s="19">
        <v>53.022425836887</v>
      </c>
      <c r="E164" s="19">
        <v>81.25</v>
      </c>
      <c r="F164" s="19">
        <v>31.25</v>
      </c>
      <c r="G164" s="18">
        <v>25.3614450836142</v>
      </c>
      <c r="H164" s="19">
        <v>26.8945068212444</v>
      </c>
      <c r="I164" s="19">
        <v>58.3333333333333</v>
      </c>
      <c r="J164" s="19">
        <v>48.3603372137507</v>
      </c>
      <c r="K164" s="16" t="s">
        <v>377</v>
      </c>
    </row>
    <row r="165" spans="1:11">
      <c r="A165" s="16" t="s">
        <v>255</v>
      </c>
      <c r="B165" s="17">
        <v>3</v>
      </c>
      <c r="C165" s="18">
        <v>50</v>
      </c>
      <c r="D165" s="19">
        <v>49.7811869416381</v>
      </c>
      <c r="E165" s="19">
        <v>81.25</v>
      </c>
      <c r="F165" s="19">
        <v>18.75</v>
      </c>
      <c r="G165" s="18">
        <v>31.1672525866187</v>
      </c>
      <c r="H165" s="19">
        <v>31.0308565494344</v>
      </c>
      <c r="I165" s="19">
        <v>66.6666666666667</v>
      </c>
      <c r="J165" s="19">
        <v>48.3279943531579</v>
      </c>
      <c r="K165" s="16" t="s">
        <v>377</v>
      </c>
    </row>
    <row r="166" spans="1:11">
      <c r="A166" s="16" t="s">
        <v>122</v>
      </c>
      <c r="B166" s="17">
        <v>3</v>
      </c>
      <c r="C166" s="18">
        <v>60</v>
      </c>
      <c r="D166" s="19">
        <v>61.555860212112</v>
      </c>
      <c r="E166" s="19">
        <v>81.25</v>
      </c>
      <c r="F166" s="19">
        <v>6.25</v>
      </c>
      <c r="G166" s="18">
        <v>28.636366049668</v>
      </c>
      <c r="H166" s="19">
        <v>29.3789357589373</v>
      </c>
      <c r="I166" s="19">
        <v>66.6666666666667</v>
      </c>
      <c r="J166" s="19">
        <v>48.3123527701036</v>
      </c>
      <c r="K166" s="16" t="s">
        <v>377</v>
      </c>
    </row>
    <row r="167" spans="1:11">
      <c r="A167" s="16" t="s">
        <v>212</v>
      </c>
      <c r="B167" s="17">
        <v>2</v>
      </c>
      <c r="C167" s="18">
        <v>70</v>
      </c>
      <c r="D167" s="19">
        <v>71.815170247464</v>
      </c>
      <c r="E167" s="19">
        <v>75</v>
      </c>
      <c r="F167" s="19">
        <v>25</v>
      </c>
      <c r="G167" s="18">
        <v>24.8416101336763</v>
      </c>
      <c r="H167" s="19">
        <v>25.4857780138728</v>
      </c>
      <c r="I167" s="19">
        <v>50</v>
      </c>
      <c r="J167" s="19">
        <v>48.2587674536546</v>
      </c>
      <c r="K167" s="16" t="s">
        <v>377</v>
      </c>
    </row>
    <row r="168" spans="1:11">
      <c r="A168" s="16" t="s">
        <v>259</v>
      </c>
      <c r="B168" s="17">
        <v>4</v>
      </c>
      <c r="C168" s="18">
        <v>70</v>
      </c>
      <c r="D168" s="19">
        <v>73.5570983506016</v>
      </c>
      <c r="E168" s="19">
        <v>68.75</v>
      </c>
      <c r="F168" s="19">
        <v>18.75</v>
      </c>
      <c r="G168" s="18">
        <v>25.8210274581636</v>
      </c>
      <c r="H168" s="19">
        <v>27.1331408036247</v>
      </c>
      <c r="I168" s="19">
        <v>58.3333333333333</v>
      </c>
      <c r="J168" s="19">
        <v>48.1638619112077</v>
      </c>
      <c r="K168" s="16" t="s">
        <v>377</v>
      </c>
    </row>
    <row r="169" spans="1:11">
      <c r="A169" s="16" t="s">
        <v>228</v>
      </c>
      <c r="B169" s="17">
        <v>4</v>
      </c>
      <c r="C169" s="18">
        <v>60</v>
      </c>
      <c r="D169" s="19">
        <v>65.9494037394174</v>
      </c>
      <c r="E169" s="19">
        <v>87.5</v>
      </c>
      <c r="F169" s="19">
        <v>25</v>
      </c>
      <c r="G169" s="18">
        <v>14.8845373128275</v>
      </c>
      <c r="H169" s="19">
        <v>16.3604393453013</v>
      </c>
      <c r="I169" s="19">
        <v>58.3333333333333</v>
      </c>
      <c r="J169" s="19">
        <v>48.0980125514739</v>
      </c>
      <c r="K169" s="16" t="s">
        <v>377</v>
      </c>
    </row>
    <row r="170" spans="1:11">
      <c r="A170" s="16" t="s">
        <v>184</v>
      </c>
      <c r="B170" s="17">
        <v>4</v>
      </c>
      <c r="C170" s="18">
        <v>40</v>
      </c>
      <c r="D170" s="19">
        <v>42.0043199330896</v>
      </c>
      <c r="E170" s="19">
        <v>87.5</v>
      </c>
      <c r="F170" s="19">
        <v>25</v>
      </c>
      <c r="G170" s="18">
        <v>22.6304881751788</v>
      </c>
      <c r="H170" s="19">
        <v>23.7644566388053</v>
      </c>
      <c r="I170" s="19">
        <v>75</v>
      </c>
      <c r="J170" s="19">
        <v>48.0302009782595</v>
      </c>
      <c r="K170" s="16" t="s">
        <v>377</v>
      </c>
    </row>
    <row r="171" spans="1:11">
      <c r="A171" s="16" t="s">
        <v>179</v>
      </c>
      <c r="B171" s="17">
        <v>2</v>
      </c>
      <c r="C171" s="18">
        <v>40</v>
      </c>
      <c r="D171" s="19">
        <v>33.1316455245672</v>
      </c>
      <c r="E171" s="19">
        <v>75</v>
      </c>
      <c r="F171" s="19">
        <v>12.5</v>
      </c>
      <c r="G171" s="18">
        <v>73.3414553785007</v>
      </c>
      <c r="H171" s="19">
        <v>60.7480775464087</v>
      </c>
      <c r="I171" s="19">
        <v>41.6666666666667</v>
      </c>
      <c r="J171" s="19">
        <v>47.975752368836</v>
      </c>
      <c r="K171" s="16" t="s">
        <v>377</v>
      </c>
    </row>
    <row r="172" spans="1:11">
      <c r="A172" s="16" t="s">
        <v>275</v>
      </c>
      <c r="B172" s="17">
        <v>4</v>
      </c>
      <c r="C172" s="18">
        <v>50</v>
      </c>
      <c r="D172" s="19">
        <v>52.487669567552</v>
      </c>
      <c r="E172" s="19">
        <v>81.25</v>
      </c>
      <c r="F172" s="19">
        <v>18.75</v>
      </c>
      <c r="G172" s="18">
        <v>30.5720393225603</v>
      </c>
      <c r="H172" s="19">
        <v>32.093101959375</v>
      </c>
      <c r="I172" s="19">
        <v>58.3333333333333</v>
      </c>
      <c r="J172" s="19">
        <v>47.9379645013229</v>
      </c>
      <c r="K172" s="16" t="s">
        <v>377</v>
      </c>
    </row>
    <row r="173" spans="1:11">
      <c r="A173" s="16" t="s">
        <v>186</v>
      </c>
      <c r="B173" s="17">
        <v>2</v>
      </c>
      <c r="C173" s="18">
        <v>50</v>
      </c>
      <c r="D173" s="19">
        <v>54.192156075709</v>
      </c>
      <c r="E173" s="19">
        <v>81.25</v>
      </c>
      <c r="F173" s="19">
        <v>31.25</v>
      </c>
      <c r="G173" s="18">
        <v>15.083285376726</v>
      </c>
      <c r="H173" s="19">
        <v>16.3479151053998</v>
      </c>
      <c r="I173" s="19">
        <v>75</v>
      </c>
      <c r="J173" s="19">
        <v>47.9303057467618</v>
      </c>
      <c r="K173" s="16" t="s">
        <v>377</v>
      </c>
    </row>
    <row r="174" spans="1:11">
      <c r="A174" s="16" t="s">
        <v>120</v>
      </c>
      <c r="B174" s="17">
        <v>2</v>
      </c>
      <c r="C174" s="18">
        <v>60</v>
      </c>
      <c r="D174" s="19">
        <v>59.7374243299658</v>
      </c>
      <c r="E174" s="19">
        <v>75</v>
      </c>
      <c r="F174" s="19">
        <v>18.75</v>
      </c>
      <c r="G174" s="18">
        <v>31.1672525866187</v>
      </c>
      <c r="H174" s="19">
        <v>31.0308565494344</v>
      </c>
      <c r="I174" s="19">
        <v>58.3333333333333</v>
      </c>
      <c r="J174" s="19">
        <v>47.8192418308235</v>
      </c>
      <c r="K174" s="16" t="s">
        <v>377</v>
      </c>
    </row>
    <row r="175" spans="1:11">
      <c r="A175" s="16" t="s">
        <v>163</v>
      </c>
      <c r="B175" s="17">
        <v>3</v>
      </c>
      <c r="C175" s="18">
        <v>50</v>
      </c>
      <c r="D175" s="19">
        <v>48.3796605900146</v>
      </c>
      <c r="E175" s="19">
        <v>87.5</v>
      </c>
      <c r="F175" s="19">
        <v>18.75</v>
      </c>
      <c r="G175" s="18">
        <v>30.7194199880227</v>
      </c>
      <c r="H175" s="19">
        <v>29.7239022508529</v>
      </c>
      <c r="I175" s="19">
        <v>58.3333333333333</v>
      </c>
      <c r="J175" s="19">
        <v>47.6556027932588</v>
      </c>
      <c r="K175" s="16" t="s">
        <v>377</v>
      </c>
    </row>
    <row r="176" spans="1:11">
      <c r="A176" s="16" t="s">
        <v>134</v>
      </c>
      <c r="B176" s="17">
        <v>4</v>
      </c>
      <c r="C176" s="18">
        <v>50</v>
      </c>
      <c r="D176" s="19">
        <v>54.192156075709</v>
      </c>
      <c r="E176" s="19">
        <v>81.25</v>
      </c>
      <c r="F176" s="19">
        <v>37.5</v>
      </c>
      <c r="G176" s="18">
        <v>15.083285376726</v>
      </c>
      <c r="H176" s="19">
        <v>16.3479151053998</v>
      </c>
      <c r="I176" s="19">
        <v>66.6666666666667</v>
      </c>
      <c r="J176" s="19">
        <v>47.6178057467618</v>
      </c>
      <c r="K176" s="16" t="s">
        <v>377</v>
      </c>
    </row>
    <row r="177" spans="1:11">
      <c r="A177" s="16" t="s">
        <v>409</v>
      </c>
      <c r="B177" s="17">
        <v>2</v>
      </c>
      <c r="C177" s="18">
        <v>60</v>
      </c>
      <c r="D177" s="19">
        <v>61.9491569477802</v>
      </c>
      <c r="E177" s="19">
        <v>87.5</v>
      </c>
      <c r="F177" s="19">
        <v>25</v>
      </c>
      <c r="G177" s="18">
        <v>20.4547337365376</v>
      </c>
      <c r="H177" s="19">
        <v>21.1192251761637</v>
      </c>
      <c r="I177" s="19">
        <v>50</v>
      </c>
      <c r="J177" s="19">
        <v>47.4755989424052</v>
      </c>
      <c r="K177" s="16" t="s">
        <v>377</v>
      </c>
    </row>
    <row r="178" spans="1:11">
      <c r="A178" s="16" t="s">
        <v>220</v>
      </c>
      <c r="B178" s="17">
        <v>3</v>
      </c>
      <c r="C178" s="18">
        <v>60</v>
      </c>
      <c r="D178" s="19">
        <v>61.487715260934</v>
      </c>
      <c r="E178" s="19">
        <v>81.25</v>
      </c>
      <c r="F178" s="19">
        <v>18.75</v>
      </c>
      <c r="G178" s="18">
        <v>23.8952427918824</v>
      </c>
      <c r="H178" s="19">
        <v>24.4877314146358</v>
      </c>
      <c r="I178" s="19">
        <v>58.3333333333333</v>
      </c>
      <c r="J178" s="19">
        <v>47.4563624765776</v>
      </c>
      <c r="K178" s="16" t="s">
        <v>377</v>
      </c>
    </row>
    <row r="179" spans="1:11">
      <c r="A179" s="16" t="s">
        <v>234</v>
      </c>
      <c r="B179" s="17">
        <v>2</v>
      </c>
      <c r="C179" s="18">
        <v>60</v>
      </c>
      <c r="D179" s="19">
        <v>63.4463798384748</v>
      </c>
      <c r="E179" s="19">
        <v>81.25</v>
      </c>
      <c r="F179" s="19">
        <v>25</v>
      </c>
      <c r="G179" s="18">
        <v>18.9225702702432</v>
      </c>
      <c r="H179" s="19">
        <v>20.0094763481013</v>
      </c>
      <c r="I179" s="19">
        <v>58.3333333333333</v>
      </c>
      <c r="J179" s="19">
        <v>47.4421188721253</v>
      </c>
      <c r="K179" s="16" t="s">
        <v>377</v>
      </c>
    </row>
    <row r="180" spans="1:11">
      <c r="A180" s="16" t="s">
        <v>104</v>
      </c>
      <c r="B180" s="17">
        <v>2</v>
      </c>
      <c r="C180" s="18">
        <v>60</v>
      </c>
      <c r="D180" s="19">
        <v>65.7546479354958</v>
      </c>
      <c r="E180" s="19">
        <v>75</v>
      </c>
      <c r="F180" s="19">
        <v>25</v>
      </c>
      <c r="G180" s="18">
        <v>16.680046413717</v>
      </c>
      <c r="H180" s="19">
        <v>18.2798429913615</v>
      </c>
      <c r="I180" s="19">
        <v>66.6666666666667</v>
      </c>
      <c r="J180" s="19">
        <v>47.3848824845076</v>
      </c>
      <c r="K180" s="16" t="s">
        <v>377</v>
      </c>
    </row>
    <row r="181" spans="1:11">
      <c r="A181" s="16" t="s">
        <v>274</v>
      </c>
      <c r="B181" s="17">
        <v>4</v>
      </c>
      <c r="C181" s="18">
        <v>50</v>
      </c>
      <c r="D181" s="19">
        <v>41.414556905709</v>
      </c>
      <c r="E181" s="19">
        <v>81.25</v>
      </c>
      <c r="F181" s="19">
        <v>6.25</v>
      </c>
      <c r="G181" s="18">
        <v>62.9316153046987</v>
      </c>
      <c r="H181" s="19">
        <v>52.1256992640926</v>
      </c>
      <c r="I181" s="19">
        <v>41.6666666666667</v>
      </c>
      <c r="J181" s="19">
        <v>47.3581211603696</v>
      </c>
      <c r="K181" s="16" t="s">
        <v>377</v>
      </c>
    </row>
    <row r="182" spans="1:11">
      <c r="A182" s="16" t="s">
        <v>219</v>
      </c>
      <c r="B182" s="17">
        <v>3</v>
      </c>
      <c r="C182" s="18">
        <v>70</v>
      </c>
      <c r="D182" s="19">
        <v>76.9409710293203</v>
      </c>
      <c r="E182" s="19">
        <v>81.25</v>
      </c>
      <c r="F182" s="19">
        <v>31.25</v>
      </c>
      <c r="G182" s="18">
        <v>6.88780433475264</v>
      </c>
      <c r="H182" s="19">
        <v>7.57077648251185</v>
      </c>
      <c r="I182" s="19">
        <v>58.3333333333333</v>
      </c>
      <c r="J182" s="19">
        <v>47.3469271506176</v>
      </c>
      <c r="K182" s="16" t="s">
        <v>377</v>
      </c>
    </row>
    <row r="183" spans="1:11">
      <c r="A183" s="16" t="s">
        <v>137</v>
      </c>
      <c r="B183" s="17">
        <v>3</v>
      </c>
      <c r="C183" s="18">
        <v>40</v>
      </c>
      <c r="D183" s="19">
        <v>41.037240141408</v>
      </c>
      <c r="E183" s="19">
        <v>81.25</v>
      </c>
      <c r="F183" s="19">
        <v>37.5</v>
      </c>
      <c r="G183" s="18">
        <v>27.5378840739862</v>
      </c>
      <c r="H183" s="19">
        <v>28.2519690432607</v>
      </c>
      <c r="I183" s="19">
        <v>58.3333333333333</v>
      </c>
      <c r="J183" s="19">
        <v>47.3080387412598</v>
      </c>
      <c r="K183" s="16" t="s">
        <v>377</v>
      </c>
    </row>
    <row r="184" spans="1:11">
      <c r="A184" s="16" t="s">
        <v>190</v>
      </c>
      <c r="B184" s="17">
        <v>4</v>
      </c>
      <c r="C184" s="18">
        <v>20</v>
      </c>
      <c r="D184" s="19">
        <v>19.2821201496118</v>
      </c>
      <c r="E184" s="19">
        <v>87.5</v>
      </c>
      <c r="F184" s="19">
        <v>18.75</v>
      </c>
      <c r="G184" s="18">
        <v>49.6609248310362</v>
      </c>
      <c r="H184" s="19">
        <v>47.8783959666441</v>
      </c>
      <c r="I184" s="19">
        <v>58.3333333333333</v>
      </c>
      <c r="J184" s="19">
        <v>47.2824428199156</v>
      </c>
      <c r="K184" s="16" t="s">
        <v>377</v>
      </c>
    </row>
    <row r="185" spans="1:11">
      <c r="A185" s="16" t="s">
        <v>284</v>
      </c>
      <c r="B185" s="17">
        <v>2</v>
      </c>
      <c r="C185" s="18">
        <v>70</v>
      </c>
      <c r="D185" s="19">
        <v>65.3601414777291</v>
      </c>
      <c r="E185" s="19">
        <v>68.75</v>
      </c>
      <c r="F185" s="19">
        <v>18.75</v>
      </c>
      <c r="G185" s="18">
        <v>31.5798826532297</v>
      </c>
      <c r="H185" s="19">
        <v>29.486651400931</v>
      </c>
      <c r="I185" s="19">
        <v>58.3333333333333</v>
      </c>
      <c r="J185" s="19">
        <v>47.2305237158251</v>
      </c>
      <c r="K185" s="16" t="s">
        <v>377</v>
      </c>
    </row>
    <row r="186" spans="1:11">
      <c r="A186" s="16" t="s">
        <v>272</v>
      </c>
      <c r="B186" s="17">
        <v>3</v>
      </c>
      <c r="C186" s="18">
        <v>60</v>
      </c>
      <c r="D186" s="19">
        <v>61.487715260934</v>
      </c>
      <c r="E186" s="19">
        <v>75</v>
      </c>
      <c r="F186" s="19">
        <v>25</v>
      </c>
      <c r="G186" s="18">
        <v>23.8952427918824</v>
      </c>
      <c r="H186" s="19">
        <v>24.4877314146358</v>
      </c>
      <c r="I186" s="19">
        <v>58.3333333333333</v>
      </c>
      <c r="J186" s="19">
        <v>47.1438624765776</v>
      </c>
      <c r="K186" s="16" t="s">
        <v>377</v>
      </c>
    </row>
    <row r="187" spans="1:11">
      <c r="A187" s="16" t="s">
        <v>277</v>
      </c>
      <c r="B187" s="17">
        <v>3</v>
      </c>
      <c r="C187" s="18">
        <v>50</v>
      </c>
      <c r="D187" s="19">
        <v>49.7811869416381</v>
      </c>
      <c r="E187" s="19">
        <v>81.25</v>
      </c>
      <c r="F187" s="19">
        <v>18.75</v>
      </c>
      <c r="G187" s="18">
        <v>31.1672525866187</v>
      </c>
      <c r="H187" s="19">
        <v>31.0308565494344</v>
      </c>
      <c r="I187" s="19">
        <v>58.3333333333333</v>
      </c>
      <c r="J187" s="19">
        <v>47.0779943531579</v>
      </c>
      <c r="K187" s="16" t="s">
        <v>377</v>
      </c>
    </row>
    <row r="188" spans="1:11">
      <c r="A188" s="16" t="s">
        <v>294</v>
      </c>
      <c r="B188" s="17">
        <v>2</v>
      </c>
      <c r="C188" s="18">
        <v>60</v>
      </c>
      <c r="D188" s="19">
        <v>59.7374243299658</v>
      </c>
      <c r="E188" s="19">
        <v>81.25</v>
      </c>
      <c r="F188" s="19">
        <v>12.5</v>
      </c>
      <c r="G188" s="18">
        <v>31.1672525866187</v>
      </c>
      <c r="H188" s="19">
        <v>31.0308565494344</v>
      </c>
      <c r="I188" s="19">
        <v>50</v>
      </c>
      <c r="J188" s="19">
        <v>46.8817418308235</v>
      </c>
      <c r="K188" s="16" t="s">
        <v>377</v>
      </c>
    </row>
    <row r="189" spans="1:11">
      <c r="A189" s="16" t="s">
        <v>283</v>
      </c>
      <c r="B189" s="17">
        <v>3</v>
      </c>
      <c r="C189" s="18">
        <v>90</v>
      </c>
      <c r="D189" s="19">
        <v>94.5097198494516</v>
      </c>
      <c r="E189" s="19">
        <v>75</v>
      </c>
      <c r="F189" s="19">
        <v>12.5</v>
      </c>
      <c r="G189" s="18">
        <v>19.3450284479123</v>
      </c>
      <c r="H189" s="19">
        <v>20.3143691010207</v>
      </c>
      <c r="I189" s="19">
        <v>33.3333333333333</v>
      </c>
      <c r="J189" s="19">
        <v>46.8712547001965</v>
      </c>
      <c r="K189" s="16" t="s">
        <v>377</v>
      </c>
    </row>
    <row r="190" spans="1:11">
      <c r="A190" s="16" t="s">
        <v>30</v>
      </c>
      <c r="B190" s="17">
        <v>4</v>
      </c>
      <c r="C190" s="18">
        <v>50</v>
      </c>
      <c r="D190" s="19">
        <v>50.65</v>
      </c>
      <c r="E190" s="19">
        <v>68.75</v>
      </c>
      <c r="F190" s="19">
        <v>31.25</v>
      </c>
      <c r="G190" s="18">
        <v>31.0663596611924</v>
      </c>
      <c r="H190" s="19">
        <v>31.4605395738813</v>
      </c>
      <c r="I190" s="19">
        <v>58.3333333333333</v>
      </c>
      <c r="J190" s="19">
        <v>46.7556618721644</v>
      </c>
      <c r="K190" s="16" t="s">
        <v>377</v>
      </c>
    </row>
    <row r="191" spans="1:11">
      <c r="A191" s="16" t="s">
        <v>280</v>
      </c>
      <c r="B191" s="17">
        <v>3</v>
      </c>
      <c r="C191" s="18">
        <v>30</v>
      </c>
      <c r="D191" s="19">
        <v>29.55</v>
      </c>
      <c r="E191" s="19">
        <v>87.5</v>
      </c>
      <c r="F191" s="19">
        <v>37.5</v>
      </c>
      <c r="G191" s="18">
        <v>29.9769910463732</v>
      </c>
      <c r="H191" s="19">
        <v>29.5348512249669</v>
      </c>
      <c r="I191" s="19">
        <v>58.3333333333333</v>
      </c>
      <c r="J191" s="19">
        <v>46.6454553674901</v>
      </c>
      <c r="K191" s="16" t="s">
        <v>377</v>
      </c>
    </row>
    <row r="192" spans="1:11">
      <c r="A192" s="16" t="s">
        <v>282</v>
      </c>
      <c r="B192" s="17">
        <v>2</v>
      </c>
      <c r="C192" s="18">
        <v>60</v>
      </c>
      <c r="D192" s="19">
        <v>61.1446267562538</v>
      </c>
      <c r="E192" s="19">
        <v>81.25</v>
      </c>
      <c r="F192" s="19">
        <v>12.5</v>
      </c>
      <c r="G192" s="18">
        <v>24.6505706291185</v>
      </c>
      <c r="H192" s="19">
        <v>25.1208323407687</v>
      </c>
      <c r="I192" s="19">
        <v>58.3333333333333</v>
      </c>
      <c r="J192" s="19">
        <v>46.6401750534814</v>
      </c>
      <c r="K192" s="16" t="s">
        <v>377</v>
      </c>
    </row>
    <row r="193" spans="1:11">
      <c r="A193" s="16" t="s">
        <v>258</v>
      </c>
      <c r="B193" s="17">
        <v>2</v>
      </c>
      <c r="C193" s="18">
        <v>50</v>
      </c>
      <c r="D193" s="19">
        <v>47.9518710921128</v>
      </c>
      <c r="E193" s="19">
        <v>81.25</v>
      </c>
      <c r="F193" s="19">
        <v>0</v>
      </c>
      <c r="G193" s="18">
        <v>41.6971882392523</v>
      </c>
      <c r="H193" s="19">
        <v>39.9891639070438</v>
      </c>
      <c r="I193" s="19">
        <v>58.3333333333333</v>
      </c>
      <c r="J193" s="19">
        <v>46.5871233905357</v>
      </c>
      <c r="K193" s="16" t="s">
        <v>377</v>
      </c>
    </row>
    <row r="194" spans="1:11">
      <c r="A194" s="16" t="s">
        <v>289</v>
      </c>
      <c r="B194" s="17">
        <v>2</v>
      </c>
      <c r="C194" s="18">
        <v>60</v>
      </c>
      <c r="D194" s="19">
        <v>60.5620975593954</v>
      </c>
      <c r="E194" s="19">
        <v>75</v>
      </c>
      <c r="F194" s="19">
        <v>25</v>
      </c>
      <c r="G194" s="18">
        <v>26.9921963369181</v>
      </c>
      <c r="H194" s="19">
        <v>27.2450671316465</v>
      </c>
      <c r="I194" s="19">
        <v>50</v>
      </c>
      <c r="J194" s="19">
        <v>46.535939651373</v>
      </c>
      <c r="K194" s="16" t="s">
        <v>377</v>
      </c>
    </row>
    <row r="195" spans="1:11">
      <c r="A195" s="16" t="s">
        <v>229</v>
      </c>
      <c r="B195" s="17">
        <v>2</v>
      </c>
      <c r="C195" s="18">
        <v>60</v>
      </c>
      <c r="D195" s="19">
        <v>60.7612992001404</v>
      </c>
      <c r="E195" s="19">
        <v>81.25</v>
      </c>
      <c r="F195" s="19">
        <v>25</v>
      </c>
      <c r="G195" s="18">
        <v>26.6724317584651</v>
      </c>
      <c r="H195" s="19">
        <v>27.0108601078571</v>
      </c>
      <c r="I195" s="19">
        <v>41.6666666666667</v>
      </c>
      <c r="J195" s="19">
        <v>46.5055178723852</v>
      </c>
      <c r="K195" s="16" t="s">
        <v>377</v>
      </c>
    </row>
    <row r="196" spans="1:11">
      <c r="A196" s="16" t="s">
        <v>132</v>
      </c>
      <c r="B196" s="17">
        <v>4</v>
      </c>
      <c r="C196" s="18">
        <v>50</v>
      </c>
      <c r="D196" s="19">
        <v>54.9578364495145</v>
      </c>
      <c r="E196" s="19">
        <v>87.5</v>
      </c>
      <c r="F196" s="19">
        <v>25</v>
      </c>
      <c r="G196" s="18">
        <v>12.8821977148139</v>
      </c>
      <c r="H196" s="19">
        <v>14.1595543024211</v>
      </c>
      <c r="I196" s="19">
        <v>66.6666666666667</v>
      </c>
      <c r="J196" s="19">
        <v>46.4894335806292</v>
      </c>
      <c r="K196" s="16" t="s">
        <v>377</v>
      </c>
    </row>
    <row r="197" spans="1:11">
      <c r="A197" s="16" t="s">
        <v>216</v>
      </c>
      <c r="B197" s="17">
        <v>4</v>
      </c>
      <c r="C197" s="18">
        <v>50</v>
      </c>
      <c r="D197" s="19">
        <v>41.414556905709</v>
      </c>
      <c r="E197" s="19">
        <v>75</v>
      </c>
      <c r="F197" s="19">
        <v>18.75</v>
      </c>
      <c r="G197" s="18">
        <v>56.8894489746301</v>
      </c>
      <c r="H197" s="19">
        <v>47.121026437885</v>
      </c>
      <c r="I197" s="19">
        <v>41.6666666666667</v>
      </c>
      <c r="J197" s="19">
        <v>46.4817193125073</v>
      </c>
      <c r="K197" s="16" t="s">
        <v>377</v>
      </c>
    </row>
    <row r="198" spans="1:11">
      <c r="A198" s="16" t="s">
        <v>156</v>
      </c>
      <c r="B198" s="17">
        <v>4</v>
      </c>
      <c r="C198" s="18">
        <v>60</v>
      </c>
      <c r="D198" s="19">
        <v>61.485359844786</v>
      </c>
      <c r="E198" s="19">
        <v>81.25</v>
      </c>
      <c r="F198" s="19">
        <v>12.5</v>
      </c>
      <c r="G198" s="18">
        <v>23.690777928728</v>
      </c>
      <c r="H198" s="19">
        <v>24.2772667658459</v>
      </c>
      <c r="I198" s="19">
        <v>58.3333333333333</v>
      </c>
      <c r="J198" s="19">
        <v>46.455251998711</v>
      </c>
      <c r="K198" s="16" t="s">
        <v>377</v>
      </c>
    </row>
    <row r="199" spans="1:11">
      <c r="A199" s="16" t="s">
        <v>231</v>
      </c>
      <c r="B199" s="17">
        <v>3</v>
      </c>
      <c r="C199" s="18">
        <v>40</v>
      </c>
      <c r="D199" s="19">
        <v>35.9885784987068</v>
      </c>
      <c r="E199" s="19">
        <v>75</v>
      </c>
      <c r="F199" s="19">
        <v>12.5</v>
      </c>
      <c r="G199" s="18">
        <v>59.5826301320288</v>
      </c>
      <c r="H199" s="19">
        <v>53.6073540416482</v>
      </c>
      <c r="I199" s="19">
        <v>41.6666666666667</v>
      </c>
      <c r="J199" s="19">
        <v>46.4049219122358</v>
      </c>
      <c r="K199" s="16" t="s">
        <v>377</v>
      </c>
    </row>
    <row r="200" spans="1:11">
      <c r="A200" s="16" t="s">
        <v>271</v>
      </c>
      <c r="B200" s="17">
        <v>4</v>
      </c>
      <c r="C200" s="18">
        <v>50</v>
      </c>
      <c r="D200" s="19">
        <v>52.540784536144</v>
      </c>
      <c r="E200" s="19">
        <v>81.25</v>
      </c>
      <c r="F200" s="19">
        <v>25</v>
      </c>
      <c r="G200" s="18">
        <v>22.5255815311182</v>
      </c>
      <c r="H200" s="19">
        <v>23.6702345155565</v>
      </c>
      <c r="I200" s="19">
        <v>58.3333333333333</v>
      </c>
      <c r="J200" s="19">
        <v>46.3592272618957</v>
      </c>
      <c r="K200" s="16" t="s">
        <v>377</v>
      </c>
    </row>
    <row r="201" spans="1:11">
      <c r="A201" s="16" t="s">
        <v>263</v>
      </c>
      <c r="B201" s="17">
        <v>3</v>
      </c>
      <c r="C201" s="18">
        <v>50</v>
      </c>
      <c r="D201" s="19">
        <v>47.6144526588246</v>
      </c>
      <c r="E201" s="19">
        <v>68.75</v>
      </c>
      <c r="F201" s="19">
        <v>6.25</v>
      </c>
      <c r="G201" s="18">
        <v>50.8673512377328</v>
      </c>
      <c r="H201" s="19">
        <v>48.4404217477766</v>
      </c>
      <c r="I201" s="19">
        <v>50</v>
      </c>
      <c r="J201" s="19">
        <v>46.2425170560979</v>
      </c>
      <c r="K201" s="16" t="s">
        <v>377</v>
      </c>
    </row>
    <row r="202" spans="1:11">
      <c r="A202" s="16" t="s">
        <v>207</v>
      </c>
      <c r="B202" s="17">
        <v>4</v>
      </c>
      <c r="C202" s="18">
        <v>50</v>
      </c>
      <c r="D202" s="19">
        <v>49.1932520627119</v>
      </c>
      <c r="E202" s="19">
        <v>68.75</v>
      </c>
      <c r="F202" s="19">
        <v>6.25</v>
      </c>
      <c r="G202" s="18">
        <v>48.1494554136456</v>
      </c>
      <c r="H202" s="19">
        <v>47.3725659369156</v>
      </c>
      <c r="I202" s="19">
        <v>50</v>
      </c>
      <c r="J202" s="19">
        <v>46.2379201936171</v>
      </c>
      <c r="K202" s="16" t="s">
        <v>377</v>
      </c>
    </row>
    <row r="203" spans="1:11">
      <c r="A203" s="16" t="s">
        <v>253</v>
      </c>
      <c r="B203" s="17">
        <v>3</v>
      </c>
      <c r="C203" s="18">
        <v>40</v>
      </c>
      <c r="D203" s="19">
        <v>43.2542915317276</v>
      </c>
      <c r="E203" s="19">
        <v>87.5</v>
      </c>
      <c r="F203" s="19">
        <v>31.25</v>
      </c>
      <c r="G203" s="18">
        <v>16.60139392865</v>
      </c>
      <c r="H203" s="19">
        <v>17.952038320572</v>
      </c>
      <c r="I203" s="19">
        <v>66.6666666666667</v>
      </c>
      <c r="J203" s="19">
        <v>46.2239698025171</v>
      </c>
      <c r="K203" s="16" t="s">
        <v>377</v>
      </c>
    </row>
    <row r="204" spans="1:11">
      <c r="A204" s="16" t="s">
        <v>316</v>
      </c>
      <c r="B204" s="17">
        <v>4</v>
      </c>
      <c r="C204" s="18">
        <v>50</v>
      </c>
      <c r="D204" s="19">
        <v>49.5583535944546</v>
      </c>
      <c r="E204" s="19">
        <v>68.75</v>
      </c>
      <c r="F204" s="19">
        <v>6.25</v>
      </c>
      <c r="G204" s="18">
        <v>47.3102022611611</v>
      </c>
      <c r="H204" s="19">
        <v>46.8923146456757</v>
      </c>
      <c r="I204" s="19">
        <v>50</v>
      </c>
      <c r="J204" s="19">
        <v>46.1668651125936</v>
      </c>
      <c r="K204" s="16" t="s">
        <v>377</v>
      </c>
    </row>
    <row r="205" spans="1:11">
      <c r="A205" s="16" t="s">
        <v>102</v>
      </c>
      <c r="B205" s="17">
        <v>3</v>
      </c>
      <c r="C205" s="18">
        <v>60</v>
      </c>
      <c r="D205" s="19">
        <v>62.3988974080824</v>
      </c>
      <c r="E205" s="19">
        <v>81.25</v>
      </c>
      <c r="F205" s="19">
        <v>18.75</v>
      </c>
      <c r="G205" s="18">
        <v>26.7954551323367</v>
      </c>
      <c r="H205" s="19">
        <v>27.8667809300925</v>
      </c>
      <c r="I205" s="19">
        <v>41.6666666666667</v>
      </c>
      <c r="J205" s="19">
        <v>46.1523137606442</v>
      </c>
      <c r="K205" s="16" t="s">
        <v>377</v>
      </c>
    </row>
    <row r="206" spans="1:11">
      <c r="A206" s="16" t="s">
        <v>314</v>
      </c>
      <c r="B206" s="17">
        <v>4</v>
      </c>
      <c r="C206" s="18">
        <v>40</v>
      </c>
      <c r="D206" s="19">
        <v>33.1316455245672</v>
      </c>
      <c r="E206" s="19">
        <v>81.25</v>
      </c>
      <c r="F206" s="19">
        <v>12.5</v>
      </c>
      <c r="G206" s="18">
        <v>55.6236277322291</v>
      </c>
      <c r="H206" s="19">
        <v>46.0725579203675</v>
      </c>
      <c r="I206" s="19">
        <v>50</v>
      </c>
      <c r="J206" s="19">
        <v>46.0730964810237</v>
      </c>
      <c r="K206" s="16" t="s">
        <v>377</v>
      </c>
    </row>
    <row r="207" spans="1:11">
      <c r="A207" s="16" t="s">
        <v>214</v>
      </c>
      <c r="B207" s="17">
        <v>2</v>
      </c>
      <c r="C207" s="18">
        <v>50</v>
      </c>
      <c r="D207" s="19">
        <v>53.6518369917785</v>
      </c>
      <c r="E207" s="19">
        <v>81.25</v>
      </c>
      <c r="F207" s="19">
        <v>31.25</v>
      </c>
      <c r="G207" s="18">
        <v>17.4763609768973</v>
      </c>
      <c r="H207" s="19">
        <v>18.7527774068395</v>
      </c>
      <c r="I207" s="19">
        <v>58.3333333333333</v>
      </c>
      <c r="J207" s="19">
        <v>46.0437006204076</v>
      </c>
      <c r="K207" s="16" t="s">
        <v>377</v>
      </c>
    </row>
    <row r="208" spans="1:11">
      <c r="A208" s="16" t="s">
        <v>69</v>
      </c>
      <c r="B208" s="17">
        <v>4</v>
      </c>
      <c r="C208" s="18">
        <v>60</v>
      </c>
      <c r="D208" s="19">
        <v>61.8345594716712</v>
      </c>
      <c r="E208" s="19">
        <v>81.25</v>
      </c>
      <c r="F208" s="19">
        <v>18.75</v>
      </c>
      <c r="G208" s="18">
        <v>26.9084442096229</v>
      </c>
      <c r="H208" s="19">
        <v>27.7311965628345</v>
      </c>
      <c r="I208" s="19">
        <v>41.6666666666667</v>
      </c>
      <c r="J208" s="19">
        <v>45.9987708631846</v>
      </c>
      <c r="K208" s="16" t="s">
        <v>377</v>
      </c>
    </row>
    <row r="209" spans="1:11">
      <c r="A209" s="16" t="s">
        <v>297</v>
      </c>
      <c r="B209" s="17">
        <v>2</v>
      </c>
      <c r="C209" s="18">
        <v>50</v>
      </c>
      <c r="D209" s="19">
        <v>51.178769132432</v>
      </c>
      <c r="E209" s="19">
        <v>75</v>
      </c>
      <c r="F209" s="19">
        <v>18.75</v>
      </c>
      <c r="G209" s="18">
        <v>29.6501199663746</v>
      </c>
      <c r="H209" s="19">
        <v>30.34913289016</v>
      </c>
      <c r="I209" s="19">
        <v>58.3333333333333</v>
      </c>
      <c r="J209" s="19">
        <v>45.9029936935344</v>
      </c>
      <c r="K209" s="16" t="s">
        <v>377</v>
      </c>
    </row>
    <row r="210" spans="1:11">
      <c r="A210" s="16" t="s">
        <v>107</v>
      </c>
      <c r="B210" s="17">
        <v>3</v>
      </c>
      <c r="C210" s="18">
        <v>50</v>
      </c>
      <c r="D210" s="19">
        <v>48.2053003740296</v>
      </c>
      <c r="E210" s="19">
        <v>75</v>
      </c>
      <c r="F210" s="19">
        <v>12.5</v>
      </c>
      <c r="G210" s="18">
        <v>49.6609248310362</v>
      </c>
      <c r="H210" s="19">
        <v>47.8783959666441</v>
      </c>
      <c r="I210" s="19">
        <v>33.3333333333333</v>
      </c>
      <c r="J210" s="19">
        <v>45.8795788647992</v>
      </c>
      <c r="K210" s="16" t="s">
        <v>377</v>
      </c>
    </row>
    <row r="211" spans="1:11">
      <c r="A211" s="16" t="s">
        <v>302</v>
      </c>
      <c r="B211" s="17">
        <v>4</v>
      </c>
      <c r="C211" s="18">
        <v>50</v>
      </c>
      <c r="D211" s="19">
        <v>52.540784536144</v>
      </c>
      <c r="E211" s="19">
        <v>87.5</v>
      </c>
      <c r="F211" s="19">
        <v>12.5</v>
      </c>
      <c r="G211" s="18">
        <v>26.8196474360562</v>
      </c>
      <c r="H211" s="19">
        <v>28.1825063454635</v>
      </c>
      <c r="I211" s="19">
        <v>50</v>
      </c>
      <c r="J211" s="19">
        <v>45.8379088108679</v>
      </c>
      <c r="K211" s="16" t="s">
        <v>377</v>
      </c>
    </row>
    <row r="212" spans="1:11">
      <c r="A212" s="16" t="s">
        <v>308</v>
      </c>
      <c r="B212" s="17">
        <v>3</v>
      </c>
      <c r="C212" s="18">
        <v>60</v>
      </c>
      <c r="D212" s="19">
        <v>62.5312040741352</v>
      </c>
      <c r="E212" s="19">
        <v>75</v>
      </c>
      <c r="F212" s="19">
        <v>12.5</v>
      </c>
      <c r="G212" s="18">
        <v>32.3925654692789</v>
      </c>
      <c r="H212" s="19">
        <v>33.7591020307377</v>
      </c>
      <c r="I212" s="19">
        <v>41.6666666666667</v>
      </c>
      <c r="J212" s="19">
        <v>45.7589714240483</v>
      </c>
      <c r="K212" s="16" t="s">
        <v>377</v>
      </c>
    </row>
    <row r="213" spans="1:11">
      <c r="A213" s="16" t="s">
        <v>136</v>
      </c>
      <c r="B213" s="17">
        <v>4</v>
      </c>
      <c r="C213" s="18">
        <v>40</v>
      </c>
      <c r="D213" s="19">
        <v>43.4766274713888</v>
      </c>
      <c r="E213" s="19">
        <v>87.5</v>
      </c>
      <c r="F213" s="19">
        <v>25</v>
      </c>
      <c r="G213" s="18">
        <v>17.4547500923115</v>
      </c>
      <c r="H213" s="19">
        <v>18.9718416842404</v>
      </c>
      <c r="I213" s="19">
        <v>66.6666666666667</v>
      </c>
      <c r="J213" s="19">
        <v>45.6368779995499</v>
      </c>
      <c r="K213" s="16" t="s">
        <v>377</v>
      </c>
    </row>
    <row r="214" spans="1:11">
      <c r="A214" s="16" t="s">
        <v>268</v>
      </c>
      <c r="B214" s="17">
        <v>4</v>
      </c>
      <c r="C214" s="18">
        <v>60</v>
      </c>
      <c r="D214" s="19">
        <v>52.7624297471325</v>
      </c>
      <c r="E214" s="19">
        <v>62.5</v>
      </c>
      <c r="F214" s="19">
        <v>6.25</v>
      </c>
      <c r="G214" s="18">
        <v>58.3600938548382</v>
      </c>
      <c r="H214" s="19">
        <v>51.320339200866</v>
      </c>
      <c r="I214" s="19">
        <v>41.6666666666667</v>
      </c>
      <c r="J214" s="19">
        <v>45.6360877096863</v>
      </c>
      <c r="K214" s="16" t="s">
        <v>377</v>
      </c>
    </row>
    <row r="215" spans="1:11">
      <c r="A215" s="16" t="s">
        <v>304</v>
      </c>
      <c r="B215" s="17">
        <v>2</v>
      </c>
      <c r="C215" s="18">
        <v>60</v>
      </c>
      <c r="D215" s="19">
        <v>59.7374243299658</v>
      </c>
      <c r="E215" s="19">
        <v>75</v>
      </c>
      <c r="F215" s="19">
        <v>12.5</v>
      </c>
      <c r="G215" s="18">
        <v>31.1672525866187</v>
      </c>
      <c r="H215" s="19">
        <v>31.0308565494344</v>
      </c>
      <c r="I215" s="19">
        <v>50</v>
      </c>
      <c r="J215" s="19">
        <v>45.6317418308235</v>
      </c>
      <c r="K215" s="16" t="s">
        <v>377</v>
      </c>
    </row>
    <row r="216" spans="1:11">
      <c r="A216" s="16" t="s">
        <v>171</v>
      </c>
      <c r="B216" s="17">
        <v>4</v>
      </c>
      <c r="C216" s="18">
        <v>30</v>
      </c>
      <c r="D216" s="19">
        <v>29.1703687349092</v>
      </c>
      <c r="E216" s="19">
        <v>81.25</v>
      </c>
      <c r="F216" s="19">
        <v>18.75</v>
      </c>
      <c r="G216" s="18">
        <v>36.8015146184198</v>
      </c>
      <c r="H216" s="19">
        <v>35.7837917140819</v>
      </c>
      <c r="I216" s="19">
        <v>66.6666666666667</v>
      </c>
      <c r="J216" s="19">
        <v>45.6317112612064</v>
      </c>
      <c r="K216" s="16" t="s">
        <v>377</v>
      </c>
    </row>
    <row r="217" spans="1:11">
      <c r="A217" s="16" t="s">
        <v>291</v>
      </c>
      <c r="B217" s="17">
        <v>3</v>
      </c>
      <c r="C217" s="18">
        <v>80</v>
      </c>
      <c r="D217" s="19">
        <v>84.0086398661792</v>
      </c>
      <c r="E217" s="19">
        <v>75</v>
      </c>
      <c r="F217" s="19">
        <v>12.5</v>
      </c>
      <c r="G217" s="18">
        <v>13.7427703719351</v>
      </c>
      <c r="H217" s="19">
        <v>14.4313930867437</v>
      </c>
      <c r="I217" s="19">
        <v>50</v>
      </c>
      <c r="J217" s="19">
        <v>45.5061458992589</v>
      </c>
      <c r="K217" s="16" t="s">
        <v>377</v>
      </c>
    </row>
    <row r="218" spans="1:11">
      <c r="A218" s="16" t="s">
        <v>86</v>
      </c>
      <c r="B218" s="17">
        <v>3</v>
      </c>
      <c r="C218" s="18">
        <v>50</v>
      </c>
      <c r="D218" s="19">
        <v>50.634416000117</v>
      </c>
      <c r="E218" s="19">
        <v>87.5</v>
      </c>
      <c r="F218" s="19">
        <v>6.25</v>
      </c>
      <c r="G218" s="18">
        <v>31.0663596611924</v>
      </c>
      <c r="H218" s="19">
        <v>31.4605395738813</v>
      </c>
      <c r="I218" s="19">
        <v>50</v>
      </c>
      <c r="J218" s="19">
        <v>45.5025450721878</v>
      </c>
      <c r="K218" s="16" t="s">
        <v>377</v>
      </c>
    </row>
    <row r="219" spans="1:11">
      <c r="A219" s="16" t="s">
        <v>139</v>
      </c>
      <c r="B219" s="17">
        <v>4</v>
      </c>
      <c r="C219" s="18">
        <v>50</v>
      </c>
      <c r="D219" s="19">
        <v>54.9578364495145</v>
      </c>
      <c r="E219" s="19">
        <v>81.25</v>
      </c>
      <c r="F219" s="19">
        <v>25</v>
      </c>
      <c r="G219" s="18">
        <v>13.5328470918997</v>
      </c>
      <c r="H219" s="19">
        <v>14.8747199434583</v>
      </c>
      <c r="I219" s="19">
        <v>66.6666666666667</v>
      </c>
      <c r="J219" s="19">
        <v>45.4539832729404</v>
      </c>
      <c r="K219" s="16" t="s">
        <v>377</v>
      </c>
    </row>
    <row r="220" spans="1:11">
      <c r="A220" s="16" t="s">
        <v>151</v>
      </c>
      <c r="B220" s="17">
        <v>4</v>
      </c>
      <c r="C220" s="18">
        <v>50</v>
      </c>
      <c r="D220" s="19">
        <v>49.9566071335828</v>
      </c>
      <c r="E220" s="19">
        <v>75</v>
      </c>
      <c r="F220" s="19">
        <v>18.75</v>
      </c>
      <c r="G220" s="18">
        <v>33.7434859440541</v>
      </c>
      <c r="H220" s="19">
        <v>33.7142014124936</v>
      </c>
      <c r="I220" s="19">
        <v>50</v>
      </c>
      <c r="J220" s="19">
        <v>45.4180818504646</v>
      </c>
      <c r="K220" s="16" t="s">
        <v>377</v>
      </c>
    </row>
    <row r="221" spans="1:11">
      <c r="A221" s="16" t="s">
        <v>313</v>
      </c>
      <c r="B221" s="17">
        <v>3</v>
      </c>
      <c r="C221" s="18">
        <v>50</v>
      </c>
      <c r="D221" s="19">
        <v>49.2163894243287</v>
      </c>
      <c r="E221" s="19">
        <v>75</v>
      </c>
      <c r="F221" s="19">
        <v>18.75</v>
      </c>
      <c r="G221" s="18">
        <v>38.9696154936775</v>
      </c>
      <c r="H221" s="19">
        <v>38.3588754370637</v>
      </c>
      <c r="I221" s="19">
        <v>41.6666666666667</v>
      </c>
      <c r="J221" s="19">
        <v>45.4134405159849</v>
      </c>
      <c r="K221" s="16" t="s">
        <v>377</v>
      </c>
    </row>
    <row r="222" spans="1:11">
      <c r="A222" s="16" t="s">
        <v>288</v>
      </c>
      <c r="B222" s="17">
        <v>4</v>
      </c>
      <c r="C222" s="18">
        <v>50</v>
      </c>
      <c r="D222" s="19">
        <v>54.192156075709</v>
      </c>
      <c r="E222" s="19">
        <v>87.5</v>
      </c>
      <c r="F222" s="19">
        <v>25</v>
      </c>
      <c r="G222" s="18">
        <v>21.5743152330275</v>
      </c>
      <c r="H222" s="19">
        <v>23.3831731666955</v>
      </c>
      <c r="I222" s="19">
        <v>41.6666666666667</v>
      </c>
      <c r="J222" s="19">
        <v>45.3533831651504</v>
      </c>
      <c r="K222" s="16" t="s">
        <v>377</v>
      </c>
    </row>
    <row r="223" spans="1:11">
      <c r="A223" s="16" t="s">
        <v>321</v>
      </c>
      <c r="B223" s="17">
        <v>4</v>
      </c>
      <c r="C223" s="18">
        <v>60</v>
      </c>
      <c r="D223" s="19">
        <v>59.4159612320164</v>
      </c>
      <c r="E223" s="19">
        <v>68.75</v>
      </c>
      <c r="F223" s="19">
        <v>12.5</v>
      </c>
      <c r="G223" s="18">
        <v>46.7759921193704</v>
      </c>
      <c r="H223" s="19">
        <v>46.3206755725603</v>
      </c>
      <c r="I223" s="19">
        <v>25</v>
      </c>
      <c r="J223" s="19">
        <v>45.1543949181714</v>
      </c>
      <c r="K223" s="16" t="s">
        <v>377</v>
      </c>
    </row>
    <row r="224" spans="1:11">
      <c r="A224" s="16" t="s">
        <v>301</v>
      </c>
      <c r="B224" s="17">
        <v>4</v>
      </c>
      <c r="C224" s="18">
        <v>50</v>
      </c>
      <c r="D224" s="19">
        <v>51.237799870655</v>
      </c>
      <c r="E224" s="19">
        <v>75</v>
      </c>
      <c r="F224" s="19">
        <v>12.5</v>
      </c>
      <c r="G224" s="18">
        <v>30.1917939848085</v>
      </c>
      <c r="H224" s="19">
        <v>30.9392219585933</v>
      </c>
      <c r="I224" s="19">
        <v>58.3333333333333</v>
      </c>
      <c r="J224" s="19">
        <v>45.154326561709</v>
      </c>
      <c r="K224" s="16" t="s">
        <v>377</v>
      </c>
    </row>
    <row r="225" spans="1:11">
      <c r="A225" s="16" t="s">
        <v>57</v>
      </c>
      <c r="B225" s="17">
        <v>3</v>
      </c>
      <c r="C225" s="18">
        <v>60</v>
      </c>
      <c r="D225" s="19">
        <v>65.0305872908508</v>
      </c>
      <c r="E225" s="19">
        <v>81.25</v>
      </c>
      <c r="F225" s="19">
        <v>6.25</v>
      </c>
      <c r="G225" s="18">
        <v>15.083285376726</v>
      </c>
      <c r="H225" s="19">
        <v>16.3479151053998</v>
      </c>
      <c r="I225" s="19">
        <v>66.6666666666667</v>
      </c>
      <c r="J225" s="19">
        <v>45.0979919897901</v>
      </c>
      <c r="K225" s="16" t="s">
        <v>377</v>
      </c>
    </row>
    <row r="226" spans="1:11">
      <c r="A226" s="16" t="s">
        <v>239</v>
      </c>
      <c r="B226" s="17">
        <v>3</v>
      </c>
      <c r="C226" s="18">
        <v>50</v>
      </c>
      <c r="D226" s="19">
        <v>51.239762717445</v>
      </c>
      <c r="E226" s="19">
        <v>75</v>
      </c>
      <c r="F226" s="19">
        <v>25</v>
      </c>
      <c r="G226" s="18">
        <v>23.8952427918824</v>
      </c>
      <c r="H226" s="19">
        <v>24.4877314146358</v>
      </c>
      <c r="I226" s="19">
        <v>58.3333333333333</v>
      </c>
      <c r="J226" s="19">
        <v>45.0942719678797</v>
      </c>
      <c r="K226" s="16" t="s">
        <v>377</v>
      </c>
    </row>
    <row r="227" spans="1:11">
      <c r="A227" s="16" t="s">
        <v>79</v>
      </c>
      <c r="B227" s="17">
        <v>3</v>
      </c>
      <c r="C227" s="18">
        <v>90</v>
      </c>
      <c r="D227" s="19">
        <v>94.5097198494516</v>
      </c>
      <c r="E227" s="19">
        <v>43.75</v>
      </c>
      <c r="F227" s="19">
        <v>6.25</v>
      </c>
      <c r="G227" s="18">
        <v>28.2926634498296</v>
      </c>
      <c r="H227" s="19">
        <v>29.7103521826468</v>
      </c>
      <c r="I227" s="19">
        <v>50</v>
      </c>
      <c r="J227" s="19">
        <v>45.0025496246844</v>
      </c>
      <c r="K227" s="16" t="s">
        <v>377</v>
      </c>
    </row>
    <row r="228" spans="1:11">
      <c r="A228" s="16" t="s">
        <v>305</v>
      </c>
      <c r="B228" s="17">
        <v>3</v>
      </c>
      <c r="C228" s="18">
        <v>60</v>
      </c>
      <c r="D228" s="19">
        <v>60.1297017792972</v>
      </c>
      <c r="E228" s="19">
        <v>75</v>
      </c>
      <c r="F228" s="19">
        <v>6.25</v>
      </c>
      <c r="G228" s="18">
        <v>27.484454820276</v>
      </c>
      <c r="H228" s="19">
        <v>27.5438678651627</v>
      </c>
      <c r="I228" s="19">
        <v>58.3333333333333</v>
      </c>
      <c r="J228" s="19">
        <v>44.9766007154083</v>
      </c>
      <c r="K228" s="16" t="s">
        <v>377</v>
      </c>
    </row>
    <row r="229" spans="1:11">
      <c r="A229" s="16" t="s">
        <v>177</v>
      </c>
      <c r="B229" s="17">
        <v>4</v>
      </c>
      <c r="C229" s="18">
        <v>50</v>
      </c>
      <c r="D229" s="19">
        <v>50.151025540393</v>
      </c>
      <c r="E229" s="19">
        <v>68.75</v>
      </c>
      <c r="F229" s="19">
        <v>6.25</v>
      </c>
      <c r="G229" s="18">
        <v>45.8939625663433</v>
      </c>
      <c r="H229" s="19">
        <v>46.0325857762905</v>
      </c>
      <c r="I229" s="19">
        <v>41.6666666666667</v>
      </c>
      <c r="J229" s="19">
        <v>44.7774808409658</v>
      </c>
      <c r="K229" s="16" t="s">
        <v>377</v>
      </c>
    </row>
    <row r="230" spans="1:11">
      <c r="A230" s="16" t="s">
        <v>300</v>
      </c>
      <c r="B230" s="17">
        <v>3</v>
      </c>
      <c r="C230" s="18">
        <v>60</v>
      </c>
      <c r="D230" s="19">
        <v>63</v>
      </c>
      <c r="E230" s="19">
        <v>75</v>
      </c>
      <c r="F230" s="19">
        <v>31.25</v>
      </c>
      <c r="G230" s="18">
        <v>19.7744350384061</v>
      </c>
      <c r="H230" s="19">
        <v>20.7652923962327</v>
      </c>
      <c r="I230" s="19">
        <v>41.6666666666667</v>
      </c>
      <c r="J230" s="19">
        <v>44.7670877188698</v>
      </c>
      <c r="K230" s="16" t="s">
        <v>377</v>
      </c>
    </row>
    <row r="231" spans="1:11">
      <c r="A231" s="16" t="s">
        <v>236</v>
      </c>
      <c r="B231" s="17">
        <v>3</v>
      </c>
      <c r="C231" s="18">
        <v>50</v>
      </c>
      <c r="D231" s="19">
        <v>54.9418956919655</v>
      </c>
      <c r="E231" s="19">
        <v>87.5</v>
      </c>
      <c r="F231" s="19">
        <v>25</v>
      </c>
      <c r="G231" s="18">
        <v>7.6672433813274</v>
      </c>
      <c r="H231" s="19">
        <v>8.42505772203606</v>
      </c>
      <c r="I231" s="19">
        <v>66.6666666666667</v>
      </c>
      <c r="J231" s="19">
        <v>44.7658964550039</v>
      </c>
      <c r="K231" s="16" t="s">
        <v>377</v>
      </c>
    </row>
    <row r="232" spans="1:11">
      <c r="A232" s="16" t="s">
        <v>296</v>
      </c>
      <c r="B232" s="17">
        <v>2</v>
      </c>
      <c r="C232" s="18">
        <v>30</v>
      </c>
      <c r="D232" s="19">
        <v>30.743857630467</v>
      </c>
      <c r="E232" s="19">
        <v>87.5</v>
      </c>
      <c r="F232" s="19">
        <v>25</v>
      </c>
      <c r="G232" s="18">
        <v>23.8952427918824</v>
      </c>
      <c r="H232" s="19">
        <v>24.4877314146358</v>
      </c>
      <c r="I232" s="19">
        <v>66.6666666666667</v>
      </c>
      <c r="J232" s="19">
        <v>44.7450909504841</v>
      </c>
      <c r="K232" s="16" t="s">
        <v>377</v>
      </c>
    </row>
    <row r="233" spans="1:11">
      <c r="A233" s="16" t="s">
        <v>303</v>
      </c>
      <c r="B233" s="17">
        <v>3</v>
      </c>
      <c r="C233" s="18">
        <v>80</v>
      </c>
      <c r="D233" s="19">
        <v>84.0086398661792</v>
      </c>
      <c r="E233" s="19">
        <v>75</v>
      </c>
      <c r="F233" s="19">
        <v>6.25</v>
      </c>
      <c r="G233" s="18">
        <v>14.2420803608814</v>
      </c>
      <c r="H233" s="19">
        <v>14.9557224997808</v>
      </c>
      <c r="I233" s="19">
        <v>50</v>
      </c>
      <c r="J233" s="19">
        <v>44.7259447231701</v>
      </c>
      <c r="K233" s="16" t="s">
        <v>377</v>
      </c>
    </row>
    <row r="234" spans="1:11">
      <c r="A234" s="16" t="s">
        <v>187</v>
      </c>
      <c r="B234" s="17">
        <v>4</v>
      </c>
      <c r="C234" s="18">
        <v>40</v>
      </c>
      <c r="D234" s="19">
        <v>40.6622315664584</v>
      </c>
      <c r="E234" s="19">
        <v>68.75</v>
      </c>
      <c r="F234" s="19">
        <v>0</v>
      </c>
      <c r="G234" s="18">
        <v>58.0324343681393</v>
      </c>
      <c r="H234" s="19">
        <v>58.9932071160645</v>
      </c>
      <c r="I234" s="19">
        <v>33.3333333333333</v>
      </c>
      <c r="J234" s="19">
        <v>44.580408448111</v>
      </c>
      <c r="K234" s="16" t="s">
        <v>377</v>
      </c>
    </row>
    <row r="235" spans="1:11">
      <c r="A235" s="16" t="s">
        <v>51</v>
      </c>
      <c r="B235" s="17">
        <v>3</v>
      </c>
      <c r="C235" s="18">
        <v>60</v>
      </c>
      <c r="D235" s="19">
        <v>60.7612992001404</v>
      </c>
      <c r="E235" s="19">
        <v>75</v>
      </c>
      <c r="F235" s="19">
        <v>6.25</v>
      </c>
      <c r="G235" s="18">
        <v>25.474087784994</v>
      </c>
      <c r="H235" s="19">
        <v>25.7973111625778</v>
      </c>
      <c r="I235" s="19">
        <v>58.3333333333333</v>
      </c>
      <c r="J235" s="19">
        <v>44.5789531888014</v>
      </c>
      <c r="K235" s="16" t="s">
        <v>377</v>
      </c>
    </row>
    <row r="236" spans="1:11">
      <c r="A236" s="16" t="s">
        <v>159</v>
      </c>
      <c r="B236" s="17">
        <v>2</v>
      </c>
      <c r="C236" s="18">
        <v>40</v>
      </c>
      <c r="D236" s="19">
        <v>40.5075328000936</v>
      </c>
      <c r="E236" s="19">
        <v>81.25</v>
      </c>
      <c r="F236" s="19">
        <v>12.5</v>
      </c>
      <c r="G236" s="18">
        <v>31.0663596611924</v>
      </c>
      <c r="H236" s="19">
        <v>31.4605395738813</v>
      </c>
      <c r="I236" s="19">
        <v>58.3333333333333</v>
      </c>
      <c r="J236" s="19">
        <v>44.4146684321831</v>
      </c>
      <c r="K236" s="16" t="s">
        <v>377</v>
      </c>
    </row>
    <row r="237" spans="1:11">
      <c r="A237" s="16" t="s">
        <v>315</v>
      </c>
      <c r="B237" s="17">
        <v>4</v>
      </c>
      <c r="C237" s="18">
        <v>40</v>
      </c>
      <c r="D237" s="19">
        <v>39.373111539463</v>
      </c>
      <c r="E237" s="19">
        <v>68.75</v>
      </c>
      <c r="F237" s="19">
        <v>25</v>
      </c>
      <c r="G237" s="18">
        <v>38.9696154936775</v>
      </c>
      <c r="H237" s="19">
        <v>38.3588754370637</v>
      </c>
      <c r="I237" s="19">
        <v>50</v>
      </c>
      <c r="J237" s="19">
        <v>44.3822849390117</v>
      </c>
      <c r="K237" s="16" t="s">
        <v>377</v>
      </c>
    </row>
    <row r="238" spans="1:11">
      <c r="A238" s="16" t="s">
        <v>95</v>
      </c>
      <c r="B238" s="17">
        <v>4</v>
      </c>
      <c r="C238" s="18">
        <v>60</v>
      </c>
      <c r="D238" s="19">
        <v>65.0305872908508</v>
      </c>
      <c r="E238" s="19">
        <v>81.25</v>
      </c>
      <c r="F238" s="19">
        <v>18.75</v>
      </c>
      <c r="G238" s="18">
        <v>21.2747292396598</v>
      </c>
      <c r="H238" s="19">
        <v>23.0584689484819</v>
      </c>
      <c r="I238" s="19">
        <v>33.3333333333333</v>
      </c>
      <c r="J238" s="19">
        <v>43.9861581427147</v>
      </c>
      <c r="K238" s="16" t="s">
        <v>377</v>
      </c>
    </row>
    <row r="239" spans="1:11">
      <c r="A239" s="16" t="s">
        <v>306</v>
      </c>
      <c r="B239" s="17">
        <v>3</v>
      </c>
      <c r="C239" s="18">
        <v>60</v>
      </c>
      <c r="D239" s="19">
        <v>65.0305872908508</v>
      </c>
      <c r="E239" s="19">
        <v>81.25</v>
      </c>
      <c r="F239" s="19">
        <v>6.25</v>
      </c>
      <c r="G239" s="18">
        <v>15.083285376726</v>
      </c>
      <c r="H239" s="19">
        <v>16.3479151053998</v>
      </c>
      <c r="I239" s="19">
        <v>58.3333333333333</v>
      </c>
      <c r="J239" s="19">
        <v>43.8479919897901</v>
      </c>
      <c r="K239" s="16" t="s">
        <v>377</v>
      </c>
    </row>
    <row r="240" spans="1:11">
      <c r="A240" s="16" t="s">
        <v>182</v>
      </c>
      <c r="B240" s="17">
        <v>3</v>
      </c>
      <c r="C240" s="18">
        <v>60</v>
      </c>
      <c r="D240" s="19">
        <v>65.9128053764142</v>
      </c>
      <c r="E240" s="19">
        <v>68.75</v>
      </c>
      <c r="F240" s="19">
        <v>12.5</v>
      </c>
      <c r="G240" s="18">
        <v>19.0041024535435</v>
      </c>
      <c r="H240" s="19">
        <v>20.8768951062308</v>
      </c>
      <c r="I240" s="19">
        <v>58.3333333333333</v>
      </c>
      <c r="J240" s="19">
        <v>43.8206296071521</v>
      </c>
      <c r="K240" s="16" t="s">
        <v>377</v>
      </c>
    </row>
    <row r="241" spans="1:11">
      <c r="A241" s="16" t="s">
        <v>91</v>
      </c>
      <c r="B241" s="17">
        <v>3</v>
      </c>
      <c r="C241" s="18">
        <v>50</v>
      </c>
      <c r="D241" s="19">
        <v>51.29655017676</v>
      </c>
      <c r="E241" s="19">
        <v>75</v>
      </c>
      <c r="F241" s="19">
        <v>25</v>
      </c>
      <c r="G241" s="18">
        <v>27.5378840739862</v>
      </c>
      <c r="H241" s="19">
        <v>28.2519690432607</v>
      </c>
      <c r="I241" s="19">
        <v>41.6666666666667</v>
      </c>
      <c r="J241" s="19">
        <v>43.7349007483302</v>
      </c>
      <c r="K241" s="16" t="s">
        <v>377</v>
      </c>
    </row>
    <row r="242" spans="1:11">
      <c r="A242" s="16" t="s">
        <v>165</v>
      </c>
      <c r="B242" s="17">
        <v>3</v>
      </c>
      <c r="C242" s="18">
        <v>70</v>
      </c>
      <c r="D242" s="19">
        <v>68.9029451940603</v>
      </c>
      <c r="E242" s="19">
        <v>75</v>
      </c>
      <c r="F242" s="19">
        <v>6.25</v>
      </c>
      <c r="G242" s="18">
        <v>38.9696154936775</v>
      </c>
      <c r="H242" s="19">
        <v>38.3588754370637</v>
      </c>
      <c r="I242" s="19">
        <v>16.6666666666667</v>
      </c>
      <c r="J242" s="19">
        <v>43.7257516699312</v>
      </c>
      <c r="K242" s="16" t="s">
        <v>377</v>
      </c>
    </row>
    <row r="243" spans="1:11">
      <c r="A243" s="16" t="s">
        <v>279</v>
      </c>
      <c r="B243" s="17">
        <v>2</v>
      </c>
      <c r="C243" s="18">
        <v>40</v>
      </c>
      <c r="D243" s="19">
        <v>41.2994379651868</v>
      </c>
      <c r="E243" s="19">
        <v>81.25</v>
      </c>
      <c r="F243" s="19">
        <v>18.75</v>
      </c>
      <c r="G243" s="18">
        <v>28.6434175552565</v>
      </c>
      <c r="H243" s="19">
        <v>29.5739261608565</v>
      </c>
      <c r="I243" s="19">
        <v>50</v>
      </c>
      <c r="J243" s="19">
        <v>43.6945654412943</v>
      </c>
      <c r="K243" s="16" t="s">
        <v>377</v>
      </c>
    </row>
    <row r="244" spans="1:11">
      <c r="A244" s="22" t="s">
        <v>311</v>
      </c>
      <c r="B244" s="23">
        <v>4</v>
      </c>
      <c r="C244" s="24">
        <v>60</v>
      </c>
      <c r="D244" s="25">
        <v>64.6890708297984</v>
      </c>
      <c r="E244" s="25">
        <v>81.25</v>
      </c>
      <c r="F244" s="25">
        <v>18.75</v>
      </c>
      <c r="G244" s="24">
        <v>16.6470940241916</v>
      </c>
      <c r="H244" s="25">
        <v>17.9480840740207</v>
      </c>
      <c r="I244" s="25">
        <v>41.6666666666667</v>
      </c>
      <c r="J244" s="25">
        <v>43.6347393881659</v>
      </c>
      <c r="K244" s="22" t="s">
        <v>377</v>
      </c>
    </row>
    <row r="245" spans="1:11">
      <c r="A245" s="26" t="s">
        <v>43</v>
      </c>
      <c r="B245" s="27">
        <v>4</v>
      </c>
      <c r="C245" s="28">
        <v>40</v>
      </c>
      <c r="D245" s="29">
        <v>41.037240141408</v>
      </c>
      <c r="E245" s="29">
        <v>75</v>
      </c>
      <c r="F245" s="29">
        <v>18.75</v>
      </c>
      <c r="G245" s="28">
        <v>27.5378840739862</v>
      </c>
      <c r="H245" s="29">
        <v>28.2519690432607</v>
      </c>
      <c r="I245" s="29">
        <v>58.3333333333333</v>
      </c>
      <c r="J245" s="29">
        <v>43.2455387412598</v>
      </c>
      <c r="K245" s="26" t="s">
        <v>378</v>
      </c>
    </row>
    <row r="246" spans="1:11">
      <c r="A246" s="26" t="s">
        <v>167</v>
      </c>
      <c r="B246" s="27">
        <v>4</v>
      </c>
      <c r="C246" s="28">
        <v>50</v>
      </c>
      <c r="D246" s="29">
        <v>45.9856142251176</v>
      </c>
      <c r="E246" s="29">
        <v>68.75</v>
      </c>
      <c r="F246" s="29">
        <v>6.25</v>
      </c>
      <c r="G246" s="28">
        <v>51.3132319729688</v>
      </c>
      <c r="H246" s="29">
        <v>47.1934098030582</v>
      </c>
      <c r="I246" s="29">
        <v>33.3333333333333</v>
      </c>
      <c r="J246" s="29">
        <v>43.042645785941</v>
      </c>
      <c r="K246" s="26" t="s">
        <v>378</v>
      </c>
    </row>
    <row r="247" spans="1:11">
      <c r="A247" s="26" t="s">
        <v>77</v>
      </c>
      <c r="B247" s="27">
        <v>4</v>
      </c>
      <c r="C247" s="28">
        <v>60</v>
      </c>
      <c r="D247" s="29">
        <v>62.6187577169514</v>
      </c>
      <c r="E247" s="29">
        <v>68.75</v>
      </c>
      <c r="F247" s="29">
        <v>6.25</v>
      </c>
      <c r="G247" s="28">
        <v>26.4706459076124</v>
      </c>
      <c r="H247" s="29">
        <v>27.6259827116665</v>
      </c>
      <c r="I247" s="29">
        <v>50</v>
      </c>
      <c r="J247" s="29">
        <v>42.9990463568902</v>
      </c>
      <c r="K247" s="26" t="s">
        <v>378</v>
      </c>
    </row>
    <row r="248" spans="1:11">
      <c r="A248" s="26" t="s">
        <v>175</v>
      </c>
      <c r="B248" s="27">
        <v>3</v>
      </c>
      <c r="C248" s="28">
        <v>20</v>
      </c>
      <c r="D248" s="29">
        <v>20.7996324693608</v>
      </c>
      <c r="E248" s="29">
        <v>81.25</v>
      </c>
      <c r="F248" s="29">
        <v>25</v>
      </c>
      <c r="G248" s="28">
        <v>31.988279017378</v>
      </c>
      <c r="H248" s="29">
        <v>33.2672223444414</v>
      </c>
      <c r="I248" s="29">
        <v>58.3333333333333</v>
      </c>
      <c r="J248" s="29">
        <v>42.8900931972046</v>
      </c>
      <c r="K248" s="26" t="s">
        <v>378</v>
      </c>
    </row>
    <row r="249" spans="1:11">
      <c r="A249" s="26" t="s">
        <v>251</v>
      </c>
      <c r="B249" s="27">
        <v>3</v>
      </c>
      <c r="C249" s="28">
        <v>40</v>
      </c>
      <c r="D249" s="29">
        <v>41.7458384779676</v>
      </c>
      <c r="E249" s="29">
        <v>75</v>
      </c>
      <c r="F249" s="29">
        <v>25</v>
      </c>
      <c r="G249" s="28">
        <v>22.4761659960421</v>
      </c>
      <c r="H249" s="29">
        <v>23.4571598818691</v>
      </c>
      <c r="I249" s="29">
        <v>58.3333333333333</v>
      </c>
      <c r="J249" s="29">
        <v>42.8863156601543</v>
      </c>
      <c r="K249" s="26" t="s">
        <v>378</v>
      </c>
    </row>
    <row r="250" spans="1:11">
      <c r="A250" s="26" t="s">
        <v>146</v>
      </c>
      <c r="B250" s="27">
        <v>4</v>
      </c>
      <c r="C250" s="28">
        <v>70</v>
      </c>
      <c r="D250" s="29">
        <v>75.8690185059926</v>
      </c>
      <c r="E250" s="29">
        <v>68.75</v>
      </c>
      <c r="F250" s="29">
        <v>12.5</v>
      </c>
      <c r="G250" s="28">
        <v>21.2747292396598</v>
      </c>
      <c r="H250" s="29">
        <v>23.0584689484819</v>
      </c>
      <c r="I250" s="29">
        <v>33.3333333333333</v>
      </c>
      <c r="J250" s="29">
        <v>42.7163443857431</v>
      </c>
      <c r="K250" s="26" t="s">
        <v>378</v>
      </c>
    </row>
    <row r="251" spans="1:11">
      <c r="A251" s="26" t="s">
        <v>93</v>
      </c>
      <c r="B251" s="27">
        <v>4</v>
      </c>
      <c r="C251" s="28">
        <v>20</v>
      </c>
      <c r="D251" s="29">
        <v>17.9942892493534</v>
      </c>
      <c r="E251" s="29">
        <v>75</v>
      </c>
      <c r="F251" s="29">
        <v>25</v>
      </c>
      <c r="G251" s="28">
        <v>46.6005704194256</v>
      </c>
      <c r="H251" s="29">
        <v>41.9272071656003</v>
      </c>
      <c r="I251" s="29">
        <v>50</v>
      </c>
      <c r="J251" s="29">
        <v>42.4270199995508</v>
      </c>
      <c r="K251" s="26" t="s">
        <v>378</v>
      </c>
    </row>
    <row r="252" spans="1:11">
      <c r="A252" s="26" t="s">
        <v>249</v>
      </c>
      <c r="B252" s="27">
        <v>4</v>
      </c>
      <c r="C252" s="28">
        <v>60</v>
      </c>
      <c r="D252" s="29">
        <v>65.0305872908508</v>
      </c>
      <c r="E252" s="29">
        <v>68.75</v>
      </c>
      <c r="F252" s="29">
        <v>12.5</v>
      </c>
      <c r="G252" s="28">
        <v>15.083285376726</v>
      </c>
      <c r="H252" s="29">
        <v>16.3479151053998</v>
      </c>
      <c r="I252" s="29">
        <v>58.3333333333333</v>
      </c>
      <c r="J252" s="29">
        <v>42.2854919897901</v>
      </c>
      <c r="K252" s="26" t="s">
        <v>378</v>
      </c>
    </row>
    <row r="253" spans="1:11">
      <c r="A253" s="26" t="s">
        <v>261</v>
      </c>
      <c r="B253" s="27">
        <v>3</v>
      </c>
      <c r="C253" s="28">
        <v>70</v>
      </c>
      <c r="D253" s="29">
        <v>60.8236053824685</v>
      </c>
      <c r="E253" s="29">
        <v>62.5</v>
      </c>
      <c r="F253" s="29">
        <v>12.5</v>
      </c>
      <c r="G253" s="28">
        <v>49.7336392320874</v>
      </c>
      <c r="H253" s="29">
        <v>43.2139892412363</v>
      </c>
      <c r="I253" s="29">
        <v>16.6666666666667</v>
      </c>
      <c r="J253" s="29">
        <v>42.0039178488646</v>
      </c>
      <c r="K253" s="26" t="s">
        <v>378</v>
      </c>
    </row>
    <row r="254" spans="1:11">
      <c r="A254" s="26" t="s">
        <v>223</v>
      </c>
      <c r="B254" s="27">
        <v>4</v>
      </c>
      <c r="C254" s="28">
        <v>60</v>
      </c>
      <c r="D254" s="29">
        <v>65.0305872908508</v>
      </c>
      <c r="E254" s="29">
        <v>68.75</v>
      </c>
      <c r="F254" s="29">
        <v>18.75</v>
      </c>
      <c r="G254" s="28">
        <v>15.083285376726</v>
      </c>
      <c r="H254" s="29">
        <v>16.3479151053998</v>
      </c>
      <c r="I254" s="29">
        <v>50</v>
      </c>
      <c r="J254" s="29">
        <v>41.9729919897901</v>
      </c>
      <c r="K254" s="26" t="s">
        <v>378</v>
      </c>
    </row>
    <row r="255" spans="1:11">
      <c r="A255" s="26" t="s">
        <v>320</v>
      </c>
      <c r="B255" s="27">
        <v>3</v>
      </c>
      <c r="C255" s="28">
        <v>30</v>
      </c>
      <c r="D255" s="29">
        <v>30.1290950113674</v>
      </c>
      <c r="E255" s="29">
        <v>75</v>
      </c>
      <c r="F255" s="29">
        <v>6.25</v>
      </c>
      <c r="G255" s="28">
        <v>45.0974858144013</v>
      </c>
      <c r="H255" s="29">
        <v>45.2915478291963</v>
      </c>
      <c r="I255" s="29">
        <v>41.6666666666667</v>
      </c>
      <c r="J255" s="29">
        <v>41.8007833510324</v>
      </c>
      <c r="K255" s="26" t="s">
        <v>378</v>
      </c>
    </row>
    <row r="256" spans="1:11">
      <c r="A256" s="26" t="s">
        <v>325</v>
      </c>
      <c r="B256" s="27">
        <v>3</v>
      </c>
      <c r="C256" s="28">
        <v>50</v>
      </c>
      <c r="D256" s="29">
        <v>51.6242974564835</v>
      </c>
      <c r="E256" s="29">
        <v>75</v>
      </c>
      <c r="F256" s="29">
        <v>0</v>
      </c>
      <c r="G256" s="28">
        <v>28.443693559678</v>
      </c>
      <c r="H256" s="29">
        <v>29.3677139417176</v>
      </c>
      <c r="I256" s="29">
        <v>50</v>
      </c>
      <c r="J256" s="29">
        <v>41.635173673812</v>
      </c>
      <c r="K256" s="26" t="s">
        <v>378</v>
      </c>
    </row>
    <row r="257" spans="1:11">
      <c r="A257" s="26" t="s">
        <v>319</v>
      </c>
      <c r="B257" s="27">
        <v>2</v>
      </c>
      <c r="C257" s="28">
        <v>50</v>
      </c>
      <c r="D257" s="29">
        <v>53.6518369917785</v>
      </c>
      <c r="E257" s="29">
        <v>81.25</v>
      </c>
      <c r="F257" s="29">
        <v>12.5</v>
      </c>
      <c r="G257" s="28">
        <v>16.3778790012155</v>
      </c>
      <c r="H257" s="29">
        <v>17.5740658888857</v>
      </c>
      <c r="I257" s="29">
        <v>50</v>
      </c>
      <c r="J257" s="29">
        <v>41.6275871650214</v>
      </c>
      <c r="K257" s="26" t="s">
        <v>378</v>
      </c>
    </row>
    <row r="258" spans="1:11">
      <c r="A258" s="26" t="s">
        <v>63</v>
      </c>
      <c r="B258" s="27">
        <v>3</v>
      </c>
      <c r="C258" s="28">
        <v>60</v>
      </c>
      <c r="D258" s="29">
        <v>59.1150416249804</v>
      </c>
      <c r="E258" s="29">
        <v>68.75</v>
      </c>
      <c r="F258" s="29">
        <v>12.5</v>
      </c>
      <c r="G258" s="28">
        <v>29.9769910463732</v>
      </c>
      <c r="H258" s="29">
        <v>29.5348512249669</v>
      </c>
      <c r="I258" s="29">
        <v>33.3333333333333</v>
      </c>
      <c r="J258" s="29">
        <v>41.3084636924861</v>
      </c>
      <c r="K258" s="26" t="s">
        <v>378</v>
      </c>
    </row>
    <row r="259" spans="1:11">
      <c r="A259" s="26" t="s">
        <v>81</v>
      </c>
      <c r="B259" s="27">
        <v>4</v>
      </c>
      <c r="C259" s="28">
        <v>40</v>
      </c>
      <c r="D259" s="29">
        <v>40.5075328000936</v>
      </c>
      <c r="E259" s="29">
        <v>75</v>
      </c>
      <c r="F259" s="29">
        <v>0</v>
      </c>
      <c r="G259" s="28">
        <v>31.0663596611924</v>
      </c>
      <c r="H259" s="29">
        <v>31.4605395738813</v>
      </c>
      <c r="I259" s="29">
        <v>58.3333333333333</v>
      </c>
      <c r="J259" s="29">
        <v>41.2896684321831</v>
      </c>
      <c r="K259" s="26" t="s">
        <v>378</v>
      </c>
    </row>
    <row r="260" spans="1:11">
      <c r="A260" s="26" t="s">
        <v>125</v>
      </c>
      <c r="B260" s="27">
        <v>4</v>
      </c>
      <c r="C260" s="28">
        <v>60</v>
      </c>
      <c r="D260" s="29">
        <v>60.7612992001404</v>
      </c>
      <c r="E260" s="29">
        <v>75</v>
      </c>
      <c r="F260" s="29">
        <v>6.25</v>
      </c>
      <c r="G260" s="28">
        <v>31.0663596611924</v>
      </c>
      <c r="H260" s="29">
        <v>31.4605395738813</v>
      </c>
      <c r="I260" s="29">
        <v>25</v>
      </c>
      <c r="J260" s="29">
        <v>41.2779217121925</v>
      </c>
      <c r="K260" s="26" t="s">
        <v>378</v>
      </c>
    </row>
    <row r="261" spans="1:11">
      <c r="A261" s="26" t="s">
        <v>248</v>
      </c>
      <c r="B261" s="27">
        <v>3</v>
      </c>
      <c r="C261" s="28">
        <v>60</v>
      </c>
      <c r="D261" s="29">
        <v>60.6620326132176</v>
      </c>
      <c r="E261" s="29">
        <v>68.75</v>
      </c>
      <c r="F261" s="29">
        <v>12.5</v>
      </c>
      <c r="G261" s="28">
        <v>31.875344936049</v>
      </c>
      <c r="H261" s="29">
        <v>32.2270535678027</v>
      </c>
      <c r="I261" s="29">
        <v>25</v>
      </c>
      <c r="J261" s="29">
        <v>41.1755225929843</v>
      </c>
      <c r="K261" s="26" t="s">
        <v>378</v>
      </c>
    </row>
    <row r="262" spans="1:11">
      <c r="A262" s="26" t="s">
        <v>88</v>
      </c>
      <c r="B262" s="27">
        <v>2</v>
      </c>
      <c r="C262" s="28">
        <v>50</v>
      </c>
      <c r="D262" s="29">
        <v>53.6518369917785</v>
      </c>
      <c r="E262" s="29">
        <v>81.25</v>
      </c>
      <c r="F262" s="29">
        <v>6.25</v>
      </c>
      <c r="G262" s="28">
        <v>16.3778790012155</v>
      </c>
      <c r="H262" s="29">
        <v>17.5740658888857</v>
      </c>
      <c r="I262" s="29">
        <v>50</v>
      </c>
      <c r="J262" s="29">
        <v>40.6900871650214</v>
      </c>
      <c r="K262" s="26" t="s">
        <v>378</v>
      </c>
    </row>
    <row r="263" spans="1:11">
      <c r="A263" s="26" t="s">
        <v>256</v>
      </c>
      <c r="B263" s="27">
        <v>4</v>
      </c>
      <c r="C263" s="28">
        <v>50</v>
      </c>
      <c r="D263" s="29">
        <v>45.6200629955084</v>
      </c>
      <c r="E263" s="29">
        <v>68.75</v>
      </c>
      <c r="F263" s="29">
        <v>6.25</v>
      </c>
      <c r="G263" s="28">
        <v>42.2560580517745</v>
      </c>
      <c r="H263" s="29">
        <v>38.5544806052762</v>
      </c>
      <c r="I263" s="29">
        <v>33.3333333333333</v>
      </c>
      <c r="J263" s="29">
        <v>40.3778567806845</v>
      </c>
      <c r="K263" s="26" t="s">
        <v>378</v>
      </c>
    </row>
    <row r="264" spans="1:11">
      <c r="A264" s="26" t="s">
        <v>40</v>
      </c>
      <c r="B264" s="27">
        <v>4</v>
      </c>
      <c r="C264" s="28">
        <v>30</v>
      </c>
      <c r="D264" s="29">
        <v>26.7128968930269</v>
      </c>
      <c r="E264" s="29">
        <v>62.5</v>
      </c>
      <c r="F264" s="29">
        <v>12.5</v>
      </c>
      <c r="G264" s="28">
        <v>53.726084786362</v>
      </c>
      <c r="H264" s="29">
        <v>47.8393121121369</v>
      </c>
      <c r="I264" s="29">
        <v>41.6666666666667</v>
      </c>
      <c r="J264" s="29">
        <v>40.3193730122465</v>
      </c>
      <c r="K264" s="26" t="s">
        <v>378</v>
      </c>
    </row>
    <row r="265" spans="1:11">
      <c r="A265" s="26" t="s">
        <v>323</v>
      </c>
      <c r="B265" s="27">
        <v>3</v>
      </c>
      <c r="C265" s="28">
        <v>50</v>
      </c>
      <c r="D265" s="29">
        <v>49.2625346874837</v>
      </c>
      <c r="E265" s="29">
        <v>62.5</v>
      </c>
      <c r="F265" s="29">
        <v>18.75</v>
      </c>
      <c r="G265" s="28">
        <v>29.9769910463732</v>
      </c>
      <c r="H265" s="29">
        <v>29.5348512249669</v>
      </c>
      <c r="I265" s="29">
        <v>41.6666666666667</v>
      </c>
      <c r="J265" s="29">
        <v>40.2754623049868</v>
      </c>
      <c r="K265" s="26" t="s">
        <v>378</v>
      </c>
    </row>
    <row r="266" spans="1:11">
      <c r="A266" s="26" t="s">
        <v>245</v>
      </c>
      <c r="B266" s="27">
        <v>3</v>
      </c>
      <c r="C266" s="28">
        <v>60</v>
      </c>
      <c r="D266" s="29">
        <v>63.6717027225966</v>
      </c>
      <c r="E266" s="29">
        <v>68.75</v>
      </c>
      <c r="F266" s="29">
        <v>6.25</v>
      </c>
      <c r="G266" s="28">
        <v>18.755017918846</v>
      </c>
      <c r="H266" s="29">
        <v>19.9027320914289</v>
      </c>
      <c r="I266" s="29">
        <v>41.6666666666667</v>
      </c>
      <c r="J266" s="29">
        <v>39.642660171948</v>
      </c>
      <c r="K266" s="26" t="s">
        <v>378</v>
      </c>
    </row>
    <row r="267" spans="1:11">
      <c r="A267" s="26" t="s">
        <v>209</v>
      </c>
      <c r="B267" s="27">
        <v>3</v>
      </c>
      <c r="C267" s="28">
        <v>50</v>
      </c>
      <c r="D267" s="29">
        <v>53.6518369917785</v>
      </c>
      <c r="E267" s="29">
        <v>75</v>
      </c>
      <c r="F267" s="29">
        <v>6.25</v>
      </c>
      <c r="G267" s="28">
        <v>16.3778790012155</v>
      </c>
      <c r="H267" s="29">
        <v>17.5740658888857</v>
      </c>
      <c r="I267" s="29">
        <v>50</v>
      </c>
      <c r="J267" s="29">
        <v>39.4400871650214</v>
      </c>
      <c r="K267" s="26" t="s">
        <v>378</v>
      </c>
    </row>
    <row r="268" spans="1:11">
      <c r="A268" s="26" t="s">
        <v>273</v>
      </c>
      <c r="B268" s="27">
        <v>3</v>
      </c>
      <c r="C268" s="28">
        <v>60</v>
      </c>
      <c r="D268" s="29">
        <v>64.3822043901342</v>
      </c>
      <c r="E268" s="29">
        <v>62.5</v>
      </c>
      <c r="F268" s="29">
        <v>0</v>
      </c>
      <c r="G268" s="28">
        <v>16.3778790012155</v>
      </c>
      <c r="H268" s="29">
        <v>17.5740658888857</v>
      </c>
      <c r="I268" s="29">
        <v>58.3333333333333</v>
      </c>
      <c r="J268" s="29">
        <v>39.3986606446925</v>
      </c>
      <c r="K268" s="26" t="s">
        <v>378</v>
      </c>
    </row>
    <row r="269" spans="1:11">
      <c r="A269" s="26" t="s">
        <v>307</v>
      </c>
      <c r="B269" s="27">
        <v>2</v>
      </c>
      <c r="C269" s="28">
        <v>50</v>
      </c>
      <c r="D269" s="29">
        <v>46.9939537687564</v>
      </c>
      <c r="E269" s="29">
        <v>68.75</v>
      </c>
      <c r="F269" s="29">
        <v>12.5</v>
      </c>
      <c r="G269" s="28">
        <v>33.0999980644709</v>
      </c>
      <c r="H269" s="29">
        <v>31.1099955757534</v>
      </c>
      <c r="I269" s="29">
        <v>33.3333333333333</v>
      </c>
      <c r="J269" s="29">
        <v>39.3567894264773</v>
      </c>
      <c r="K269" s="26" t="s">
        <v>378</v>
      </c>
    </row>
    <row r="270" spans="1:11">
      <c r="A270" s="26" t="s">
        <v>329</v>
      </c>
      <c r="B270" s="27">
        <v>2</v>
      </c>
      <c r="C270" s="28">
        <v>50</v>
      </c>
      <c r="D270" s="29">
        <v>49.2625346874837</v>
      </c>
      <c r="E270" s="29">
        <v>68.75</v>
      </c>
      <c r="F270" s="29">
        <v>12.5</v>
      </c>
      <c r="G270" s="28">
        <v>29.9769910463732</v>
      </c>
      <c r="H270" s="29">
        <v>29.5348512249669</v>
      </c>
      <c r="I270" s="29">
        <v>33.3333333333333</v>
      </c>
      <c r="J270" s="29">
        <v>39.3379623049868</v>
      </c>
      <c r="K270" s="26" t="s">
        <v>378</v>
      </c>
    </row>
    <row r="271" spans="1:11">
      <c r="A271" s="26" t="s">
        <v>143</v>
      </c>
      <c r="B271" s="27">
        <v>4</v>
      </c>
      <c r="C271" s="28">
        <v>50</v>
      </c>
      <c r="D271" s="29">
        <v>51.029947647262</v>
      </c>
      <c r="E271" s="29">
        <v>68.75</v>
      </c>
      <c r="F271" s="29">
        <v>6.25</v>
      </c>
      <c r="G271" s="28">
        <v>34.5373097821182</v>
      </c>
      <c r="H271" s="29">
        <v>35.2487422011753</v>
      </c>
      <c r="I271" s="29">
        <v>25</v>
      </c>
      <c r="J271" s="29">
        <v>39.218112189805</v>
      </c>
      <c r="K271" s="26" t="s">
        <v>378</v>
      </c>
    </row>
    <row r="272" spans="1:11">
      <c r="A272" s="26" t="s">
        <v>295</v>
      </c>
      <c r="B272" s="27">
        <v>3</v>
      </c>
      <c r="C272" s="28">
        <v>80</v>
      </c>
      <c r="D272" s="29">
        <v>79.5080557330265</v>
      </c>
      <c r="E272" s="29">
        <v>62.5</v>
      </c>
      <c r="F272" s="29">
        <v>0</v>
      </c>
      <c r="G272" s="28">
        <v>31.5767898703184</v>
      </c>
      <c r="H272" s="29">
        <v>31.3826146109917</v>
      </c>
      <c r="I272" s="29">
        <v>8.33333333333333</v>
      </c>
      <c r="J272" s="29">
        <v>39.0663955299028</v>
      </c>
      <c r="K272" s="26" t="s">
        <v>378</v>
      </c>
    </row>
    <row r="273" spans="1:11">
      <c r="A273" s="26" t="s">
        <v>324</v>
      </c>
      <c r="B273" s="27">
        <v>3</v>
      </c>
      <c r="C273" s="28">
        <v>60</v>
      </c>
      <c r="D273" s="29">
        <v>62.8611950709792</v>
      </c>
      <c r="E273" s="29">
        <v>62.5</v>
      </c>
      <c r="F273" s="29">
        <v>6.25</v>
      </c>
      <c r="G273" s="28">
        <v>20.7902068136212</v>
      </c>
      <c r="H273" s="29">
        <v>21.7816207679507</v>
      </c>
      <c r="I273" s="29">
        <v>41.6666666666667</v>
      </c>
      <c r="J273" s="29">
        <v>38.794225244581</v>
      </c>
      <c r="K273" s="26" t="s">
        <v>378</v>
      </c>
    </row>
    <row r="274" spans="1:11">
      <c r="A274" s="26" t="s">
        <v>322</v>
      </c>
      <c r="B274" s="27">
        <v>2</v>
      </c>
      <c r="C274" s="28">
        <v>60</v>
      </c>
      <c r="D274" s="29">
        <v>64.0728163135476</v>
      </c>
      <c r="E274" s="29">
        <v>62.5</v>
      </c>
      <c r="F274" s="29">
        <v>0</v>
      </c>
      <c r="G274" s="28">
        <v>21.4008453964427</v>
      </c>
      <c r="H274" s="29">
        <v>22.8535406006818</v>
      </c>
      <c r="I274" s="29">
        <v>41.6666666666667</v>
      </c>
      <c r="J274" s="29">
        <v>38.4206254429141</v>
      </c>
      <c r="K274" s="26" t="s">
        <v>378</v>
      </c>
    </row>
    <row r="275" spans="1:11">
      <c r="A275" s="26" t="s">
        <v>181</v>
      </c>
      <c r="B275" s="27">
        <v>3</v>
      </c>
      <c r="C275" s="28">
        <v>70</v>
      </c>
      <c r="D275" s="29">
        <v>70.7723713820872</v>
      </c>
      <c r="E275" s="29">
        <v>43.75</v>
      </c>
      <c r="F275" s="29">
        <v>6.25</v>
      </c>
      <c r="G275" s="28">
        <v>34.5716188763588</v>
      </c>
      <c r="H275" s="29">
        <v>34.9530778628235</v>
      </c>
      <c r="I275" s="29">
        <v>25</v>
      </c>
      <c r="J275" s="29">
        <v>38.0778976352645</v>
      </c>
      <c r="K275" s="26" t="s">
        <v>378</v>
      </c>
    </row>
    <row r="276" spans="1:11">
      <c r="A276" s="26" t="s">
        <v>298</v>
      </c>
      <c r="B276" s="27">
        <v>3</v>
      </c>
      <c r="C276" s="28">
        <v>40</v>
      </c>
      <c r="D276" s="29">
        <v>42.9884224404236</v>
      </c>
      <c r="E276" s="29">
        <v>68.75</v>
      </c>
      <c r="F276" s="29">
        <v>6.25</v>
      </c>
      <c r="G276" s="28">
        <v>22.0968415940133</v>
      </c>
      <c r="H276" s="29">
        <v>23.7477090260642</v>
      </c>
      <c r="I276" s="29">
        <v>50</v>
      </c>
      <c r="J276" s="29">
        <v>37.909497195904</v>
      </c>
      <c r="K276" s="26" t="s">
        <v>378</v>
      </c>
    </row>
    <row r="277" spans="1:11">
      <c r="A277" s="26" t="s">
        <v>285</v>
      </c>
      <c r="B277" s="27">
        <v>2</v>
      </c>
      <c r="C277" s="28">
        <v>50</v>
      </c>
      <c r="D277" s="29">
        <v>49.7811869416381</v>
      </c>
      <c r="E277" s="29">
        <v>68.75</v>
      </c>
      <c r="F277" s="29">
        <v>6.25</v>
      </c>
      <c r="G277" s="28">
        <v>31.1672525866187</v>
      </c>
      <c r="H277" s="29">
        <v>31.0308565494344</v>
      </c>
      <c r="I277" s="29">
        <v>25</v>
      </c>
      <c r="J277" s="29">
        <v>37.7029943531579</v>
      </c>
      <c r="K277" s="26" t="s">
        <v>378</v>
      </c>
    </row>
    <row r="278" spans="1:11">
      <c r="A278" s="26" t="s">
        <v>327</v>
      </c>
      <c r="B278" s="27">
        <v>2</v>
      </c>
      <c r="C278" s="28">
        <v>60</v>
      </c>
      <c r="D278" s="29">
        <v>64.3822043901342</v>
      </c>
      <c r="E278" s="29">
        <v>62.5</v>
      </c>
      <c r="F278" s="29">
        <v>6.25</v>
      </c>
      <c r="G278" s="28">
        <v>17.4763609768973</v>
      </c>
      <c r="H278" s="29">
        <v>18.7527774068395</v>
      </c>
      <c r="I278" s="29">
        <v>33.3333333333333</v>
      </c>
      <c r="J278" s="29">
        <v>36.9397741000787</v>
      </c>
      <c r="K278" s="26" t="s">
        <v>378</v>
      </c>
    </row>
    <row r="279" spans="1:11">
      <c r="A279" s="26" t="s">
        <v>312</v>
      </c>
      <c r="B279" s="27">
        <v>3</v>
      </c>
      <c r="C279" s="28">
        <v>40</v>
      </c>
      <c r="D279" s="29">
        <v>36.66768972126</v>
      </c>
      <c r="E279" s="29">
        <v>56.25</v>
      </c>
      <c r="F279" s="29">
        <v>6.25</v>
      </c>
      <c r="G279" s="28">
        <v>58.166390437211</v>
      </c>
      <c r="H279" s="29">
        <v>53.320678918933</v>
      </c>
      <c r="I279" s="29">
        <v>8.33333333333333</v>
      </c>
      <c r="J279" s="29">
        <v>36.7672416199319</v>
      </c>
      <c r="K279" s="26" t="s">
        <v>378</v>
      </c>
    </row>
    <row r="280" spans="1:11">
      <c r="A280" s="26" t="s">
        <v>331</v>
      </c>
      <c r="B280" s="27">
        <v>3</v>
      </c>
      <c r="C280" s="28">
        <v>40</v>
      </c>
      <c r="D280" s="29">
        <v>40.52</v>
      </c>
      <c r="E280" s="29">
        <v>75</v>
      </c>
      <c r="F280" s="29">
        <v>0</v>
      </c>
      <c r="G280" s="28">
        <v>31.0663596611924</v>
      </c>
      <c r="H280" s="29">
        <v>31.4605395738813</v>
      </c>
      <c r="I280" s="29">
        <v>25</v>
      </c>
      <c r="J280" s="29">
        <v>36.2921618721644</v>
      </c>
      <c r="K280" s="26" t="s">
        <v>378</v>
      </c>
    </row>
    <row r="281" spans="1:11">
      <c r="A281" s="26" t="s">
        <v>328</v>
      </c>
      <c r="B281" s="27">
        <v>4</v>
      </c>
      <c r="C281" s="28">
        <v>50</v>
      </c>
      <c r="D281" s="29">
        <v>49.2625346874837</v>
      </c>
      <c r="E281" s="29">
        <v>68.75</v>
      </c>
      <c r="F281" s="29">
        <v>0</v>
      </c>
      <c r="G281" s="28">
        <v>29.9769910463732</v>
      </c>
      <c r="H281" s="29">
        <v>29.5348512249669</v>
      </c>
      <c r="I281" s="29">
        <v>25</v>
      </c>
      <c r="J281" s="29">
        <v>36.2129623049868</v>
      </c>
      <c r="K281" s="26" t="s">
        <v>378</v>
      </c>
    </row>
    <row r="282" spans="1:11">
      <c r="A282" s="26" t="s">
        <v>198</v>
      </c>
      <c r="B282" s="27">
        <v>2</v>
      </c>
      <c r="C282" s="28">
        <v>60</v>
      </c>
      <c r="D282" s="29">
        <v>58.3785397617115</v>
      </c>
      <c r="E282" s="29">
        <v>56.25</v>
      </c>
      <c r="F282" s="29">
        <v>0</v>
      </c>
      <c r="G282" s="28">
        <v>33.7374653661027</v>
      </c>
      <c r="H282" s="29">
        <v>32.8257327222399</v>
      </c>
      <c r="I282" s="29">
        <v>16.6666666666667</v>
      </c>
      <c r="J282" s="29">
        <v>35.2734277690143</v>
      </c>
      <c r="K282" s="26" t="s">
        <v>378</v>
      </c>
    </row>
    <row r="283" spans="1:11">
      <c r="A283" s="26" t="s">
        <v>332</v>
      </c>
      <c r="B283" s="27">
        <v>4</v>
      </c>
      <c r="C283" s="28">
        <v>40</v>
      </c>
      <c r="D283" s="29">
        <v>40.5075328000936</v>
      </c>
      <c r="E283" s="29">
        <v>62.5</v>
      </c>
      <c r="F283" s="29">
        <v>0</v>
      </c>
      <c r="G283" s="28">
        <v>31.0663596611924</v>
      </c>
      <c r="H283" s="29">
        <v>31.4605395738813</v>
      </c>
      <c r="I283" s="29">
        <v>33.3333333333333</v>
      </c>
      <c r="J283" s="29">
        <v>35.0396684321831</v>
      </c>
      <c r="K283" s="26" t="s">
        <v>378</v>
      </c>
    </row>
    <row r="284" spans="1:11">
      <c r="A284" s="26" t="s">
        <v>292</v>
      </c>
      <c r="B284" s="27">
        <v>3</v>
      </c>
      <c r="C284" s="28">
        <v>80</v>
      </c>
      <c r="D284" s="29">
        <v>75.1460100744582</v>
      </c>
      <c r="E284" s="29">
        <v>43.75</v>
      </c>
      <c r="F284" s="29">
        <v>0</v>
      </c>
      <c r="G284" s="28">
        <v>36.0484493223896</v>
      </c>
      <c r="H284" s="29">
        <v>33.861214199361</v>
      </c>
      <c r="I284" s="29">
        <v>0</v>
      </c>
      <c r="J284" s="29">
        <v>33.9375662746999</v>
      </c>
      <c r="K284" s="26" t="s">
        <v>378</v>
      </c>
    </row>
    <row r="285" spans="1:11">
      <c r="A285" s="26" t="s">
        <v>317</v>
      </c>
      <c r="B285" s="27">
        <v>3</v>
      </c>
      <c r="C285" s="28">
        <v>60</v>
      </c>
      <c r="D285" s="29">
        <v>60.6620326132176</v>
      </c>
      <c r="E285" s="29">
        <v>56.25</v>
      </c>
      <c r="F285" s="29">
        <v>0</v>
      </c>
      <c r="G285" s="28">
        <v>27.2816930377432</v>
      </c>
      <c r="H285" s="29">
        <v>27.5827158799895</v>
      </c>
      <c r="I285" s="29">
        <v>8.33333333333333</v>
      </c>
      <c r="J285" s="29">
        <v>32.9072212866404</v>
      </c>
      <c r="K285" s="26" t="s">
        <v>378</v>
      </c>
    </row>
    <row r="286" spans="1:11">
      <c r="A286" s="30" t="s">
        <v>287</v>
      </c>
      <c r="B286" s="31">
        <v>3</v>
      </c>
      <c r="C286" s="32">
        <v>70</v>
      </c>
      <c r="D286" s="33">
        <v>61.5561680383212</v>
      </c>
      <c r="E286" s="33">
        <v>18.75</v>
      </c>
      <c r="F286" s="33">
        <v>0</v>
      </c>
      <c r="G286" s="32">
        <v>63.1534697487225</v>
      </c>
      <c r="H286" s="33">
        <v>55.5355085150771</v>
      </c>
      <c r="I286" s="33">
        <v>0</v>
      </c>
      <c r="J286" s="33">
        <v>32.7218861621874</v>
      </c>
      <c r="K286" s="30" t="s">
        <v>378</v>
      </c>
    </row>
    <row r="287" spans="1:11">
      <c r="A287" s="34" t="s">
        <v>196</v>
      </c>
      <c r="B287" s="35">
        <v>4</v>
      </c>
      <c r="C287" s="36">
        <v>50</v>
      </c>
      <c r="D287" s="37">
        <v>43.69</v>
      </c>
      <c r="E287" s="37">
        <v>0</v>
      </c>
      <c r="F287" s="37">
        <v>0</v>
      </c>
      <c r="G287" s="36">
        <v>81.5325199304216</v>
      </c>
      <c r="H287" s="37">
        <v>71.2431159152024</v>
      </c>
      <c r="I287" s="37">
        <v>0</v>
      </c>
      <c r="J287" s="37">
        <v>30.1109347745607</v>
      </c>
      <c r="K287" s="34" t="s">
        <v>379</v>
      </c>
    </row>
    <row r="288" spans="1:11">
      <c r="A288" s="34" t="s">
        <v>241</v>
      </c>
      <c r="B288" s="35">
        <v>4</v>
      </c>
      <c r="C288" s="36">
        <v>60</v>
      </c>
      <c r="D288" s="37">
        <v>49.6974</v>
      </c>
      <c r="E288" s="37">
        <v>0</v>
      </c>
      <c r="F288" s="37">
        <v>0</v>
      </c>
      <c r="G288" s="36">
        <v>79.8657428025778</v>
      </c>
      <c r="H288" s="37">
        <v>66.1519961059472</v>
      </c>
      <c r="I288" s="37">
        <v>0</v>
      </c>
      <c r="J288" s="37">
        <v>29.7850788317842</v>
      </c>
      <c r="K288" s="34" t="s">
        <v>379</v>
      </c>
    </row>
    <row r="289" spans="1:11">
      <c r="A289" s="34" t="s">
        <v>49</v>
      </c>
      <c r="B289" s="35">
        <v>1</v>
      </c>
      <c r="C289" s="36">
        <v>70</v>
      </c>
      <c r="D289" s="37">
        <v>57.9803796679926</v>
      </c>
      <c r="E289" s="37">
        <v>6.25</v>
      </c>
      <c r="F289" s="37">
        <v>0</v>
      </c>
      <c r="G289" s="36">
        <v>67.6079884026626</v>
      </c>
      <c r="H289" s="37">
        <v>55.9990976596517</v>
      </c>
      <c r="I289" s="37">
        <v>0</v>
      </c>
      <c r="J289" s="37">
        <v>29.645805231494</v>
      </c>
      <c r="K289" s="34" t="s">
        <v>379</v>
      </c>
    </row>
    <row r="290" spans="1:11">
      <c r="A290" s="34" t="s">
        <v>116</v>
      </c>
      <c r="B290" s="35">
        <v>4</v>
      </c>
      <c r="C290" s="36">
        <v>50</v>
      </c>
      <c r="D290" s="37">
        <v>47.874818405611</v>
      </c>
      <c r="E290" s="37">
        <v>31.25</v>
      </c>
      <c r="F290" s="37">
        <v>0</v>
      </c>
      <c r="G290" s="36">
        <v>47.7464060749093</v>
      </c>
      <c r="H290" s="37">
        <v>45.7170104071368</v>
      </c>
      <c r="I290" s="37">
        <v>0</v>
      </c>
      <c r="J290" s="37">
        <v>29.5400668032632</v>
      </c>
      <c r="K290" s="34" t="s">
        <v>379</v>
      </c>
    </row>
    <row r="291" spans="1:11">
      <c r="A291" s="34" t="s">
        <v>318</v>
      </c>
      <c r="B291" s="35">
        <v>3</v>
      </c>
      <c r="C291" s="36">
        <v>40</v>
      </c>
      <c r="D291" s="37">
        <v>39.4100277499869</v>
      </c>
      <c r="E291" s="37">
        <v>56.25</v>
      </c>
      <c r="F291" s="37">
        <v>0</v>
      </c>
      <c r="G291" s="36">
        <v>29.9769910463732</v>
      </c>
      <c r="H291" s="37">
        <v>29.5348512249669</v>
      </c>
      <c r="I291" s="37">
        <v>0</v>
      </c>
      <c r="J291" s="37">
        <v>27.9924609174874</v>
      </c>
      <c r="K291" s="34" t="s">
        <v>379</v>
      </c>
    </row>
    <row r="292" spans="1:11">
      <c r="A292" s="34" t="s">
        <v>293</v>
      </c>
      <c r="B292" s="35">
        <v>3</v>
      </c>
      <c r="C292" s="36">
        <v>70</v>
      </c>
      <c r="D292" s="37">
        <v>69.6936617182934</v>
      </c>
      <c r="E292" s="37">
        <v>6.25</v>
      </c>
      <c r="F292" s="37">
        <v>0</v>
      </c>
      <c r="G292" s="36">
        <v>35.0618705003996</v>
      </c>
      <c r="H292" s="37">
        <v>34.9084305980781</v>
      </c>
      <c r="I292" s="37">
        <v>0</v>
      </c>
      <c r="J292" s="37">
        <v>25.6612615230821</v>
      </c>
      <c r="K292" s="34" t="s">
        <v>379</v>
      </c>
    </row>
    <row r="293" spans="1:11">
      <c r="A293" s="34" t="s">
        <v>55</v>
      </c>
      <c r="B293" s="35">
        <v>2</v>
      </c>
      <c r="C293" s="36">
        <v>60</v>
      </c>
      <c r="D293" s="37">
        <v>49.6974682868508</v>
      </c>
      <c r="E293" s="37">
        <v>6.25</v>
      </c>
      <c r="F293" s="37">
        <v>0</v>
      </c>
      <c r="G293" s="36">
        <v>53.4669109591218</v>
      </c>
      <c r="H293" s="37">
        <v>44.2861685297805</v>
      </c>
      <c r="I293" s="37">
        <v>0</v>
      </c>
      <c r="J293" s="37">
        <v>24.4753442163043</v>
      </c>
      <c r="K293" s="34" t="s">
        <v>379</v>
      </c>
    </row>
    <row r="294" spans="1:11">
      <c r="A294" s="34" t="s">
        <v>330</v>
      </c>
      <c r="B294" s="35">
        <v>2</v>
      </c>
      <c r="C294" s="36">
        <v>50</v>
      </c>
      <c r="D294" s="37">
        <v>49.2625346874837</v>
      </c>
      <c r="E294" s="37">
        <v>25</v>
      </c>
      <c r="F294" s="37">
        <v>0</v>
      </c>
      <c r="G294" s="36">
        <v>29.9769910463732</v>
      </c>
      <c r="H294" s="37">
        <v>29.5348512249669</v>
      </c>
      <c r="I294" s="37">
        <v>0</v>
      </c>
      <c r="J294" s="37">
        <v>23.7129623049868</v>
      </c>
      <c r="K294" s="34" t="s">
        <v>379</v>
      </c>
    </row>
    <row r="295" spans="1:11">
      <c r="A295" s="34" t="s">
        <v>309</v>
      </c>
      <c r="B295" s="35">
        <v>4</v>
      </c>
      <c r="C295" s="36">
        <v>20</v>
      </c>
      <c r="D295" s="37">
        <v>20.2537664000468</v>
      </c>
      <c r="E295" s="37">
        <v>31.25</v>
      </c>
      <c r="F295" s="37">
        <v>0</v>
      </c>
      <c r="G295" s="36">
        <v>31.0663596611924</v>
      </c>
      <c r="H295" s="37">
        <v>31.4605395738813</v>
      </c>
      <c r="I295" s="37">
        <v>0</v>
      </c>
      <c r="J295" s="37">
        <v>19.7389151521737</v>
      </c>
      <c r="K295" s="34" t="s">
        <v>379</v>
      </c>
    </row>
    <row r="296" spans="1:11">
      <c r="A296" s="34" t="s">
        <v>333</v>
      </c>
      <c r="B296" s="35">
        <v>3</v>
      </c>
      <c r="C296" s="36">
        <v>40</v>
      </c>
      <c r="D296" s="37">
        <v>43.1032422932688</v>
      </c>
      <c r="E296" s="37">
        <v>6.25</v>
      </c>
      <c r="F296" s="37">
        <v>0</v>
      </c>
      <c r="G296" s="36">
        <v>29.6137215188811</v>
      </c>
      <c r="H296" s="37">
        <v>31.9111853458431</v>
      </c>
      <c r="I296" s="37">
        <v>0</v>
      </c>
      <c r="J296" s="37">
        <v>19.4440040624067</v>
      </c>
      <c r="K296" s="34" t="s">
        <v>379</v>
      </c>
    </row>
    <row r="297" spans="1:11">
      <c r="A297" s="38" t="s">
        <v>83</v>
      </c>
      <c r="B297" s="39">
        <v>3</v>
      </c>
      <c r="C297" s="40">
        <v>60</v>
      </c>
      <c r="D297" s="41">
        <v>65.94</v>
      </c>
      <c r="E297" s="41">
        <v>0</v>
      </c>
      <c r="F297" s="41">
        <v>0</v>
      </c>
      <c r="G297" s="40">
        <v>13.6482444003664</v>
      </c>
      <c r="H297" s="41">
        <v>14.9994205960027</v>
      </c>
      <c r="I297" s="41">
        <v>0</v>
      </c>
      <c r="J297" s="41">
        <v>17.6878261788008</v>
      </c>
      <c r="K297" s="38" t="s">
        <v>379</v>
      </c>
    </row>
    <row r="298" spans="1:10">
      <c r="A298" s="1" t="s">
        <v>410</v>
      </c>
      <c r="C298" s="3">
        <f>AVERAGE(C2:C297)</f>
        <v>57.2635135135135</v>
      </c>
      <c r="D298" s="3">
        <f t="shared" ref="D298:J298" si="2">AVERAGE(D2:D297)</f>
        <v>56.0119587089038</v>
      </c>
      <c r="E298" s="3">
        <f t="shared" si="2"/>
        <v>76.5413851351351</v>
      </c>
      <c r="F298" s="3">
        <f t="shared" si="2"/>
        <v>20.9670608108108</v>
      </c>
      <c r="G298" s="3">
        <f t="shared" si="2"/>
        <v>38.9579597119473</v>
      </c>
      <c r="H298" s="3">
        <f t="shared" si="2"/>
        <v>36.9165487297163</v>
      </c>
      <c r="I298" s="3">
        <f t="shared" si="2"/>
        <v>53.856981981982</v>
      </c>
      <c r="J298" s="3">
        <f t="shared" si="2"/>
        <v>48.8092398066416</v>
      </c>
    </row>
    <row r="299" spans="1:10">
      <c r="A299" s="1" t="s">
        <v>411</v>
      </c>
      <c r="C299" s="3">
        <f>STDEV(C2:C297)</f>
        <v>12.8199323018316</v>
      </c>
      <c r="D299" s="3">
        <f t="shared" ref="D299:J299" si="3">STDEV(D2:D297)</f>
        <v>12.7829683291799</v>
      </c>
      <c r="E299" s="3">
        <f t="shared" si="3"/>
        <v>15.3998465248895</v>
      </c>
      <c r="F299" s="3">
        <f t="shared" si="3"/>
        <v>12.0894079347683</v>
      </c>
      <c r="G299" s="3">
        <f t="shared" si="3"/>
        <v>18.0180307016677</v>
      </c>
      <c r="H299" s="3">
        <f t="shared" si="3"/>
        <v>14.3060535542535</v>
      </c>
      <c r="I299" s="3">
        <f t="shared" si="3"/>
        <v>18.3448295761765</v>
      </c>
      <c r="J299" s="3">
        <f t="shared" si="3"/>
        <v>7.89434979480357</v>
      </c>
    </row>
  </sheetData>
  <autoFilter ref="J1:J299">
    <extLst/>
  </autoFilter>
  <sortState ref="A2:L297">
    <sortCondition ref="J2" descending="1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得分变量数据</vt:lpstr>
      <vt:lpstr>修正系数k值</vt:lpstr>
      <vt:lpstr>9.1分组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三十而栗</cp:lastModifiedBy>
  <dcterms:created xsi:type="dcterms:W3CDTF">2023-08-11T07:32:00Z</dcterms:created>
  <dcterms:modified xsi:type="dcterms:W3CDTF">2023-09-07T12:04:29Z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717A74833DD740DABAD7C624B1A7BEA3_13</vt:lpwstr>
  </property>
  <property fmtid="{D5CDD505-2E9C-101B-9397-08002B2CF9AE}" pid="3" name="KSOProductBuildVer">
    <vt:lpwstr>2052-12.1.0.15355</vt:lpwstr>
  </property>
</Properties>
</file>