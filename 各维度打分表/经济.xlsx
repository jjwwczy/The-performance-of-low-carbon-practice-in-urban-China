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975"/>
  </bookViews>
  <sheets>
    <sheet name="总得分9.14" sheetId="13" r:id="rId1"/>
  </sheets>
  <definedNames>
    <definedName name="_xlnm._FilterDatabase" localSheetId="0" hidden="1">总得分9.14!$A$2:$AF$298</definedName>
  </definedNames>
  <calcPr calcId="144525"/>
</workbook>
</file>

<file path=xl/sharedStrings.xml><?xml version="1.0" encoding="utf-8"?>
<sst xmlns="http://schemas.openxmlformats.org/spreadsheetml/2006/main" count="335" uniqueCount="335">
  <si>
    <t>P环节</t>
  </si>
  <si>
    <t>I环节</t>
  </si>
  <si>
    <t>C环节</t>
  </si>
  <si>
    <t>O环节</t>
  </si>
  <si>
    <t>F环节</t>
  </si>
  <si>
    <t>城市</t>
  </si>
  <si>
    <t>绿色低碳工业转型规划内容</t>
  </si>
  <si>
    <t>绿色低碳建筑业规划内容</t>
  </si>
  <si>
    <t>绿色低碳的交通体系规划</t>
  </si>
  <si>
    <t>绿色低碳的基础设施规划</t>
  </si>
  <si>
    <t>P环节修正前得分</t>
  </si>
  <si>
    <t>P环节修正后得分</t>
  </si>
  <si>
    <t>相关规章制度的完善和畅通程度</t>
  </si>
  <si>
    <t>绿色低碳经济建设的市场运行机制保障</t>
  </si>
  <si>
    <t>专项资金保障程度</t>
  </si>
  <si>
    <t>人力资源保障程度</t>
  </si>
  <si>
    <t>技术条件保障程度</t>
  </si>
  <si>
    <t>I环节得分</t>
  </si>
  <si>
    <t>相关规章制度的完善程度和公开化程度</t>
  </si>
  <si>
    <t>落实监督行为的资源保障</t>
  </si>
  <si>
    <t>监督行为的公开程度</t>
  </si>
  <si>
    <t>C环节得分</t>
  </si>
  <si>
    <t>碳排放总量（tCO2）</t>
  </si>
  <si>
    <t>人均二氧化碳排放量（tCO2/人）</t>
  </si>
  <si>
    <t>单位GDP的碳排放量（tCO2/万元）</t>
  </si>
  <si>
    <t>GDP总产值（亿元）</t>
  </si>
  <si>
    <t>人均GDP（万元）</t>
  </si>
  <si>
    <t>第三产业增加值与第二产业增加值之比（%）</t>
  </si>
  <si>
    <t>泰尔指数</t>
  </si>
  <si>
    <t>O环节修正前得分</t>
  </si>
  <si>
    <t>O环节修正后得分</t>
  </si>
  <si>
    <t>对实施绿色低碳循环经济建设表现较好/差的主体给予激励/处罚措施</t>
  </si>
  <si>
    <t>进一步优化绿色低碳经济结构的措施和方案</t>
  </si>
  <si>
    <t>F环节得分</t>
  </si>
  <si>
    <t>修正系数</t>
  </si>
  <si>
    <t>维度总分</t>
  </si>
  <si>
    <t>排名</t>
  </si>
  <si>
    <t>北京</t>
  </si>
  <si>
    <t>上海</t>
  </si>
  <si>
    <t>广州</t>
  </si>
  <si>
    <t>深圳</t>
  </si>
  <si>
    <t>杭州</t>
  </si>
  <si>
    <t>成都</t>
  </si>
  <si>
    <t>武汉</t>
  </si>
  <si>
    <t>苏州</t>
  </si>
  <si>
    <t>南京</t>
  </si>
  <si>
    <t>青岛</t>
  </si>
  <si>
    <t>厦门</t>
  </si>
  <si>
    <t>重庆</t>
  </si>
  <si>
    <t>郑州</t>
  </si>
  <si>
    <t>宁波</t>
  </si>
  <si>
    <t>天津</t>
  </si>
  <si>
    <t>合肥</t>
  </si>
  <si>
    <t>无锡</t>
  </si>
  <si>
    <t>济南</t>
  </si>
  <si>
    <t>南通</t>
  </si>
  <si>
    <t>西安</t>
  </si>
  <si>
    <t>昆明</t>
  </si>
  <si>
    <t>佛山</t>
  </si>
  <si>
    <t>福州</t>
  </si>
  <si>
    <t>长沙</t>
  </si>
  <si>
    <t>泉州</t>
  </si>
  <si>
    <t>珠海</t>
  </si>
  <si>
    <t>东莞</t>
  </si>
  <si>
    <t>南昌</t>
  </si>
  <si>
    <t>沈阳</t>
  </si>
  <si>
    <t>盐城</t>
  </si>
  <si>
    <t>常州</t>
  </si>
  <si>
    <t>哈尔滨</t>
  </si>
  <si>
    <t>烟台</t>
  </si>
  <si>
    <t>嘉兴</t>
  </si>
  <si>
    <t>绍兴</t>
  </si>
  <si>
    <t>威海</t>
  </si>
  <si>
    <t>宜昌</t>
  </si>
  <si>
    <t>贵阳</t>
  </si>
  <si>
    <t>温州</t>
  </si>
  <si>
    <t>徐州</t>
  </si>
  <si>
    <t>襄阳</t>
  </si>
  <si>
    <t>乌鲁木齐</t>
  </si>
  <si>
    <t>洛阳</t>
  </si>
  <si>
    <t>扬州</t>
  </si>
  <si>
    <t>海口</t>
  </si>
  <si>
    <t>泰州</t>
  </si>
  <si>
    <t>黑河</t>
  </si>
  <si>
    <t>兰州</t>
  </si>
  <si>
    <t>淮安</t>
  </si>
  <si>
    <t>岳阳</t>
  </si>
  <si>
    <t>大连</t>
  </si>
  <si>
    <t>太原</t>
  </si>
  <si>
    <t>佳木斯</t>
  </si>
  <si>
    <t>黄山</t>
  </si>
  <si>
    <t>南平</t>
  </si>
  <si>
    <t>镇江</t>
  </si>
  <si>
    <t>许昌</t>
  </si>
  <si>
    <t>十堰</t>
  </si>
  <si>
    <t>牡丹江</t>
  </si>
  <si>
    <t>长春</t>
  </si>
  <si>
    <t>白山</t>
  </si>
  <si>
    <t>漳州</t>
  </si>
  <si>
    <t>湖州</t>
  </si>
  <si>
    <t>石家庄</t>
  </si>
  <si>
    <t>桂林</t>
  </si>
  <si>
    <t>张家界</t>
  </si>
  <si>
    <t>荆州</t>
  </si>
  <si>
    <t>舟山</t>
  </si>
  <si>
    <t>鹰潭</t>
  </si>
  <si>
    <t>台州</t>
  </si>
  <si>
    <t>惠州</t>
  </si>
  <si>
    <t>廊坊</t>
  </si>
  <si>
    <t>三亚</t>
  </si>
  <si>
    <t>南宁</t>
  </si>
  <si>
    <t>张掖</t>
  </si>
  <si>
    <t>漯河</t>
  </si>
  <si>
    <t>江门</t>
  </si>
  <si>
    <t>安庆</t>
  </si>
  <si>
    <t>蚌埠</t>
  </si>
  <si>
    <t>丽水</t>
  </si>
  <si>
    <t>绵阳</t>
  </si>
  <si>
    <t>怀化</t>
  </si>
  <si>
    <t>衡阳</t>
  </si>
  <si>
    <t>东营</t>
  </si>
  <si>
    <t>六安</t>
  </si>
  <si>
    <t>揭阳</t>
  </si>
  <si>
    <t>黄冈</t>
  </si>
  <si>
    <t>郴州</t>
  </si>
  <si>
    <t>克拉玛依</t>
  </si>
  <si>
    <t>盘锦</t>
  </si>
  <si>
    <t>焦作</t>
  </si>
  <si>
    <t>西宁</t>
  </si>
  <si>
    <t>淄博</t>
  </si>
  <si>
    <t>宿迁</t>
  </si>
  <si>
    <t>丽江</t>
  </si>
  <si>
    <t>阜阳</t>
  </si>
  <si>
    <t>金华</t>
  </si>
  <si>
    <t>宜春</t>
  </si>
  <si>
    <t>德阳</t>
  </si>
  <si>
    <t>宝鸡</t>
  </si>
  <si>
    <t>柳州</t>
  </si>
  <si>
    <t>汕头</t>
  </si>
  <si>
    <t>濮阳</t>
  </si>
  <si>
    <t>茂名</t>
  </si>
  <si>
    <t>松原</t>
  </si>
  <si>
    <t>南充</t>
  </si>
  <si>
    <t>潍坊</t>
  </si>
  <si>
    <t>玉林</t>
  </si>
  <si>
    <t>钦州</t>
  </si>
  <si>
    <t>德州</t>
  </si>
  <si>
    <t>济宁</t>
  </si>
  <si>
    <t>来宾</t>
  </si>
  <si>
    <t>眉山</t>
  </si>
  <si>
    <t>开封</t>
  </si>
  <si>
    <t>宜宾</t>
  </si>
  <si>
    <t>武威</t>
  </si>
  <si>
    <t>大庆</t>
  </si>
  <si>
    <t>固原</t>
  </si>
  <si>
    <t>沧州</t>
  </si>
  <si>
    <t>随州</t>
  </si>
  <si>
    <t>玉溪</t>
  </si>
  <si>
    <t>南阳</t>
  </si>
  <si>
    <t>平顶山</t>
  </si>
  <si>
    <t>安康</t>
  </si>
  <si>
    <t>芜湖</t>
  </si>
  <si>
    <t>驻马店</t>
  </si>
  <si>
    <t>湘潭</t>
  </si>
  <si>
    <t>龙岩</t>
  </si>
  <si>
    <t>雅安</t>
  </si>
  <si>
    <t>资阳</t>
  </si>
  <si>
    <t>酒泉</t>
  </si>
  <si>
    <t>河源</t>
  </si>
  <si>
    <t>自贡</t>
  </si>
  <si>
    <t>三门峡</t>
  </si>
  <si>
    <t>延安</t>
  </si>
  <si>
    <t>上饶</t>
  </si>
  <si>
    <t>新乡</t>
  </si>
  <si>
    <t>益阳</t>
  </si>
  <si>
    <t>永州</t>
  </si>
  <si>
    <t>呼和浩特</t>
  </si>
  <si>
    <t>常德</t>
  </si>
  <si>
    <t>亳州</t>
  </si>
  <si>
    <t>景德镇</t>
  </si>
  <si>
    <t>汉中</t>
  </si>
  <si>
    <t>内江</t>
  </si>
  <si>
    <t>泸州</t>
  </si>
  <si>
    <t>定西</t>
  </si>
  <si>
    <t>泰安</t>
  </si>
  <si>
    <t>曲靖</t>
  </si>
  <si>
    <t>抚州</t>
  </si>
  <si>
    <t>绥化</t>
  </si>
  <si>
    <t>安顺</t>
  </si>
  <si>
    <t>宿州</t>
  </si>
  <si>
    <t>张家口</t>
  </si>
  <si>
    <t>汕尾</t>
  </si>
  <si>
    <t>衡水</t>
  </si>
  <si>
    <t>咸阳</t>
  </si>
  <si>
    <t>鸡西</t>
  </si>
  <si>
    <t>衢州</t>
  </si>
  <si>
    <t>商丘</t>
  </si>
  <si>
    <t>天水</t>
  </si>
  <si>
    <t>遵义</t>
  </si>
  <si>
    <t>株洲</t>
  </si>
  <si>
    <t>鹤壁</t>
  </si>
  <si>
    <t>中山</t>
  </si>
  <si>
    <t>广元</t>
  </si>
  <si>
    <t>淮北</t>
  </si>
  <si>
    <t>荆门</t>
  </si>
  <si>
    <t>白城</t>
  </si>
  <si>
    <t>达州</t>
  </si>
  <si>
    <t>丹东</t>
  </si>
  <si>
    <t>贺州</t>
  </si>
  <si>
    <t>湛江</t>
  </si>
  <si>
    <t>吉安</t>
  </si>
  <si>
    <t>广安</t>
  </si>
  <si>
    <t>鄂州</t>
  </si>
  <si>
    <t>赣州</t>
  </si>
  <si>
    <t>邵阳</t>
  </si>
  <si>
    <t>庆阳</t>
  </si>
  <si>
    <t>潮州</t>
  </si>
  <si>
    <t>商洛</t>
  </si>
  <si>
    <t>遂宁</t>
  </si>
  <si>
    <t>临沂</t>
  </si>
  <si>
    <t>云浮</t>
  </si>
  <si>
    <t>连云港</t>
  </si>
  <si>
    <t>吉林</t>
  </si>
  <si>
    <t>孝感</t>
  </si>
  <si>
    <t>乐山</t>
  </si>
  <si>
    <t>阳泉</t>
  </si>
  <si>
    <t>北海</t>
  </si>
  <si>
    <t>大同</t>
  </si>
  <si>
    <t>辽源</t>
  </si>
  <si>
    <t>宣城</t>
  </si>
  <si>
    <t>保定</t>
  </si>
  <si>
    <t>周口</t>
  </si>
  <si>
    <t>九江</t>
  </si>
  <si>
    <t>抚顺</t>
  </si>
  <si>
    <t>萍乡</t>
  </si>
  <si>
    <t>黄石</t>
  </si>
  <si>
    <t>咸宁</t>
  </si>
  <si>
    <t>梅州</t>
  </si>
  <si>
    <t>铜仁</t>
  </si>
  <si>
    <t>阜新</t>
  </si>
  <si>
    <t>朔州</t>
  </si>
  <si>
    <t>崇左</t>
  </si>
  <si>
    <t>淮南</t>
  </si>
  <si>
    <t>宁德</t>
  </si>
  <si>
    <t>榆林</t>
  </si>
  <si>
    <t>信阳</t>
  </si>
  <si>
    <t>新余</t>
  </si>
  <si>
    <t>菏泽</t>
  </si>
  <si>
    <t>三明</t>
  </si>
  <si>
    <t>河池</t>
  </si>
  <si>
    <t>马鞍山</t>
  </si>
  <si>
    <t>铜川</t>
  </si>
  <si>
    <t>齐齐哈尔</t>
  </si>
  <si>
    <t>保山</t>
  </si>
  <si>
    <t>通化</t>
  </si>
  <si>
    <t>聊城</t>
  </si>
  <si>
    <t>双鸭山</t>
  </si>
  <si>
    <t>40</t>
  </si>
  <si>
    <t>贵港</t>
  </si>
  <si>
    <t>攀枝花</t>
  </si>
  <si>
    <t>拉萨</t>
  </si>
  <si>
    <t>晋中</t>
  </si>
  <si>
    <t>金昌</t>
  </si>
  <si>
    <t>莆田</t>
  </si>
  <si>
    <t>葫芦岛</t>
  </si>
  <si>
    <t>肇庆</t>
  </si>
  <si>
    <t>陇南</t>
  </si>
  <si>
    <t>邯郸</t>
  </si>
  <si>
    <t>忻州</t>
  </si>
  <si>
    <t>滁州</t>
  </si>
  <si>
    <t>铁岭</t>
  </si>
  <si>
    <t>赤峰</t>
  </si>
  <si>
    <t>池州</t>
  </si>
  <si>
    <t>伊春</t>
  </si>
  <si>
    <t>安阳</t>
  </si>
  <si>
    <t>巴中</t>
  </si>
  <si>
    <t>辽阳</t>
  </si>
  <si>
    <t>普洱</t>
  </si>
  <si>
    <t>临汾</t>
  </si>
  <si>
    <t>清远</t>
  </si>
  <si>
    <t>昭通</t>
  </si>
  <si>
    <t>呼伦贝尔</t>
  </si>
  <si>
    <t>韶关</t>
  </si>
  <si>
    <t>阳江</t>
  </si>
  <si>
    <t>唐山</t>
  </si>
  <si>
    <t>那曲</t>
  </si>
  <si>
    <t>包头</t>
  </si>
  <si>
    <t>渭南</t>
  </si>
  <si>
    <t>临沧</t>
  </si>
  <si>
    <t>巴彦淖尔</t>
  </si>
  <si>
    <t>承德</t>
  </si>
  <si>
    <t>运城</t>
  </si>
  <si>
    <t>秦皇岛</t>
  </si>
  <si>
    <t>梧州</t>
  </si>
  <si>
    <t>毕节</t>
  </si>
  <si>
    <t>娄底</t>
  </si>
  <si>
    <t>滨州</t>
  </si>
  <si>
    <t>枣庄</t>
  </si>
  <si>
    <t>鞍山</t>
  </si>
  <si>
    <t>海东</t>
  </si>
  <si>
    <t>白银</t>
  </si>
  <si>
    <t>日照</t>
  </si>
  <si>
    <t>铜陵</t>
  </si>
  <si>
    <t>长治</t>
  </si>
  <si>
    <t>四平</t>
  </si>
  <si>
    <t>儋州</t>
  </si>
  <si>
    <t>六盘水</t>
  </si>
  <si>
    <t>平凉</t>
  </si>
  <si>
    <t>朝阳</t>
  </si>
  <si>
    <t>晋城</t>
  </si>
  <si>
    <t>山南</t>
  </si>
  <si>
    <t>鄂尔多斯</t>
  </si>
  <si>
    <t>吴忠</t>
  </si>
  <si>
    <t>通辽</t>
  </si>
  <si>
    <t>银川</t>
  </si>
  <si>
    <t>邢台</t>
  </si>
  <si>
    <t>石嘴山</t>
  </si>
  <si>
    <t>营口</t>
  </si>
  <si>
    <t>嘉峪关</t>
  </si>
  <si>
    <t>七台河</t>
  </si>
  <si>
    <t>中卫</t>
  </si>
  <si>
    <t>乌海</t>
  </si>
  <si>
    <t>林芝</t>
  </si>
  <si>
    <t>乌兰察布</t>
  </si>
  <si>
    <t>0</t>
  </si>
  <si>
    <t>鹤岗</t>
  </si>
  <si>
    <t>防城港</t>
  </si>
  <si>
    <t>百色</t>
  </si>
  <si>
    <t>昌都</t>
  </si>
  <si>
    <t>日喀则</t>
  </si>
  <si>
    <t>锦州</t>
  </si>
  <si>
    <t>吐鲁番</t>
  </si>
  <si>
    <t>吕梁</t>
  </si>
  <si>
    <t>本溪</t>
  </si>
  <si>
    <t>哈密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</si>
</sst>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176" fontId="0" fillId="4" borderId="0" xfId="0" applyNumberFormat="1" applyFill="1">
      <alignment vertical="center"/>
    </xf>
    <xf numFmtId="176" fontId="0" fillId="3" borderId="0" xfId="0" applyNumberFormat="1" applyFill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 applyFill="1">
      <alignment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178" fontId="0" fillId="0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 applyFill="1" applyAlignment="1">
      <alignment horizontal="center" vertical="center" wrapText="1"/>
    </xf>
    <xf numFmtId="178" fontId="0" fillId="3" borderId="0" xfId="0" applyNumberFormat="1" applyFill="1" applyAlignment="1">
      <alignment horizontal="center" vertical="center" wrapText="1"/>
    </xf>
    <xf numFmtId="177" fontId="0" fillId="0" borderId="0" xfId="0" applyNumberFormat="1" applyFill="1">
      <alignment vertical="center"/>
    </xf>
    <xf numFmtId="0" fontId="1" fillId="0" borderId="0" xfId="0" applyFon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9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J20" sqref="J20"/>
    </sheetView>
  </sheetViews>
  <sheetFormatPr defaultColWidth="9" defaultRowHeight="13.8"/>
  <cols>
    <col min="1" max="1" width="9" style="2"/>
    <col min="2" max="5" width="9" customWidth="1"/>
    <col min="6" max="6" width="9" style="3" customWidth="1"/>
    <col min="7" max="7" width="9" style="4" customWidth="1"/>
    <col min="8" max="12" width="9" customWidth="1"/>
    <col min="13" max="13" width="9" style="4"/>
    <col min="14" max="16" width="9" customWidth="1"/>
    <col min="17" max="17" width="9" style="4"/>
    <col min="18" max="24" width="9" customWidth="1"/>
    <col min="25" max="25" width="9" style="5" customWidth="1"/>
    <col min="26" max="26" width="9" style="6" customWidth="1"/>
    <col min="27" max="28" width="9" customWidth="1"/>
    <col min="29" max="29" width="9" style="4"/>
    <col min="30" max="30" width="9" style="7" customWidth="1"/>
    <col min="32" max="32" width="9" style="8"/>
    <col min="33" max="33" width="9" hidden="1" customWidth="1"/>
  </cols>
  <sheetData>
    <row r="1" spans="1:33">
      <c r="A1" s="9"/>
      <c r="B1" s="10" t="s">
        <v>0</v>
      </c>
      <c r="C1" s="10"/>
      <c r="D1" s="10"/>
      <c r="E1" s="10"/>
      <c r="F1" s="11"/>
      <c r="G1" s="12"/>
      <c r="H1" s="10" t="s">
        <v>1</v>
      </c>
      <c r="I1" s="10"/>
      <c r="J1" s="10"/>
      <c r="K1" s="10"/>
      <c r="L1" s="10"/>
      <c r="M1" s="12"/>
      <c r="N1" s="15" t="s">
        <v>2</v>
      </c>
      <c r="O1" s="15"/>
      <c r="P1" s="15"/>
      <c r="Q1" s="16"/>
      <c r="R1" s="10" t="s">
        <v>3</v>
      </c>
      <c r="S1" s="10"/>
      <c r="T1" s="10"/>
      <c r="U1" s="10"/>
      <c r="V1" s="10"/>
      <c r="W1" s="10"/>
      <c r="X1" s="10"/>
      <c r="Y1" s="11"/>
      <c r="Z1" s="12"/>
      <c r="AA1" s="10" t="s">
        <v>4</v>
      </c>
      <c r="AB1" s="10"/>
      <c r="AC1" s="12"/>
      <c r="AD1" s="17"/>
      <c r="AE1" s="9"/>
      <c r="AF1" s="18"/>
      <c r="AG1" s="20"/>
    </row>
    <row r="2" spans="1:33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3" t="s">
        <v>10</v>
      </c>
      <c r="G2" s="14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14" t="s">
        <v>17</v>
      </c>
      <c r="N2" s="9" t="s">
        <v>18</v>
      </c>
      <c r="O2" s="9" t="s">
        <v>19</v>
      </c>
      <c r="P2" s="9" t="s">
        <v>20</v>
      </c>
      <c r="Q2" s="14" t="s">
        <v>21</v>
      </c>
      <c r="R2" s="9" t="s">
        <v>22</v>
      </c>
      <c r="S2" s="9" t="s">
        <v>23</v>
      </c>
      <c r="T2" s="9" t="s">
        <v>24</v>
      </c>
      <c r="U2" s="9" t="s">
        <v>25</v>
      </c>
      <c r="V2" s="9" t="s">
        <v>26</v>
      </c>
      <c r="W2" s="9" t="s">
        <v>27</v>
      </c>
      <c r="X2" s="9" t="s">
        <v>28</v>
      </c>
      <c r="Y2" s="19" t="s">
        <v>29</v>
      </c>
      <c r="Z2" s="6" t="s">
        <v>30</v>
      </c>
      <c r="AA2" s="9" t="s">
        <v>31</v>
      </c>
      <c r="AB2" s="9" t="s">
        <v>32</v>
      </c>
      <c r="AC2" s="14" t="s">
        <v>33</v>
      </c>
      <c r="AD2" s="17" t="s">
        <v>34</v>
      </c>
      <c r="AE2" s="9" t="s">
        <v>35</v>
      </c>
      <c r="AF2" s="18" t="s">
        <v>36</v>
      </c>
      <c r="AG2" s="20"/>
    </row>
    <row r="3" spans="1:33">
      <c r="A3" s="9" t="s">
        <v>37</v>
      </c>
      <c r="B3" s="9">
        <v>100</v>
      </c>
      <c r="C3" s="9">
        <v>80</v>
      </c>
      <c r="D3" s="9">
        <v>100</v>
      </c>
      <c r="E3" s="9">
        <v>60</v>
      </c>
      <c r="F3" s="13">
        <f t="shared" ref="F3:F66" si="0">AVERAGE(B3:E3)</f>
        <v>85</v>
      </c>
      <c r="G3" s="14">
        <f t="shared" ref="G3:G66" si="1">F3*AD3</f>
        <v>79.4665812472658</v>
      </c>
      <c r="H3" s="9">
        <v>100</v>
      </c>
      <c r="I3" s="9">
        <v>80</v>
      </c>
      <c r="J3" s="9">
        <v>100</v>
      </c>
      <c r="K3" s="9">
        <v>100</v>
      </c>
      <c r="L3" s="9">
        <v>70</v>
      </c>
      <c r="M3" s="14">
        <f t="shared" ref="M3:M66" si="2">AVERAGE(H3:L3)</f>
        <v>90</v>
      </c>
      <c r="N3" s="9">
        <v>70</v>
      </c>
      <c r="O3" s="9">
        <v>75</v>
      </c>
      <c r="P3" s="9">
        <v>75</v>
      </c>
      <c r="Q3" s="14">
        <f t="shared" ref="Q3:Q66" si="3">AVERAGE(N3:P3)</f>
        <v>73.3333333333333</v>
      </c>
      <c r="R3" s="9">
        <v>100</v>
      </c>
      <c r="S3" s="9">
        <v>89.1564699193922</v>
      </c>
      <c r="T3" s="9">
        <v>95.8229337086539</v>
      </c>
      <c r="U3" s="9">
        <v>100</v>
      </c>
      <c r="V3" s="9">
        <v>100</v>
      </c>
      <c r="W3" s="9">
        <v>100</v>
      </c>
      <c r="X3" s="9">
        <v>99.7025889204494</v>
      </c>
      <c r="Y3" s="19">
        <f t="shared" ref="Y3:Y66" si="4">AVERAGE(R3:X3)</f>
        <v>97.8117132212137</v>
      </c>
      <c r="Z3" s="6">
        <f t="shared" ref="Z3:Z66" si="5">Y3*AD3</f>
        <v>91.4442641838569</v>
      </c>
      <c r="AA3" s="9">
        <v>75</v>
      </c>
      <c r="AB3" s="9">
        <v>75</v>
      </c>
      <c r="AC3" s="14">
        <f t="shared" ref="AC3:AC66" si="6">AVERAGE(AA3:AB3)</f>
        <v>75</v>
      </c>
      <c r="AD3" s="17">
        <v>0.934900955850186</v>
      </c>
      <c r="AE3" s="9">
        <f t="shared" ref="AE3:AE66" si="7">G3*0.2+M3*0.2+Q3*0.15+Z3*0.3+AC3*0.15</f>
        <v>83.5765955046102</v>
      </c>
      <c r="AF3" s="18">
        <f>RANK(AE3,AE$3:AE$298)</f>
        <v>1</v>
      </c>
      <c r="AG3" s="20" t="e">
        <f>#REF!-AF3</f>
        <v>#REF!</v>
      </c>
    </row>
    <row r="4" spans="1:33">
      <c r="A4" s="9" t="s">
        <v>38</v>
      </c>
      <c r="B4" s="9">
        <v>100</v>
      </c>
      <c r="C4" s="9">
        <v>80</v>
      </c>
      <c r="D4" s="9">
        <v>100</v>
      </c>
      <c r="E4" s="9">
        <v>60</v>
      </c>
      <c r="F4" s="13">
        <f t="shared" si="0"/>
        <v>85</v>
      </c>
      <c r="G4" s="14">
        <f t="shared" si="1"/>
        <v>79.4665812472658</v>
      </c>
      <c r="H4" s="9">
        <v>80</v>
      </c>
      <c r="I4" s="9">
        <v>100</v>
      </c>
      <c r="J4" s="9">
        <v>100</v>
      </c>
      <c r="K4" s="9">
        <v>100</v>
      </c>
      <c r="L4" s="9">
        <v>70</v>
      </c>
      <c r="M4" s="14">
        <f t="shared" si="2"/>
        <v>90</v>
      </c>
      <c r="N4" s="9">
        <v>70</v>
      </c>
      <c r="O4" s="9">
        <v>75</v>
      </c>
      <c r="P4" s="9">
        <v>50</v>
      </c>
      <c r="Q4" s="14">
        <f t="shared" si="3"/>
        <v>65</v>
      </c>
      <c r="R4" s="9">
        <v>100</v>
      </c>
      <c r="S4" s="9">
        <v>81.8953494213653</v>
      </c>
      <c r="T4" s="9">
        <v>92.4290673469353</v>
      </c>
      <c r="U4" s="9">
        <v>100</v>
      </c>
      <c r="V4" s="9">
        <v>94.723624824691</v>
      </c>
      <c r="W4" s="9">
        <v>78.218633351287</v>
      </c>
      <c r="X4" s="9">
        <v>99.687056558343</v>
      </c>
      <c r="Y4" s="19">
        <f t="shared" si="4"/>
        <v>92.4219616432316</v>
      </c>
      <c r="Z4" s="6">
        <f t="shared" si="5"/>
        <v>86.4053802818065</v>
      </c>
      <c r="AA4" s="9">
        <v>75</v>
      </c>
      <c r="AB4" s="9">
        <v>50</v>
      </c>
      <c r="AC4" s="14">
        <f t="shared" si="6"/>
        <v>62.5</v>
      </c>
      <c r="AD4" s="17">
        <v>0.934900955850186</v>
      </c>
      <c r="AE4" s="9">
        <f t="shared" si="7"/>
        <v>78.9399303339951</v>
      </c>
      <c r="AF4" s="18">
        <f>RANK(AE4,AE$3:AE$298)</f>
        <v>3</v>
      </c>
      <c r="AG4" s="20" t="e">
        <f>#REF!-AF4</f>
        <v>#REF!</v>
      </c>
    </row>
    <row r="5" spans="1:33">
      <c r="A5" s="9" t="s">
        <v>39</v>
      </c>
      <c r="B5" s="9">
        <v>100</v>
      </c>
      <c r="C5" s="9">
        <v>60</v>
      </c>
      <c r="D5" s="9">
        <v>80</v>
      </c>
      <c r="E5" s="9">
        <v>60</v>
      </c>
      <c r="F5" s="13">
        <f t="shared" si="0"/>
        <v>75</v>
      </c>
      <c r="G5" s="14">
        <f t="shared" si="1"/>
        <v>70.1175716887639</v>
      </c>
      <c r="H5" s="9">
        <v>60</v>
      </c>
      <c r="I5" s="9">
        <v>60</v>
      </c>
      <c r="J5" s="9">
        <v>100</v>
      </c>
      <c r="K5" s="9">
        <v>100</v>
      </c>
      <c r="L5" s="9">
        <v>70</v>
      </c>
      <c r="M5" s="14">
        <f t="shared" si="2"/>
        <v>78</v>
      </c>
      <c r="N5" s="9">
        <v>70</v>
      </c>
      <c r="O5" s="9">
        <v>75</v>
      </c>
      <c r="P5" s="9">
        <v>25</v>
      </c>
      <c r="Q5" s="14">
        <f t="shared" si="3"/>
        <v>56.6666666666667</v>
      </c>
      <c r="R5" s="9">
        <v>96.808905380334</v>
      </c>
      <c r="S5" s="9">
        <v>92.1803317713556</v>
      </c>
      <c r="T5" s="9">
        <v>96.3450669950722</v>
      </c>
      <c r="U5" s="9">
        <v>100</v>
      </c>
      <c r="V5" s="9">
        <v>79.908054251097</v>
      </c>
      <c r="W5" s="9">
        <v>73.875178238423</v>
      </c>
      <c r="X5" s="9">
        <v>98.4768585657688</v>
      </c>
      <c r="Y5" s="19">
        <f t="shared" si="4"/>
        <v>91.0849136002929</v>
      </c>
      <c r="Z5" s="6">
        <f t="shared" si="5"/>
        <v>85.1553727884455</v>
      </c>
      <c r="AA5" s="9">
        <v>75</v>
      </c>
      <c r="AB5" s="9">
        <v>100</v>
      </c>
      <c r="AC5" s="14">
        <f t="shared" si="6"/>
        <v>87.5</v>
      </c>
      <c r="AD5" s="17">
        <v>0.934900955850186</v>
      </c>
      <c r="AE5" s="9">
        <f t="shared" si="7"/>
        <v>76.7951261742864</v>
      </c>
      <c r="AF5" s="18">
        <f>RANK(AE5,AE$3:AE$298)</f>
        <v>5</v>
      </c>
      <c r="AG5" s="20" t="e">
        <f>#REF!-AF5</f>
        <v>#REF!</v>
      </c>
    </row>
    <row r="6" spans="1:33">
      <c r="A6" s="9" t="s">
        <v>40</v>
      </c>
      <c r="B6" s="9">
        <v>100</v>
      </c>
      <c r="C6" s="9">
        <v>60</v>
      </c>
      <c r="D6" s="9">
        <v>80</v>
      </c>
      <c r="E6" s="9">
        <v>60</v>
      </c>
      <c r="F6" s="13">
        <f t="shared" si="0"/>
        <v>75</v>
      </c>
      <c r="G6" s="14">
        <f t="shared" si="1"/>
        <v>70.1175716887639</v>
      </c>
      <c r="H6" s="9">
        <v>60</v>
      </c>
      <c r="I6" s="9">
        <v>80</v>
      </c>
      <c r="J6" s="9">
        <v>100</v>
      </c>
      <c r="K6" s="9">
        <v>100</v>
      </c>
      <c r="L6" s="9">
        <v>70</v>
      </c>
      <c r="M6" s="14">
        <f t="shared" si="2"/>
        <v>82</v>
      </c>
      <c r="N6" s="9">
        <v>70</v>
      </c>
      <c r="O6" s="9">
        <v>75</v>
      </c>
      <c r="P6" s="9">
        <v>25</v>
      </c>
      <c r="Q6" s="14">
        <f t="shared" si="3"/>
        <v>56.6666666666667</v>
      </c>
      <c r="R6" s="9">
        <v>100</v>
      </c>
      <c r="S6" s="9">
        <v>95.8012618870826</v>
      </c>
      <c r="T6" s="9">
        <v>98.5641334623498</v>
      </c>
      <c r="U6" s="9">
        <v>100</v>
      </c>
      <c r="V6" s="9">
        <v>96.0954369148385</v>
      </c>
      <c r="W6" s="9">
        <v>47.3519901455359</v>
      </c>
      <c r="X6" s="9">
        <v>98.0591797910114</v>
      </c>
      <c r="Y6" s="19">
        <f t="shared" si="4"/>
        <v>90.8388574572597</v>
      </c>
      <c r="Z6" s="6">
        <f t="shared" si="5"/>
        <v>84.9253346651309</v>
      </c>
      <c r="AA6" s="9">
        <v>75</v>
      </c>
      <c r="AB6" s="9">
        <v>100</v>
      </c>
      <c r="AC6" s="14">
        <f t="shared" si="6"/>
        <v>87.5</v>
      </c>
      <c r="AD6" s="17">
        <v>0.934900955850186</v>
      </c>
      <c r="AE6" s="9">
        <f t="shared" si="7"/>
        <v>77.5261147372921</v>
      </c>
      <c r="AF6" s="18">
        <f>RANK(AE6,AE$3:AE$298)</f>
        <v>4</v>
      </c>
      <c r="AG6" s="20" t="e">
        <f>#REF!-AF6</f>
        <v>#REF!</v>
      </c>
    </row>
    <row r="7" spans="1:33">
      <c r="A7" s="9" t="s">
        <v>41</v>
      </c>
      <c r="B7" s="9">
        <v>100</v>
      </c>
      <c r="C7" s="9">
        <v>60</v>
      </c>
      <c r="D7" s="9">
        <v>80</v>
      </c>
      <c r="E7" s="9">
        <v>80</v>
      </c>
      <c r="F7" s="13">
        <f t="shared" si="0"/>
        <v>80</v>
      </c>
      <c r="G7" s="14">
        <f t="shared" si="1"/>
        <v>74.7920764680149</v>
      </c>
      <c r="H7" s="9">
        <v>100</v>
      </c>
      <c r="I7" s="9">
        <v>100</v>
      </c>
      <c r="J7" s="9">
        <v>100</v>
      </c>
      <c r="K7" s="9">
        <v>100</v>
      </c>
      <c r="L7" s="9">
        <v>70</v>
      </c>
      <c r="M7" s="14">
        <f t="shared" si="2"/>
        <v>94</v>
      </c>
      <c r="N7" s="9">
        <v>70</v>
      </c>
      <c r="O7" s="9">
        <v>75</v>
      </c>
      <c r="P7" s="9">
        <v>50</v>
      </c>
      <c r="Q7" s="14">
        <f t="shared" si="3"/>
        <v>65</v>
      </c>
      <c r="R7" s="9">
        <v>100</v>
      </c>
      <c r="S7" s="9">
        <v>87.5578677938319</v>
      </c>
      <c r="T7" s="9">
        <v>93.99546720619</v>
      </c>
      <c r="U7" s="9">
        <v>91.0826001141968</v>
      </c>
      <c r="V7" s="9">
        <v>80.5253696916634</v>
      </c>
      <c r="W7" s="9">
        <v>62.9175885419973</v>
      </c>
      <c r="X7" s="9">
        <v>93.8598971459343</v>
      </c>
      <c r="Y7" s="19">
        <f t="shared" si="4"/>
        <v>87.1341129276877</v>
      </c>
      <c r="Z7" s="6">
        <f t="shared" si="5"/>
        <v>81.4617654632532</v>
      </c>
      <c r="AA7" s="9">
        <v>75</v>
      </c>
      <c r="AB7" s="9">
        <v>75</v>
      </c>
      <c r="AC7" s="14">
        <f t="shared" si="6"/>
        <v>75</v>
      </c>
      <c r="AD7" s="17">
        <v>0.934900955850186</v>
      </c>
      <c r="AE7" s="9">
        <f t="shared" si="7"/>
        <v>79.1969449325789</v>
      </c>
      <c r="AF7" s="18">
        <f>RANK(AE7,AE$3:AE$298)</f>
        <v>2</v>
      </c>
      <c r="AG7" s="20" t="e">
        <f>#REF!-AF7</f>
        <v>#REF!</v>
      </c>
    </row>
    <row r="8" spans="1:33">
      <c r="A8" s="9" t="s">
        <v>42</v>
      </c>
      <c r="B8" s="9">
        <v>100</v>
      </c>
      <c r="C8" s="9">
        <v>80</v>
      </c>
      <c r="D8" s="9">
        <v>60</v>
      </c>
      <c r="E8" s="9">
        <v>60</v>
      </c>
      <c r="F8" s="13">
        <f t="shared" si="0"/>
        <v>75</v>
      </c>
      <c r="G8" s="14">
        <f t="shared" si="1"/>
        <v>70.1175716887639</v>
      </c>
      <c r="H8" s="9">
        <v>80</v>
      </c>
      <c r="I8" s="9">
        <v>80</v>
      </c>
      <c r="J8" s="9">
        <v>70</v>
      </c>
      <c r="K8" s="9">
        <v>100</v>
      </c>
      <c r="L8" s="9">
        <v>70</v>
      </c>
      <c r="M8" s="14">
        <f t="shared" si="2"/>
        <v>80</v>
      </c>
      <c r="N8" s="9">
        <v>70</v>
      </c>
      <c r="O8" s="9">
        <v>50</v>
      </c>
      <c r="P8" s="9">
        <v>50</v>
      </c>
      <c r="Q8" s="14">
        <f t="shared" si="3"/>
        <v>56.6666666666667</v>
      </c>
      <c r="R8" s="9">
        <v>100</v>
      </c>
      <c r="S8" s="9">
        <v>96.282768551408</v>
      </c>
      <c r="T8" s="9">
        <v>96.997733603095</v>
      </c>
      <c r="U8" s="9">
        <v>100</v>
      </c>
      <c r="V8" s="9">
        <v>46.0242956244516</v>
      </c>
      <c r="W8" s="9">
        <v>60.3136028763662</v>
      </c>
      <c r="X8" s="9">
        <v>97.8991129893733</v>
      </c>
      <c r="Y8" s="19">
        <f t="shared" si="4"/>
        <v>85.3596448063849</v>
      </c>
      <c r="Z8" s="6">
        <f t="shared" si="5"/>
        <v>79.8028135205216</v>
      </c>
      <c r="AA8" s="9">
        <v>75</v>
      </c>
      <c r="AB8" s="9">
        <v>75</v>
      </c>
      <c r="AC8" s="14">
        <f t="shared" si="6"/>
        <v>75</v>
      </c>
      <c r="AD8" s="17">
        <v>0.934900955850186</v>
      </c>
      <c r="AE8" s="9">
        <f t="shared" si="7"/>
        <v>73.7143583939093</v>
      </c>
      <c r="AF8" s="18">
        <f>RANK(AE8,AE$3:AE$298)</f>
        <v>8</v>
      </c>
      <c r="AG8" s="20" t="e">
        <f>#REF!-AF8</f>
        <v>#REF!</v>
      </c>
    </row>
    <row r="9" spans="1:33">
      <c r="A9" s="9" t="s">
        <v>43</v>
      </c>
      <c r="B9" s="9">
        <v>100</v>
      </c>
      <c r="C9" s="9">
        <v>60</v>
      </c>
      <c r="D9" s="9">
        <v>60</v>
      </c>
      <c r="E9" s="9">
        <v>100</v>
      </c>
      <c r="F9" s="13">
        <f t="shared" si="0"/>
        <v>80</v>
      </c>
      <c r="G9" s="14">
        <f t="shared" si="1"/>
        <v>74.8408442019503</v>
      </c>
      <c r="H9" s="9">
        <v>100</v>
      </c>
      <c r="I9" s="9">
        <v>80</v>
      </c>
      <c r="J9" s="9">
        <v>100</v>
      </c>
      <c r="K9" s="9">
        <v>100</v>
      </c>
      <c r="L9" s="9">
        <v>70</v>
      </c>
      <c r="M9" s="14">
        <f t="shared" si="2"/>
        <v>90</v>
      </c>
      <c r="N9" s="9">
        <v>70</v>
      </c>
      <c r="O9" s="9">
        <v>75</v>
      </c>
      <c r="P9" s="9">
        <v>25</v>
      </c>
      <c r="Q9" s="14">
        <f t="shared" si="3"/>
        <v>56.6666666666667</v>
      </c>
      <c r="R9" s="9">
        <v>100</v>
      </c>
      <c r="S9" s="9">
        <v>87.711949926416</v>
      </c>
      <c r="T9" s="9">
        <v>93.6038672413763</v>
      </c>
      <c r="U9" s="9">
        <v>88.2819930574726</v>
      </c>
      <c r="V9" s="9">
        <v>74.9009401220583</v>
      </c>
      <c r="W9" s="9">
        <v>49.6745552329704</v>
      </c>
      <c r="X9" s="9">
        <v>96.8815654890513</v>
      </c>
      <c r="Y9" s="19">
        <f t="shared" si="4"/>
        <v>84.4364101527636</v>
      </c>
      <c r="Z9" s="6">
        <f t="shared" si="5"/>
        <v>78.9911527151869</v>
      </c>
      <c r="AA9" s="9">
        <v>75</v>
      </c>
      <c r="AB9" s="9">
        <v>50</v>
      </c>
      <c r="AC9" s="14">
        <f t="shared" si="6"/>
        <v>62.5</v>
      </c>
      <c r="AD9" s="17">
        <v>0.935510552524379</v>
      </c>
      <c r="AE9" s="9">
        <f t="shared" si="7"/>
        <v>74.5405146549461</v>
      </c>
      <c r="AF9" s="18">
        <f>RANK(AE9,AE$3:AE$298)</f>
        <v>7</v>
      </c>
      <c r="AG9" s="20" t="e">
        <f>#REF!-AF9</f>
        <v>#REF!</v>
      </c>
    </row>
    <row r="10" spans="1:33">
      <c r="A10" s="9" t="s">
        <v>44</v>
      </c>
      <c r="B10" s="9">
        <v>60</v>
      </c>
      <c r="C10" s="9">
        <v>40</v>
      </c>
      <c r="D10" s="9">
        <v>80</v>
      </c>
      <c r="E10" s="9">
        <v>80</v>
      </c>
      <c r="F10" s="13">
        <f t="shared" si="0"/>
        <v>65</v>
      </c>
      <c r="G10" s="14">
        <f t="shared" si="1"/>
        <v>63.8436721375227</v>
      </c>
      <c r="H10" s="9">
        <v>100</v>
      </c>
      <c r="I10" s="9">
        <v>80</v>
      </c>
      <c r="J10" s="9">
        <v>40</v>
      </c>
      <c r="K10" s="9">
        <v>100</v>
      </c>
      <c r="L10" s="9">
        <v>30</v>
      </c>
      <c r="M10" s="14">
        <f t="shared" si="2"/>
        <v>70</v>
      </c>
      <c r="N10" s="9">
        <v>30</v>
      </c>
      <c r="O10" s="9">
        <v>75</v>
      </c>
      <c r="P10" s="9">
        <v>75</v>
      </c>
      <c r="Q10" s="14">
        <f t="shared" si="3"/>
        <v>60</v>
      </c>
      <c r="R10" s="9">
        <v>84.378611837703</v>
      </c>
      <c r="S10" s="9">
        <v>72.0726134691273</v>
      </c>
      <c r="T10" s="9">
        <v>88.3825343771938</v>
      </c>
      <c r="U10" s="9">
        <v>100</v>
      </c>
      <c r="V10" s="9">
        <v>96.5069805418828</v>
      </c>
      <c r="W10" s="9">
        <v>29.0655576320119</v>
      </c>
      <c r="X10" s="9">
        <v>94.1056893566352</v>
      </c>
      <c r="Y10" s="19">
        <f t="shared" si="4"/>
        <v>80.6445696020791</v>
      </c>
      <c r="Z10" s="6">
        <f t="shared" si="5"/>
        <v>79.2099301745657</v>
      </c>
      <c r="AA10" s="9">
        <v>100</v>
      </c>
      <c r="AB10" s="9">
        <v>50</v>
      </c>
      <c r="AC10" s="14">
        <f t="shared" si="6"/>
        <v>75</v>
      </c>
      <c r="AD10" s="17">
        <v>0.982210340577272</v>
      </c>
      <c r="AE10" s="9">
        <f t="shared" si="7"/>
        <v>70.7817134798742</v>
      </c>
      <c r="AF10" s="18">
        <f>RANK(AE10,AE$3:AE$298)</f>
        <v>17</v>
      </c>
      <c r="AG10" s="20" t="e">
        <f>#REF!-AF10</f>
        <v>#REF!</v>
      </c>
    </row>
    <row r="11" spans="1:33">
      <c r="A11" s="9" t="s">
        <v>45</v>
      </c>
      <c r="B11" s="9">
        <v>100</v>
      </c>
      <c r="C11" s="9">
        <v>60</v>
      </c>
      <c r="D11" s="9">
        <v>80</v>
      </c>
      <c r="E11" s="9">
        <v>60</v>
      </c>
      <c r="F11" s="13">
        <f t="shared" si="0"/>
        <v>75</v>
      </c>
      <c r="G11" s="14">
        <f t="shared" si="1"/>
        <v>70.2722281394434</v>
      </c>
      <c r="H11" s="9">
        <v>80</v>
      </c>
      <c r="I11" s="9">
        <v>100</v>
      </c>
      <c r="J11" s="9">
        <v>100</v>
      </c>
      <c r="K11" s="9">
        <v>100</v>
      </c>
      <c r="L11" s="9">
        <v>70</v>
      </c>
      <c r="M11" s="14">
        <f t="shared" si="2"/>
        <v>90</v>
      </c>
      <c r="N11" s="9">
        <v>70</v>
      </c>
      <c r="O11" s="9">
        <v>75</v>
      </c>
      <c r="P11" s="9">
        <v>50</v>
      </c>
      <c r="Q11" s="14">
        <f t="shared" si="3"/>
        <v>65</v>
      </c>
      <c r="R11" s="9">
        <v>68.2566723452584</v>
      </c>
      <c r="S11" s="9">
        <v>76.8106390460892</v>
      </c>
      <c r="T11" s="9">
        <v>90.4710675228668</v>
      </c>
      <c r="U11" s="9">
        <v>83.7210044222361</v>
      </c>
      <c r="V11" s="9">
        <v>97.1242959824492</v>
      </c>
      <c r="W11" s="9">
        <v>47.8519928578926</v>
      </c>
      <c r="X11" s="9">
        <v>96.3010694602906</v>
      </c>
      <c r="Y11" s="19">
        <f t="shared" si="4"/>
        <v>80.0766773767261</v>
      </c>
      <c r="Z11" s="6">
        <f t="shared" si="5"/>
        <v>75.0288872168787</v>
      </c>
      <c r="AA11" s="9">
        <v>50</v>
      </c>
      <c r="AB11" s="9">
        <v>75</v>
      </c>
      <c r="AC11" s="14">
        <f t="shared" si="6"/>
        <v>62.5</v>
      </c>
      <c r="AD11" s="17">
        <v>0.936963041859245</v>
      </c>
      <c r="AE11" s="9">
        <f t="shared" si="7"/>
        <v>73.6881117929523</v>
      </c>
      <c r="AF11" s="18">
        <f>RANK(AE11,AE$3:AE$298)</f>
        <v>9</v>
      </c>
      <c r="AG11" s="20" t="e">
        <f>#REF!-AF11</f>
        <v>#REF!</v>
      </c>
    </row>
    <row r="12" spans="1:33">
      <c r="A12" s="9" t="s">
        <v>46</v>
      </c>
      <c r="B12" s="9">
        <v>80</v>
      </c>
      <c r="C12" s="9">
        <v>60</v>
      </c>
      <c r="D12" s="9">
        <v>60</v>
      </c>
      <c r="E12" s="9">
        <v>60</v>
      </c>
      <c r="F12" s="13">
        <f t="shared" si="0"/>
        <v>65</v>
      </c>
      <c r="G12" s="14">
        <f t="shared" si="1"/>
        <v>61.2027949065774</v>
      </c>
      <c r="H12" s="9">
        <v>80</v>
      </c>
      <c r="I12" s="9">
        <v>40</v>
      </c>
      <c r="J12" s="9">
        <v>70</v>
      </c>
      <c r="K12" s="9">
        <v>100</v>
      </c>
      <c r="L12" s="9">
        <v>70</v>
      </c>
      <c r="M12" s="14">
        <f t="shared" si="2"/>
        <v>72</v>
      </c>
      <c r="N12" s="9">
        <v>70</v>
      </c>
      <c r="O12" s="9">
        <v>75</v>
      </c>
      <c r="P12" s="9">
        <v>50</v>
      </c>
      <c r="Q12" s="14">
        <f t="shared" si="3"/>
        <v>65</v>
      </c>
      <c r="R12" s="9">
        <v>100</v>
      </c>
      <c r="S12" s="9">
        <v>87.1919227289446</v>
      </c>
      <c r="T12" s="9">
        <v>93.2122672765626</v>
      </c>
      <c r="U12" s="9">
        <v>69.9065814505987</v>
      </c>
      <c r="V12" s="9">
        <v>72.4316783597927</v>
      </c>
      <c r="W12" s="9">
        <v>47.1559357178198</v>
      </c>
      <c r="X12" s="9">
        <v>90.0514166365297</v>
      </c>
      <c r="Y12" s="19">
        <f t="shared" si="4"/>
        <v>79.992828881464</v>
      </c>
      <c r="Z12" s="6">
        <f t="shared" si="5"/>
        <v>75.3197646158335</v>
      </c>
      <c r="AA12" s="9">
        <v>75</v>
      </c>
      <c r="AB12" s="9">
        <v>75</v>
      </c>
      <c r="AC12" s="14">
        <f t="shared" si="6"/>
        <v>75</v>
      </c>
      <c r="AD12" s="17">
        <v>0.94158146010119</v>
      </c>
      <c r="AE12" s="9">
        <f t="shared" si="7"/>
        <v>70.2364883660655</v>
      </c>
      <c r="AF12" s="18">
        <f>RANK(AE12,AE$3:AE$298)</f>
        <v>21</v>
      </c>
      <c r="AG12" s="20" t="e">
        <f>#REF!-AF12</f>
        <v>#REF!</v>
      </c>
    </row>
    <row r="13" spans="1:33">
      <c r="A13" s="9" t="s">
        <v>47</v>
      </c>
      <c r="B13" s="9">
        <v>80</v>
      </c>
      <c r="C13" s="9">
        <v>40</v>
      </c>
      <c r="D13" s="9">
        <v>80</v>
      </c>
      <c r="E13" s="9">
        <v>60</v>
      </c>
      <c r="F13" s="13">
        <f t="shared" si="0"/>
        <v>65</v>
      </c>
      <c r="G13" s="14">
        <f t="shared" si="1"/>
        <v>61.7585368788335</v>
      </c>
      <c r="H13" s="9">
        <v>80</v>
      </c>
      <c r="I13" s="9">
        <v>80</v>
      </c>
      <c r="J13" s="9">
        <v>70</v>
      </c>
      <c r="K13" s="9">
        <v>100</v>
      </c>
      <c r="L13" s="9">
        <v>70</v>
      </c>
      <c r="M13" s="14">
        <f t="shared" si="2"/>
        <v>80</v>
      </c>
      <c r="N13" s="9">
        <v>70</v>
      </c>
      <c r="O13" s="9">
        <v>75</v>
      </c>
      <c r="P13" s="9">
        <v>50</v>
      </c>
      <c r="Q13" s="14">
        <f t="shared" si="3"/>
        <v>65</v>
      </c>
      <c r="R13" s="9">
        <v>100</v>
      </c>
      <c r="S13" s="9">
        <v>88.4438400561906</v>
      </c>
      <c r="T13" s="9">
        <v>97.1282669246996</v>
      </c>
      <c r="U13" s="9">
        <v>35.516269898947</v>
      </c>
      <c r="V13" s="9">
        <v>100</v>
      </c>
      <c r="W13" s="9">
        <v>39.4487254327316</v>
      </c>
      <c r="X13" s="9">
        <v>97.5497008210129</v>
      </c>
      <c r="Y13" s="19">
        <f t="shared" si="4"/>
        <v>79.7266861619403</v>
      </c>
      <c r="Z13" s="6">
        <f t="shared" si="5"/>
        <v>75.7508228855287</v>
      </c>
      <c r="AA13" s="9">
        <v>50</v>
      </c>
      <c r="AB13" s="9">
        <v>75</v>
      </c>
      <c r="AC13" s="14">
        <f t="shared" si="6"/>
        <v>62.5</v>
      </c>
      <c r="AD13" s="17">
        <v>0.950131336597438</v>
      </c>
      <c r="AE13" s="9">
        <f t="shared" si="7"/>
        <v>70.2019542414253</v>
      </c>
      <c r="AF13" s="18">
        <f>RANK(AE13,AE$3:AE$298)</f>
        <v>22</v>
      </c>
      <c r="AG13" s="20" t="e">
        <f>#REF!-AF13</f>
        <v>#REF!</v>
      </c>
    </row>
    <row r="14" spans="1:33">
      <c r="A14" s="9" t="s">
        <v>48</v>
      </c>
      <c r="B14" s="9">
        <v>100</v>
      </c>
      <c r="C14" s="9">
        <v>80</v>
      </c>
      <c r="D14" s="9">
        <v>80</v>
      </c>
      <c r="E14" s="9">
        <v>60</v>
      </c>
      <c r="F14" s="13">
        <f t="shared" si="0"/>
        <v>80</v>
      </c>
      <c r="G14" s="14">
        <f t="shared" si="1"/>
        <v>77.9295654263218</v>
      </c>
      <c r="H14" s="9">
        <v>60</v>
      </c>
      <c r="I14" s="9">
        <v>80</v>
      </c>
      <c r="J14" s="9">
        <v>100</v>
      </c>
      <c r="K14" s="9">
        <v>100</v>
      </c>
      <c r="L14" s="9">
        <v>70</v>
      </c>
      <c r="M14" s="14">
        <f t="shared" si="2"/>
        <v>82</v>
      </c>
      <c r="N14" s="9">
        <v>70</v>
      </c>
      <c r="O14" s="9">
        <v>75</v>
      </c>
      <c r="P14" s="9">
        <v>25</v>
      </c>
      <c r="Q14" s="14">
        <f t="shared" si="3"/>
        <v>56.6666666666667</v>
      </c>
      <c r="R14" s="9">
        <v>100</v>
      </c>
      <c r="S14" s="9">
        <v>89.4838944511335</v>
      </c>
      <c r="T14" s="9">
        <v>90.8626674876805</v>
      </c>
      <c r="U14" s="9">
        <v>100</v>
      </c>
      <c r="V14" s="9">
        <v>41.4973157269645</v>
      </c>
      <c r="W14" s="9">
        <v>36.3218630932945</v>
      </c>
      <c r="X14" s="9">
        <v>87.7387482369454</v>
      </c>
      <c r="Y14" s="19">
        <f t="shared" si="4"/>
        <v>77.9863555708598</v>
      </c>
      <c r="Z14" s="6">
        <f t="shared" si="5"/>
        <v>75.9680349852464</v>
      </c>
      <c r="AA14" s="9">
        <v>50</v>
      </c>
      <c r="AB14" s="9">
        <v>75</v>
      </c>
      <c r="AC14" s="14">
        <f t="shared" si="6"/>
        <v>62.5</v>
      </c>
      <c r="AD14" s="17">
        <v>0.974119567829023</v>
      </c>
      <c r="AE14" s="9">
        <f t="shared" si="7"/>
        <v>72.6513235808383</v>
      </c>
      <c r="AF14" s="18">
        <f>RANK(AE14,AE$3:AE$298)</f>
        <v>11</v>
      </c>
      <c r="AG14" s="20" t="e">
        <f>#REF!-AF14</f>
        <v>#REF!</v>
      </c>
    </row>
    <row r="15" spans="1:33">
      <c r="A15" s="9" t="s">
        <v>49</v>
      </c>
      <c r="B15" s="9">
        <v>100</v>
      </c>
      <c r="C15" s="9">
        <v>40</v>
      </c>
      <c r="D15" s="9">
        <v>80</v>
      </c>
      <c r="E15" s="9">
        <v>60</v>
      </c>
      <c r="F15" s="13">
        <f t="shared" si="0"/>
        <v>70</v>
      </c>
      <c r="G15" s="14">
        <f t="shared" si="1"/>
        <v>66.4370908643776</v>
      </c>
      <c r="H15" s="9">
        <v>80</v>
      </c>
      <c r="I15" s="9">
        <v>40</v>
      </c>
      <c r="J15" s="9">
        <v>40</v>
      </c>
      <c r="K15" s="9">
        <v>100</v>
      </c>
      <c r="L15" s="9">
        <v>70</v>
      </c>
      <c r="M15" s="14">
        <f t="shared" si="2"/>
        <v>66</v>
      </c>
      <c r="N15" s="9">
        <v>70</v>
      </c>
      <c r="O15" s="9">
        <v>75</v>
      </c>
      <c r="P15" s="9">
        <v>75</v>
      </c>
      <c r="Q15" s="14">
        <f t="shared" si="3"/>
        <v>73.3333333333333</v>
      </c>
      <c r="R15" s="9">
        <v>100</v>
      </c>
      <c r="S15" s="9">
        <v>91.0439760435477</v>
      </c>
      <c r="T15" s="9">
        <v>93.7344005629809</v>
      </c>
      <c r="U15" s="9">
        <v>67.631802657586</v>
      </c>
      <c r="V15" s="9">
        <v>53.3634903067412</v>
      </c>
      <c r="W15" s="9">
        <v>40.9739116315339</v>
      </c>
      <c r="X15" s="9">
        <v>97.9478553731366</v>
      </c>
      <c r="Y15" s="19">
        <f t="shared" si="4"/>
        <v>77.8136337965038</v>
      </c>
      <c r="Z15" s="6">
        <f t="shared" si="5"/>
        <v>73.8530208432246</v>
      </c>
      <c r="AA15" s="9">
        <v>50</v>
      </c>
      <c r="AB15" s="9">
        <v>75</v>
      </c>
      <c r="AC15" s="14">
        <f t="shared" si="6"/>
        <v>62.5</v>
      </c>
      <c r="AD15" s="17">
        <v>0.949101298062537</v>
      </c>
      <c r="AE15" s="9">
        <f t="shared" si="7"/>
        <v>69.0183244258429</v>
      </c>
      <c r="AF15" s="18">
        <f>RANK(AE15,AE$3:AE$298)</f>
        <v>29</v>
      </c>
      <c r="AG15" s="20" t="e">
        <f>#REF!-AF15</f>
        <v>#REF!</v>
      </c>
    </row>
    <row r="16" spans="1:33">
      <c r="A16" s="9" t="s">
        <v>50</v>
      </c>
      <c r="B16" s="9">
        <v>100</v>
      </c>
      <c r="C16" s="9">
        <v>40</v>
      </c>
      <c r="D16" s="9">
        <v>60</v>
      </c>
      <c r="E16" s="9">
        <v>80</v>
      </c>
      <c r="F16" s="13">
        <f t="shared" si="0"/>
        <v>70</v>
      </c>
      <c r="G16" s="14">
        <f t="shared" si="1"/>
        <v>69.343143997579</v>
      </c>
      <c r="H16" s="9">
        <v>60</v>
      </c>
      <c r="I16" s="9">
        <v>100</v>
      </c>
      <c r="J16" s="9">
        <v>100</v>
      </c>
      <c r="K16" s="9">
        <v>100</v>
      </c>
      <c r="L16" s="9">
        <v>70</v>
      </c>
      <c r="M16" s="14">
        <f t="shared" si="2"/>
        <v>86</v>
      </c>
      <c r="N16" s="9">
        <v>70</v>
      </c>
      <c r="O16" s="9">
        <v>75</v>
      </c>
      <c r="P16" s="9">
        <v>25</v>
      </c>
      <c r="Q16" s="14">
        <f t="shared" si="3"/>
        <v>56.6666666666667</v>
      </c>
      <c r="R16" s="9">
        <v>100</v>
      </c>
      <c r="S16" s="9">
        <v>82.2227739531065</v>
      </c>
      <c r="T16" s="9">
        <v>91.1237341308896</v>
      </c>
      <c r="U16" s="9">
        <v>69.9523056474432</v>
      </c>
      <c r="V16" s="9">
        <v>78.467651556442</v>
      </c>
      <c r="W16" s="9">
        <v>27.9917893448982</v>
      </c>
      <c r="X16" s="9">
        <v>94.8283310142671</v>
      </c>
      <c r="Y16" s="19">
        <f t="shared" si="4"/>
        <v>77.7980836638638</v>
      </c>
      <c r="Z16" s="6">
        <f t="shared" si="5"/>
        <v>77.0680531177001</v>
      </c>
      <c r="AA16" s="9">
        <v>75</v>
      </c>
      <c r="AB16" s="9">
        <v>100</v>
      </c>
      <c r="AC16" s="14">
        <f t="shared" si="6"/>
        <v>87.5</v>
      </c>
      <c r="AD16" s="17">
        <v>0.990616342822557</v>
      </c>
      <c r="AE16" s="9">
        <f t="shared" si="7"/>
        <v>75.8140447348258</v>
      </c>
      <c r="AF16" s="18">
        <f>RANK(AE16,AE$3:AE$298)</f>
        <v>6</v>
      </c>
      <c r="AG16" s="20" t="e">
        <f>#REF!-AF16</f>
        <v>#REF!</v>
      </c>
    </row>
    <row r="17" spans="1:33">
      <c r="A17" s="9" t="s">
        <v>51</v>
      </c>
      <c r="B17" s="9">
        <v>100</v>
      </c>
      <c r="C17" s="9">
        <v>80</v>
      </c>
      <c r="D17" s="9">
        <v>80</v>
      </c>
      <c r="E17" s="9">
        <v>60</v>
      </c>
      <c r="F17" s="13">
        <f t="shared" si="0"/>
        <v>80</v>
      </c>
      <c r="G17" s="14">
        <f t="shared" si="1"/>
        <v>75.1897887635798</v>
      </c>
      <c r="H17" s="9">
        <v>40</v>
      </c>
      <c r="I17" s="9">
        <v>80</v>
      </c>
      <c r="J17" s="9">
        <v>70</v>
      </c>
      <c r="K17" s="9">
        <v>100</v>
      </c>
      <c r="L17" s="9">
        <v>70</v>
      </c>
      <c r="M17" s="14">
        <f t="shared" si="2"/>
        <v>72</v>
      </c>
      <c r="N17" s="9">
        <v>70</v>
      </c>
      <c r="O17" s="9">
        <v>75</v>
      </c>
      <c r="P17" s="9">
        <v>50</v>
      </c>
      <c r="Q17" s="14">
        <f t="shared" si="3"/>
        <v>65</v>
      </c>
      <c r="R17" s="9">
        <v>100</v>
      </c>
      <c r="S17" s="9">
        <v>75.366119053113</v>
      </c>
      <c r="T17" s="9">
        <v>83.6833347994295</v>
      </c>
      <c r="U17" s="9">
        <v>79.5258093617554</v>
      </c>
      <c r="V17" s="9">
        <v>57.6161077861987</v>
      </c>
      <c r="W17" s="9">
        <v>45.6203465713422</v>
      </c>
      <c r="X17" s="9">
        <v>98.3322204697471</v>
      </c>
      <c r="Y17" s="19">
        <f t="shared" si="4"/>
        <v>77.1634197202266</v>
      </c>
      <c r="Z17" s="6">
        <f t="shared" si="5"/>
        <v>72.5237653629911</v>
      </c>
      <c r="AA17" s="9">
        <v>50</v>
      </c>
      <c r="AB17" s="9">
        <v>75</v>
      </c>
      <c r="AC17" s="14">
        <f t="shared" si="6"/>
        <v>62.5</v>
      </c>
      <c r="AD17" s="17">
        <v>0.939872359544748</v>
      </c>
      <c r="AE17" s="9">
        <f t="shared" si="7"/>
        <v>70.3200873616133</v>
      </c>
      <c r="AF17" s="18">
        <f>RANK(AE17,AE$3:AE$298)</f>
        <v>20</v>
      </c>
      <c r="AG17" s="20" t="e">
        <f>#REF!-AF17</f>
        <v>#REF!</v>
      </c>
    </row>
    <row r="18" spans="1:33">
      <c r="A18" s="9" t="s">
        <v>52</v>
      </c>
      <c r="B18" s="9">
        <v>100</v>
      </c>
      <c r="C18" s="9">
        <v>40</v>
      </c>
      <c r="D18" s="9">
        <v>80</v>
      </c>
      <c r="E18" s="9">
        <v>60</v>
      </c>
      <c r="F18" s="13">
        <f t="shared" si="0"/>
        <v>70</v>
      </c>
      <c r="G18" s="14">
        <f t="shared" si="1"/>
        <v>66.0253693419017</v>
      </c>
      <c r="H18" s="9">
        <v>60</v>
      </c>
      <c r="I18" s="9">
        <v>60</v>
      </c>
      <c r="J18" s="9">
        <v>70</v>
      </c>
      <c r="K18" s="9">
        <v>100</v>
      </c>
      <c r="L18" s="9">
        <v>30</v>
      </c>
      <c r="M18" s="14">
        <f t="shared" si="2"/>
        <v>64</v>
      </c>
      <c r="N18" s="9">
        <v>70</v>
      </c>
      <c r="O18" s="9">
        <v>75</v>
      </c>
      <c r="P18" s="9">
        <v>50</v>
      </c>
      <c r="Q18" s="14">
        <f t="shared" si="3"/>
        <v>65</v>
      </c>
      <c r="R18" s="9">
        <v>90.8439798683701</v>
      </c>
      <c r="S18" s="9">
        <v>89.1949904525382</v>
      </c>
      <c r="T18" s="9">
        <v>93.3428005981672</v>
      </c>
      <c r="U18" s="9">
        <v>56.446521004506</v>
      </c>
      <c r="V18" s="9">
        <v>61.5257722431193</v>
      </c>
      <c r="W18" s="9">
        <v>45.895297771187</v>
      </c>
      <c r="X18" s="9">
        <v>90.4517413957271</v>
      </c>
      <c r="Y18" s="19">
        <f t="shared" si="4"/>
        <v>75.3858719048021</v>
      </c>
      <c r="Z18" s="6">
        <f t="shared" si="5"/>
        <v>71.1054290810836</v>
      </c>
      <c r="AA18" s="9">
        <v>75</v>
      </c>
      <c r="AB18" s="9">
        <v>75</v>
      </c>
      <c r="AC18" s="14">
        <f t="shared" si="6"/>
        <v>75</v>
      </c>
      <c r="AD18" s="17">
        <v>0.943219562027167</v>
      </c>
      <c r="AE18" s="9">
        <f t="shared" si="7"/>
        <v>68.3367025927054</v>
      </c>
      <c r="AF18" s="18">
        <f>RANK(AE18,AE$3:AE$298)</f>
        <v>33</v>
      </c>
      <c r="AG18" s="20" t="e">
        <f>#REF!-AF18</f>
        <v>#REF!</v>
      </c>
    </row>
    <row r="19" spans="1:33">
      <c r="A19" s="9" t="s">
        <v>53</v>
      </c>
      <c r="B19" s="9">
        <v>100</v>
      </c>
      <c r="C19" s="9">
        <v>40</v>
      </c>
      <c r="D19" s="9">
        <v>60</v>
      </c>
      <c r="E19" s="9">
        <v>40</v>
      </c>
      <c r="F19" s="13">
        <f t="shared" si="0"/>
        <v>60</v>
      </c>
      <c r="G19" s="14">
        <f t="shared" si="1"/>
        <v>58.9786815859126</v>
      </c>
      <c r="H19" s="9">
        <v>40</v>
      </c>
      <c r="I19" s="9">
        <v>80</v>
      </c>
      <c r="J19" s="9">
        <v>100</v>
      </c>
      <c r="K19" s="9">
        <v>100</v>
      </c>
      <c r="L19" s="9">
        <v>70</v>
      </c>
      <c r="M19" s="14">
        <f t="shared" si="2"/>
        <v>78</v>
      </c>
      <c r="N19" s="9">
        <v>70</v>
      </c>
      <c r="O19" s="9">
        <v>75</v>
      </c>
      <c r="P19" s="9">
        <v>50</v>
      </c>
      <c r="Q19" s="14">
        <f t="shared" si="3"/>
        <v>65</v>
      </c>
      <c r="R19" s="9">
        <v>66.6457994240641</v>
      </c>
      <c r="S19" s="9">
        <v>73.3052705298003</v>
      </c>
      <c r="T19" s="9">
        <v>89.4268009500303</v>
      </c>
      <c r="U19" s="9">
        <v>69.7294001878263</v>
      </c>
      <c r="V19" s="9">
        <v>100</v>
      </c>
      <c r="W19" s="9">
        <v>28.9300051560684</v>
      </c>
      <c r="X19" s="9">
        <v>98.242882980824</v>
      </c>
      <c r="Y19" s="19">
        <f t="shared" si="4"/>
        <v>75.1828798898019</v>
      </c>
      <c r="Z19" s="6">
        <f t="shared" si="5"/>
        <v>73.9031188955423</v>
      </c>
      <c r="AA19" s="9">
        <v>100</v>
      </c>
      <c r="AB19" s="9">
        <v>50</v>
      </c>
      <c r="AC19" s="14">
        <f t="shared" si="6"/>
        <v>75</v>
      </c>
      <c r="AD19" s="17">
        <v>0.982978026431877</v>
      </c>
      <c r="AE19" s="9">
        <f t="shared" si="7"/>
        <v>70.5666719858452</v>
      </c>
      <c r="AF19" s="18">
        <f>RANK(AE19,AE$3:AE$298)</f>
        <v>19</v>
      </c>
      <c r="AG19" s="20" t="e">
        <f>#REF!-AF19</f>
        <v>#REF!</v>
      </c>
    </row>
    <row r="20" spans="1:33">
      <c r="A20" s="9" t="s">
        <v>54</v>
      </c>
      <c r="B20" s="9">
        <v>100</v>
      </c>
      <c r="C20" s="9">
        <v>60</v>
      </c>
      <c r="D20" s="9">
        <v>60</v>
      </c>
      <c r="E20" s="9">
        <v>40</v>
      </c>
      <c r="F20" s="13">
        <f t="shared" si="0"/>
        <v>65</v>
      </c>
      <c r="G20" s="14">
        <f t="shared" si="1"/>
        <v>60.9746510332532</v>
      </c>
      <c r="H20" s="9">
        <v>100</v>
      </c>
      <c r="I20" s="9">
        <v>80</v>
      </c>
      <c r="J20" s="9">
        <v>100</v>
      </c>
      <c r="K20" s="9">
        <v>100</v>
      </c>
      <c r="L20" s="9">
        <v>70</v>
      </c>
      <c r="M20" s="14">
        <f t="shared" si="2"/>
        <v>90</v>
      </c>
      <c r="N20" s="9">
        <v>70</v>
      </c>
      <c r="O20" s="9">
        <v>50</v>
      </c>
      <c r="P20" s="9">
        <v>25</v>
      </c>
      <c r="Q20" s="14">
        <f t="shared" si="3"/>
        <v>48.3333333333333</v>
      </c>
      <c r="R20" s="9">
        <v>88.4657384657385</v>
      </c>
      <c r="S20" s="9">
        <v>83.6865542126557</v>
      </c>
      <c r="T20" s="9">
        <v>90.0794675580531</v>
      </c>
      <c r="U20" s="9">
        <v>56.9894958420341</v>
      </c>
      <c r="V20" s="9">
        <v>63.5834903783407</v>
      </c>
      <c r="W20" s="9">
        <v>49.6362511792588</v>
      </c>
      <c r="X20" s="9">
        <v>92.2303361358128</v>
      </c>
      <c r="Y20" s="19">
        <f t="shared" si="4"/>
        <v>74.9530476816991</v>
      </c>
      <c r="Z20" s="6">
        <f t="shared" si="5"/>
        <v>70.3113219426213</v>
      </c>
      <c r="AA20" s="9">
        <v>100</v>
      </c>
      <c r="AB20" s="9">
        <v>75</v>
      </c>
      <c r="AC20" s="14">
        <f t="shared" si="6"/>
        <v>87.5</v>
      </c>
      <c r="AD20" s="17">
        <v>0.938071554357741</v>
      </c>
      <c r="AE20" s="9">
        <f t="shared" si="7"/>
        <v>71.663326789437</v>
      </c>
      <c r="AF20" s="18">
        <f>RANK(AE20,AE$3:AE$298)</f>
        <v>16</v>
      </c>
      <c r="AG20" s="20" t="e">
        <f>#REF!-AF20</f>
        <v>#REF!</v>
      </c>
    </row>
    <row r="21" spans="1:33">
      <c r="A21" s="9" t="s">
        <v>55</v>
      </c>
      <c r="B21" s="9">
        <v>80</v>
      </c>
      <c r="C21" s="9">
        <v>40</v>
      </c>
      <c r="D21" s="9">
        <v>60</v>
      </c>
      <c r="E21" s="9">
        <v>60</v>
      </c>
      <c r="F21" s="13">
        <f t="shared" si="0"/>
        <v>60</v>
      </c>
      <c r="G21" s="14">
        <f t="shared" si="1"/>
        <v>60.2702320990458</v>
      </c>
      <c r="H21" s="9">
        <v>40</v>
      </c>
      <c r="I21" s="9">
        <v>60</v>
      </c>
      <c r="J21" s="9">
        <v>100</v>
      </c>
      <c r="K21" s="9">
        <v>100</v>
      </c>
      <c r="L21" s="9">
        <v>70</v>
      </c>
      <c r="M21" s="14">
        <f t="shared" si="2"/>
        <v>74</v>
      </c>
      <c r="N21" s="9">
        <v>70</v>
      </c>
      <c r="O21" s="9">
        <v>75</v>
      </c>
      <c r="P21" s="9">
        <v>50</v>
      </c>
      <c r="Q21" s="14">
        <f t="shared" si="3"/>
        <v>65</v>
      </c>
      <c r="R21" s="9">
        <v>100</v>
      </c>
      <c r="S21" s="9">
        <v>88.5979221887747</v>
      </c>
      <c r="T21" s="9">
        <v>94.2565338493992</v>
      </c>
      <c r="U21" s="9">
        <v>56.3893657584504</v>
      </c>
      <c r="V21" s="9">
        <v>77.0958394662944</v>
      </c>
      <c r="W21" s="9">
        <v>26.0336848488737</v>
      </c>
      <c r="X21" s="9">
        <v>80.9121706774887</v>
      </c>
      <c r="Y21" s="19">
        <f t="shared" si="4"/>
        <v>74.7550738270402</v>
      </c>
      <c r="Z21" s="6">
        <f t="shared" si="5"/>
        <v>75.0917608356169</v>
      </c>
      <c r="AA21" s="9">
        <v>100</v>
      </c>
      <c r="AB21" s="9">
        <v>25</v>
      </c>
      <c r="AC21" s="14">
        <f t="shared" si="6"/>
        <v>62.5</v>
      </c>
      <c r="AD21" s="17">
        <v>1.00450386831743</v>
      </c>
      <c r="AE21" s="9">
        <f t="shared" si="7"/>
        <v>68.5065746704942</v>
      </c>
      <c r="AF21" s="18">
        <f>RANK(AE21,AE$3:AE$298)</f>
        <v>32</v>
      </c>
      <c r="AG21" s="20" t="e">
        <f>#REF!-AF21</f>
        <v>#REF!</v>
      </c>
    </row>
    <row r="22" spans="1:33">
      <c r="A22" s="9" t="s">
        <v>56</v>
      </c>
      <c r="B22" s="9">
        <v>100</v>
      </c>
      <c r="C22" s="9">
        <v>60</v>
      </c>
      <c r="D22" s="9">
        <v>80</v>
      </c>
      <c r="E22" s="9">
        <v>60</v>
      </c>
      <c r="F22" s="13">
        <f t="shared" si="0"/>
        <v>75</v>
      </c>
      <c r="G22" s="14">
        <f t="shared" si="1"/>
        <v>70.1175716887639</v>
      </c>
      <c r="H22" s="9">
        <v>80</v>
      </c>
      <c r="I22" s="9">
        <v>80</v>
      </c>
      <c r="J22" s="9">
        <v>100</v>
      </c>
      <c r="K22" s="9">
        <v>100</v>
      </c>
      <c r="L22" s="9">
        <v>70</v>
      </c>
      <c r="M22" s="14">
        <f t="shared" si="2"/>
        <v>86</v>
      </c>
      <c r="N22" s="9">
        <v>70</v>
      </c>
      <c r="O22" s="9">
        <v>75</v>
      </c>
      <c r="P22" s="9">
        <v>25</v>
      </c>
      <c r="Q22" s="14">
        <f t="shared" si="3"/>
        <v>56.6666666666667</v>
      </c>
      <c r="R22" s="9">
        <v>86.0157016683023</v>
      </c>
      <c r="S22" s="9">
        <v>93.875235229781</v>
      </c>
      <c r="T22" s="9">
        <v>94.6481338142129</v>
      </c>
      <c r="U22" s="9">
        <v>56.2979173647614</v>
      </c>
      <c r="V22" s="9">
        <v>41.0857720999203</v>
      </c>
      <c r="W22" s="9">
        <v>53.5799186883962</v>
      </c>
      <c r="X22" s="9">
        <v>95.7204648425686</v>
      </c>
      <c r="Y22" s="19">
        <f t="shared" si="4"/>
        <v>74.4604491011347</v>
      </c>
      <c r="Z22" s="6">
        <f t="shared" si="5"/>
        <v>69.6131450376849</v>
      </c>
      <c r="AA22" s="9">
        <v>75</v>
      </c>
      <c r="AB22" s="9">
        <v>75</v>
      </c>
      <c r="AC22" s="14">
        <f t="shared" si="6"/>
        <v>75</v>
      </c>
      <c r="AD22" s="17">
        <v>0.934900955850186</v>
      </c>
      <c r="AE22" s="9">
        <f t="shared" si="7"/>
        <v>71.8574578490583</v>
      </c>
      <c r="AF22" s="18">
        <f>RANK(AE22,AE$3:AE$298)</f>
        <v>15</v>
      </c>
      <c r="AG22" s="20" t="e">
        <f>#REF!-AF22</f>
        <v>#REF!</v>
      </c>
    </row>
    <row r="23" spans="1:33">
      <c r="A23" s="9" t="s">
        <v>57</v>
      </c>
      <c r="B23" s="9">
        <v>100</v>
      </c>
      <c r="C23" s="9">
        <v>40</v>
      </c>
      <c r="D23" s="9">
        <v>60</v>
      </c>
      <c r="E23" s="9">
        <v>80</v>
      </c>
      <c r="F23" s="13">
        <f t="shared" si="0"/>
        <v>70</v>
      </c>
      <c r="G23" s="14">
        <f t="shared" si="1"/>
        <v>65.443066909513</v>
      </c>
      <c r="H23" s="9">
        <v>40</v>
      </c>
      <c r="I23" s="9">
        <v>80</v>
      </c>
      <c r="J23" s="9">
        <v>70</v>
      </c>
      <c r="K23" s="9">
        <v>100</v>
      </c>
      <c r="L23" s="9">
        <v>70</v>
      </c>
      <c r="M23" s="14">
        <f t="shared" si="2"/>
        <v>72</v>
      </c>
      <c r="N23" s="9">
        <v>70</v>
      </c>
      <c r="O23" s="9">
        <v>75</v>
      </c>
      <c r="P23" s="9">
        <v>50</v>
      </c>
      <c r="Q23" s="14">
        <f t="shared" si="3"/>
        <v>65</v>
      </c>
      <c r="R23" s="9">
        <v>100</v>
      </c>
      <c r="S23" s="9">
        <v>94.2411802946683</v>
      </c>
      <c r="T23" s="9">
        <v>95.0397337790266</v>
      </c>
      <c r="U23" s="9">
        <v>37.5167035108928</v>
      </c>
      <c r="V23" s="9">
        <v>42.5947653990826</v>
      </c>
      <c r="W23" s="9">
        <v>55.5686807762071</v>
      </c>
      <c r="X23" s="9">
        <v>95.9798214678944</v>
      </c>
      <c r="Y23" s="19">
        <f t="shared" si="4"/>
        <v>74.4201264611103</v>
      </c>
      <c r="Z23" s="6">
        <f t="shared" si="5"/>
        <v>69.5754473629837</v>
      </c>
      <c r="AA23" s="9">
        <v>50</v>
      </c>
      <c r="AB23" s="9">
        <v>75</v>
      </c>
      <c r="AC23" s="14">
        <f t="shared" si="6"/>
        <v>62.5</v>
      </c>
      <c r="AD23" s="17">
        <v>0.934900955850186</v>
      </c>
      <c r="AE23" s="9">
        <f t="shared" si="7"/>
        <v>67.4862475907977</v>
      </c>
      <c r="AF23" s="18">
        <f>RANK(AE23,AE$3:AE$298)</f>
        <v>40</v>
      </c>
      <c r="AG23" s="20" t="e">
        <f>#REF!-AF23</f>
        <v>#REF!</v>
      </c>
    </row>
    <row r="24" spans="1:33">
      <c r="A24" s="9" t="s">
        <v>58</v>
      </c>
      <c r="B24" s="9">
        <v>100</v>
      </c>
      <c r="C24" s="9">
        <v>60</v>
      </c>
      <c r="D24" s="9">
        <v>40</v>
      </c>
      <c r="E24" s="9">
        <v>40</v>
      </c>
      <c r="F24" s="13">
        <f t="shared" si="0"/>
        <v>60</v>
      </c>
      <c r="G24" s="14">
        <f t="shared" si="1"/>
        <v>61.9803910399374</v>
      </c>
      <c r="H24" s="9">
        <v>80</v>
      </c>
      <c r="I24" s="9">
        <v>40</v>
      </c>
      <c r="J24" s="9">
        <v>40</v>
      </c>
      <c r="K24" s="9">
        <v>100</v>
      </c>
      <c r="L24" s="9">
        <v>70</v>
      </c>
      <c r="M24" s="14">
        <f t="shared" si="2"/>
        <v>66</v>
      </c>
      <c r="N24" s="9">
        <v>40</v>
      </c>
      <c r="O24" s="9">
        <v>50</v>
      </c>
      <c r="P24" s="9">
        <v>50</v>
      </c>
      <c r="Q24" s="14">
        <f t="shared" si="3"/>
        <v>46.6666666666667</v>
      </c>
      <c r="R24" s="9">
        <v>94.7809048806555</v>
      </c>
      <c r="S24" s="9">
        <v>88.8097851210779</v>
      </c>
      <c r="T24" s="9">
        <v>93.4733339197718</v>
      </c>
      <c r="U24" s="9">
        <v>60.8474749507868</v>
      </c>
      <c r="V24" s="9">
        <v>66.1213427451138</v>
      </c>
      <c r="W24" s="9">
        <v>19.8645593467615</v>
      </c>
      <c r="X24" s="9">
        <v>96.9544088317271</v>
      </c>
      <c r="Y24" s="19">
        <f t="shared" si="4"/>
        <v>74.4074013994135</v>
      </c>
      <c r="Z24" s="6">
        <f t="shared" si="5"/>
        <v>76.8633305833539</v>
      </c>
      <c r="AA24" s="9">
        <v>50</v>
      </c>
      <c r="AB24" s="9">
        <v>75</v>
      </c>
      <c r="AC24" s="14">
        <f t="shared" si="6"/>
        <v>62.5</v>
      </c>
      <c r="AD24" s="17">
        <v>1.03300651733229</v>
      </c>
      <c r="AE24" s="9">
        <f t="shared" si="7"/>
        <v>65.0300773829937</v>
      </c>
      <c r="AF24" s="18">
        <f>RANK(AE24,AE$3:AE$298)</f>
        <v>54</v>
      </c>
      <c r="AG24" s="20" t="e">
        <f>#REF!-AF24</f>
        <v>#REF!</v>
      </c>
    </row>
    <row r="25" spans="1:33">
      <c r="A25" s="9" t="s">
        <v>59</v>
      </c>
      <c r="B25" s="9">
        <v>100</v>
      </c>
      <c r="C25" s="9">
        <v>40</v>
      </c>
      <c r="D25" s="9">
        <v>80</v>
      </c>
      <c r="E25" s="9">
        <v>60</v>
      </c>
      <c r="F25" s="13">
        <f t="shared" si="0"/>
        <v>70</v>
      </c>
      <c r="G25" s="14">
        <f t="shared" si="1"/>
        <v>67.1129222893229</v>
      </c>
      <c r="H25" s="9">
        <v>100</v>
      </c>
      <c r="I25" s="9">
        <v>80</v>
      </c>
      <c r="J25" s="9">
        <v>100</v>
      </c>
      <c r="K25" s="9">
        <v>100</v>
      </c>
      <c r="L25" s="9">
        <v>70</v>
      </c>
      <c r="M25" s="14">
        <f t="shared" si="2"/>
        <v>90</v>
      </c>
      <c r="N25" s="9">
        <v>70</v>
      </c>
      <c r="O25" s="9">
        <v>75</v>
      </c>
      <c r="P25" s="9">
        <v>25</v>
      </c>
      <c r="Q25" s="14">
        <f t="shared" si="3"/>
        <v>56.6666666666667</v>
      </c>
      <c r="R25" s="9">
        <v>77.5066097213748</v>
      </c>
      <c r="S25" s="9">
        <v>84.5725264750145</v>
      </c>
      <c r="T25" s="9">
        <v>92.820667311749</v>
      </c>
      <c r="U25" s="9">
        <v>56.2979173647614</v>
      </c>
      <c r="V25" s="9">
        <v>84.0920811260471</v>
      </c>
      <c r="W25" s="9">
        <v>41.2355915741339</v>
      </c>
      <c r="X25" s="9">
        <v>83.397119372021</v>
      </c>
      <c r="Y25" s="19">
        <f t="shared" si="4"/>
        <v>74.2746447064431</v>
      </c>
      <c r="Z25" s="6">
        <f t="shared" si="5"/>
        <v>71.2112636892941</v>
      </c>
      <c r="AA25" s="9">
        <v>75</v>
      </c>
      <c r="AB25" s="9">
        <v>50</v>
      </c>
      <c r="AC25" s="14">
        <f t="shared" si="6"/>
        <v>62.5</v>
      </c>
      <c r="AD25" s="17">
        <v>0.958756032704613</v>
      </c>
      <c r="AE25" s="9">
        <f t="shared" si="7"/>
        <v>70.6609635646528</v>
      </c>
      <c r="AF25" s="18">
        <f>RANK(AE25,AE$3:AE$298)</f>
        <v>18</v>
      </c>
      <c r="AG25" s="20" t="e">
        <f>#REF!-AF25</f>
        <v>#REF!</v>
      </c>
    </row>
    <row r="26" spans="1:33">
      <c r="A26" s="9" t="s">
        <v>60</v>
      </c>
      <c r="B26" s="9">
        <v>100</v>
      </c>
      <c r="C26" s="9">
        <v>40</v>
      </c>
      <c r="D26" s="9">
        <v>80</v>
      </c>
      <c r="E26" s="9">
        <v>60</v>
      </c>
      <c r="F26" s="13">
        <f t="shared" si="0"/>
        <v>70</v>
      </c>
      <c r="G26" s="14">
        <f t="shared" si="1"/>
        <v>66.9004088369916</v>
      </c>
      <c r="H26" s="9">
        <v>40</v>
      </c>
      <c r="I26" s="9">
        <v>60</v>
      </c>
      <c r="J26" s="9">
        <v>70</v>
      </c>
      <c r="K26" s="9">
        <v>100</v>
      </c>
      <c r="L26" s="9">
        <v>70</v>
      </c>
      <c r="M26" s="14">
        <f t="shared" si="2"/>
        <v>68</v>
      </c>
      <c r="N26" s="9">
        <v>70</v>
      </c>
      <c r="O26" s="9">
        <v>75</v>
      </c>
      <c r="P26" s="9">
        <v>25</v>
      </c>
      <c r="Q26" s="14">
        <f t="shared" si="3"/>
        <v>56.6666666666667</v>
      </c>
      <c r="R26" s="9">
        <v>57.4549237170596</v>
      </c>
      <c r="S26" s="9">
        <v>92.9122219011302</v>
      </c>
      <c r="T26" s="9">
        <v>96.2145336734676</v>
      </c>
      <c r="U26" s="9">
        <v>68.4319761023643</v>
      </c>
      <c r="V26" s="9">
        <v>70.8540944561229</v>
      </c>
      <c r="W26" s="9">
        <v>39.9216299384335</v>
      </c>
      <c r="X26" s="9">
        <v>93.7846987565359</v>
      </c>
      <c r="Y26" s="19">
        <f t="shared" si="4"/>
        <v>74.2248683635877</v>
      </c>
      <c r="Z26" s="6">
        <f t="shared" si="5"/>
        <v>70.9382005627986</v>
      </c>
      <c r="AA26" s="9">
        <v>75</v>
      </c>
      <c r="AB26" s="9">
        <v>75</v>
      </c>
      <c r="AC26" s="14">
        <f t="shared" si="6"/>
        <v>75</v>
      </c>
      <c r="AD26" s="17">
        <v>0.955720126242737</v>
      </c>
      <c r="AE26" s="9">
        <f t="shared" si="7"/>
        <v>68.0115419362379</v>
      </c>
      <c r="AF26" s="18">
        <f>RANK(AE26,AE$3:AE$298)</f>
        <v>37</v>
      </c>
      <c r="AG26" s="20" t="e">
        <f>#REF!-AF26</f>
        <v>#REF!</v>
      </c>
    </row>
    <row r="27" spans="1:33">
      <c r="A27" s="9" t="s">
        <v>61</v>
      </c>
      <c r="B27" s="9">
        <v>100</v>
      </c>
      <c r="C27" s="9">
        <v>40</v>
      </c>
      <c r="D27" s="9">
        <v>20</v>
      </c>
      <c r="E27" s="9">
        <v>40</v>
      </c>
      <c r="F27" s="13">
        <f t="shared" si="0"/>
        <v>50</v>
      </c>
      <c r="G27" s="14">
        <f t="shared" si="1"/>
        <v>52.0745240298335</v>
      </c>
      <c r="H27" s="9">
        <v>100</v>
      </c>
      <c r="I27" s="9">
        <v>80</v>
      </c>
      <c r="J27" s="9">
        <v>100</v>
      </c>
      <c r="K27" s="9">
        <v>100</v>
      </c>
      <c r="L27" s="9">
        <v>70</v>
      </c>
      <c r="M27" s="14">
        <f t="shared" si="2"/>
        <v>90</v>
      </c>
      <c r="N27" s="9">
        <v>70</v>
      </c>
      <c r="O27" s="9">
        <v>75</v>
      </c>
      <c r="P27" s="9">
        <v>25</v>
      </c>
      <c r="Q27" s="14">
        <f t="shared" si="3"/>
        <v>56.6666666666667</v>
      </c>
      <c r="R27" s="9">
        <v>90.0500086221762</v>
      </c>
      <c r="S27" s="9">
        <v>84.7651291407446</v>
      </c>
      <c r="T27" s="9">
        <v>92.4290673469353</v>
      </c>
      <c r="U27" s="9">
        <v>57.0923752849342</v>
      </c>
      <c r="V27" s="9">
        <v>78.9477857879937</v>
      </c>
      <c r="W27" s="9">
        <v>18.8545170837735</v>
      </c>
      <c r="X27" s="9">
        <v>94.103070187368</v>
      </c>
      <c r="Y27" s="19">
        <f t="shared" si="4"/>
        <v>73.7488504934179</v>
      </c>
      <c r="Z27" s="6">
        <f t="shared" si="5"/>
        <v>76.8087257438418</v>
      </c>
      <c r="AA27" s="9">
        <v>75</v>
      </c>
      <c r="AB27" s="9">
        <v>50</v>
      </c>
      <c r="AC27" s="14">
        <f t="shared" si="6"/>
        <v>62.5</v>
      </c>
      <c r="AD27" s="17">
        <v>1.04149048059667</v>
      </c>
      <c r="AE27" s="9">
        <f t="shared" si="7"/>
        <v>69.3325225291192</v>
      </c>
      <c r="AF27" s="18">
        <f>RANK(AE27,AE$3:AE$298)</f>
        <v>27</v>
      </c>
      <c r="AG27" s="20" t="e">
        <f>#REF!-AF27</f>
        <v>#REF!</v>
      </c>
    </row>
    <row r="28" spans="1:33">
      <c r="A28" s="9" t="s">
        <v>62</v>
      </c>
      <c r="B28" s="9">
        <v>80</v>
      </c>
      <c r="C28" s="9">
        <v>40</v>
      </c>
      <c r="D28" s="9">
        <v>60</v>
      </c>
      <c r="E28" s="9">
        <v>80</v>
      </c>
      <c r="F28" s="13">
        <f t="shared" si="0"/>
        <v>65</v>
      </c>
      <c r="G28" s="14">
        <f t="shared" si="1"/>
        <v>62.2748050244544</v>
      </c>
      <c r="H28" s="9">
        <v>60</v>
      </c>
      <c r="I28" s="9">
        <v>60</v>
      </c>
      <c r="J28" s="9">
        <v>70</v>
      </c>
      <c r="K28" s="9">
        <v>100</v>
      </c>
      <c r="L28" s="9">
        <v>30</v>
      </c>
      <c r="M28" s="14">
        <f t="shared" si="2"/>
        <v>64</v>
      </c>
      <c r="N28" s="9">
        <v>70</v>
      </c>
      <c r="O28" s="9">
        <v>75</v>
      </c>
      <c r="P28" s="9">
        <v>50</v>
      </c>
      <c r="Q28" s="14">
        <f t="shared" si="3"/>
        <v>65</v>
      </c>
      <c r="R28" s="9">
        <v>100</v>
      </c>
      <c r="S28" s="9">
        <v>84.3414032761383</v>
      </c>
      <c r="T28" s="9">
        <v>92.820667311749</v>
      </c>
      <c r="U28" s="9">
        <v>18.9298174936132</v>
      </c>
      <c r="V28" s="9">
        <v>85.875436843239</v>
      </c>
      <c r="W28" s="9">
        <v>37.1719747941396</v>
      </c>
      <c r="X28" s="9">
        <v>96.3911843741027</v>
      </c>
      <c r="Y28" s="19">
        <f t="shared" si="4"/>
        <v>73.6472120132831</v>
      </c>
      <c r="Z28" s="6">
        <f t="shared" si="5"/>
        <v>70.5594733649517</v>
      </c>
      <c r="AA28" s="9">
        <v>50</v>
      </c>
      <c r="AB28" s="9">
        <v>75</v>
      </c>
      <c r="AC28" s="14">
        <f t="shared" si="6"/>
        <v>62.5</v>
      </c>
      <c r="AD28" s="17">
        <v>0.958073923453144</v>
      </c>
      <c r="AE28" s="9">
        <f t="shared" si="7"/>
        <v>65.5478030143764</v>
      </c>
      <c r="AF28" s="18">
        <f>RANK(AE28,AE$3:AE$298)</f>
        <v>51</v>
      </c>
      <c r="AG28" s="20" t="e">
        <f>#REF!-AF28</f>
        <v>#REF!</v>
      </c>
    </row>
    <row r="29" spans="1:33">
      <c r="A29" s="9" t="s">
        <v>63</v>
      </c>
      <c r="B29" s="9">
        <v>100</v>
      </c>
      <c r="C29" s="9">
        <v>60</v>
      </c>
      <c r="D29" s="9">
        <v>60</v>
      </c>
      <c r="E29" s="9">
        <v>40</v>
      </c>
      <c r="F29" s="13">
        <f t="shared" si="0"/>
        <v>65</v>
      </c>
      <c r="G29" s="14">
        <f t="shared" si="1"/>
        <v>67.4932445183029</v>
      </c>
      <c r="H29" s="9">
        <v>20</v>
      </c>
      <c r="I29" s="9">
        <v>20</v>
      </c>
      <c r="J29" s="9">
        <v>70</v>
      </c>
      <c r="K29" s="9">
        <v>100</v>
      </c>
      <c r="L29" s="9">
        <v>30</v>
      </c>
      <c r="M29" s="14">
        <f t="shared" si="2"/>
        <v>48</v>
      </c>
      <c r="N29" s="9">
        <v>70</v>
      </c>
      <c r="O29" s="9">
        <v>50</v>
      </c>
      <c r="P29" s="9">
        <v>50</v>
      </c>
      <c r="Q29" s="14">
        <f t="shared" si="3"/>
        <v>56.6666666666667</v>
      </c>
      <c r="R29" s="9">
        <v>100</v>
      </c>
      <c r="S29" s="9">
        <v>87.5193472606858</v>
      </c>
      <c r="T29" s="9">
        <v>90.8626674876805</v>
      </c>
      <c r="U29" s="9">
        <v>54.1831732607044</v>
      </c>
      <c r="V29" s="9">
        <v>51.2371815670124</v>
      </c>
      <c r="W29" s="9">
        <v>18.6260765598324</v>
      </c>
      <c r="X29" s="9">
        <v>96.3592470215373</v>
      </c>
      <c r="Y29" s="19">
        <f t="shared" si="4"/>
        <v>71.255384736779</v>
      </c>
      <c r="Z29" s="6">
        <f t="shared" si="5"/>
        <v>73.988570850541</v>
      </c>
      <c r="AA29" s="9">
        <v>75</v>
      </c>
      <c r="AB29" s="9">
        <v>75</v>
      </c>
      <c r="AC29" s="14">
        <f t="shared" si="6"/>
        <v>75</v>
      </c>
      <c r="AD29" s="17">
        <v>1.03835760797389</v>
      </c>
      <c r="AE29" s="9">
        <f t="shared" si="7"/>
        <v>65.0452201588229</v>
      </c>
      <c r="AF29" s="18">
        <f>RANK(AE29,AE$3:AE$298)</f>
        <v>53</v>
      </c>
      <c r="AG29" s="20" t="e">
        <f>#REF!-AF29</f>
        <v>#REF!</v>
      </c>
    </row>
    <row r="30" spans="1:33">
      <c r="A30" s="9" t="s">
        <v>64</v>
      </c>
      <c r="B30" s="9">
        <v>100</v>
      </c>
      <c r="C30" s="9">
        <v>40</v>
      </c>
      <c r="D30" s="9">
        <v>60</v>
      </c>
      <c r="E30" s="9">
        <v>60</v>
      </c>
      <c r="F30" s="13">
        <f t="shared" si="0"/>
        <v>65</v>
      </c>
      <c r="G30" s="14">
        <f t="shared" si="1"/>
        <v>64.9314023377162</v>
      </c>
      <c r="H30" s="9">
        <v>40</v>
      </c>
      <c r="I30" s="9">
        <v>40</v>
      </c>
      <c r="J30" s="9">
        <v>70</v>
      </c>
      <c r="K30" s="9">
        <v>70</v>
      </c>
      <c r="L30" s="9">
        <v>30</v>
      </c>
      <c r="M30" s="14">
        <f t="shared" si="2"/>
        <v>50</v>
      </c>
      <c r="N30" s="9">
        <v>70</v>
      </c>
      <c r="O30" s="9">
        <v>50</v>
      </c>
      <c r="P30" s="9">
        <v>50</v>
      </c>
      <c r="Q30" s="14">
        <f t="shared" si="3"/>
        <v>56.6666666666667</v>
      </c>
      <c r="R30" s="9">
        <v>100</v>
      </c>
      <c r="S30" s="9">
        <v>91.9299483059064</v>
      </c>
      <c r="T30" s="9">
        <v>94.1260005277946</v>
      </c>
      <c r="U30" s="9">
        <v>31.8697652006</v>
      </c>
      <c r="V30" s="9">
        <v>51.0314097534903</v>
      </c>
      <c r="W30" s="9">
        <v>26.7622453082643</v>
      </c>
      <c r="X30" s="9">
        <v>94.579053163211</v>
      </c>
      <c r="Y30" s="19">
        <f t="shared" si="4"/>
        <v>70.0426317513238</v>
      </c>
      <c r="Z30" s="6">
        <f t="shared" si="5"/>
        <v>69.9687123544262</v>
      </c>
      <c r="AA30" s="9">
        <v>50</v>
      </c>
      <c r="AB30" s="9">
        <v>100</v>
      </c>
      <c r="AC30" s="14">
        <f t="shared" si="6"/>
        <v>75</v>
      </c>
      <c r="AD30" s="17">
        <v>0.99894465134948</v>
      </c>
      <c r="AE30" s="9">
        <f t="shared" si="7"/>
        <v>63.7268941738711</v>
      </c>
      <c r="AF30" s="18">
        <f>RANK(AE30,AE$3:AE$298)</f>
        <v>60</v>
      </c>
      <c r="AG30" s="20" t="e">
        <f>#REF!-AF30</f>
        <v>#REF!</v>
      </c>
    </row>
    <row r="31" spans="1:33">
      <c r="A31" s="9" t="s">
        <v>65</v>
      </c>
      <c r="B31" s="9">
        <v>100</v>
      </c>
      <c r="C31" s="9">
        <v>60</v>
      </c>
      <c r="D31" s="9">
        <v>80</v>
      </c>
      <c r="E31" s="9">
        <v>60</v>
      </c>
      <c r="F31" s="13">
        <f t="shared" si="0"/>
        <v>75</v>
      </c>
      <c r="G31" s="14">
        <f t="shared" si="1"/>
        <v>70.8363909046775</v>
      </c>
      <c r="H31" s="9">
        <v>80</v>
      </c>
      <c r="I31" s="9">
        <v>100</v>
      </c>
      <c r="J31" s="9">
        <v>70</v>
      </c>
      <c r="K31" s="9">
        <v>100</v>
      </c>
      <c r="L31" s="9">
        <v>70</v>
      </c>
      <c r="M31" s="14">
        <f t="shared" si="2"/>
        <v>84</v>
      </c>
      <c r="N31" s="9">
        <v>40</v>
      </c>
      <c r="O31" s="9">
        <v>75</v>
      </c>
      <c r="P31" s="9">
        <v>25</v>
      </c>
      <c r="Q31" s="14">
        <f t="shared" si="3"/>
        <v>46.6666666666667</v>
      </c>
      <c r="R31" s="9">
        <v>100</v>
      </c>
      <c r="S31" s="9">
        <v>86.5370736654621</v>
      </c>
      <c r="T31" s="9">
        <v>87.3382678043573</v>
      </c>
      <c r="U31" s="9">
        <v>36.5907885247921</v>
      </c>
      <c r="V31" s="9">
        <v>37.9306042925808</v>
      </c>
      <c r="W31" s="9">
        <v>47.1039772355389</v>
      </c>
      <c r="X31" s="9">
        <v>94.6601697796762</v>
      </c>
      <c r="Y31" s="19">
        <f t="shared" si="4"/>
        <v>70.0229830432011</v>
      </c>
      <c r="Z31" s="6">
        <f t="shared" si="5"/>
        <v>66.1356719887973</v>
      </c>
      <c r="AA31" s="9">
        <v>75</v>
      </c>
      <c r="AB31" s="9">
        <v>50</v>
      </c>
      <c r="AC31" s="14">
        <f t="shared" si="6"/>
        <v>62.5</v>
      </c>
      <c r="AD31" s="17">
        <v>0.944485212062367</v>
      </c>
      <c r="AE31" s="9">
        <f t="shared" si="7"/>
        <v>67.1829797775747</v>
      </c>
      <c r="AF31" s="18">
        <f>RANK(AE31,AE$3:AE$298)</f>
        <v>43</v>
      </c>
      <c r="AG31" s="20" t="e">
        <f>#REF!-AF31</f>
        <v>#REF!</v>
      </c>
    </row>
    <row r="32" spans="1:33">
      <c r="A32" s="9" t="s">
        <v>66</v>
      </c>
      <c r="B32" s="9">
        <v>100</v>
      </c>
      <c r="C32" s="9">
        <v>80</v>
      </c>
      <c r="D32" s="9">
        <v>40</v>
      </c>
      <c r="E32" s="9">
        <v>80</v>
      </c>
      <c r="F32" s="13">
        <f t="shared" si="0"/>
        <v>75</v>
      </c>
      <c r="G32" s="14">
        <f t="shared" si="1"/>
        <v>74.8170066807421</v>
      </c>
      <c r="H32" s="9">
        <v>40</v>
      </c>
      <c r="I32" s="9">
        <v>80</v>
      </c>
      <c r="J32" s="9">
        <v>70</v>
      </c>
      <c r="K32" s="9">
        <v>100</v>
      </c>
      <c r="L32" s="9">
        <v>70</v>
      </c>
      <c r="M32" s="14">
        <f t="shared" si="2"/>
        <v>72</v>
      </c>
      <c r="N32" s="9">
        <v>70</v>
      </c>
      <c r="O32" s="9">
        <v>75</v>
      </c>
      <c r="P32" s="9">
        <v>25</v>
      </c>
      <c r="Q32" s="14">
        <f t="shared" si="3"/>
        <v>56.6666666666667</v>
      </c>
      <c r="R32" s="9">
        <v>100</v>
      </c>
      <c r="S32" s="9">
        <v>90.3313461803461</v>
      </c>
      <c r="T32" s="9">
        <v>92.6901339901444</v>
      </c>
      <c r="U32" s="9">
        <v>33.0528787939508</v>
      </c>
      <c r="V32" s="9">
        <v>48.8365104092541</v>
      </c>
      <c r="W32" s="9">
        <v>32.4792630935112</v>
      </c>
      <c r="X32" s="9">
        <v>91.749550042691</v>
      </c>
      <c r="Y32" s="19">
        <f t="shared" si="4"/>
        <v>69.8770975014139</v>
      </c>
      <c r="Z32" s="6">
        <f t="shared" si="5"/>
        <v>69.706603607922</v>
      </c>
      <c r="AA32" s="9">
        <v>50</v>
      </c>
      <c r="AB32" s="9">
        <v>75</v>
      </c>
      <c r="AC32" s="14">
        <f t="shared" si="6"/>
        <v>62.5</v>
      </c>
      <c r="AD32" s="17">
        <v>0.997560089076561</v>
      </c>
      <c r="AE32" s="9">
        <f t="shared" si="7"/>
        <v>68.150382418525</v>
      </c>
      <c r="AF32" s="18">
        <f>RANK(AE32,AE$3:AE$298)</f>
        <v>35</v>
      </c>
      <c r="AG32" s="20" t="e">
        <f>#REF!-AF32</f>
        <v>#REF!</v>
      </c>
    </row>
    <row r="33" spans="1:33">
      <c r="A33" s="9" t="s">
        <v>67</v>
      </c>
      <c r="B33" s="9">
        <v>100</v>
      </c>
      <c r="C33" s="9">
        <v>20</v>
      </c>
      <c r="D33" s="9">
        <v>20</v>
      </c>
      <c r="E33" s="9">
        <v>60</v>
      </c>
      <c r="F33" s="13">
        <f t="shared" si="0"/>
        <v>50</v>
      </c>
      <c r="G33" s="14">
        <f t="shared" si="1"/>
        <v>49.3258233310708</v>
      </c>
      <c r="H33" s="9">
        <v>80</v>
      </c>
      <c r="I33" s="9">
        <v>60</v>
      </c>
      <c r="J33" s="9">
        <v>70</v>
      </c>
      <c r="K33" s="9">
        <v>100</v>
      </c>
      <c r="L33" s="9">
        <v>30</v>
      </c>
      <c r="M33" s="14">
        <f t="shared" si="2"/>
        <v>68</v>
      </c>
      <c r="N33" s="9">
        <v>70</v>
      </c>
      <c r="O33" s="9">
        <v>75</v>
      </c>
      <c r="P33" s="9">
        <v>25</v>
      </c>
      <c r="Q33" s="14">
        <f t="shared" si="3"/>
        <v>56.6666666666667</v>
      </c>
      <c r="R33" s="9">
        <v>68.6698995497056</v>
      </c>
      <c r="S33" s="9">
        <v>73.1126678640701</v>
      </c>
      <c r="T33" s="9">
        <v>87.9909344123801</v>
      </c>
      <c r="U33" s="9">
        <v>43.6380303634471</v>
      </c>
      <c r="V33" s="9">
        <v>89.4421482776227</v>
      </c>
      <c r="W33" s="9">
        <v>28.6544415167999</v>
      </c>
      <c r="X33" s="9">
        <v>96.3730469740694</v>
      </c>
      <c r="Y33" s="19">
        <f t="shared" si="4"/>
        <v>69.6973098511564</v>
      </c>
      <c r="Z33" s="6">
        <f t="shared" si="5"/>
        <v>68.7575438473808</v>
      </c>
      <c r="AA33" s="9">
        <v>100</v>
      </c>
      <c r="AB33" s="9">
        <v>50</v>
      </c>
      <c r="AC33" s="14">
        <f t="shared" si="6"/>
        <v>75</v>
      </c>
      <c r="AD33" s="17">
        <v>0.986516466621416</v>
      </c>
      <c r="AE33" s="9">
        <f t="shared" si="7"/>
        <v>63.8424278204284</v>
      </c>
      <c r="AF33" s="18">
        <f>RANK(AE33,AE$3:AE$298)</f>
        <v>59</v>
      </c>
      <c r="AG33" s="20" t="e">
        <f>#REF!-AF33</f>
        <v>#REF!</v>
      </c>
    </row>
    <row r="34" spans="1:33">
      <c r="A34" s="9" t="s">
        <v>68</v>
      </c>
      <c r="B34" s="9">
        <v>80</v>
      </c>
      <c r="C34" s="9">
        <v>60</v>
      </c>
      <c r="D34" s="9">
        <v>80</v>
      </c>
      <c r="E34" s="9">
        <v>60</v>
      </c>
      <c r="F34" s="13">
        <f t="shared" si="0"/>
        <v>70</v>
      </c>
      <c r="G34" s="14">
        <f t="shared" si="1"/>
        <v>65.443066909513</v>
      </c>
      <c r="H34" s="9">
        <v>80</v>
      </c>
      <c r="I34" s="9">
        <v>80</v>
      </c>
      <c r="J34" s="9">
        <v>70</v>
      </c>
      <c r="K34" s="9">
        <v>100</v>
      </c>
      <c r="L34" s="9">
        <v>70</v>
      </c>
      <c r="M34" s="14">
        <f t="shared" si="2"/>
        <v>80</v>
      </c>
      <c r="N34" s="9">
        <v>70</v>
      </c>
      <c r="O34" s="9">
        <v>75</v>
      </c>
      <c r="P34" s="9">
        <v>25</v>
      </c>
      <c r="Q34" s="14">
        <f t="shared" si="3"/>
        <v>56.6666666666667</v>
      </c>
      <c r="R34" s="9">
        <v>100</v>
      </c>
      <c r="S34" s="9">
        <v>87.8275115258541</v>
      </c>
      <c r="T34" s="9">
        <v>83.6833347994295</v>
      </c>
      <c r="U34" s="9">
        <v>28.6576403722755</v>
      </c>
      <c r="V34" s="9">
        <v>23.5265773460311</v>
      </c>
      <c r="W34" s="9">
        <v>79.5541251116899</v>
      </c>
      <c r="X34" s="9">
        <v>84.5940937742475</v>
      </c>
      <c r="Y34" s="19">
        <f t="shared" si="4"/>
        <v>69.6918975613611</v>
      </c>
      <c r="Z34" s="6">
        <f t="shared" si="5"/>
        <v>65.1550216451297</v>
      </c>
      <c r="AA34" s="9">
        <v>25</v>
      </c>
      <c r="AB34" s="9">
        <v>75</v>
      </c>
      <c r="AC34" s="14">
        <f t="shared" si="6"/>
        <v>50</v>
      </c>
      <c r="AD34" s="17">
        <v>0.934900955850186</v>
      </c>
      <c r="AE34" s="9">
        <f t="shared" si="7"/>
        <v>64.6351198754415</v>
      </c>
      <c r="AF34" s="18">
        <f>RANK(AE34,AE$3:AE$298)</f>
        <v>56</v>
      </c>
      <c r="AG34" s="20" t="e">
        <f>#REF!-AF34</f>
        <v>#REF!</v>
      </c>
    </row>
    <row r="35" spans="1:33">
      <c r="A35" s="9" t="s">
        <v>69</v>
      </c>
      <c r="B35" s="9">
        <v>80</v>
      </c>
      <c r="C35" s="9">
        <v>40</v>
      </c>
      <c r="D35" s="9">
        <v>20</v>
      </c>
      <c r="E35" s="9">
        <v>60</v>
      </c>
      <c r="F35" s="13">
        <f t="shared" si="0"/>
        <v>50</v>
      </c>
      <c r="G35" s="14">
        <f t="shared" si="1"/>
        <v>49.0618887898777</v>
      </c>
      <c r="H35" s="9">
        <v>100</v>
      </c>
      <c r="I35" s="9">
        <v>100</v>
      </c>
      <c r="J35" s="9">
        <v>100</v>
      </c>
      <c r="K35" s="9">
        <v>100</v>
      </c>
      <c r="L35" s="9">
        <v>70</v>
      </c>
      <c r="M35" s="14">
        <f t="shared" si="2"/>
        <v>94</v>
      </c>
      <c r="N35" s="9">
        <v>70</v>
      </c>
      <c r="O35" s="9">
        <v>75</v>
      </c>
      <c r="P35" s="9">
        <v>25</v>
      </c>
      <c r="Q35" s="14">
        <f t="shared" si="3"/>
        <v>56.6666666666667</v>
      </c>
      <c r="R35" s="9">
        <v>89.0159445965534</v>
      </c>
      <c r="S35" s="9">
        <v>82.1072123536684</v>
      </c>
      <c r="T35" s="9">
        <v>89.1657343068212</v>
      </c>
      <c r="U35" s="9">
        <v>43.7009011341082</v>
      </c>
      <c r="V35" s="9">
        <v>63.5148997738333</v>
      </c>
      <c r="W35" s="9">
        <v>34.1420577201299</v>
      </c>
      <c r="X35" s="9">
        <v>84.9450238052577</v>
      </c>
      <c r="Y35" s="19">
        <f t="shared" si="4"/>
        <v>69.513110527196</v>
      </c>
      <c r="Z35" s="6">
        <f t="shared" si="5"/>
        <v>68.2088899624754</v>
      </c>
      <c r="AA35" s="9">
        <v>75</v>
      </c>
      <c r="AB35" s="9">
        <v>50</v>
      </c>
      <c r="AC35" s="14">
        <f t="shared" si="6"/>
        <v>62.5</v>
      </c>
      <c r="AD35" s="17">
        <v>0.981237775797554</v>
      </c>
      <c r="AE35" s="9">
        <f t="shared" si="7"/>
        <v>66.9500447467181</v>
      </c>
      <c r="AF35" s="18">
        <f>RANK(AE35,AE$3:AE$298)</f>
        <v>44</v>
      </c>
      <c r="AG35" s="20" t="e">
        <f>#REF!-AF35</f>
        <v>#REF!</v>
      </c>
    </row>
    <row r="36" spans="1:33">
      <c r="A36" s="9" t="s">
        <v>70</v>
      </c>
      <c r="B36" s="9">
        <v>100</v>
      </c>
      <c r="C36" s="9">
        <v>60</v>
      </c>
      <c r="D36" s="9">
        <v>60</v>
      </c>
      <c r="E36" s="9">
        <v>60</v>
      </c>
      <c r="F36" s="13">
        <f t="shared" si="0"/>
        <v>70</v>
      </c>
      <c r="G36" s="14">
        <f t="shared" si="1"/>
        <v>71.7271421791575</v>
      </c>
      <c r="H36" s="9">
        <v>100</v>
      </c>
      <c r="I36" s="9">
        <v>100</v>
      </c>
      <c r="J36" s="9">
        <v>100</v>
      </c>
      <c r="K36" s="9">
        <v>100</v>
      </c>
      <c r="L36" s="9">
        <v>70</v>
      </c>
      <c r="M36" s="14">
        <f t="shared" si="2"/>
        <v>94</v>
      </c>
      <c r="N36" s="9">
        <v>70</v>
      </c>
      <c r="O36" s="9">
        <v>75</v>
      </c>
      <c r="P36" s="9">
        <v>25</v>
      </c>
      <c r="Q36" s="14">
        <f t="shared" si="3"/>
        <v>56.6666666666667</v>
      </c>
      <c r="R36" s="9">
        <v>99.9530626613471</v>
      </c>
      <c r="S36" s="9">
        <v>85.5933206033843</v>
      </c>
      <c r="T36" s="9">
        <v>90.6016008444714</v>
      </c>
      <c r="U36" s="9">
        <v>30.5209013936879</v>
      </c>
      <c r="V36" s="9">
        <v>57.9590608087356</v>
      </c>
      <c r="W36" s="9">
        <v>21.2285282340634</v>
      </c>
      <c r="X36" s="9">
        <v>95.8009826295665</v>
      </c>
      <c r="Y36" s="19">
        <f t="shared" si="4"/>
        <v>68.8082081678938</v>
      </c>
      <c r="Z36" s="6">
        <f t="shared" si="5"/>
        <v>70.5059447193083</v>
      </c>
      <c r="AA36" s="9">
        <v>50</v>
      </c>
      <c r="AB36" s="9">
        <v>75</v>
      </c>
      <c r="AC36" s="14">
        <f t="shared" si="6"/>
        <v>62.5</v>
      </c>
      <c r="AD36" s="17">
        <v>1.02467345970225</v>
      </c>
      <c r="AE36" s="9">
        <f t="shared" si="7"/>
        <v>72.172211851624</v>
      </c>
      <c r="AF36" s="18">
        <f>RANK(AE36,AE$3:AE$298)</f>
        <v>14</v>
      </c>
      <c r="AG36" s="20" t="e">
        <f>#REF!-AF36</f>
        <v>#REF!</v>
      </c>
    </row>
    <row r="37" spans="1:33">
      <c r="A37" s="9" t="s">
        <v>71</v>
      </c>
      <c r="B37" s="9">
        <v>100</v>
      </c>
      <c r="C37" s="9">
        <v>40</v>
      </c>
      <c r="D37" s="9">
        <v>40</v>
      </c>
      <c r="E37" s="9">
        <v>60</v>
      </c>
      <c r="F37" s="13">
        <f t="shared" si="0"/>
        <v>60</v>
      </c>
      <c r="G37" s="14">
        <f t="shared" si="1"/>
        <v>59.5809532522215</v>
      </c>
      <c r="H37" s="9">
        <v>100</v>
      </c>
      <c r="I37" s="9">
        <v>100</v>
      </c>
      <c r="J37" s="9">
        <v>100</v>
      </c>
      <c r="K37" s="9">
        <v>100</v>
      </c>
      <c r="L37" s="9">
        <v>70</v>
      </c>
      <c r="M37" s="14">
        <f t="shared" si="2"/>
        <v>94</v>
      </c>
      <c r="N37" s="9">
        <v>70</v>
      </c>
      <c r="O37" s="9">
        <v>75</v>
      </c>
      <c r="P37" s="9">
        <v>25</v>
      </c>
      <c r="Q37" s="14">
        <f t="shared" si="3"/>
        <v>56.6666666666667</v>
      </c>
      <c r="R37" s="9">
        <v>94.9574600539531</v>
      </c>
      <c r="S37" s="9">
        <v>82.2998150193986</v>
      </c>
      <c r="T37" s="9">
        <v>89.6878675932394</v>
      </c>
      <c r="U37" s="9">
        <v>33.3272239750177</v>
      </c>
      <c r="V37" s="9">
        <v>66.0527521406064</v>
      </c>
      <c r="W37" s="9">
        <v>27.9825432202341</v>
      </c>
      <c r="X37" s="9">
        <v>82.2735906566246</v>
      </c>
      <c r="Y37" s="19">
        <f t="shared" si="4"/>
        <v>68.0830360941534</v>
      </c>
      <c r="Z37" s="6">
        <f t="shared" si="5"/>
        <v>67.6075365132511</v>
      </c>
      <c r="AA37" s="9">
        <v>75</v>
      </c>
      <c r="AB37" s="9">
        <v>100</v>
      </c>
      <c r="AC37" s="14">
        <f t="shared" si="6"/>
        <v>87.5</v>
      </c>
      <c r="AD37" s="17">
        <v>0.993015887537025</v>
      </c>
      <c r="AE37" s="9">
        <f t="shared" si="7"/>
        <v>72.6234516044196</v>
      </c>
      <c r="AF37" s="18">
        <f>RANK(AE37,AE$3:AE$298)</f>
        <v>12</v>
      </c>
      <c r="AG37" s="20" t="e">
        <f>#REF!-AF37</f>
        <v>#REF!</v>
      </c>
    </row>
    <row r="38" spans="1:33">
      <c r="A38" s="9" t="s">
        <v>72</v>
      </c>
      <c r="B38" s="9">
        <v>100</v>
      </c>
      <c r="C38" s="9">
        <v>60</v>
      </c>
      <c r="D38" s="9">
        <v>60</v>
      </c>
      <c r="E38" s="9">
        <v>40</v>
      </c>
      <c r="F38" s="13">
        <f t="shared" si="0"/>
        <v>65</v>
      </c>
      <c r="G38" s="14">
        <f t="shared" si="1"/>
        <v>64.0051293030069</v>
      </c>
      <c r="H38" s="9">
        <v>20</v>
      </c>
      <c r="I38" s="9">
        <v>100</v>
      </c>
      <c r="J38" s="9">
        <v>70</v>
      </c>
      <c r="K38" s="9">
        <v>70</v>
      </c>
      <c r="L38" s="9">
        <v>70</v>
      </c>
      <c r="M38" s="14">
        <f t="shared" si="2"/>
        <v>66</v>
      </c>
      <c r="N38" s="9">
        <v>40</v>
      </c>
      <c r="O38" s="9">
        <v>75</v>
      </c>
      <c r="P38" s="9">
        <v>25</v>
      </c>
      <c r="Q38" s="14">
        <f t="shared" si="3"/>
        <v>46.6666666666667</v>
      </c>
      <c r="R38" s="9">
        <v>100</v>
      </c>
      <c r="S38" s="9">
        <v>88.3667989898985</v>
      </c>
      <c r="T38" s="9">
        <v>92.5596006685398</v>
      </c>
      <c r="U38" s="9">
        <v>16.2778140766336</v>
      </c>
      <c r="V38" s="9">
        <v>59.1936916898684</v>
      </c>
      <c r="W38" s="9">
        <v>35.6382807833707</v>
      </c>
      <c r="X38" s="9">
        <v>84.4502357485145</v>
      </c>
      <c r="Y38" s="19">
        <f t="shared" si="4"/>
        <v>68.0694888509751</v>
      </c>
      <c r="Z38" s="6">
        <f t="shared" si="5"/>
        <v>67.027637469173</v>
      </c>
      <c r="AA38" s="9">
        <v>25</v>
      </c>
      <c r="AB38" s="9">
        <v>75</v>
      </c>
      <c r="AC38" s="14">
        <f t="shared" si="6"/>
        <v>50</v>
      </c>
      <c r="AD38" s="17">
        <v>0.984694296969337</v>
      </c>
      <c r="AE38" s="9">
        <f t="shared" si="7"/>
        <v>60.6093171013533</v>
      </c>
      <c r="AF38" s="18">
        <f>RANK(AE38,AE$3:AE$298)</f>
        <v>89</v>
      </c>
      <c r="AG38" s="20" t="e">
        <f>#REF!-AF38</f>
        <v>#REF!</v>
      </c>
    </row>
    <row r="39" spans="1:33">
      <c r="A39" s="9" t="s">
        <v>73</v>
      </c>
      <c r="B39" s="9">
        <v>100</v>
      </c>
      <c r="C39" s="9">
        <v>80</v>
      </c>
      <c r="D39" s="9">
        <v>20</v>
      </c>
      <c r="E39" s="9">
        <v>60</v>
      </c>
      <c r="F39" s="13">
        <f t="shared" si="0"/>
        <v>65</v>
      </c>
      <c r="G39" s="14">
        <f t="shared" si="1"/>
        <v>65.2275001912664</v>
      </c>
      <c r="H39" s="9">
        <v>80</v>
      </c>
      <c r="I39" s="9">
        <v>80</v>
      </c>
      <c r="J39" s="9">
        <v>70</v>
      </c>
      <c r="K39" s="9">
        <v>100</v>
      </c>
      <c r="L39" s="9">
        <v>70</v>
      </c>
      <c r="M39" s="14">
        <f t="shared" si="2"/>
        <v>80</v>
      </c>
      <c r="N39" s="9">
        <v>70</v>
      </c>
      <c r="O39" s="9">
        <v>75</v>
      </c>
      <c r="P39" s="9">
        <v>25</v>
      </c>
      <c r="Q39" s="14">
        <f t="shared" si="3"/>
        <v>56.6666666666667</v>
      </c>
      <c r="R39" s="9">
        <v>95.2577975811585</v>
      </c>
      <c r="S39" s="9">
        <v>85.0155126061938</v>
      </c>
      <c r="T39" s="9">
        <v>90.6016008444714</v>
      </c>
      <c r="U39" s="9">
        <v>23.3822111613441</v>
      </c>
      <c r="V39" s="9">
        <v>60.7712755935381</v>
      </c>
      <c r="W39" s="9">
        <v>30.6600963273046</v>
      </c>
      <c r="X39" s="9">
        <v>90.4429396358422</v>
      </c>
      <c r="Y39" s="19">
        <f t="shared" si="4"/>
        <v>68.018776249979</v>
      </c>
      <c r="Z39" s="6">
        <f t="shared" si="5"/>
        <v>68.2568421670032</v>
      </c>
      <c r="AA39" s="9">
        <v>100</v>
      </c>
      <c r="AB39" s="9">
        <v>50</v>
      </c>
      <c r="AC39" s="14">
        <f t="shared" si="6"/>
        <v>75</v>
      </c>
      <c r="AD39" s="17">
        <v>1.00350000294256</v>
      </c>
      <c r="AE39" s="9">
        <f t="shared" si="7"/>
        <v>69.2725526883543</v>
      </c>
      <c r="AF39" s="18">
        <f>RANK(AE39,AE$3:AE$298)</f>
        <v>28</v>
      </c>
      <c r="AG39" s="20" t="e">
        <f>#REF!-AF39</f>
        <v>#REF!</v>
      </c>
    </row>
    <row r="40" spans="1:33">
      <c r="A40" s="9" t="s">
        <v>74</v>
      </c>
      <c r="B40" s="9">
        <v>80</v>
      </c>
      <c r="C40" s="9">
        <v>60</v>
      </c>
      <c r="D40" s="9">
        <v>60</v>
      </c>
      <c r="E40" s="9">
        <v>60</v>
      </c>
      <c r="F40" s="13">
        <f t="shared" si="0"/>
        <v>65</v>
      </c>
      <c r="G40" s="14">
        <f t="shared" si="1"/>
        <v>61.659059175851</v>
      </c>
      <c r="H40" s="9">
        <v>100</v>
      </c>
      <c r="I40" s="9">
        <v>80</v>
      </c>
      <c r="J40" s="9">
        <v>100</v>
      </c>
      <c r="K40" s="9">
        <v>100</v>
      </c>
      <c r="L40" s="9">
        <v>70</v>
      </c>
      <c r="M40" s="14">
        <f t="shared" si="2"/>
        <v>90</v>
      </c>
      <c r="N40" s="9">
        <v>70</v>
      </c>
      <c r="O40" s="9">
        <v>100</v>
      </c>
      <c r="P40" s="9">
        <v>25</v>
      </c>
      <c r="Q40" s="14">
        <f t="shared" si="3"/>
        <v>65</v>
      </c>
      <c r="R40" s="9">
        <v>100</v>
      </c>
      <c r="S40" s="9">
        <v>87.7504704595621</v>
      </c>
      <c r="T40" s="9">
        <v>88.3825343771938</v>
      </c>
      <c r="U40" s="9">
        <v>23.6737029162276</v>
      </c>
      <c r="V40" s="9">
        <v>37.3818794565218</v>
      </c>
      <c r="W40" s="9">
        <v>44.1979788395936</v>
      </c>
      <c r="X40" s="9">
        <v>92.2535704094413</v>
      </c>
      <c r="Y40" s="19">
        <f t="shared" si="4"/>
        <v>67.6628766369343</v>
      </c>
      <c r="Z40" s="6">
        <f t="shared" si="5"/>
        <v>64.1850663779237</v>
      </c>
      <c r="AA40" s="9">
        <v>75</v>
      </c>
      <c r="AB40" s="9">
        <v>100</v>
      </c>
      <c r="AC40" s="14">
        <f t="shared" si="6"/>
        <v>87.5</v>
      </c>
      <c r="AD40" s="17">
        <v>0.948600910397708</v>
      </c>
      <c r="AE40" s="9">
        <f t="shared" si="7"/>
        <v>72.4623317485473</v>
      </c>
      <c r="AF40" s="18">
        <f>RANK(AE40,AE$3:AE$298)</f>
        <v>13</v>
      </c>
      <c r="AG40" s="20" t="e">
        <f>#REF!-AF40</f>
        <v>#REF!</v>
      </c>
    </row>
    <row r="41" spans="1:33">
      <c r="A41" s="9" t="s">
        <v>75</v>
      </c>
      <c r="B41" s="9">
        <v>100</v>
      </c>
      <c r="C41" s="9">
        <v>40</v>
      </c>
      <c r="D41" s="9">
        <v>60</v>
      </c>
      <c r="E41" s="9">
        <v>60</v>
      </c>
      <c r="F41" s="13">
        <f t="shared" si="0"/>
        <v>65</v>
      </c>
      <c r="G41" s="14">
        <f t="shared" si="1"/>
        <v>62.5212351272083</v>
      </c>
      <c r="H41" s="9">
        <v>100</v>
      </c>
      <c r="I41" s="9">
        <v>100</v>
      </c>
      <c r="J41" s="9">
        <v>100</v>
      </c>
      <c r="K41" s="9">
        <v>100</v>
      </c>
      <c r="L41" s="9">
        <v>70</v>
      </c>
      <c r="M41" s="14">
        <f t="shared" si="2"/>
        <v>94</v>
      </c>
      <c r="N41" s="9">
        <v>70</v>
      </c>
      <c r="O41" s="9">
        <v>100</v>
      </c>
      <c r="P41" s="9">
        <v>50</v>
      </c>
      <c r="Q41" s="14">
        <f t="shared" si="3"/>
        <v>73.3333333333333</v>
      </c>
      <c r="R41" s="9">
        <v>76.4686998394863</v>
      </c>
      <c r="S41" s="9">
        <v>93.0470437671413</v>
      </c>
      <c r="T41" s="9">
        <v>93.3428005981672</v>
      </c>
      <c r="U41" s="9">
        <v>38.2997303818544</v>
      </c>
      <c r="V41" s="9">
        <v>37.244698247507</v>
      </c>
      <c r="W41" s="9">
        <v>36.4158877470037</v>
      </c>
      <c r="X41" s="9">
        <v>95.888423928245</v>
      </c>
      <c r="Y41" s="19">
        <f t="shared" si="4"/>
        <v>67.2438977870578</v>
      </c>
      <c r="Z41" s="6">
        <f t="shared" si="5"/>
        <v>64.6795622217632</v>
      </c>
      <c r="AA41" s="9">
        <v>100</v>
      </c>
      <c r="AB41" s="9">
        <v>50</v>
      </c>
      <c r="AC41" s="14">
        <f t="shared" si="6"/>
        <v>75</v>
      </c>
      <c r="AD41" s="17">
        <v>0.961865155803205</v>
      </c>
      <c r="AE41" s="9">
        <f t="shared" si="7"/>
        <v>72.9581156919706</v>
      </c>
      <c r="AF41" s="18">
        <f>RANK(AE41,AE$3:AE$298)</f>
        <v>10</v>
      </c>
      <c r="AG41" s="20" t="e">
        <f>#REF!-AF41</f>
        <v>#REF!</v>
      </c>
    </row>
    <row r="42" spans="1:33">
      <c r="A42" s="9" t="s">
        <v>76</v>
      </c>
      <c r="B42" s="9">
        <v>60</v>
      </c>
      <c r="C42" s="9">
        <v>40</v>
      </c>
      <c r="D42" s="9">
        <v>60</v>
      </c>
      <c r="E42" s="9">
        <v>20</v>
      </c>
      <c r="F42" s="13">
        <f t="shared" si="0"/>
        <v>45</v>
      </c>
      <c r="G42" s="14">
        <f t="shared" si="1"/>
        <v>44.6626017755873</v>
      </c>
      <c r="H42" s="9">
        <v>60</v>
      </c>
      <c r="I42" s="9">
        <v>60</v>
      </c>
      <c r="J42" s="9">
        <v>100</v>
      </c>
      <c r="K42" s="9">
        <v>100</v>
      </c>
      <c r="L42" s="9">
        <v>70</v>
      </c>
      <c r="M42" s="14">
        <f t="shared" si="2"/>
        <v>78</v>
      </c>
      <c r="N42" s="9">
        <v>40</v>
      </c>
      <c r="O42" s="9">
        <v>75</v>
      </c>
      <c r="P42" s="9">
        <v>0</v>
      </c>
      <c r="Q42" s="14">
        <f t="shared" si="3"/>
        <v>38.3333333333333</v>
      </c>
      <c r="R42" s="9">
        <v>95.2933303591345</v>
      </c>
      <c r="S42" s="9">
        <v>80.8745552929954</v>
      </c>
      <c r="T42" s="9">
        <v>83.9444014426386</v>
      </c>
      <c r="U42" s="9">
        <v>40.8660009297507</v>
      </c>
      <c r="V42" s="9">
        <v>43.2806714441564</v>
      </c>
      <c r="W42" s="9">
        <v>32.3229984786864</v>
      </c>
      <c r="X42" s="9">
        <v>91.7202218919786</v>
      </c>
      <c r="Y42" s="19">
        <f t="shared" si="4"/>
        <v>66.9003114056201</v>
      </c>
      <c r="Z42" s="6">
        <f t="shared" si="5"/>
        <v>66.3987103771554</v>
      </c>
      <c r="AA42" s="9">
        <v>100</v>
      </c>
      <c r="AB42" s="9">
        <v>50</v>
      </c>
      <c r="AC42" s="14">
        <f t="shared" si="6"/>
        <v>75</v>
      </c>
      <c r="AD42" s="17">
        <v>0.992502261679718</v>
      </c>
      <c r="AE42" s="9">
        <f t="shared" si="7"/>
        <v>61.4521334682641</v>
      </c>
      <c r="AF42" s="18">
        <f>RANK(AE42,AE$3:AE$298)</f>
        <v>85</v>
      </c>
      <c r="AG42" s="20" t="e">
        <f>#REF!-AF42</f>
        <v>#REF!</v>
      </c>
    </row>
    <row r="43" spans="1:33">
      <c r="A43" s="9" t="s">
        <v>77</v>
      </c>
      <c r="B43" s="9">
        <v>100</v>
      </c>
      <c r="C43" s="9">
        <v>60</v>
      </c>
      <c r="D43" s="9">
        <v>80</v>
      </c>
      <c r="E43" s="9">
        <v>80</v>
      </c>
      <c r="F43" s="13">
        <f t="shared" si="0"/>
        <v>80</v>
      </c>
      <c r="G43" s="14">
        <f t="shared" si="1"/>
        <v>81.2252137984664</v>
      </c>
      <c r="H43" s="9">
        <v>20</v>
      </c>
      <c r="I43" s="9">
        <v>60</v>
      </c>
      <c r="J43" s="9">
        <v>40</v>
      </c>
      <c r="K43" s="9">
        <v>100</v>
      </c>
      <c r="L43" s="9">
        <v>70</v>
      </c>
      <c r="M43" s="14">
        <f t="shared" si="2"/>
        <v>58</v>
      </c>
      <c r="N43" s="9">
        <v>70</v>
      </c>
      <c r="O43" s="9">
        <v>25</v>
      </c>
      <c r="P43" s="9">
        <v>0</v>
      </c>
      <c r="Q43" s="14">
        <f t="shared" si="3"/>
        <v>31.6666666666667</v>
      </c>
      <c r="R43" s="9">
        <v>87.0202673566192</v>
      </c>
      <c r="S43" s="9">
        <v>91.1980581761318</v>
      </c>
      <c r="T43" s="9">
        <v>93.2122672765626</v>
      </c>
      <c r="U43" s="9">
        <v>25.3312050518399</v>
      </c>
      <c r="V43" s="9">
        <v>48.0134231551656</v>
      </c>
      <c r="W43" s="9">
        <v>27.4250887089709</v>
      </c>
      <c r="X43" s="9">
        <v>96.0106591981278</v>
      </c>
      <c r="Y43" s="19">
        <f t="shared" si="4"/>
        <v>66.887281274774</v>
      </c>
      <c r="Z43" s="6">
        <f t="shared" si="5"/>
        <v>67.9116715242709</v>
      </c>
      <c r="AA43" s="9">
        <v>25</v>
      </c>
      <c r="AB43" s="9">
        <v>25</v>
      </c>
      <c r="AC43" s="14">
        <f t="shared" si="6"/>
        <v>25</v>
      </c>
      <c r="AD43" s="17">
        <v>1.01531517248083</v>
      </c>
      <c r="AE43" s="9">
        <f t="shared" si="7"/>
        <v>56.7185442169746</v>
      </c>
      <c r="AF43" s="18">
        <f>RANK(AE43,AE$3:AE$298)</f>
        <v>118</v>
      </c>
      <c r="AG43" s="20" t="e">
        <f>#REF!-AF43</f>
        <v>#REF!</v>
      </c>
    </row>
    <row r="44" spans="1:33">
      <c r="A44" s="9" t="s">
        <v>78</v>
      </c>
      <c r="B44" s="9">
        <v>80</v>
      </c>
      <c r="C44" s="9">
        <v>40</v>
      </c>
      <c r="D44" s="9">
        <v>40</v>
      </c>
      <c r="E44" s="9">
        <v>40</v>
      </c>
      <c r="F44" s="13">
        <f t="shared" si="0"/>
        <v>50</v>
      </c>
      <c r="G44" s="14">
        <f t="shared" si="1"/>
        <v>46.7450477925093</v>
      </c>
      <c r="H44" s="9">
        <v>60</v>
      </c>
      <c r="I44" s="9">
        <v>40</v>
      </c>
      <c r="J44" s="9">
        <v>70</v>
      </c>
      <c r="K44" s="9">
        <v>70</v>
      </c>
      <c r="L44" s="9">
        <v>70</v>
      </c>
      <c r="M44" s="14">
        <f t="shared" si="2"/>
        <v>62</v>
      </c>
      <c r="N44" s="9">
        <v>70</v>
      </c>
      <c r="O44" s="9">
        <v>75</v>
      </c>
      <c r="P44" s="9">
        <v>50</v>
      </c>
      <c r="Q44" s="14">
        <f t="shared" si="3"/>
        <v>65</v>
      </c>
      <c r="R44" s="9">
        <v>85.8876811594203</v>
      </c>
      <c r="S44" s="9">
        <v>70.8592166750273</v>
      </c>
      <c r="T44" s="9">
        <v>75.9818688247602</v>
      </c>
      <c r="U44" s="9">
        <v>18.101066425807</v>
      </c>
      <c r="V44" s="9">
        <v>44.4467117207819</v>
      </c>
      <c r="W44" s="9">
        <v>71.1858021000857</v>
      </c>
      <c r="X44" s="9">
        <v>99.1064570750278</v>
      </c>
      <c r="Y44" s="19">
        <f t="shared" si="4"/>
        <v>66.50982914013</v>
      </c>
      <c r="Z44" s="6">
        <f t="shared" si="5"/>
        <v>62.1801028365401</v>
      </c>
      <c r="AA44" s="9">
        <v>75</v>
      </c>
      <c r="AB44" s="9">
        <v>100</v>
      </c>
      <c r="AC44" s="14">
        <f t="shared" si="6"/>
        <v>87.5</v>
      </c>
      <c r="AD44" s="17">
        <v>0.934900955850186</v>
      </c>
      <c r="AE44" s="9">
        <f t="shared" si="7"/>
        <v>63.2780404094639</v>
      </c>
      <c r="AF44" s="18">
        <f>RANK(AE44,AE$3:AE$298)</f>
        <v>64</v>
      </c>
      <c r="AG44" s="20" t="e">
        <f>#REF!-AF44</f>
        <v>#REF!</v>
      </c>
    </row>
    <row r="45" spans="1:33">
      <c r="A45" s="9" t="s">
        <v>79</v>
      </c>
      <c r="B45" s="9">
        <v>100</v>
      </c>
      <c r="C45" s="9">
        <v>60</v>
      </c>
      <c r="D45" s="9">
        <v>40</v>
      </c>
      <c r="E45" s="9">
        <v>60</v>
      </c>
      <c r="F45" s="13">
        <f t="shared" si="0"/>
        <v>65</v>
      </c>
      <c r="G45" s="14">
        <f t="shared" si="1"/>
        <v>63.7701130746376</v>
      </c>
      <c r="H45" s="9">
        <v>40</v>
      </c>
      <c r="I45" s="9">
        <v>60</v>
      </c>
      <c r="J45" s="9">
        <v>70</v>
      </c>
      <c r="K45" s="9">
        <v>70</v>
      </c>
      <c r="L45" s="9">
        <v>70</v>
      </c>
      <c r="M45" s="14">
        <f t="shared" si="2"/>
        <v>62</v>
      </c>
      <c r="N45" s="9">
        <v>40</v>
      </c>
      <c r="O45" s="9">
        <v>25</v>
      </c>
      <c r="P45" s="9">
        <v>50</v>
      </c>
      <c r="Q45" s="14">
        <f t="shared" si="3"/>
        <v>38.3333333333333</v>
      </c>
      <c r="R45" s="9">
        <v>100</v>
      </c>
      <c r="S45" s="9">
        <v>87.5578677938319</v>
      </c>
      <c r="T45" s="9">
        <v>88.3825343771938</v>
      </c>
      <c r="U45" s="9">
        <v>28.3375709943642</v>
      </c>
      <c r="V45" s="9">
        <v>37.8620136880734</v>
      </c>
      <c r="W45" s="9">
        <v>32.205928304391</v>
      </c>
      <c r="X45" s="9">
        <v>89.682765474196</v>
      </c>
      <c r="Y45" s="19">
        <f t="shared" si="4"/>
        <v>66.2898115188643</v>
      </c>
      <c r="Z45" s="6">
        <f t="shared" si="5"/>
        <v>65.035519634683</v>
      </c>
      <c r="AA45" s="9">
        <v>75</v>
      </c>
      <c r="AB45" s="9">
        <v>25</v>
      </c>
      <c r="AC45" s="14">
        <f t="shared" si="6"/>
        <v>50</v>
      </c>
      <c r="AD45" s="17">
        <v>0.981078662686733</v>
      </c>
      <c r="AE45" s="9">
        <f t="shared" si="7"/>
        <v>57.9146785053324</v>
      </c>
      <c r="AF45" s="18">
        <f>RANK(AE45,AE$3:AE$298)</f>
        <v>109</v>
      </c>
      <c r="AG45" s="20" t="e">
        <f>#REF!-AF45</f>
        <v>#REF!</v>
      </c>
    </row>
    <row r="46" spans="1:33">
      <c r="A46" s="9" t="s">
        <v>80</v>
      </c>
      <c r="B46" s="9">
        <v>80</v>
      </c>
      <c r="C46" s="9">
        <v>40</v>
      </c>
      <c r="D46" s="9">
        <v>20</v>
      </c>
      <c r="E46" s="9">
        <v>60</v>
      </c>
      <c r="F46" s="13">
        <f t="shared" si="0"/>
        <v>50</v>
      </c>
      <c r="G46" s="14">
        <f t="shared" si="1"/>
        <v>50.1274352460605</v>
      </c>
      <c r="H46" s="9">
        <v>40</v>
      </c>
      <c r="I46" s="9">
        <v>40</v>
      </c>
      <c r="J46" s="9">
        <v>70</v>
      </c>
      <c r="K46" s="9">
        <v>100</v>
      </c>
      <c r="L46" s="9">
        <v>70</v>
      </c>
      <c r="M46" s="14">
        <f t="shared" si="2"/>
        <v>64</v>
      </c>
      <c r="N46" s="9">
        <v>70</v>
      </c>
      <c r="O46" s="9">
        <v>75</v>
      </c>
      <c r="P46" s="9">
        <v>50</v>
      </c>
      <c r="Q46" s="14">
        <f t="shared" si="3"/>
        <v>65</v>
      </c>
      <c r="R46" s="9">
        <v>62.750161394448</v>
      </c>
      <c r="S46" s="9">
        <v>82.8391024834431</v>
      </c>
      <c r="T46" s="9">
        <v>91.5153340957033</v>
      </c>
      <c r="U46" s="9">
        <v>33.5958536314789</v>
      </c>
      <c r="V46" s="9">
        <v>78.9477857879937</v>
      </c>
      <c r="W46" s="9">
        <v>26.6544019470054</v>
      </c>
      <c r="X46" s="9">
        <v>87.6024929023575</v>
      </c>
      <c r="Y46" s="19">
        <f t="shared" si="4"/>
        <v>66.2721617489185</v>
      </c>
      <c r="Z46" s="6">
        <f t="shared" si="5"/>
        <v>66.4410699337072</v>
      </c>
      <c r="AA46" s="9">
        <v>50</v>
      </c>
      <c r="AB46" s="9">
        <v>50</v>
      </c>
      <c r="AC46" s="14">
        <f t="shared" si="6"/>
        <v>50</v>
      </c>
      <c r="AD46" s="17">
        <v>1.00254870492121</v>
      </c>
      <c r="AE46" s="9">
        <f t="shared" si="7"/>
        <v>60.0078080293243</v>
      </c>
      <c r="AF46" s="18">
        <f>RANK(AE46,AE$3:AE$298)</f>
        <v>93</v>
      </c>
      <c r="AG46" s="20" t="e">
        <f>#REF!-AF46</f>
        <v>#REF!</v>
      </c>
    </row>
    <row r="47" spans="1:33">
      <c r="A47" s="9" t="s">
        <v>81</v>
      </c>
      <c r="B47" s="9">
        <v>100</v>
      </c>
      <c r="C47" s="9">
        <v>40</v>
      </c>
      <c r="D47" s="9">
        <v>60</v>
      </c>
      <c r="E47" s="9">
        <v>40</v>
      </c>
      <c r="F47" s="13">
        <f t="shared" si="0"/>
        <v>60</v>
      </c>
      <c r="G47" s="14">
        <f t="shared" si="1"/>
        <v>56.0940573510112</v>
      </c>
      <c r="H47" s="9">
        <v>20</v>
      </c>
      <c r="I47" s="9">
        <v>60</v>
      </c>
      <c r="J47" s="9">
        <v>100</v>
      </c>
      <c r="K47" s="9">
        <v>100</v>
      </c>
      <c r="L47" s="9">
        <v>70</v>
      </c>
      <c r="M47" s="14">
        <f t="shared" si="2"/>
        <v>70</v>
      </c>
      <c r="N47" s="9">
        <v>40</v>
      </c>
      <c r="O47" s="9">
        <v>75</v>
      </c>
      <c r="P47" s="9">
        <v>50</v>
      </c>
      <c r="Q47" s="14">
        <f t="shared" si="3"/>
        <v>55</v>
      </c>
      <c r="R47" s="9">
        <v>34.4168260038241</v>
      </c>
      <c r="S47" s="9">
        <v>94.9923306910159</v>
      </c>
      <c r="T47" s="9">
        <v>94.3870671710037</v>
      </c>
      <c r="U47" s="9">
        <v>9.27058091021757</v>
      </c>
      <c r="V47" s="9">
        <v>30.7971814238134</v>
      </c>
      <c r="W47" s="9">
        <v>100</v>
      </c>
      <c r="X47" s="9">
        <v>100</v>
      </c>
      <c r="Y47" s="19">
        <f t="shared" si="4"/>
        <v>66.2662837428392</v>
      </c>
      <c r="Z47" s="6">
        <f t="shared" si="5"/>
        <v>61.95241201182</v>
      </c>
      <c r="AA47" s="9">
        <v>50</v>
      </c>
      <c r="AB47" s="9">
        <v>25</v>
      </c>
      <c r="AC47" s="14">
        <f t="shared" si="6"/>
        <v>37.5</v>
      </c>
      <c r="AD47" s="17">
        <v>0.934900955850186</v>
      </c>
      <c r="AE47" s="9">
        <f t="shared" si="7"/>
        <v>57.6795350737482</v>
      </c>
      <c r="AF47" s="18">
        <f>RANK(AE47,AE$3:AE$298)</f>
        <v>113</v>
      </c>
      <c r="AG47" s="20" t="e">
        <f>#REF!-AF47</f>
        <v>#REF!</v>
      </c>
    </row>
    <row r="48" spans="1:33">
      <c r="A48" s="9" t="s">
        <v>82</v>
      </c>
      <c r="B48" s="9">
        <v>100</v>
      </c>
      <c r="C48" s="9">
        <v>20</v>
      </c>
      <c r="D48" s="9">
        <v>20</v>
      </c>
      <c r="E48" s="9">
        <v>40</v>
      </c>
      <c r="F48" s="13">
        <f t="shared" si="0"/>
        <v>45</v>
      </c>
      <c r="G48" s="14">
        <f t="shared" si="1"/>
        <v>45.3875256276809</v>
      </c>
      <c r="H48" s="9">
        <v>40</v>
      </c>
      <c r="I48" s="9">
        <v>40</v>
      </c>
      <c r="J48" s="9">
        <v>70</v>
      </c>
      <c r="K48" s="9">
        <v>60</v>
      </c>
      <c r="L48" s="9">
        <v>70</v>
      </c>
      <c r="M48" s="14">
        <f t="shared" si="2"/>
        <v>56</v>
      </c>
      <c r="N48" s="9">
        <v>40</v>
      </c>
      <c r="O48" s="9">
        <v>50</v>
      </c>
      <c r="P48" s="9">
        <v>75</v>
      </c>
      <c r="Q48" s="14">
        <f t="shared" si="3"/>
        <v>55</v>
      </c>
      <c r="R48" s="9">
        <v>83.4638554216867</v>
      </c>
      <c r="S48" s="9">
        <v>84.2836224764192</v>
      </c>
      <c r="T48" s="9">
        <v>91.1237341308896</v>
      </c>
      <c r="U48" s="9">
        <v>29.3949430463927</v>
      </c>
      <c r="V48" s="9">
        <v>68.7277857163942</v>
      </c>
      <c r="W48" s="9">
        <v>25.6824571062601</v>
      </c>
      <c r="X48" s="9">
        <v>80.0366217194763</v>
      </c>
      <c r="Y48" s="19">
        <f t="shared" si="4"/>
        <v>66.1018599453598</v>
      </c>
      <c r="Z48" s="6">
        <f t="shared" si="5"/>
        <v>66.6711080512753</v>
      </c>
      <c r="AA48" s="9">
        <v>75</v>
      </c>
      <c r="AB48" s="9">
        <v>50</v>
      </c>
      <c r="AC48" s="14">
        <f t="shared" si="6"/>
        <v>62.5</v>
      </c>
      <c r="AD48" s="17">
        <v>1.00861168061513</v>
      </c>
      <c r="AE48" s="9">
        <f t="shared" si="7"/>
        <v>57.9038375409188</v>
      </c>
      <c r="AF48" s="18">
        <f>RANK(AE48,AE$3:AE$298)</f>
        <v>110</v>
      </c>
      <c r="AG48" s="20" t="e">
        <f>#REF!-AF48</f>
        <v>#REF!</v>
      </c>
    </row>
    <row r="49" spans="1:33">
      <c r="A49" s="9" t="s">
        <v>83</v>
      </c>
      <c r="B49" s="9">
        <v>100</v>
      </c>
      <c r="C49" s="9">
        <v>40</v>
      </c>
      <c r="D49" s="9">
        <v>20</v>
      </c>
      <c r="E49" s="9">
        <v>80</v>
      </c>
      <c r="F49" s="13">
        <f t="shared" si="0"/>
        <v>60</v>
      </c>
      <c r="G49" s="14">
        <f t="shared" si="1"/>
        <v>61.9085236541466</v>
      </c>
      <c r="H49" s="9">
        <v>20</v>
      </c>
      <c r="I49" s="9">
        <v>20</v>
      </c>
      <c r="J49" s="9">
        <v>40</v>
      </c>
      <c r="K49" s="9">
        <v>20</v>
      </c>
      <c r="L49" s="9">
        <v>70</v>
      </c>
      <c r="M49" s="14">
        <f t="shared" si="2"/>
        <v>34</v>
      </c>
      <c r="N49" s="9">
        <v>40</v>
      </c>
      <c r="O49" s="9">
        <v>50</v>
      </c>
      <c r="P49" s="9">
        <v>50</v>
      </c>
      <c r="Q49" s="14">
        <f t="shared" si="3"/>
        <v>46.6666666666667</v>
      </c>
      <c r="R49" s="9">
        <v>91.014799154334</v>
      </c>
      <c r="S49" s="9">
        <v>85.3621974045081</v>
      </c>
      <c r="T49" s="9">
        <v>78.723068578456</v>
      </c>
      <c r="U49" s="9">
        <v>2.53769292486843</v>
      </c>
      <c r="V49" s="9">
        <v>20.782953165736</v>
      </c>
      <c r="W49" s="9">
        <v>89.3422781686076</v>
      </c>
      <c r="X49" s="9">
        <v>93.9891957906867</v>
      </c>
      <c r="Y49" s="19">
        <f t="shared" si="4"/>
        <v>65.9645978838853</v>
      </c>
      <c r="Z49" s="6">
        <f t="shared" si="5"/>
        <v>68.0628478071797</v>
      </c>
      <c r="AA49" s="9">
        <v>100</v>
      </c>
      <c r="AB49" s="9">
        <v>50</v>
      </c>
      <c r="AC49" s="14">
        <f t="shared" si="6"/>
        <v>75</v>
      </c>
      <c r="AD49" s="17">
        <v>1.03180872756911</v>
      </c>
      <c r="AE49" s="9">
        <f t="shared" si="7"/>
        <v>57.8505590729832</v>
      </c>
      <c r="AF49" s="18">
        <f>RANK(AE49,AE$3:AE$298)</f>
        <v>112</v>
      </c>
      <c r="AG49" s="20" t="e">
        <f>#REF!-AF49</f>
        <v>#REF!</v>
      </c>
    </row>
    <row r="50" spans="1:33">
      <c r="A50" s="9" t="s">
        <v>84</v>
      </c>
      <c r="B50" s="9">
        <v>100</v>
      </c>
      <c r="C50" s="9">
        <v>60</v>
      </c>
      <c r="D50" s="9">
        <v>60</v>
      </c>
      <c r="E50" s="9">
        <v>60</v>
      </c>
      <c r="F50" s="13">
        <f t="shared" si="0"/>
        <v>70</v>
      </c>
      <c r="G50" s="14">
        <f t="shared" si="1"/>
        <v>65.443066909513</v>
      </c>
      <c r="H50" s="9">
        <v>40</v>
      </c>
      <c r="I50" s="9">
        <v>60</v>
      </c>
      <c r="J50" s="9">
        <v>100</v>
      </c>
      <c r="K50" s="9">
        <v>70</v>
      </c>
      <c r="L50" s="9">
        <v>70</v>
      </c>
      <c r="M50" s="14">
        <f t="shared" si="2"/>
        <v>68</v>
      </c>
      <c r="N50" s="9">
        <v>70</v>
      </c>
      <c r="O50" s="9">
        <v>75</v>
      </c>
      <c r="P50" s="9">
        <v>50</v>
      </c>
      <c r="Q50" s="14">
        <f t="shared" si="3"/>
        <v>65</v>
      </c>
      <c r="R50" s="9">
        <v>100</v>
      </c>
      <c r="S50" s="9">
        <v>80.0463638303558</v>
      </c>
      <c r="T50" s="9">
        <v>79.3757351864788</v>
      </c>
      <c r="U50" s="9">
        <v>15.5290803533053</v>
      </c>
      <c r="V50" s="9">
        <v>33.4036243950938</v>
      </c>
      <c r="W50" s="9">
        <v>56.9002333919706</v>
      </c>
      <c r="X50" s="9">
        <v>96.2498939283695</v>
      </c>
      <c r="Y50" s="19">
        <f t="shared" si="4"/>
        <v>65.9292758693677</v>
      </c>
      <c r="Z50" s="6">
        <f t="shared" si="5"/>
        <v>61.6373430287824</v>
      </c>
      <c r="AA50" s="9">
        <v>50</v>
      </c>
      <c r="AB50" s="9">
        <v>100</v>
      </c>
      <c r="AC50" s="14">
        <f t="shared" si="6"/>
        <v>75</v>
      </c>
      <c r="AD50" s="17">
        <v>0.934900955850186</v>
      </c>
      <c r="AE50" s="9">
        <f t="shared" si="7"/>
        <v>66.1798162905373</v>
      </c>
      <c r="AF50" s="18">
        <f>RANK(AE50,AE$3:AE$298)</f>
        <v>48</v>
      </c>
      <c r="AG50" s="20" t="e">
        <f>#REF!-AF50</f>
        <v>#REF!</v>
      </c>
    </row>
    <row r="51" spans="1:33">
      <c r="A51" s="9" t="s">
        <v>85</v>
      </c>
      <c r="B51" s="9">
        <v>100</v>
      </c>
      <c r="C51" s="9">
        <v>40</v>
      </c>
      <c r="D51" s="9">
        <v>40</v>
      </c>
      <c r="E51" s="9">
        <v>40</v>
      </c>
      <c r="F51" s="13">
        <f t="shared" si="0"/>
        <v>55</v>
      </c>
      <c r="G51" s="14">
        <f t="shared" si="1"/>
        <v>54.6093637959284</v>
      </c>
      <c r="H51" s="9">
        <v>40</v>
      </c>
      <c r="I51" s="9">
        <v>60</v>
      </c>
      <c r="J51" s="9">
        <v>40</v>
      </c>
      <c r="K51" s="9">
        <v>40</v>
      </c>
      <c r="L51" s="9">
        <v>70</v>
      </c>
      <c r="M51" s="14">
        <f t="shared" si="2"/>
        <v>50</v>
      </c>
      <c r="N51" s="9">
        <v>70</v>
      </c>
      <c r="O51" s="9">
        <v>25</v>
      </c>
      <c r="P51" s="9">
        <v>50</v>
      </c>
      <c r="Q51" s="14">
        <f t="shared" si="3"/>
        <v>48.3333333333333</v>
      </c>
      <c r="R51" s="9">
        <v>100</v>
      </c>
      <c r="S51" s="9">
        <v>88.6557029884938</v>
      </c>
      <c r="T51" s="9">
        <v>91.3848007740987</v>
      </c>
      <c r="U51" s="9">
        <v>22.033347354432</v>
      </c>
      <c r="V51" s="9">
        <v>48.5621479912246</v>
      </c>
      <c r="W51" s="9">
        <v>32.3274111715952</v>
      </c>
      <c r="X51" s="9">
        <v>77.3384965254065</v>
      </c>
      <c r="Y51" s="19">
        <f t="shared" si="4"/>
        <v>65.757415257893</v>
      </c>
      <c r="Z51" s="6">
        <f t="shared" si="5"/>
        <v>65.290374765422</v>
      </c>
      <c r="AA51" s="9">
        <v>50</v>
      </c>
      <c r="AB51" s="9">
        <v>50</v>
      </c>
      <c r="AC51" s="14">
        <f t="shared" si="6"/>
        <v>50</v>
      </c>
      <c r="AD51" s="17">
        <v>0.992897523562334</v>
      </c>
      <c r="AE51" s="9">
        <f t="shared" si="7"/>
        <v>55.2589851888123</v>
      </c>
      <c r="AF51" s="18">
        <f>RANK(AE51,AE$3:AE$298)</f>
        <v>134</v>
      </c>
      <c r="AG51" s="20" t="e">
        <f>#REF!-AF51</f>
        <v>#REF!</v>
      </c>
    </row>
    <row r="52" spans="1:33">
      <c r="A52" s="9" t="s">
        <v>86</v>
      </c>
      <c r="B52" s="9">
        <v>100</v>
      </c>
      <c r="C52" s="9">
        <v>40</v>
      </c>
      <c r="D52" s="9">
        <v>40</v>
      </c>
      <c r="E52" s="9">
        <v>60</v>
      </c>
      <c r="F52" s="13">
        <f t="shared" si="0"/>
        <v>60</v>
      </c>
      <c r="G52" s="14">
        <f t="shared" si="1"/>
        <v>59.9976958118566</v>
      </c>
      <c r="H52" s="9">
        <v>20</v>
      </c>
      <c r="I52" s="9">
        <v>20</v>
      </c>
      <c r="J52" s="9">
        <v>70</v>
      </c>
      <c r="K52" s="9">
        <v>70</v>
      </c>
      <c r="L52" s="9">
        <v>30</v>
      </c>
      <c r="M52" s="14">
        <f t="shared" si="2"/>
        <v>42</v>
      </c>
      <c r="N52" s="9">
        <v>70</v>
      </c>
      <c r="O52" s="9">
        <v>50</v>
      </c>
      <c r="P52" s="9">
        <v>0</v>
      </c>
      <c r="Q52" s="14">
        <f t="shared" si="3"/>
        <v>40</v>
      </c>
      <c r="R52" s="9">
        <v>100</v>
      </c>
      <c r="S52" s="9">
        <v>88.88682618737</v>
      </c>
      <c r="T52" s="9">
        <v>90.4710675228668</v>
      </c>
      <c r="U52" s="9">
        <v>21.9018902885041</v>
      </c>
      <c r="V52" s="9">
        <v>42.3204029810531</v>
      </c>
      <c r="W52" s="9">
        <v>31.2866425702714</v>
      </c>
      <c r="X52" s="9">
        <v>85.027046646025</v>
      </c>
      <c r="Y52" s="19">
        <f t="shared" si="4"/>
        <v>65.6991251708701</v>
      </c>
      <c r="Z52" s="6">
        <f t="shared" si="5"/>
        <v>65.6966021184492</v>
      </c>
      <c r="AA52" s="9">
        <v>50</v>
      </c>
      <c r="AB52" s="9">
        <v>75</v>
      </c>
      <c r="AC52" s="14">
        <f t="shared" si="6"/>
        <v>62.5</v>
      </c>
      <c r="AD52" s="17">
        <v>0.999961596864276</v>
      </c>
      <c r="AE52" s="9">
        <f t="shared" si="7"/>
        <v>55.4835197979061</v>
      </c>
      <c r="AF52" s="18">
        <f>RANK(AE52,AE$3:AE$298)</f>
        <v>131</v>
      </c>
      <c r="AG52" s="20" t="e">
        <f>#REF!-AF52</f>
        <v>#REF!</v>
      </c>
    </row>
    <row r="53" spans="1:33">
      <c r="A53" s="9" t="s">
        <v>87</v>
      </c>
      <c r="B53" s="9">
        <v>100</v>
      </c>
      <c r="C53" s="9">
        <v>40</v>
      </c>
      <c r="D53" s="9">
        <v>60</v>
      </c>
      <c r="E53" s="9">
        <v>60</v>
      </c>
      <c r="F53" s="13">
        <f t="shared" si="0"/>
        <v>65</v>
      </c>
      <c r="G53" s="14">
        <f t="shared" si="1"/>
        <v>63.8603972225562</v>
      </c>
      <c r="H53" s="9">
        <v>20</v>
      </c>
      <c r="I53" s="9">
        <v>40</v>
      </c>
      <c r="J53" s="9">
        <v>100</v>
      </c>
      <c r="K53" s="9">
        <v>100</v>
      </c>
      <c r="L53" s="9">
        <v>70</v>
      </c>
      <c r="M53" s="14">
        <f t="shared" si="2"/>
        <v>66</v>
      </c>
      <c r="N53" s="9">
        <v>40</v>
      </c>
      <c r="O53" s="9">
        <v>50</v>
      </c>
      <c r="P53" s="9">
        <v>0</v>
      </c>
      <c r="Q53" s="14">
        <f t="shared" si="3"/>
        <v>30</v>
      </c>
      <c r="R53" s="9">
        <v>75.6387874940486</v>
      </c>
      <c r="S53" s="9">
        <v>80.5278704946812</v>
      </c>
      <c r="T53" s="9">
        <v>86.1634679099162</v>
      </c>
      <c r="U53" s="9">
        <v>39.2084987941384</v>
      </c>
      <c r="V53" s="9">
        <v>52.7461748661748</v>
      </c>
      <c r="W53" s="9">
        <v>33.2112494546473</v>
      </c>
      <c r="X53" s="9">
        <v>92.1517606222034</v>
      </c>
      <c r="Y53" s="19">
        <f t="shared" si="4"/>
        <v>65.6639728051157</v>
      </c>
      <c r="Z53" s="6">
        <f t="shared" si="5"/>
        <v>64.5127290237818</v>
      </c>
      <c r="AA53" s="9">
        <v>50</v>
      </c>
      <c r="AB53" s="9">
        <v>25</v>
      </c>
      <c r="AC53" s="14">
        <f t="shared" si="6"/>
        <v>37.5</v>
      </c>
      <c r="AD53" s="17">
        <v>0.982467649577788</v>
      </c>
      <c r="AE53" s="9">
        <f t="shared" si="7"/>
        <v>55.4508981516458</v>
      </c>
      <c r="AF53" s="18">
        <f>RANK(AE53,AE$3:AE$298)</f>
        <v>132</v>
      </c>
      <c r="AG53" s="20" t="e">
        <f>#REF!-AF53</f>
        <v>#REF!</v>
      </c>
    </row>
    <row r="54" spans="1:33">
      <c r="A54" s="9" t="s">
        <v>88</v>
      </c>
      <c r="B54" s="9">
        <v>100</v>
      </c>
      <c r="C54" s="9">
        <v>80</v>
      </c>
      <c r="D54" s="9">
        <v>40</v>
      </c>
      <c r="E54" s="9">
        <v>60</v>
      </c>
      <c r="F54" s="13">
        <f t="shared" si="0"/>
        <v>70</v>
      </c>
      <c r="G54" s="14">
        <f t="shared" si="1"/>
        <v>66.7158212324932</v>
      </c>
      <c r="H54" s="9">
        <v>80</v>
      </c>
      <c r="I54" s="9">
        <v>60</v>
      </c>
      <c r="J54" s="9">
        <v>100</v>
      </c>
      <c r="K54" s="9">
        <v>100</v>
      </c>
      <c r="L54" s="9">
        <v>70</v>
      </c>
      <c r="M54" s="14">
        <f t="shared" si="2"/>
        <v>82</v>
      </c>
      <c r="N54" s="9">
        <v>70</v>
      </c>
      <c r="O54" s="9">
        <v>75</v>
      </c>
      <c r="P54" s="9">
        <v>25</v>
      </c>
      <c r="Q54" s="14">
        <f t="shared" si="3"/>
        <v>56.6666666666667</v>
      </c>
      <c r="R54" s="9">
        <v>100</v>
      </c>
      <c r="S54" s="9">
        <v>76.9647211786733</v>
      </c>
      <c r="T54" s="9">
        <v>80.0284017945017</v>
      </c>
      <c r="U54" s="9">
        <v>22.7649345039436</v>
      </c>
      <c r="V54" s="9">
        <v>41.7030875404867</v>
      </c>
      <c r="W54" s="9">
        <v>38.6581373664272</v>
      </c>
      <c r="X54" s="9">
        <v>98.7894402157336</v>
      </c>
      <c r="Y54" s="19">
        <f t="shared" si="4"/>
        <v>65.5583889428237</v>
      </c>
      <c r="Z54" s="6">
        <f t="shared" si="5"/>
        <v>62.482596528567</v>
      </c>
      <c r="AA54" s="9">
        <v>100</v>
      </c>
      <c r="AB54" s="9">
        <v>75</v>
      </c>
      <c r="AC54" s="14">
        <f t="shared" si="6"/>
        <v>87.5</v>
      </c>
      <c r="AD54" s="17">
        <v>0.953083160464189</v>
      </c>
      <c r="AE54" s="9">
        <f t="shared" si="7"/>
        <v>70.1129432050687</v>
      </c>
      <c r="AF54" s="18">
        <f>RANK(AE54,AE$3:AE$298)</f>
        <v>23</v>
      </c>
      <c r="AG54" s="20" t="e">
        <f>#REF!-AF54</f>
        <v>#REF!</v>
      </c>
    </row>
    <row r="55" spans="1:33">
      <c r="A55" s="9" t="s">
        <v>89</v>
      </c>
      <c r="B55" s="9">
        <v>60</v>
      </c>
      <c r="C55" s="9">
        <v>20</v>
      </c>
      <c r="D55" s="9">
        <v>20</v>
      </c>
      <c r="E55" s="9">
        <v>60</v>
      </c>
      <c r="F55" s="13">
        <f t="shared" si="0"/>
        <v>40</v>
      </c>
      <c r="G55" s="14">
        <f t="shared" si="1"/>
        <v>41.8385889413224</v>
      </c>
      <c r="H55" s="9">
        <v>20</v>
      </c>
      <c r="I55" s="9">
        <v>40</v>
      </c>
      <c r="J55" s="9">
        <v>70</v>
      </c>
      <c r="K55" s="9">
        <v>100</v>
      </c>
      <c r="L55" s="9">
        <v>70</v>
      </c>
      <c r="M55" s="14">
        <f t="shared" si="2"/>
        <v>60</v>
      </c>
      <c r="N55" s="9">
        <v>70</v>
      </c>
      <c r="O55" s="9">
        <v>75</v>
      </c>
      <c r="P55" s="9">
        <v>50</v>
      </c>
      <c r="Q55" s="14">
        <f t="shared" si="3"/>
        <v>65</v>
      </c>
      <c r="R55" s="9">
        <v>100</v>
      </c>
      <c r="S55" s="9">
        <v>88.1741963241684</v>
      </c>
      <c r="T55" s="9">
        <v>77.9398686488286</v>
      </c>
      <c r="U55" s="9">
        <v>3.66936679676922</v>
      </c>
      <c r="V55" s="9">
        <v>13.7867115059833</v>
      </c>
      <c r="W55" s="9">
        <v>81.0088310663045</v>
      </c>
      <c r="X55" s="9">
        <v>94.0176709178604</v>
      </c>
      <c r="Y55" s="19">
        <f t="shared" si="4"/>
        <v>65.5138064657021</v>
      </c>
      <c r="Z55" s="6">
        <f t="shared" si="5"/>
        <v>68.5251304674965</v>
      </c>
      <c r="AA55" s="9">
        <v>50</v>
      </c>
      <c r="AB55" s="9">
        <v>25</v>
      </c>
      <c r="AC55" s="14">
        <f t="shared" si="6"/>
        <v>37.5</v>
      </c>
      <c r="AD55" s="17">
        <v>1.04596472353306</v>
      </c>
      <c r="AE55" s="9">
        <f t="shared" si="7"/>
        <v>56.3002569285134</v>
      </c>
      <c r="AF55" s="18">
        <f>RANK(AE55,AE$3:AE$298)</f>
        <v>121</v>
      </c>
      <c r="AG55" s="20" t="e">
        <f>#REF!-AF55</f>
        <v>#REF!</v>
      </c>
    </row>
    <row r="56" spans="1:33">
      <c r="A56" s="9" t="s">
        <v>90</v>
      </c>
      <c r="B56" s="9">
        <v>80</v>
      </c>
      <c r="C56" s="9">
        <v>40</v>
      </c>
      <c r="D56" s="9">
        <v>40</v>
      </c>
      <c r="E56" s="9">
        <v>60</v>
      </c>
      <c r="F56" s="13">
        <f t="shared" si="0"/>
        <v>55</v>
      </c>
      <c r="G56" s="14">
        <f t="shared" si="1"/>
        <v>52.7096451833278</v>
      </c>
      <c r="H56" s="9">
        <v>80</v>
      </c>
      <c r="I56" s="9">
        <v>20</v>
      </c>
      <c r="J56" s="9">
        <v>20</v>
      </c>
      <c r="K56" s="9">
        <v>70</v>
      </c>
      <c r="L56" s="9">
        <v>30</v>
      </c>
      <c r="M56" s="14">
        <f t="shared" si="2"/>
        <v>44</v>
      </c>
      <c r="N56" s="9">
        <v>70</v>
      </c>
      <c r="O56" s="9">
        <v>50</v>
      </c>
      <c r="P56" s="9">
        <v>50</v>
      </c>
      <c r="Q56" s="14">
        <f t="shared" si="3"/>
        <v>56.6666666666667</v>
      </c>
      <c r="R56" s="9">
        <v>100</v>
      </c>
      <c r="S56" s="9">
        <v>94.1063584286572</v>
      </c>
      <c r="T56" s="9">
        <v>93.6038672413763</v>
      </c>
      <c r="U56" s="9">
        <v>3.88655673178048</v>
      </c>
      <c r="V56" s="9">
        <v>31.826040491424</v>
      </c>
      <c r="W56" s="9">
        <v>43.7512382006585</v>
      </c>
      <c r="X56" s="9">
        <v>89.6101981340564</v>
      </c>
      <c r="Y56" s="19">
        <f t="shared" si="4"/>
        <v>65.2548941754219</v>
      </c>
      <c r="Z56" s="6">
        <f t="shared" si="5"/>
        <v>62.5374966993108</v>
      </c>
      <c r="AA56" s="9">
        <v>75</v>
      </c>
      <c r="AB56" s="9">
        <v>50</v>
      </c>
      <c r="AC56" s="14">
        <f t="shared" si="6"/>
        <v>62.5</v>
      </c>
      <c r="AD56" s="17">
        <v>0.958357185151415</v>
      </c>
      <c r="AE56" s="9">
        <f t="shared" si="7"/>
        <v>55.9781780464588</v>
      </c>
      <c r="AF56" s="18">
        <f>RANK(AE56,AE$3:AE$298)</f>
        <v>126</v>
      </c>
      <c r="AG56" s="20" t="e">
        <f>#REF!-AF56</f>
        <v>#REF!</v>
      </c>
    </row>
    <row r="57" spans="1:33">
      <c r="A57" s="9" t="s">
        <v>91</v>
      </c>
      <c r="B57" s="9">
        <v>80</v>
      </c>
      <c r="C57" s="9">
        <v>60</v>
      </c>
      <c r="D57" s="9">
        <v>20</v>
      </c>
      <c r="E57" s="9">
        <v>40</v>
      </c>
      <c r="F57" s="13">
        <f t="shared" si="0"/>
        <v>50</v>
      </c>
      <c r="G57" s="14">
        <f t="shared" si="1"/>
        <v>49.9525020348046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4">
        <f t="shared" si="2"/>
        <v>0</v>
      </c>
      <c r="N57" s="9">
        <v>0</v>
      </c>
      <c r="O57" s="9">
        <v>0</v>
      </c>
      <c r="P57" s="9">
        <v>0</v>
      </c>
      <c r="Q57" s="14">
        <f t="shared" si="3"/>
        <v>0</v>
      </c>
      <c r="R57" s="9">
        <v>100</v>
      </c>
      <c r="S57" s="9">
        <v>92.8737013679842</v>
      </c>
      <c r="T57" s="9">
        <v>93.4733339197718</v>
      </c>
      <c r="U57" s="9">
        <v>10.4994187004129</v>
      </c>
      <c r="V57" s="9">
        <v>39.3710069872358</v>
      </c>
      <c r="W57" s="9">
        <v>37.0571381268995</v>
      </c>
      <c r="X57" s="9">
        <v>83.2367613553808</v>
      </c>
      <c r="Y57" s="19">
        <f t="shared" si="4"/>
        <v>65.2159086368121</v>
      </c>
      <c r="Z57" s="6">
        <f t="shared" si="5"/>
        <v>65.1539561776397</v>
      </c>
      <c r="AA57" s="9">
        <v>0</v>
      </c>
      <c r="AB57" s="9">
        <v>0</v>
      </c>
      <c r="AC57" s="14">
        <f t="shared" si="6"/>
        <v>0</v>
      </c>
      <c r="AD57" s="17">
        <v>0.999050040696091</v>
      </c>
      <c r="AE57" s="9">
        <f t="shared" si="7"/>
        <v>29.5366872602528</v>
      </c>
      <c r="AF57" s="18">
        <f>RANK(AE57,AE$3:AE$298)</f>
        <v>294</v>
      </c>
      <c r="AG57" s="20" t="e">
        <f>#REF!-AF57</f>
        <v>#REF!</v>
      </c>
    </row>
    <row r="58" spans="1:33">
      <c r="A58" s="9" t="s">
        <v>92</v>
      </c>
      <c r="B58" s="9">
        <v>100</v>
      </c>
      <c r="C58" s="9">
        <v>40</v>
      </c>
      <c r="D58" s="9">
        <v>80</v>
      </c>
      <c r="E58" s="9">
        <v>40</v>
      </c>
      <c r="F58" s="13">
        <f t="shared" si="0"/>
        <v>65</v>
      </c>
      <c r="G58" s="14">
        <f t="shared" si="1"/>
        <v>64.9403992897365</v>
      </c>
      <c r="H58" s="9">
        <v>60</v>
      </c>
      <c r="I58" s="9">
        <v>80</v>
      </c>
      <c r="J58" s="9">
        <v>100</v>
      </c>
      <c r="K58" s="9">
        <v>100</v>
      </c>
      <c r="L58" s="9">
        <v>70</v>
      </c>
      <c r="M58" s="14">
        <f t="shared" si="2"/>
        <v>82</v>
      </c>
      <c r="N58" s="9">
        <v>70</v>
      </c>
      <c r="O58" s="9">
        <v>75</v>
      </c>
      <c r="P58" s="9">
        <v>25</v>
      </c>
      <c r="Q58" s="14">
        <f t="shared" si="3"/>
        <v>56.6666666666667</v>
      </c>
      <c r="R58" s="9">
        <v>83.6496638987742</v>
      </c>
      <c r="S58" s="9">
        <v>65.4856023011559</v>
      </c>
      <c r="T58" s="9">
        <v>82.5085349049884</v>
      </c>
      <c r="U58" s="9">
        <v>23.1478746525161</v>
      </c>
      <c r="V58" s="9">
        <v>78.1246985339051</v>
      </c>
      <c r="W58" s="9">
        <v>26.5620148853587</v>
      </c>
      <c r="X58" s="9">
        <v>94.3817716066388</v>
      </c>
      <c r="Y58" s="19">
        <f t="shared" si="4"/>
        <v>64.837165826191</v>
      </c>
      <c r="Z58" s="6">
        <f t="shared" si="5"/>
        <v>64.7777144241186</v>
      </c>
      <c r="AA58" s="9">
        <v>75</v>
      </c>
      <c r="AB58" s="9">
        <v>75</v>
      </c>
      <c r="AC58" s="14">
        <f t="shared" si="6"/>
        <v>75</v>
      </c>
      <c r="AD58" s="17">
        <v>0.999083065995947</v>
      </c>
      <c r="AE58" s="9">
        <f t="shared" si="7"/>
        <v>68.5713941851829</v>
      </c>
      <c r="AF58" s="18">
        <f>RANK(AE58,AE$3:AE$298)</f>
        <v>30</v>
      </c>
      <c r="AG58" s="20" t="e">
        <f>#REF!-AF58</f>
        <v>#REF!</v>
      </c>
    </row>
    <row r="59" spans="1:33">
      <c r="A59" s="9" t="s">
        <v>93</v>
      </c>
      <c r="B59" s="9">
        <v>100</v>
      </c>
      <c r="C59" s="9">
        <v>60</v>
      </c>
      <c r="D59" s="9">
        <v>60</v>
      </c>
      <c r="E59" s="9">
        <v>60</v>
      </c>
      <c r="F59" s="13">
        <f t="shared" si="0"/>
        <v>70</v>
      </c>
      <c r="G59" s="14">
        <f t="shared" si="1"/>
        <v>72.1204194464754</v>
      </c>
      <c r="H59" s="9">
        <v>100</v>
      </c>
      <c r="I59" s="9">
        <v>60</v>
      </c>
      <c r="J59" s="9">
        <v>40</v>
      </c>
      <c r="K59" s="9">
        <v>100</v>
      </c>
      <c r="L59" s="9">
        <v>70</v>
      </c>
      <c r="M59" s="14">
        <f t="shared" si="2"/>
        <v>74</v>
      </c>
      <c r="N59" s="9">
        <v>70</v>
      </c>
      <c r="O59" s="9">
        <v>100</v>
      </c>
      <c r="P59" s="9">
        <v>0</v>
      </c>
      <c r="Q59" s="14">
        <f t="shared" si="3"/>
        <v>56.6666666666667</v>
      </c>
      <c r="R59" s="9">
        <v>100</v>
      </c>
      <c r="S59" s="9">
        <v>88.7905248545049</v>
      </c>
      <c r="T59" s="9">
        <v>90.3405342012622</v>
      </c>
      <c r="U59" s="9">
        <v>18.7412051816297</v>
      </c>
      <c r="V59" s="9">
        <v>41.9774499585162</v>
      </c>
      <c r="W59" s="9">
        <v>21.6320170621328</v>
      </c>
      <c r="X59" s="9">
        <v>92.3776902335933</v>
      </c>
      <c r="Y59" s="19">
        <f t="shared" si="4"/>
        <v>64.8370602130913</v>
      </c>
      <c r="Z59" s="6">
        <f t="shared" si="5"/>
        <v>66.8010854034932</v>
      </c>
      <c r="AA59" s="9">
        <v>25</v>
      </c>
      <c r="AB59" s="9">
        <v>25</v>
      </c>
      <c r="AC59" s="14">
        <f t="shared" si="6"/>
        <v>25</v>
      </c>
      <c r="AD59" s="17">
        <v>1.03029170637822</v>
      </c>
      <c r="AE59" s="9">
        <f t="shared" si="7"/>
        <v>61.514409510343</v>
      </c>
      <c r="AF59" s="18">
        <f>RANK(AE59,AE$3:AE$298)</f>
        <v>84</v>
      </c>
      <c r="AG59" s="20" t="e">
        <f>#REF!-AF59</f>
        <v>#REF!</v>
      </c>
    </row>
    <row r="60" spans="1:33">
      <c r="A60" s="9" t="s">
        <v>94</v>
      </c>
      <c r="B60" s="9">
        <v>80</v>
      </c>
      <c r="C60" s="9">
        <v>40</v>
      </c>
      <c r="D60" s="9">
        <v>60</v>
      </c>
      <c r="E60" s="9">
        <v>60</v>
      </c>
      <c r="F60" s="13">
        <f t="shared" si="0"/>
        <v>60</v>
      </c>
      <c r="G60" s="14">
        <f t="shared" si="1"/>
        <v>58.8415378808301</v>
      </c>
      <c r="H60" s="9">
        <v>20</v>
      </c>
      <c r="I60" s="9">
        <v>60</v>
      </c>
      <c r="J60" s="9">
        <v>40</v>
      </c>
      <c r="K60" s="9">
        <v>100</v>
      </c>
      <c r="L60" s="9">
        <v>70</v>
      </c>
      <c r="M60" s="14">
        <f t="shared" si="2"/>
        <v>58</v>
      </c>
      <c r="N60" s="9">
        <v>70</v>
      </c>
      <c r="O60" s="9">
        <v>25</v>
      </c>
      <c r="P60" s="9">
        <v>75</v>
      </c>
      <c r="Q60" s="14">
        <f t="shared" si="3"/>
        <v>56.6666666666667</v>
      </c>
      <c r="R60" s="9">
        <v>100</v>
      </c>
      <c r="S60" s="9">
        <v>93.836714696635</v>
      </c>
      <c r="T60" s="9">
        <v>92.6901339901444</v>
      </c>
      <c r="U60" s="9">
        <v>9.97359043670139</v>
      </c>
      <c r="V60" s="9">
        <v>28.9452351021141</v>
      </c>
      <c r="W60" s="9">
        <v>36.6183965041799</v>
      </c>
      <c r="X60" s="9">
        <v>91.6497268292289</v>
      </c>
      <c r="Y60" s="19">
        <f t="shared" si="4"/>
        <v>64.8162567941434</v>
      </c>
      <c r="Z60" s="6">
        <f t="shared" si="5"/>
        <v>63.5648038241033</v>
      </c>
      <c r="AA60" s="9">
        <v>50</v>
      </c>
      <c r="AB60" s="9">
        <v>25</v>
      </c>
      <c r="AC60" s="14">
        <f t="shared" si="6"/>
        <v>37.5</v>
      </c>
      <c r="AD60" s="17">
        <v>0.980692298013835</v>
      </c>
      <c r="AE60" s="9">
        <f t="shared" si="7"/>
        <v>56.562748723397</v>
      </c>
      <c r="AF60" s="18">
        <f>RANK(AE60,AE$3:AE$298)</f>
        <v>119</v>
      </c>
      <c r="AG60" s="20" t="e">
        <f>#REF!-AF60</f>
        <v>#REF!</v>
      </c>
    </row>
    <row r="61" spans="1:33">
      <c r="A61" s="9" t="s">
        <v>95</v>
      </c>
      <c r="B61" s="9">
        <v>60</v>
      </c>
      <c r="C61" s="9">
        <v>40</v>
      </c>
      <c r="D61" s="9">
        <v>40</v>
      </c>
      <c r="E61" s="9">
        <v>60</v>
      </c>
      <c r="F61" s="13">
        <f t="shared" si="0"/>
        <v>50</v>
      </c>
      <c r="G61" s="14">
        <f t="shared" si="1"/>
        <v>48.4075370210388</v>
      </c>
      <c r="H61" s="9">
        <v>60</v>
      </c>
      <c r="I61" s="9">
        <v>100</v>
      </c>
      <c r="J61" s="9">
        <v>70</v>
      </c>
      <c r="K61" s="9">
        <v>100</v>
      </c>
      <c r="L61" s="9">
        <v>70</v>
      </c>
      <c r="M61" s="14">
        <f t="shared" si="2"/>
        <v>80</v>
      </c>
      <c r="N61" s="9">
        <v>70</v>
      </c>
      <c r="O61" s="9">
        <v>75</v>
      </c>
      <c r="P61" s="9">
        <v>75</v>
      </c>
      <c r="Q61" s="14">
        <f t="shared" si="3"/>
        <v>73.3333333333333</v>
      </c>
      <c r="R61" s="9">
        <v>100</v>
      </c>
      <c r="S61" s="9">
        <v>89.7150176500096</v>
      </c>
      <c r="T61" s="9">
        <v>80.0284017945017</v>
      </c>
      <c r="U61" s="9">
        <v>3.78367728888041</v>
      </c>
      <c r="V61" s="9">
        <v>12.8950336473873</v>
      </c>
      <c r="W61" s="9">
        <v>71.2239412814572</v>
      </c>
      <c r="X61" s="9">
        <v>95.5908360857494</v>
      </c>
      <c r="Y61" s="19">
        <f t="shared" si="4"/>
        <v>64.7481296782837</v>
      </c>
      <c r="Z61" s="6">
        <f t="shared" si="5"/>
        <v>62.6859496888908</v>
      </c>
      <c r="AA61" s="9">
        <v>75</v>
      </c>
      <c r="AB61" s="9">
        <v>50</v>
      </c>
      <c r="AC61" s="14">
        <f t="shared" si="6"/>
        <v>62.5</v>
      </c>
      <c r="AD61" s="17">
        <v>0.968150740420777</v>
      </c>
      <c r="AE61" s="9">
        <f t="shared" si="7"/>
        <v>64.862292310875</v>
      </c>
      <c r="AF61" s="18">
        <f>RANK(AE61,AE$3:AE$298)</f>
        <v>55</v>
      </c>
      <c r="AG61" s="20" t="e">
        <f>#REF!-AF61</f>
        <v>#REF!</v>
      </c>
    </row>
    <row r="62" spans="1:33">
      <c r="A62" s="9" t="s">
        <v>96</v>
      </c>
      <c r="B62" s="9">
        <v>100</v>
      </c>
      <c r="C62" s="9">
        <v>40</v>
      </c>
      <c r="D62" s="9">
        <v>60</v>
      </c>
      <c r="E62" s="9">
        <v>60</v>
      </c>
      <c r="F62" s="13">
        <f t="shared" si="0"/>
        <v>65</v>
      </c>
      <c r="G62" s="14">
        <f t="shared" si="1"/>
        <v>63.9572963621988</v>
      </c>
      <c r="H62" s="9">
        <v>20</v>
      </c>
      <c r="I62" s="9">
        <v>80</v>
      </c>
      <c r="J62" s="9">
        <v>70</v>
      </c>
      <c r="K62" s="9">
        <v>100</v>
      </c>
      <c r="L62" s="9">
        <v>70</v>
      </c>
      <c r="M62" s="14">
        <f t="shared" si="2"/>
        <v>68</v>
      </c>
      <c r="N62" s="9">
        <v>20</v>
      </c>
      <c r="O62" s="9">
        <v>50</v>
      </c>
      <c r="P62" s="9">
        <v>0</v>
      </c>
      <c r="Q62" s="14">
        <f t="shared" si="3"/>
        <v>23.3333333333333</v>
      </c>
      <c r="R62" s="9">
        <v>82.9614253589344</v>
      </c>
      <c r="S62" s="9">
        <v>86.421512066024</v>
      </c>
      <c r="T62" s="9">
        <v>87.3382678043573</v>
      </c>
      <c r="U62" s="9">
        <v>36.9680131487591</v>
      </c>
      <c r="V62" s="9">
        <v>38.2049667106103</v>
      </c>
      <c r="W62" s="9">
        <v>33.4301189948947</v>
      </c>
      <c r="X62" s="9">
        <v>87.7627790339867</v>
      </c>
      <c r="Y62" s="19">
        <f t="shared" si="4"/>
        <v>64.7267261596524</v>
      </c>
      <c r="Z62" s="6">
        <f t="shared" si="5"/>
        <v>63.6884062699658</v>
      </c>
      <c r="AA62" s="9">
        <v>50</v>
      </c>
      <c r="AB62" s="9">
        <v>25</v>
      </c>
      <c r="AC62" s="14">
        <f t="shared" si="6"/>
        <v>37.5</v>
      </c>
      <c r="AD62" s="17">
        <v>0.98395840557229</v>
      </c>
      <c r="AE62" s="9">
        <f t="shared" si="7"/>
        <v>54.6229811534295</v>
      </c>
      <c r="AF62" s="18">
        <f>RANK(AE62,AE$3:AE$298)</f>
        <v>139</v>
      </c>
      <c r="AG62" s="20" t="e">
        <f>#REF!-AF62</f>
        <v>#REF!</v>
      </c>
    </row>
    <row r="63" spans="1:33">
      <c r="A63" s="9" t="s">
        <v>97</v>
      </c>
      <c r="B63" s="9">
        <v>80</v>
      </c>
      <c r="C63" s="9">
        <v>20</v>
      </c>
      <c r="D63" s="9">
        <v>20</v>
      </c>
      <c r="E63" s="9">
        <v>60</v>
      </c>
      <c r="F63" s="13">
        <f t="shared" si="0"/>
        <v>45</v>
      </c>
      <c r="G63" s="14">
        <f t="shared" si="1"/>
        <v>42.3643831055555</v>
      </c>
      <c r="H63" s="9">
        <v>60</v>
      </c>
      <c r="I63" s="9">
        <v>60</v>
      </c>
      <c r="J63" s="9">
        <v>100</v>
      </c>
      <c r="K63" s="9">
        <v>70</v>
      </c>
      <c r="L63" s="9">
        <v>70</v>
      </c>
      <c r="M63" s="14">
        <f t="shared" si="2"/>
        <v>72</v>
      </c>
      <c r="N63" s="9">
        <v>70</v>
      </c>
      <c r="O63" s="9">
        <v>50</v>
      </c>
      <c r="P63" s="9">
        <v>0</v>
      </c>
      <c r="Q63" s="14">
        <f t="shared" si="3"/>
        <v>40</v>
      </c>
      <c r="R63" s="9">
        <v>100</v>
      </c>
      <c r="S63" s="9">
        <v>83.3783899474875</v>
      </c>
      <c r="T63" s="9">
        <v>78.5925352568515</v>
      </c>
      <c r="U63" s="9">
        <v>1.93756284128468</v>
      </c>
      <c r="V63" s="9">
        <v>24.6926176226566</v>
      </c>
      <c r="W63" s="9">
        <v>63.9932120766083</v>
      </c>
      <c r="X63" s="9">
        <v>99.8454668701984</v>
      </c>
      <c r="Y63" s="19">
        <f t="shared" si="4"/>
        <v>64.6342549450124</v>
      </c>
      <c r="Z63" s="6">
        <f t="shared" si="5"/>
        <v>60.8486741829479</v>
      </c>
      <c r="AA63" s="9">
        <v>50</v>
      </c>
      <c r="AB63" s="9">
        <v>50</v>
      </c>
      <c r="AC63" s="14">
        <f t="shared" si="6"/>
        <v>50</v>
      </c>
      <c r="AD63" s="17">
        <v>0.941430735679012</v>
      </c>
      <c r="AE63" s="9">
        <f t="shared" si="7"/>
        <v>54.6274788759955</v>
      </c>
      <c r="AF63" s="18">
        <f>RANK(AE63,AE$3:AE$298)</f>
        <v>138</v>
      </c>
      <c r="AG63" s="20" t="e">
        <f>#REF!-AF63</f>
        <v>#REF!</v>
      </c>
    </row>
    <row r="64" spans="1:33">
      <c r="A64" s="9" t="s">
        <v>98</v>
      </c>
      <c r="B64" s="9">
        <v>60</v>
      </c>
      <c r="C64" s="9">
        <v>20</v>
      </c>
      <c r="D64" s="9">
        <v>40</v>
      </c>
      <c r="E64" s="9">
        <v>60</v>
      </c>
      <c r="F64" s="13">
        <f t="shared" si="0"/>
        <v>45</v>
      </c>
      <c r="G64" s="14">
        <f t="shared" si="1"/>
        <v>47.0337064973415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4">
        <f t="shared" si="2"/>
        <v>0</v>
      </c>
      <c r="N64" s="9">
        <v>0</v>
      </c>
      <c r="O64" s="9">
        <v>0</v>
      </c>
      <c r="P64" s="9">
        <v>0</v>
      </c>
      <c r="Q64" s="14">
        <f t="shared" si="3"/>
        <v>0</v>
      </c>
      <c r="R64" s="9">
        <v>94.2442312678247</v>
      </c>
      <c r="S64" s="9">
        <v>85.24663580507</v>
      </c>
      <c r="T64" s="9">
        <v>88.7741343420075</v>
      </c>
      <c r="U64" s="9">
        <v>24.7367904928617</v>
      </c>
      <c r="V64" s="9">
        <v>49.0422822227763</v>
      </c>
      <c r="W64" s="9">
        <v>21.93219987474</v>
      </c>
      <c r="X64" s="9">
        <v>88.2967564150725</v>
      </c>
      <c r="Y64" s="19">
        <f t="shared" si="4"/>
        <v>64.6104329171932</v>
      </c>
      <c r="Z64" s="6">
        <f t="shared" si="5"/>
        <v>67.530403077632</v>
      </c>
      <c r="AA64" s="9">
        <v>0</v>
      </c>
      <c r="AB64" s="9">
        <v>0</v>
      </c>
      <c r="AC64" s="14">
        <f t="shared" si="6"/>
        <v>0</v>
      </c>
      <c r="AD64" s="17">
        <v>1.0451934777187</v>
      </c>
      <c r="AE64" s="9">
        <f t="shared" si="7"/>
        <v>29.6658622227579</v>
      </c>
      <c r="AF64" s="18">
        <f>RANK(AE64,AE$3:AE$298)</f>
        <v>293</v>
      </c>
      <c r="AG64" s="20" t="e">
        <f>#REF!-AF64</f>
        <v>#REF!</v>
      </c>
    </row>
    <row r="65" spans="1:33">
      <c r="A65" s="9" t="s">
        <v>99</v>
      </c>
      <c r="B65" s="9">
        <v>100</v>
      </c>
      <c r="C65" s="9">
        <v>40</v>
      </c>
      <c r="D65" s="9">
        <v>40</v>
      </c>
      <c r="E65" s="9">
        <v>60</v>
      </c>
      <c r="F65" s="13">
        <f t="shared" si="0"/>
        <v>60</v>
      </c>
      <c r="G65" s="14">
        <f t="shared" si="1"/>
        <v>61.0535734706592</v>
      </c>
      <c r="H65" s="9">
        <v>100</v>
      </c>
      <c r="I65" s="9">
        <v>80</v>
      </c>
      <c r="J65" s="9">
        <v>100</v>
      </c>
      <c r="K65" s="9">
        <v>100</v>
      </c>
      <c r="L65" s="9">
        <v>70</v>
      </c>
      <c r="M65" s="14">
        <f t="shared" si="2"/>
        <v>90</v>
      </c>
      <c r="N65" s="9">
        <v>70</v>
      </c>
      <c r="O65" s="9">
        <v>75</v>
      </c>
      <c r="P65" s="9">
        <v>25</v>
      </c>
      <c r="Q65" s="14">
        <f t="shared" si="3"/>
        <v>56.6666666666667</v>
      </c>
      <c r="R65" s="9">
        <v>100</v>
      </c>
      <c r="S65" s="9">
        <v>81.1249387584447</v>
      </c>
      <c r="T65" s="9">
        <v>86.6856011963344</v>
      </c>
      <c r="U65" s="9">
        <v>17.323755079451</v>
      </c>
      <c r="V65" s="9">
        <v>53.2263090977264</v>
      </c>
      <c r="W65" s="9">
        <v>23.3343607542268</v>
      </c>
      <c r="X65" s="9">
        <v>90.2651248270806</v>
      </c>
      <c r="Y65" s="19">
        <f t="shared" si="4"/>
        <v>64.5657271018948</v>
      </c>
      <c r="Z65" s="6">
        <f t="shared" si="5"/>
        <v>65.6994727217011</v>
      </c>
      <c r="AA65" s="9">
        <v>75</v>
      </c>
      <c r="AB65" s="9">
        <v>75</v>
      </c>
      <c r="AC65" s="14">
        <f t="shared" si="6"/>
        <v>75</v>
      </c>
      <c r="AD65" s="17">
        <v>1.01755955784432</v>
      </c>
      <c r="AE65" s="9">
        <f t="shared" si="7"/>
        <v>69.6705565106422</v>
      </c>
      <c r="AF65" s="18">
        <f>RANK(AE65,AE$3:AE$298)</f>
        <v>25</v>
      </c>
      <c r="AG65" s="20" t="e">
        <f>#REF!-AF65</f>
        <v>#REF!</v>
      </c>
    </row>
    <row r="66" spans="1:33">
      <c r="A66" s="9" t="s">
        <v>100</v>
      </c>
      <c r="B66" s="9">
        <v>100</v>
      </c>
      <c r="C66" s="9">
        <v>80</v>
      </c>
      <c r="D66" s="9">
        <v>80</v>
      </c>
      <c r="E66" s="9">
        <v>60</v>
      </c>
      <c r="F66" s="13">
        <f t="shared" si="0"/>
        <v>80</v>
      </c>
      <c r="G66" s="14">
        <f t="shared" si="1"/>
        <v>75.6475794850916</v>
      </c>
      <c r="H66" s="9">
        <v>60</v>
      </c>
      <c r="I66" s="9">
        <v>60</v>
      </c>
      <c r="J66" s="9">
        <v>70</v>
      </c>
      <c r="K66" s="9">
        <v>40</v>
      </c>
      <c r="L66" s="9">
        <v>70</v>
      </c>
      <c r="M66" s="14">
        <f t="shared" si="2"/>
        <v>60</v>
      </c>
      <c r="N66" s="9">
        <v>40</v>
      </c>
      <c r="O66" s="9">
        <v>50</v>
      </c>
      <c r="P66" s="9">
        <v>0</v>
      </c>
      <c r="Q66" s="14">
        <f t="shared" si="3"/>
        <v>30</v>
      </c>
      <c r="R66" s="9">
        <v>100</v>
      </c>
      <c r="S66" s="9">
        <v>81.7605275553542</v>
      </c>
      <c r="T66" s="9">
        <v>77.5482686840149</v>
      </c>
      <c r="U66" s="9">
        <v>32.9499993510507</v>
      </c>
      <c r="V66" s="9">
        <v>26.2702015263263</v>
      </c>
      <c r="W66" s="9">
        <v>51.3717426401712</v>
      </c>
      <c r="X66" s="9">
        <v>81.4046097855578</v>
      </c>
      <c r="Y66" s="19">
        <f t="shared" si="4"/>
        <v>64.4721927917821</v>
      </c>
      <c r="Z66" s="6">
        <f t="shared" si="5"/>
        <v>60.9645666099311</v>
      </c>
      <c r="AA66" s="9">
        <v>25</v>
      </c>
      <c r="AB66" s="9">
        <v>25</v>
      </c>
      <c r="AC66" s="14">
        <f t="shared" si="6"/>
        <v>25</v>
      </c>
      <c r="AD66" s="17">
        <v>0.945594743563645</v>
      </c>
      <c r="AE66" s="9">
        <f t="shared" si="7"/>
        <v>53.6688858799977</v>
      </c>
      <c r="AF66" s="18">
        <f>RANK(AE66,AE$3:AE$298)</f>
        <v>158</v>
      </c>
      <c r="AG66" s="20" t="e">
        <f>#REF!-AF66</f>
        <v>#REF!</v>
      </c>
    </row>
    <row r="67" spans="1:33">
      <c r="A67" s="9" t="s">
        <v>101</v>
      </c>
      <c r="B67" s="9">
        <v>100</v>
      </c>
      <c r="C67" s="9">
        <v>40</v>
      </c>
      <c r="D67" s="9">
        <v>60</v>
      </c>
      <c r="E67" s="9">
        <v>60</v>
      </c>
      <c r="F67" s="13">
        <f t="shared" ref="F67:F130" si="8">AVERAGE(B67:E67)</f>
        <v>65</v>
      </c>
      <c r="G67" s="14">
        <f t="shared" ref="G67:G130" si="9">F67*AD67</f>
        <v>62.9335434083712</v>
      </c>
      <c r="H67" s="9">
        <v>40</v>
      </c>
      <c r="I67" s="9">
        <v>40</v>
      </c>
      <c r="J67" s="9">
        <v>100</v>
      </c>
      <c r="K67" s="9">
        <v>100</v>
      </c>
      <c r="L67" s="9">
        <v>70</v>
      </c>
      <c r="M67" s="14">
        <f t="shared" ref="M67:M130" si="10">AVERAGE(H67:L67)</f>
        <v>70</v>
      </c>
      <c r="N67" s="9">
        <v>40</v>
      </c>
      <c r="O67" s="9">
        <v>75</v>
      </c>
      <c r="P67" s="9">
        <v>25</v>
      </c>
      <c r="Q67" s="14">
        <f t="shared" ref="Q67:Q130" si="11">AVERAGE(N67:P67)</f>
        <v>46.6666666666667</v>
      </c>
      <c r="R67" s="9">
        <v>100</v>
      </c>
      <c r="S67" s="9">
        <v>95.9553440196667</v>
      </c>
      <c r="T67" s="9">
        <v>93.0817339549581</v>
      </c>
      <c r="U67" s="9">
        <v>11.2024282268967</v>
      </c>
      <c r="V67" s="9">
        <v>17.6277853583965</v>
      </c>
      <c r="W67" s="9">
        <v>69.887766136234</v>
      </c>
      <c r="X67" s="9">
        <v>63.5395559466974</v>
      </c>
      <c r="Y67" s="19">
        <f t="shared" ref="Y67:Y130" si="12">AVERAGE(R67:X67)</f>
        <v>64.4706590918356</v>
      </c>
      <c r="Z67" s="6">
        <f t="shared" ref="Z67:Z130" si="13">Y67*AD67</f>
        <v>62.4210311157283</v>
      </c>
      <c r="AA67" s="9">
        <v>50</v>
      </c>
      <c r="AB67" s="9">
        <v>75</v>
      </c>
      <c r="AC67" s="14">
        <f t="shared" ref="AC67:AC130" si="14">AVERAGE(AA67:AB67)</f>
        <v>62.5</v>
      </c>
      <c r="AD67" s="17">
        <v>0.968208360128787</v>
      </c>
      <c r="AE67" s="9">
        <f t="shared" ref="AE67:AE130" si="15">G67*0.2+M67*0.2+Q67*0.15+Z67*0.3+AC67*0.15</f>
        <v>61.6880180163927</v>
      </c>
      <c r="AF67" s="18">
        <f>RANK(AE67,AE$3:AE$298)</f>
        <v>81</v>
      </c>
      <c r="AG67" s="20" t="e">
        <f>#REF!-AF67</f>
        <v>#REF!</v>
      </c>
    </row>
    <row r="68" spans="1:33">
      <c r="A68" s="9" t="s">
        <v>102</v>
      </c>
      <c r="B68" s="9">
        <v>80</v>
      </c>
      <c r="C68" s="9">
        <v>60</v>
      </c>
      <c r="D68" s="9">
        <v>40</v>
      </c>
      <c r="E68" s="9">
        <v>60</v>
      </c>
      <c r="F68" s="13">
        <f t="shared" si="8"/>
        <v>60</v>
      </c>
      <c r="G68" s="14">
        <f t="shared" si="9"/>
        <v>56.0940573510112</v>
      </c>
      <c r="H68" s="9">
        <v>80</v>
      </c>
      <c r="I68" s="9">
        <v>40</v>
      </c>
      <c r="J68" s="9">
        <v>60</v>
      </c>
      <c r="K68" s="9">
        <v>70</v>
      </c>
      <c r="L68" s="9">
        <v>30</v>
      </c>
      <c r="M68" s="14">
        <f t="shared" si="10"/>
        <v>56</v>
      </c>
      <c r="N68" s="9">
        <v>20</v>
      </c>
      <c r="O68" s="9">
        <v>25</v>
      </c>
      <c r="P68" s="9">
        <v>50</v>
      </c>
      <c r="Q68" s="14">
        <f t="shared" si="11"/>
        <v>31.6666666666667</v>
      </c>
      <c r="R68" s="9">
        <v>72.3646723646724</v>
      </c>
      <c r="S68" s="9">
        <v>95.107892290454</v>
      </c>
      <c r="T68" s="9">
        <v>90.2100008796577</v>
      </c>
      <c r="U68" s="9">
        <v>2.21190802235154</v>
      </c>
      <c r="V68" s="9">
        <v>13.1693960654168</v>
      </c>
      <c r="W68" s="9">
        <v>100</v>
      </c>
      <c r="X68" s="9">
        <v>74.1484132260894</v>
      </c>
      <c r="Y68" s="19">
        <f t="shared" si="12"/>
        <v>63.8874689783774</v>
      </c>
      <c r="Z68" s="6">
        <f t="shared" si="13"/>
        <v>59.7284558147341</v>
      </c>
      <c r="AA68" s="9">
        <v>25</v>
      </c>
      <c r="AB68" s="9">
        <v>100</v>
      </c>
      <c r="AC68" s="14">
        <f t="shared" si="14"/>
        <v>62.5</v>
      </c>
      <c r="AD68" s="17">
        <v>0.934900955850186</v>
      </c>
      <c r="AE68" s="9">
        <f t="shared" si="15"/>
        <v>54.4623482146225</v>
      </c>
      <c r="AF68" s="18">
        <f>RANK(AE68,AE$3:AE$298)</f>
        <v>145</v>
      </c>
      <c r="AG68" s="20" t="e">
        <f>#REF!-AF68</f>
        <v>#REF!</v>
      </c>
    </row>
    <row r="69" spans="1:33">
      <c r="A69" s="9" t="s">
        <v>103</v>
      </c>
      <c r="B69" s="9">
        <v>60</v>
      </c>
      <c r="C69" s="9">
        <v>60</v>
      </c>
      <c r="D69" s="9">
        <v>20</v>
      </c>
      <c r="E69" s="9">
        <v>40</v>
      </c>
      <c r="F69" s="13">
        <f t="shared" si="8"/>
        <v>45</v>
      </c>
      <c r="G69" s="14">
        <f t="shared" si="9"/>
        <v>44.9132582845683</v>
      </c>
      <c r="H69" s="9">
        <v>80</v>
      </c>
      <c r="I69" s="9">
        <v>80</v>
      </c>
      <c r="J69" s="9">
        <v>70</v>
      </c>
      <c r="K69" s="9">
        <v>100</v>
      </c>
      <c r="L69" s="9">
        <v>70</v>
      </c>
      <c r="M69" s="14">
        <f t="shared" si="10"/>
        <v>80</v>
      </c>
      <c r="N69" s="9">
        <v>70</v>
      </c>
      <c r="O69" s="9">
        <v>75</v>
      </c>
      <c r="P69" s="9">
        <v>50</v>
      </c>
      <c r="Q69" s="14">
        <f t="shared" si="11"/>
        <v>65</v>
      </c>
      <c r="R69" s="9">
        <v>100</v>
      </c>
      <c r="S69" s="9">
        <v>94.3952624272524</v>
      </c>
      <c r="T69" s="9">
        <v>91.1237341308896</v>
      </c>
      <c r="U69" s="9">
        <v>12.5684386076254</v>
      </c>
      <c r="V69" s="9">
        <v>19.0681880530515</v>
      </c>
      <c r="W69" s="9">
        <v>41.1552386667749</v>
      </c>
      <c r="X69" s="9">
        <v>88.4372914866603</v>
      </c>
      <c r="Y69" s="19">
        <f t="shared" si="12"/>
        <v>63.8211647674649</v>
      </c>
      <c r="Z69" s="6">
        <f t="shared" si="13"/>
        <v>63.6981434938476</v>
      </c>
      <c r="AA69" s="9">
        <v>50</v>
      </c>
      <c r="AB69" s="9">
        <v>75</v>
      </c>
      <c r="AC69" s="14">
        <f t="shared" si="14"/>
        <v>62.5</v>
      </c>
      <c r="AD69" s="17">
        <v>0.99807240632374</v>
      </c>
      <c r="AE69" s="9">
        <f t="shared" si="15"/>
        <v>63.2170947050679</v>
      </c>
      <c r="AF69" s="18">
        <f>RANK(AE69,AE$3:AE$298)</f>
        <v>67</v>
      </c>
      <c r="AG69" s="20" t="e">
        <f>#REF!-AF69</f>
        <v>#REF!</v>
      </c>
    </row>
    <row r="70" spans="1:33">
      <c r="A70" s="9" t="s">
        <v>104</v>
      </c>
      <c r="B70" s="9">
        <v>80</v>
      </c>
      <c r="C70" s="9">
        <v>20</v>
      </c>
      <c r="D70" s="9">
        <v>20</v>
      </c>
      <c r="E70" s="9">
        <v>40</v>
      </c>
      <c r="F70" s="13">
        <f t="shared" si="8"/>
        <v>40</v>
      </c>
      <c r="G70" s="14">
        <f t="shared" si="9"/>
        <v>40.3128585683456</v>
      </c>
      <c r="H70" s="9">
        <v>40</v>
      </c>
      <c r="I70" s="9">
        <v>100</v>
      </c>
      <c r="J70" s="9">
        <v>70</v>
      </c>
      <c r="K70" s="9">
        <v>100</v>
      </c>
      <c r="L70" s="9">
        <v>70</v>
      </c>
      <c r="M70" s="14">
        <f t="shared" si="10"/>
        <v>76</v>
      </c>
      <c r="N70" s="9">
        <v>40</v>
      </c>
      <c r="O70" s="9">
        <v>75</v>
      </c>
      <c r="P70" s="9">
        <v>50</v>
      </c>
      <c r="Q70" s="14">
        <f t="shared" si="11"/>
        <v>55</v>
      </c>
      <c r="R70" s="9">
        <v>100</v>
      </c>
      <c r="S70" s="9">
        <v>69.222094016321</v>
      </c>
      <c r="T70" s="9">
        <v>84.2054680858477</v>
      </c>
      <c r="U70" s="9">
        <v>7.6702340206609</v>
      </c>
      <c r="V70" s="9">
        <v>77.5759736978461</v>
      </c>
      <c r="W70" s="9">
        <v>28.3997277889559</v>
      </c>
      <c r="X70" s="9">
        <v>79.3489200668762</v>
      </c>
      <c r="Y70" s="19">
        <f t="shared" si="12"/>
        <v>63.774631096644</v>
      </c>
      <c r="Z70" s="6">
        <f t="shared" si="13"/>
        <v>64.2734420911856</v>
      </c>
      <c r="AA70" s="9">
        <v>50</v>
      </c>
      <c r="AB70" s="9">
        <v>25</v>
      </c>
      <c r="AC70" s="14">
        <f t="shared" si="14"/>
        <v>37.5</v>
      </c>
      <c r="AD70" s="17">
        <v>1.00782146420864</v>
      </c>
      <c r="AE70" s="9">
        <f t="shared" si="15"/>
        <v>56.4196043410248</v>
      </c>
      <c r="AF70" s="18">
        <f>RANK(AE70,AE$3:AE$298)</f>
        <v>120</v>
      </c>
      <c r="AG70" s="20" t="e">
        <f>#REF!-AF70</f>
        <v>#REF!</v>
      </c>
    </row>
    <row r="71" spans="1:33">
      <c r="A71" s="9" t="s">
        <v>105</v>
      </c>
      <c r="B71" s="9">
        <v>80</v>
      </c>
      <c r="C71" s="9">
        <v>20</v>
      </c>
      <c r="D71" s="9">
        <v>20</v>
      </c>
      <c r="E71" s="9">
        <v>60</v>
      </c>
      <c r="F71" s="13">
        <f t="shared" si="8"/>
        <v>45</v>
      </c>
      <c r="G71" s="14">
        <f t="shared" si="9"/>
        <v>46.8413567681202</v>
      </c>
      <c r="H71" s="9">
        <v>100</v>
      </c>
      <c r="I71" s="9">
        <v>60</v>
      </c>
      <c r="J71" s="9">
        <v>100</v>
      </c>
      <c r="K71" s="9">
        <v>100</v>
      </c>
      <c r="L71" s="9">
        <v>70</v>
      </c>
      <c r="M71" s="14">
        <f t="shared" si="10"/>
        <v>86</v>
      </c>
      <c r="N71" s="9">
        <v>70</v>
      </c>
      <c r="O71" s="9">
        <v>75</v>
      </c>
      <c r="P71" s="9">
        <v>50</v>
      </c>
      <c r="Q71" s="14">
        <f t="shared" si="11"/>
        <v>65</v>
      </c>
      <c r="R71" s="9">
        <v>99.5354239256678</v>
      </c>
      <c r="S71" s="9">
        <v>86.3637312663049</v>
      </c>
      <c r="T71" s="9">
        <v>89.1657343068212</v>
      </c>
      <c r="U71" s="9">
        <v>4.6467215043199</v>
      </c>
      <c r="V71" s="9">
        <v>46.3672486469885</v>
      </c>
      <c r="W71" s="9">
        <v>20.722345003505</v>
      </c>
      <c r="X71" s="9">
        <v>99.1783540142204</v>
      </c>
      <c r="Y71" s="19">
        <f t="shared" si="12"/>
        <v>63.7113655239754</v>
      </c>
      <c r="Z71" s="6">
        <f t="shared" si="13"/>
        <v>66.3183733931699</v>
      </c>
      <c r="AA71" s="9">
        <v>50</v>
      </c>
      <c r="AB71" s="9">
        <v>75</v>
      </c>
      <c r="AC71" s="14">
        <f t="shared" si="14"/>
        <v>62.5</v>
      </c>
      <c r="AD71" s="17">
        <v>1.04091903929156</v>
      </c>
      <c r="AE71" s="9">
        <f t="shared" si="15"/>
        <v>65.588783371575</v>
      </c>
      <c r="AF71" s="18">
        <f>RANK(AE71,AE$3:AE$298)</f>
        <v>50</v>
      </c>
      <c r="AG71" s="20" t="e">
        <f>#REF!-AF71</f>
        <v>#REF!</v>
      </c>
    </row>
    <row r="72" spans="1:33">
      <c r="A72" s="9" t="s">
        <v>106</v>
      </c>
      <c r="B72" s="9">
        <v>80</v>
      </c>
      <c r="C72" s="9">
        <v>40</v>
      </c>
      <c r="D72" s="9">
        <v>60</v>
      </c>
      <c r="E72" s="9">
        <v>60</v>
      </c>
      <c r="F72" s="13">
        <f t="shared" si="8"/>
        <v>60</v>
      </c>
      <c r="G72" s="14">
        <f t="shared" si="9"/>
        <v>59.0827347188226</v>
      </c>
      <c r="H72" s="9">
        <v>100</v>
      </c>
      <c r="I72" s="9">
        <v>100</v>
      </c>
      <c r="J72" s="9">
        <v>100</v>
      </c>
      <c r="K72" s="9">
        <v>100</v>
      </c>
      <c r="L72" s="9">
        <v>70</v>
      </c>
      <c r="M72" s="14">
        <f t="shared" si="10"/>
        <v>94</v>
      </c>
      <c r="N72" s="9">
        <v>70</v>
      </c>
      <c r="O72" s="9">
        <v>75</v>
      </c>
      <c r="P72" s="9">
        <v>25</v>
      </c>
      <c r="Q72" s="14">
        <f t="shared" si="11"/>
        <v>56.6666666666667</v>
      </c>
      <c r="R72" s="9">
        <v>73.2990069878632</v>
      </c>
      <c r="S72" s="9">
        <v>90.7743323115255</v>
      </c>
      <c r="T72" s="9">
        <v>92.1680007037261</v>
      </c>
      <c r="U72" s="9">
        <v>29.1091668161147</v>
      </c>
      <c r="V72" s="9">
        <v>42.5261747945752</v>
      </c>
      <c r="W72" s="9">
        <v>31.4948281090596</v>
      </c>
      <c r="X72" s="9">
        <v>86.3892463517603</v>
      </c>
      <c r="Y72" s="19">
        <f t="shared" si="12"/>
        <v>63.6801080106606</v>
      </c>
      <c r="Z72" s="6">
        <f t="shared" si="13"/>
        <v>62.7065821409972</v>
      </c>
      <c r="AA72" s="9">
        <v>50</v>
      </c>
      <c r="AB72" s="9">
        <v>75</v>
      </c>
      <c r="AC72" s="14">
        <f t="shared" si="14"/>
        <v>62.5</v>
      </c>
      <c r="AD72" s="17">
        <v>0.98471224531371</v>
      </c>
      <c r="AE72" s="9">
        <f t="shared" si="15"/>
        <v>67.3035215860637</v>
      </c>
      <c r="AF72" s="18">
        <f>RANK(AE72,AE$3:AE$298)</f>
        <v>41</v>
      </c>
      <c r="AG72" s="20" t="e">
        <f>#REF!-AF72</f>
        <v>#REF!</v>
      </c>
    </row>
    <row r="73" spans="1:33">
      <c r="A73" s="9" t="s">
        <v>107</v>
      </c>
      <c r="B73" s="9">
        <v>100</v>
      </c>
      <c r="C73" s="9">
        <v>40</v>
      </c>
      <c r="D73" s="9">
        <v>40</v>
      </c>
      <c r="E73" s="9">
        <v>60</v>
      </c>
      <c r="F73" s="13">
        <f t="shared" si="8"/>
        <v>60</v>
      </c>
      <c r="G73" s="14">
        <f t="shared" si="9"/>
        <v>62.075711288997</v>
      </c>
      <c r="H73" s="9">
        <v>80</v>
      </c>
      <c r="I73" s="9">
        <v>80</v>
      </c>
      <c r="J73" s="9">
        <v>70</v>
      </c>
      <c r="K73" s="9">
        <v>100</v>
      </c>
      <c r="L73" s="9">
        <v>70</v>
      </c>
      <c r="M73" s="14">
        <f t="shared" si="10"/>
        <v>80</v>
      </c>
      <c r="N73" s="9">
        <v>70</v>
      </c>
      <c r="O73" s="9">
        <v>50</v>
      </c>
      <c r="P73" s="9">
        <v>0</v>
      </c>
      <c r="Q73" s="14">
        <f t="shared" si="11"/>
        <v>40</v>
      </c>
      <c r="R73" s="9">
        <v>100</v>
      </c>
      <c r="S73" s="9">
        <v>87.3845253946747</v>
      </c>
      <c r="T73" s="9">
        <v>87.5993344475664</v>
      </c>
      <c r="U73" s="9">
        <v>23.1593057017272</v>
      </c>
      <c r="V73" s="9">
        <v>35.9414767618668</v>
      </c>
      <c r="W73" s="9">
        <v>20.8415764082329</v>
      </c>
      <c r="X73" s="9">
        <v>90.1443535859482</v>
      </c>
      <c r="Y73" s="19">
        <f t="shared" si="12"/>
        <v>63.5815103285737</v>
      </c>
      <c r="Z73" s="6">
        <f t="shared" si="13"/>
        <v>65.7811246412488</v>
      </c>
      <c r="AA73" s="9">
        <v>25</v>
      </c>
      <c r="AB73" s="9">
        <v>25</v>
      </c>
      <c r="AC73" s="14">
        <f t="shared" si="14"/>
        <v>25</v>
      </c>
      <c r="AD73" s="17">
        <v>1.03459518814995</v>
      </c>
      <c r="AE73" s="9">
        <f t="shared" si="15"/>
        <v>57.899479650174</v>
      </c>
      <c r="AF73" s="18">
        <f>RANK(AE73,AE$3:AE$298)</f>
        <v>111</v>
      </c>
      <c r="AG73" s="20" t="e">
        <f>#REF!-AF73</f>
        <v>#REF!</v>
      </c>
    </row>
    <row r="74" spans="1:33">
      <c r="A74" s="9" t="s">
        <v>108</v>
      </c>
      <c r="B74" s="9">
        <v>100</v>
      </c>
      <c r="C74" s="9">
        <v>60</v>
      </c>
      <c r="D74" s="9">
        <v>40</v>
      </c>
      <c r="E74" s="9">
        <v>40</v>
      </c>
      <c r="F74" s="13">
        <f t="shared" si="8"/>
        <v>60</v>
      </c>
      <c r="G74" s="14">
        <f t="shared" si="9"/>
        <v>56.6060718192737</v>
      </c>
      <c r="H74" s="9">
        <v>60</v>
      </c>
      <c r="I74" s="9">
        <v>60</v>
      </c>
      <c r="J74" s="9">
        <v>100</v>
      </c>
      <c r="K74" s="9">
        <v>70</v>
      </c>
      <c r="L74" s="9">
        <v>70</v>
      </c>
      <c r="M74" s="14">
        <f t="shared" si="10"/>
        <v>72</v>
      </c>
      <c r="N74" s="9">
        <v>40</v>
      </c>
      <c r="O74" s="9">
        <v>50</v>
      </c>
      <c r="P74" s="9">
        <v>0</v>
      </c>
      <c r="Q74" s="14">
        <f t="shared" si="11"/>
        <v>30</v>
      </c>
      <c r="R74" s="9">
        <v>89.266862170088</v>
      </c>
      <c r="S74" s="9">
        <v>87.4808267275398</v>
      </c>
      <c r="T74" s="9">
        <v>85.7718679451025</v>
      </c>
      <c r="U74" s="9">
        <v>17.8953075400069</v>
      </c>
      <c r="V74" s="9">
        <v>29.4253693336658</v>
      </c>
      <c r="W74" s="9">
        <v>50.0641239348888</v>
      </c>
      <c r="X74" s="9">
        <v>83.8394951266855</v>
      </c>
      <c r="Y74" s="19">
        <f t="shared" si="12"/>
        <v>63.3919789682825</v>
      </c>
      <c r="Z74" s="6">
        <f t="shared" si="13"/>
        <v>59.8061819040748</v>
      </c>
      <c r="AA74" s="9">
        <v>25</v>
      </c>
      <c r="AB74" s="9">
        <v>50</v>
      </c>
      <c r="AC74" s="14">
        <f t="shared" si="14"/>
        <v>37.5</v>
      </c>
      <c r="AD74" s="17">
        <v>0.943434530321229</v>
      </c>
      <c r="AE74" s="9">
        <f t="shared" si="15"/>
        <v>53.7880689350772</v>
      </c>
      <c r="AF74" s="18">
        <f>RANK(AE74,AE$3:AE$298)</f>
        <v>154</v>
      </c>
      <c r="AG74" s="20" t="e">
        <f>#REF!-AF74</f>
        <v>#REF!</v>
      </c>
    </row>
    <row r="75" spans="1:33">
      <c r="A75" s="9" t="s">
        <v>109</v>
      </c>
      <c r="B75" s="9">
        <v>80</v>
      </c>
      <c r="C75" s="9">
        <v>40</v>
      </c>
      <c r="D75" s="9">
        <v>60</v>
      </c>
      <c r="E75" s="9">
        <v>60</v>
      </c>
      <c r="F75" s="13">
        <f t="shared" si="8"/>
        <v>60</v>
      </c>
      <c r="G75" s="14">
        <f t="shared" si="9"/>
        <v>56.0940573510112</v>
      </c>
      <c r="H75" s="9">
        <v>60</v>
      </c>
      <c r="I75" s="9">
        <v>80</v>
      </c>
      <c r="J75" s="9">
        <v>70</v>
      </c>
      <c r="K75" s="9">
        <v>70</v>
      </c>
      <c r="L75" s="9">
        <v>70</v>
      </c>
      <c r="M75" s="14">
        <f t="shared" si="10"/>
        <v>70</v>
      </c>
      <c r="N75" s="9">
        <v>70</v>
      </c>
      <c r="O75" s="9">
        <v>50</v>
      </c>
      <c r="P75" s="9">
        <v>0</v>
      </c>
      <c r="Q75" s="14">
        <f t="shared" si="11"/>
        <v>40</v>
      </c>
      <c r="R75" s="9">
        <v>36.1370716510903</v>
      </c>
      <c r="S75" s="9">
        <v>90.9669349772556</v>
      </c>
      <c r="T75" s="9">
        <v>90.7321341660759</v>
      </c>
      <c r="U75" s="9">
        <v>3.00065041791876</v>
      </c>
      <c r="V75" s="9">
        <v>34.2267116491823</v>
      </c>
      <c r="W75" s="9">
        <v>100</v>
      </c>
      <c r="X75" s="9">
        <v>88.2384730849289</v>
      </c>
      <c r="Y75" s="19">
        <f t="shared" si="12"/>
        <v>63.328853706636</v>
      </c>
      <c r="Z75" s="6">
        <f t="shared" si="13"/>
        <v>59.2062058632306</v>
      </c>
      <c r="AA75" s="9">
        <v>50</v>
      </c>
      <c r="AB75" s="9">
        <v>25</v>
      </c>
      <c r="AC75" s="14">
        <f t="shared" si="14"/>
        <v>37.5</v>
      </c>
      <c r="AD75" s="17">
        <v>0.934900955850186</v>
      </c>
      <c r="AE75" s="9">
        <f t="shared" si="15"/>
        <v>54.6056732291714</v>
      </c>
      <c r="AF75" s="18">
        <f>RANK(AE75,AE$3:AE$298)</f>
        <v>140</v>
      </c>
      <c r="AG75" s="20" t="e">
        <f>#REF!-AF75</f>
        <v>#REF!</v>
      </c>
    </row>
    <row r="76" spans="1:33">
      <c r="A76" s="9" t="s">
        <v>110</v>
      </c>
      <c r="B76" s="9">
        <v>100</v>
      </c>
      <c r="C76" s="9">
        <v>60</v>
      </c>
      <c r="D76" s="9">
        <v>80</v>
      </c>
      <c r="E76" s="9">
        <v>40</v>
      </c>
      <c r="F76" s="13">
        <f t="shared" si="8"/>
        <v>70</v>
      </c>
      <c r="G76" s="14">
        <f t="shared" si="9"/>
        <v>65.443066909513</v>
      </c>
      <c r="H76" s="9">
        <v>100</v>
      </c>
      <c r="I76" s="9">
        <v>60</v>
      </c>
      <c r="J76" s="9">
        <v>70</v>
      </c>
      <c r="K76" s="9">
        <v>70</v>
      </c>
      <c r="L76" s="9">
        <v>70</v>
      </c>
      <c r="M76" s="14">
        <f t="shared" si="10"/>
        <v>74</v>
      </c>
      <c r="N76" s="9">
        <v>70</v>
      </c>
      <c r="O76" s="9">
        <v>75</v>
      </c>
      <c r="P76" s="9">
        <v>0</v>
      </c>
      <c r="Q76" s="14">
        <f t="shared" si="11"/>
        <v>48.3333333333333</v>
      </c>
      <c r="R76" s="9">
        <v>44.1217798594848</v>
      </c>
      <c r="S76" s="9">
        <v>93.4515093651747</v>
      </c>
      <c r="T76" s="9">
        <v>91.5153340957033</v>
      </c>
      <c r="U76" s="9">
        <v>26.0399301029292</v>
      </c>
      <c r="V76" s="9">
        <v>25.1041612497009</v>
      </c>
      <c r="W76" s="9">
        <v>78.2184123151266</v>
      </c>
      <c r="X76" s="9">
        <v>84.0328766061914</v>
      </c>
      <c r="Y76" s="19">
        <f t="shared" si="12"/>
        <v>63.212000513473</v>
      </c>
      <c r="Z76" s="6">
        <f t="shared" si="13"/>
        <v>59.0969597012483</v>
      </c>
      <c r="AA76" s="9">
        <v>25</v>
      </c>
      <c r="AB76" s="9">
        <v>50</v>
      </c>
      <c r="AC76" s="14">
        <f t="shared" si="14"/>
        <v>37.5</v>
      </c>
      <c r="AD76" s="17">
        <v>0.934900955850186</v>
      </c>
      <c r="AE76" s="9">
        <f t="shared" si="15"/>
        <v>58.4927012922771</v>
      </c>
      <c r="AF76" s="18">
        <f>RANK(AE76,AE$3:AE$298)</f>
        <v>103</v>
      </c>
      <c r="AG76" s="20" t="e">
        <f>#REF!-AF76</f>
        <v>#REF!</v>
      </c>
    </row>
    <row r="77" spans="1:33">
      <c r="A77" s="9" t="s">
        <v>111</v>
      </c>
      <c r="B77" s="9">
        <v>80</v>
      </c>
      <c r="C77" s="9">
        <v>40</v>
      </c>
      <c r="D77" s="9">
        <v>60</v>
      </c>
      <c r="E77" s="9">
        <v>40</v>
      </c>
      <c r="F77" s="13">
        <f t="shared" si="8"/>
        <v>55</v>
      </c>
      <c r="G77" s="14">
        <f t="shared" si="9"/>
        <v>53.3689483530728</v>
      </c>
      <c r="H77" s="9">
        <v>40</v>
      </c>
      <c r="I77" s="9">
        <v>80</v>
      </c>
      <c r="J77" s="9">
        <v>40</v>
      </c>
      <c r="K77" s="9">
        <v>100</v>
      </c>
      <c r="L77" s="9">
        <v>70</v>
      </c>
      <c r="M77" s="14">
        <f t="shared" si="10"/>
        <v>66</v>
      </c>
      <c r="N77" s="9">
        <v>70</v>
      </c>
      <c r="O77" s="9">
        <v>50</v>
      </c>
      <c r="P77" s="9">
        <v>25</v>
      </c>
      <c r="Q77" s="14">
        <f t="shared" si="11"/>
        <v>48.3333333333333</v>
      </c>
      <c r="R77" s="9">
        <v>100</v>
      </c>
      <c r="S77" s="9">
        <v>89.2720315188303</v>
      </c>
      <c r="T77" s="9">
        <v>81.725334975361</v>
      </c>
      <c r="U77" s="9">
        <v>1.69751080785118</v>
      </c>
      <c r="V77" s="9">
        <v>16.3245638727563</v>
      </c>
      <c r="W77" s="9">
        <v>81.8418249197378</v>
      </c>
      <c r="X77" s="9">
        <v>71.0576304912526</v>
      </c>
      <c r="Y77" s="19">
        <f t="shared" si="12"/>
        <v>63.131270940827</v>
      </c>
      <c r="Z77" s="6">
        <f t="shared" si="13"/>
        <v>61.2590825146335</v>
      </c>
      <c r="AA77" s="9">
        <v>25</v>
      </c>
      <c r="AB77" s="9">
        <v>50</v>
      </c>
      <c r="AC77" s="14">
        <f t="shared" si="14"/>
        <v>37.5</v>
      </c>
      <c r="AD77" s="17">
        <v>0.970344515510415</v>
      </c>
      <c r="AE77" s="9">
        <f t="shared" si="15"/>
        <v>55.1265144250046</v>
      </c>
      <c r="AF77" s="18">
        <f>RANK(AE77,AE$3:AE$298)</f>
        <v>137</v>
      </c>
      <c r="AG77" s="20" t="e">
        <f>#REF!-AF77</f>
        <v>#REF!</v>
      </c>
    </row>
    <row r="78" spans="1:33">
      <c r="A78" s="9" t="s">
        <v>112</v>
      </c>
      <c r="B78" s="9">
        <v>100</v>
      </c>
      <c r="C78" s="9">
        <v>60</v>
      </c>
      <c r="D78" s="9">
        <v>40</v>
      </c>
      <c r="E78" s="9">
        <v>40</v>
      </c>
      <c r="F78" s="13">
        <f t="shared" si="8"/>
        <v>60</v>
      </c>
      <c r="G78" s="14">
        <f t="shared" si="9"/>
        <v>59.9733325519493</v>
      </c>
      <c r="H78" s="9">
        <v>60</v>
      </c>
      <c r="I78" s="9">
        <v>40</v>
      </c>
      <c r="J78" s="9">
        <v>40</v>
      </c>
      <c r="K78" s="9">
        <v>70</v>
      </c>
      <c r="L78" s="9">
        <v>30</v>
      </c>
      <c r="M78" s="14">
        <f t="shared" si="10"/>
        <v>48</v>
      </c>
      <c r="N78" s="9">
        <v>70</v>
      </c>
      <c r="O78" s="9">
        <v>50</v>
      </c>
      <c r="P78" s="9">
        <v>50</v>
      </c>
      <c r="Q78" s="14">
        <f t="shared" si="11"/>
        <v>56.6666666666667</v>
      </c>
      <c r="R78" s="9">
        <v>100</v>
      </c>
      <c r="S78" s="9">
        <v>93.1818656331525</v>
      </c>
      <c r="T78" s="9">
        <v>92.9512006333535</v>
      </c>
      <c r="U78" s="9">
        <v>8.02459654620559</v>
      </c>
      <c r="V78" s="9">
        <v>33.6093962086159</v>
      </c>
      <c r="W78" s="9">
        <v>30.2580668050907</v>
      </c>
      <c r="X78" s="9">
        <v>82.3049853949851</v>
      </c>
      <c r="Y78" s="19">
        <f t="shared" si="12"/>
        <v>62.9043016030576</v>
      </c>
      <c r="Z78" s="6">
        <f t="shared" si="13"/>
        <v>62.8763433164715</v>
      </c>
      <c r="AA78" s="9">
        <v>25</v>
      </c>
      <c r="AB78" s="9">
        <v>25</v>
      </c>
      <c r="AC78" s="14">
        <f t="shared" si="14"/>
        <v>25</v>
      </c>
      <c r="AD78" s="17">
        <v>0.999555542532488</v>
      </c>
      <c r="AE78" s="9">
        <f t="shared" si="15"/>
        <v>52.7075695053313</v>
      </c>
      <c r="AF78" s="18">
        <f>RANK(AE78,AE$3:AE$298)</f>
        <v>165</v>
      </c>
      <c r="AG78" s="20" t="e">
        <f>#REF!-AF78</f>
        <v>#REF!</v>
      </c>
    </row>
    <row r="79" spans="1:33">
      <c r="A79" s="9" t="s">
        <v>113</v>
      </c>
      <c r="B79" s="9">
        <v>80</v>
      </c>
      <c r="C79" s="9">
        <v>40</v>
      </c>
      <c r="D79" s="9">
        <v>20</v>
      </c>
      <c r="E79" s="9">
        <v>60</v>
      </c>
      <c r="F79" s="13">
        <f t="shared" si="8"/>
        <v>50</v>
      </c>
      <c r="G79" s="14">
        <f t="shared" si="9"/>
        <v>50.438257340884</v>
      </c>
      <c r="H79" s="9">
        <v>40</v>
      </c>
      <c r="I79" s="9">
        <v>80</v>
      </c>
      <c r="J79" s="9">
        <v>70</v>
      </c>
      <c r="K79" s="9">
        <v>100</v>
      </c>
      <c r="L79" s="9">
        <v>30</v>
      </c>
      <c r="M79" s="14">
        <f t="shared" si="10"/>
        <v>64</v>
      </c>
      <c r="N79" s="9">
        <v>20</v>
      </c>
      <c r="O79" s="9">
        <v>25</v>
      </c>
      <c r="P79" s="9">
        <v>50</v>
      </c>
      <c r="Q79" s="14">
        <f t="shared" si="11"/>
        <v>31.6666666666667</v>
      </c>
      <c r="R79" s="9">
        <v>100</v>
      </c>
      <c r="S79" s="9">
        <v>88.7905248545049</v>
      </c>
      <c r="T79" s="9">
        <v>88.5130676987983</v>
      </c>
      <c r="U79" s="9">
        <v>17.323755079451</v>
      </c>
      <c r="V79" s="9">
        <v>33.7465774176307</v>
      </c>
      <c r="W79" s="9">
        <v>27.4190702420711</v>
      </c>
      <c r="X79" s="9">
        <v>84.3847217931961</v>
      </c>
      <c r="Y79" s="19">
        <f t="shared" si="12"/>
        <v>62.882531012236</v>
      </c>
      <c r="Z79" s="6">
        <f t="shared" si="13"/>
        <v>63.4337056288256</v>
      </c>
      <c r="AA79" s="9">
        <v>50</v>
      </c>
      <c r="AB79" s="9">
        <v>25</v>
      </c>
      <c r="AC79" s="14">
        <f t="shared" si="14"/>
        <v>37.5</v>
      </c>
      <c r="AD79" s="17">
        <v>1.00876514681768</v>
      </c>
      <c r="AE79" s="9">
        <f t="shared" si="15"/>
        <v>52.2927631568245</v>
      </c>
      <c r="AF79" s="18">
        <f>RANK(AE79,AE$3:AE$298)</f>
        <v>168</v>
      </c>
      <c r="AG79" s="20" t="e">
        <f>#REF!-AF79</f>
        <v>#REF!</v>
      </c>
    </row>
    <row r="80" spans="1:33">
      <c r="A80" s="9" t="s">
        <v>114</v>
      </c>
      <c r="B80" s="9">
        <v>80</v>
      </c>
      <c r="C80" s="9">
        <v>20</v>
      </c>
      <c r="D80" s="9">
        <v>20</v>
      </c>
      <c r="E80" s="9">
        <v>60</v>
      </c>
      <c r="F80" s="13">
        <f t="shared" si="8"/>
        <v>45</v>
      </c>
      <c r="G80" s="14">
        <f t="shared" si="9"/>
        <v>45.2753912649658</v>
      </c>
      <c r="H80" s="9">
        <v>60</v>
      </c>
      <c r="I80" s="9">
        <v>80</v>
      </c>
      <c r="J80" s="9">
        <v>70</v>
      </c>
      <c r="K80" s="9">
        <v>100</v>
      </c>
      <c r="L80" s="9">
        <v>70</v>
      </c>
      <c r="M80" s="14">
        <f t="shared" si="10"/>
        <v>76</v>
      </c>
      <c r="N80" s="9">
        <v>70</v>
      </c>
      <c r="O80" s="9">
        <v>75</v>
      </c>
      <c r="P80" s="9">
        <v>0</v>
      </c>
      <c r="Q80" s="14">
        <f t="shared" si="11"/>
        <v>48.3333333333333</v>
      </c>
      <c r="R80" s="9">
        <v>100</v>
      </c>
      <c r="S80" s="9">
        <v>91.7951264398953</v>
      </c>
      <c r="T80" s="9">
        <v>87.5993344475664</v>
      </c>
      <c r="U80" s="9">
        <v>13.1342755435758</v>
      </c>
      <c r="V80" s="9">
        <v>20.0970471206622</v>
      </c>
      <c r="W80" s="9">
        <v>28.9480397264949</v>
      </c>
      <c r="X80" s="9">
        <v>97.1906100529011</v>
      </c>
      <c r="Y80" s="19">
        <f t="shared" si="12"/>
        <v>62.6806333330137</v>
      </c>
      <c r="Z80" s="6">
        <f t="shared" si="13"/>
        <v>63.0642266419568</v>
      </c>
      <c r="AA80" s="9">
        <v>50</v>
      </c>
      <c r="AB80" s="9">
        <v>50</v>
      </c>
      <c r="AC80" s="14">
        <f t="shared" si="14"/>
        <v>50</v>
      </c>
      <c r="AD80" s="17">
        <v>1.00611980588813</v>
      </c>
      <c r="AE80" s="9">
        <f t="shared" si="15"/>
        <v>57.9243462455802</v>
      </c>
      <c r="AF80" s="18">
        <f>RANK(AE80,AE$3:AE$298)</f>
        <v>108</v>
      </c>
      <c r="AG80" s="20" t="e">
        <f>#REF!-AF80</f>
        <v>#REF!</v>
      </c>
    </row>
    <row r="81" spans="1:33">
      <c r="A81" s="9" t="s">
        <v>115</v>
      </c>
      <c r="B81" s="9">
        <v>100</v>
      </c>
      <c r="C81" s="9">
        <v>80</v>
      </c>
      <c r="D81" s="9">
        <v>40</v>
      </c>
      <c r="E81" s="9">
        <v>60</v>
      </c>
      <c r="F81" s="13">
        <f t="shared" si="8"/>
        <v>70</v>
      </c>
      <c r="G81" s="14">
        <f t="shared" si="9"/>
        <v>68.3753050109046</v>
      </c>
      <c r="H81" s="9">
        <v>20</v>
      </c>
      <c r="I81" s="9">
        <v>80</v>
      </c>
      <c r="J81" s="9">
        <v>70</v>
      </c>
      <c r="K81" s="9">
        <v>100</v>
      </c>
      <c r="L81" s="9">
        <v>70</v>
      </c>
      <c r="M81" s="14">
        <f t="shared" si="10"/>
        <v>68</v>
      </c>
      <c r="N81" s="9">
        <v>70</v>
      </c>
      <c r="O81" s="9">
        <v>75</v>
      </c>
      <c r="P81" s="9">
        <v>0</v>
      </c>
      <c r="Q81" s="14">
        <f t="shared" si="11"/>
        <v>48.3333333333333</v>
      </c>
      <c r="R81" s="9">
        <v>100</v>
      </c>
      <c r="S81" s="9">
        <v>91.8336469730414</v>
      </c>
      <c r="T81" s="9">
        <v>90.9932008092851</v>
      </c>
      <c r="U81" s="9">
        <v>10.9337985704354</v>
      </c>
      <c r="V81" s="9">
        <v>31.3459062598724</v>
      </c>
      <c r="W81" s="9">
        <v>42.8933627791261</v>
      </c>
      <c r="X81" s="9">
        <v>70.2041376145779</v>
      </c>
      <c r="Y81" s="19">
        <f t="shared" si="12"/>
        <v>62.6005790009055</v>
      </c>
      <c r="Z81" s="6">
        <f t="shared" si="13"/>
        <v>61.1476240435163</v>
      </c>
      <c r="AA81" s="9">
        <v>50</v>
      </c>
      <c r="AB81" s="9">
        <v>25</v>
      </c>
      <c r="AC81" s="14">
        <f t="shared" si="14"/>
        <v>37.5</v>
      </c>
      <c r="AD81" s="17">
        <v>0.976790071584352</v>
      </c>
      <c r="AE81" s="9">
        <f t="shared" si="15"/>
        <v>58.4943482152358</v>
      </c>
      <c r="AF81" s="18">
        <f>RANK(AE81,AE$3:AE$298)</f>
        <v>102</v>
      </c>
      <c r="AG81" s="20" t="e">
        <f>#REF!-AF81</f>
        <v>#REF!</v>
      </c>
    </row>
    <row r="82" spans="1:33">
      <c r="A82" s="9" t="s">
        <v>116</v>
      </c>
      <c r="B82" s="9">
        <v>80</v>
      </c>
      <c r="C82" s="9">
        <v>20</v>
      </c>
      <c r="D82" s="9">
        <v>20</v>
      </c>
      <c r="E82" s="9">
        <v>60</v>
      </c>
      <c r="F82" s="13">
        <f t="shared" si="8"/>
        <v>45</v>
      </c>
      <c r="G82" s="14">
        <f t="shared" si="9"/>
        <v>43.155630932868</v>
      </c>
      <c r="H82" s="9">
        <v>20</v>
      </c>
      <c r="I82" s="9">
        <v>100</v>
      </c>
      <c r="J82" s="9">
        <v>100</v>
      </c>
      <c r="K82" s="9">
        <v>100</v>
      </c>
      <c r="L82" s="9">
        <v>70</v>
      </c>
      <c r="M82" s="14">
        <f t="shared" si="10"/>
        <v>78</v>
      </c>
      <c r="N82" s="9">
        <v>70</v>
      </c>
      <c r="O82" s="9">
        <v>75</v>
      </c>
      <c r="P82" s="9">
        <v>25</v>
      </c>
      <c r="Q82" s="14">
        <f t="shared" si="11"/>
        <v>56.6666666666667</v>
      </c>
      <c r="R82" s="9">
        <v>83.2589285714286</v>
      </c>
      <c r="S82" s="9">
        <v>92.7581397685461</v>
      </c>
      <c r="T82" s="9">
        <v>91.7764007389124</v>
      </c>
      <c r="U82" s="9">
        <v>7.83026870961656</v>
      </c>
      <c r="V82" s="9">
        <v>30.1112753787396</v>
      </c>
      <c r="W82" s="9">
        <v>41.9189799526166</v>
      </c>
      <c r="X82" s="9">
        <v>85.5700046610472</v>
      </c>
      <c r="Y82" s="19">
        <f t="shared" si="12"/>
        <v>61.8891425401296</v>
      </c>
      <c r="Z82" s="6">
        <f t="shared" si="13"/>
        <v>59.3525554269666</v>
      </c>
      <c r="AA82" s="9">
        <v>50</v>
      </c>
      <c r="AB82" s="9">
        <v>100</v>
      </c>
      <c r="AC82" s="14">
        <f t="shared" si="14"/>
        <v>75</v>
      </c>
      <c r="AD82" s="17">
        <v>0.959014020730401</v>
      </c>
      <c r="AE82" s="9">
        <f t="shared" si="15"/>
        <v>61.7868928146636</v>
      </c>
      <c r="AF82" s="18">
        <f>RANK(AE82,AE$3:AE$298)</f>
        <v>80</v>
      </c>
      <c r="AG82" s="20" t="e">
        <f>#REF!-AF82</f>
        <v>#REF!</v>
      </c>
    </row>
    <row r="83" spans="1:33">
      <c r="A83" s="9" t="s">
        <v>117</v>
      </c>
      <c r="B83" s="9">
        <v>80</v>
      </c>
      <c r="C83" s="9">
        <v>40</v>
      </c>
      <c r="D83" s="9">
        <v>80</v>
      </c>
      <c r="E83" s="9">
        <v>40</v>
      </c>
      <c r="F83" s="13">
        <f t="shared" si="8"/>
        <v>60</v>
      </c>
      <c r="G83" s="14">
        <f t="shared" si="9"/>
        <v>59.5975343803703</v>
      </c>
      <c r="H83" s="9">
        <v>100</v>
      </c>
      <c r="I83" s="9">
        <v>60</v>
      </c>
      <c r="J83" s="9">
        <v>100</v>
      </c>
      <c r="K83" s="9">
        <v>100</v>
      </c>
      <c r="L83" s="9">
        <v>70</v>
      </c>
      <c r="M83" s="14">
        <f t="shared" si="10"/>
        <v>86</v>
      </c>
      <c r="N83" s="9">
        <v>70</v>
      </c>
      <c r="O83" s="9">
        <v>100</v>
      </c>
      <c r="P83" s="9">
        <v>25</v>
      </c>
      <c r="Q83" s="14">
        <f t="shared" si="11"/>
        <v>65</v>
      </c>
      <c r="R83" s="9">
        <v>91.6030534351145</v>
      </c>
      <c r="S83" s="9">
        <v>94.0485776289382</v>
      </c>
      <c r="T83" s="9">
        <v>93.2122672765626</v>
      </c>
      <c r="U83" s="9">
        <v>16.2320898797891</v>
      </c>
      <c r="V83" s="9">
        <v>30.3856377967691</v>
      </c>
      <c r="W83" s="9">
        <v>33.3041796850527</v>
      </c>
      <c r="X83" s="9">
        <v>73.2545483232771</v>
      </c>
      <c r="Y83" s="19">
        <f t="shared" si="12"/>
        <v>61.7200505750719</v>
      </c>
      <c r="Z83" s="6">
        <f t="shared" si="13"/>
        <v>61.306047268434</v>
      </c>
      <c r="AA83" s="9">
        <v>100</v>
      </c>
      <c r="AB83" s="9">
        <v>50</v>
      </c>
      <c r="AC83" s="14">
        <f t="shared" si="14"/>
        <v>75</v>
      </c>
      <c r="AD83" s="17">
        <v>0.993292239672838</v>
      </c>
      <c r="AE83" s="9">
        <f t="shared" si="15"/>
        <v>68.5113210566043</v>
      </c>
      <c r="AF83" s="18">
        <f>RANK(AE83,AE$3:AE$298)</f>
        <v>31</v>
      </c>
      <c r="AG83" s="20" t="e">
        <f>#REF!-AF83</f>
        <v>#REF!</v>
      </c>
    </row>
    <row r="84" spans="1:33">
      <c r="A84" s="9" t="s">
        <v>118</v>
      </c>
      <c r="B84" s="9">
        <v>80</v>
      </c>
      <c r="C84" s="9">
        <v>60</v>
      </c>
      <c r="D84" s="9">
        <v>20</v>
      </c>
      <c r="E84" s="9">
        <v>40</v>
      </c>
      <c r="F84" s="13">
        <f t="shared" si="8"/>
        <v>50</v>
      </c>
      <c r="G84" s="14">
        <f t="shared" si="9"/>
        <v>48.2373122701291</v>
      </c>
      <c r="H84" s="9">
        <v>80</v>
      </c>
      <c r="I84" s="9">
        <v>60</v>
      </c>
      <c r="J84" s="9">
        <v>70</v>
      </c>
      <c r="K84" s="9">
        <v>70</v>
      </c>
      <c r="L84" s="9">
        <v>70</v>
      </c>
      <c r="M84" s="14">
        <f t="shared" si="10"/>
        <v>70</v>
      </c>
      <c r="N84" s="9">
        <v>70</v>
      </c>
      <c r="O84" s="9">
        <v>25</v>
      </c>
      <c r="P84" s="9">
        <v>25</v>
      </c>
      <c r="Q84" s="14">
        <f t="shared" si="11"/>
        <v>40</v>
      </c>
      <c r="R84" s="9">
        <v>100</v>
      </c>
      <c r="S84" s="9">
        <v>97.1880010803397</v>
      </c>
      <c r="T84" s="9">
        <v>93.99546720619</v>
      </c>
      <c r="U84" s="9">
        <v>8.58471795755042</v>
      </c>
      <c r="V84" s="9">
        <v>12.9636242518947</v>
      </c>
      <c r="W84" s="9">
        <v>50.7405200753205</v>
      </c>
      <c r="X84" s="9">
        <v>68.348143357536</v>
      </c>
      <c r="Y84" s="19">
        <f t="shared" si="12"/>
        <v>61.6886391326902</v>
      </c>
      <c r="Z84" s="6">
        <f t="shared" si="13"/>
        <v>59.5138829872577</v>
      </c>
      <c r="AA84" s="9">
        <v>50</v>
      </c>
      <c r="AB84" s="9">
        <v>25</v>
      </c>
      <c r="AC84" s="14">
        <f t="shared" si="14"/>
        <v>37.5</v>
      </c>
      <c r="AD84" s="17">
        <v>0.964746245402582</v>
      </c>
      <c r="AE84" s="9">
        <f t="shared" si="15"/>
        <v>53.1266273502031</v>
      </c>
      <c r="AF84" s="18">
        <f>RANK(AE84,AE$3:AE$298)</f>
        <v>161</v>
      </c>
      <c r="AG84" s="20" t="e">
        <f>#REF!-AF84</f>
        <v>#REF!</v>
      </c>
    </row>
    <row r="85" spans="1:33">
      <c r="A85" s="9" t="s">
        <v>119</v>
      </c>
      <c r="B85" s="9">
        <v>100</v>
      </c>
      <c r="C85" s="9">
        <v>60</v>
      </c>
      <c r="D85" s="9">
        <v>20</v>
      </c>
      <c r="E85" s="9">
        <v>40</v>
      </c>
      <c r="F85" s="13">
        <f t="shared" si="8"/>
        <v>55</v>
      </c>
      <c r="G85" s="14">
        <f t="shared" si="9"/>
        <v>53.2045508476846</v>
      </c>
      <c r="H85" s="9">
        <v>80</v>
      </c>
      <c r="I85" s="9">
        <v>80</v>
      </c>
      <c r="J85" s="9">
        <v>100</v>
      </c>
      <c r="K85" s="9">
        <v>70</v>
      </c>
      <c r="L85" s="9">
        <v>70</v>
      </c>
      <c r="M85" s="14">
        <f t="shared" si="10"/>
        <v>80</v>
      </c>
      <c r="N85" s="9">
        <v>20</v>
      </c>
      <c r="O85" s="9">
        <v>25</v>
      </c>
      <c r="P85" s="9">
        <v>25</v>
      </c>
      <c r="Q85" s="14">
        <f t="shared" si="11"/>
        <v>23.3333333333333</v>
      </c>
      <c r="R85" s="9">
        <v>85.7311785573512</v>
      </c>
      <c r="S85" s="9">
        <v>92.3921947036588</v>
      </c>
      <c r="T85" s="9">
        <v>89.818400914844</v>
      </c>
      <c r="U85" s="9">
        <v>19.0841366579633</v>
      </c>
      <c r="V85" s="9">
        <v>24.2124833911049</v>
      </c>
      <c r="W85" s="9">
        <v>44.6377207683258</v>
      </c>
      <c r="X85" s="9">
        <v>75.7089179081693</v>
      </c>
      <c r="Y85" s="19">
        <f t="shared" si="12"/>
        <v>61.6550047002025</v>
      </c>
      <c r="Z85" s="6">
        <f t="shared" si="13"/>
        <v>59.642306047021</v>
      </c>
      <c r="AA85" s="9">
        <v>25</v>
      </c>
      <c r="AB85" s="9">
        <v>25</v>
      </c>
      <c r="AC85" s="14">
        <f t="shared" si="14"/>
        <v>25</v>
      </c>
      <c r="AD85" s="17">
        <v>0.967355469957902</v>
      </c>
      <c r="AE85" s="9">
        <f t="shared" si="15"/>
        <v>51.7836019836432</v>
      </c>
      <c r="AF85" s="18">
        <f>RANK(AE85,AE$3:AE$298)</f>
        <v>171</v>
      </c>
      <c r="AG85" s="20" t="e">
        <f>#REF!-AF85</f>
        <v>#REF!</v>
      </c>
    </row>
    <row r="86" spans="1:33">
      <c r="A86" s="9" t="s">
        <v>120</v>
      </c>
      <c r="B86" s="9">
        <v>100</v>
      </c>
      <c r="C86" s="9">
        <v>40</v>
      </c>
      <c r="D86" s="9">
        <v>20</v>
      </c>
      <c r="E86" s="9">
        <v>60</v>
      </c>
      <c r="F86" s="13">
        <f t="shared" si="8"/>
        <v>55</v>
      </c>
      <c r="G86" s="14">
        <f t="shared" si="9"/>
        <v>58.9379714116688</v>
      </c>
      <c r="H86" s="9">
        <v>60</v>
      </c>
      <c r="I86" s="9">
        <v>60</v>
      </c>
      <c r="J86" s="9">
        <v>100</v>
      </c>
      <c r="K86" s="9">
        <v>100</v>
      </c>
      <c r="L86" s="9">
        <v>70</v>
      </c>
      <c r="M86" s="14">
        <f t="shared" si="10"/>
        <v>78</v>
      </c>
      <c r="N86" s="9">
        <v>70</v>
      </c>
      <c r="O86" s="9">
        <v>75</v>
      </c>
      <c r="P86" s="9">
        <v>50</v>
      </c>
      <c r="Q86" s="14">
        <f t="shared" si="11"/>
        <v>65</v>
      </c>
      <c r="R86" s="9">
        <v>83.2771219786397</v>
      </c>
      <c r="S86" s="9">
        <v>64.329986306775</v>
      </c>
      <c r="T86" s="9">
        <v>82.5085349049884</v>
      </c>
      <c r="U86" s="9">
        <v>16.0663396662279</v>
      </c>
      <c r="V86" s="9">
        <v>81.2112757367372</v>
      </c>
      <c r="W86" s="9">
        <v>16.5107172560698</v>
      </c>
      <c r="X86" s="9">
        <v>87.48015078111</v>
      </c>
      <c r="Y86" s="19">
        <f t="shared" si="12"/>
        <v>61.626303804364</v>
      </c>
      <c r="Z86" s="6">
        <f t="shared" si="13"/>
        <v>66.0387151241531</v>
      </c>
      <c r="AA86" s="9">
        <v>50</v>
      </c>
      <c r="AB86" s="9">
        <v>25</v>
      </c>
      <c r="AC86" s="14">
        <f t="shared" si="14"/>
        <v>37.5</v>
      </c>
      <c r="AD86" s="17">
        <v>1.07159948021216</v>
      </c>
      <c r="AE86" s="9">
        <f t="shared" si="15"/>
        <v>62.5742088195797</v>
      </c>
      <c r="AF86" s="18">
        <f>RANK(AE86,AE$3:AE$298)</f>
        <v>71</v>
      </c>
      <c r="AG86" s="20" t="e">
        <f>#REF!-AF86</f>
        <v>#REF!</v>
      </c>
    </row>
    <row r="87" spans="1:33">
      <c r="A87" s="9" t="s">
        <v>121</v>
      </c>
      <c r="B87" s="9">
        <v>80</v>
      </c>
      <c r="C87" s="9">
        <v>20</v>
      </c>
      <c r="D87" s="9">
        <v>20</v>
      </c>
      <c r="E87" s="9">
        <v>80</v>
      </c>
      <c r="F87" s="13">
        <f t="shared" si="8"/>
        <v>50</v>
      </c>
      <c r="G87" s="14">
        <f t="shared" si="9"/>
        <v>49.9718891288502</v>
      </c>
      <c r="H87" s="9">
        <v>100</v>
      </c>
      <c r="I87" s="9">
        <v>80</v>
      </c>
      <c r="J87" s="9">
        <v>70</v>
      </c>
      <c r="K87" s="9">
        <v>100</v>
      </c>
      <c r="L87" s="9">
        <v>70</v>
      </c>
      <c r="M87" s="14">
        <f t="shared" si="10"/>
        <v>84</v>
      </c>
      <c r="N87" s="9">
        <v>70</v>
      </c>
      <c r="O87" s="9">
        <v>100</v>
      </c>
      <c r="P87" s="9">
        <v>0</v>
      </c>
      <c r="Q87" s="14">
        <f t="shared" si="11"/>
        <v>56.6666666666667</v>
      </c>
      <c r="R87" s="9">
        <v>100</v>
      </c>
      <c r="S87" s="9">
        <v>95.9553440196667</v>
      </c>
      <c r="T87" s="9">
        <v>92.0374673821216</v>
      </c>
      <c r="U87" s="9">
        <v>8.5732869083393</v>
      </c>
      <c r="V87" s="9">
        <v>14.0610739240128</v>
      </c>
      <c r="W87" s="9">
        <v>33.8485331574583</v>
      </c>
      <c r="X87" s="9">
        <v>86.2290468151245</v>
      </c>
      <c r="Y87" s="19">
        <f t="shared" si="12"/>
        <v>61.5292503152462</v>
      </c>
      <c r="Z87" s="6">
        <f t="shared" si="13"/>
        <v>61.4946574986951</v>
      </c>
      <c r="AA87" s="9">
        <v>75</v>
      </c>
      <c r="AB87" s="9">
        <v>50</v>
      </c>
      <c r="AC87" s="14">
        <f t="shared" si="14"/>
        <v>62.5</v>
      </c>
      <c r="AD87" s="17">
        <v>0.999437782577004</v>
      </c>
      <c r="AE87" s="9">
        <f t="shared" si="15"/>
        <v>63.1177750753786</v>
      </c>
      <c r="AF87" s="18">
        <f>RANK(AE87,AE$3:AE$298)</f>
        <v>69</v>
      </c>
      <c r="AG87" s="20" t="e">
        <f>#REF!-AF87</f>
        <v>#REF!</v>
      </c>
    </row>
    <row r="88" spans="1:33">
      <c r="A88" s="9" t="s">
        <v>122</v>
      </c>
      <c r="B88" s="9">
        <v>40</v>
      </c>
      <c r="C88" s="9">
        <v>60</v>
      </c>
      <c r="D88" s="9">
        <v>20</v>
      </c>
      <c r="E88" s="9">
        <v>60</v>
      </c>
      <c r="F88" s="13">
        <f t="shared" si="8"/>
        <v>45</v>
      </c>
      <c r="G88" s="14">
        <f t="shared" si="9"/>
        <v>43.5871504663878</v>
      </c>
      <c r="H88" s="9">
        <v>60</v>
      </c>
      <c r="I88" s="9">
        <v>40</v>
      </c>
      <c r="J88" s="9">
        <v>70</v>
      </c>
      <c r="K88" s="9">
        <v>100</v>
      </c>
      <c r="L88" s="9">
        <v>30</v>
      </c>
      <c r="M88" s="14">
        <f t="shared" si="10"/>
        <v>60</v>
      </c>
      <c r="N88" s="9">
        <v>70</v>
      </c>
      <c r="O88" s="9">
        <v>75</v>
      </c>
      <c r="P88" s="9">
        <v>25</v>
      </c>
      <c r="Q88" s="14">
        <f t="shared" si="11"/>
        <v>56.6666666666667</v>
      </c>
      <c r="R88" s="9">
        <v>100</v>
      </c>
      <c r="S88" s="9">
        <v>94.2026597615223</v>
      </c>
      <c r="T88" s="9">
        <v>88.7741343420075</v>
      </c>
      <c r="U88" s="9">
        <v>11.042393537941</v>
      </c>
      <c r="V88" s="9">
        <v>13.8553021104906</v>
      </c>
      <c r="W88" s="9">
        <v>40.8270648839682</v>
      </c>
      <c r="X88" s="9">
        <v>81.274634537585</v>
      </c>
      <c r="Y88" s="19">
        <f t="shared" si="12"/>
        <v>61.4251698819306</v>
      </c>
      <c r="Z88" s="6">
        <f t="shared" si="13"/>
        <v>59.4966249348254</v>
      </c>
      <c r="AA88" s="9">
        <v>50</v>
      </c>
      <c r="AB88" s="9">
        <v>50</v>
      </c>
      <c r="AC88" s="14">
        <f t="shared" si="14"/>
        <v>50</v>
      </c>
      <c r="AD88" s="17">
        <v>0.968603343697506</v>
      </c>
      <c r="AE88" s="9">
        <f t="shared" si="15"/>
        <v>54.5664175737252</v>
      </c>
      <c r="AF88" s="18">
        <f>RANK(AE88,AE$3:AE$298)</f>
        <v>141</v>
      </c>
      <c r="AG88" s="20" t="e">
        <f>#REF!-AF88</f>
        <v>#REF!</v>
      </c>
    </row>
    <row r="89" spans="1:33">
      <c r="A89" s="9" t="s">
        <v>123</v>
      </c>
      <c r="B89" s="9">
        <v>60</v>
      </c>
      <c r="C89" s="9">
        <v>60</v>
      </c>
      <c r="D89" s="9">
        <v>20</v>
      </c>
      <c r="E89" s="9">
        <v>40</v>
      </c>
      <c r="F89" s="13">
        <f t="shared" si="8"/>
        <v>45</v>
      </c>
      <c r="G89" s="14">
        <f t="shared" si="9"/>
        <v>44.8591089226508</v>
      </c>
      <c r="H89" s="9">
        <v>80</v>
      </c>
      <c r="I89" s="9">
        <v>60</v>
      </c>
      <c r="J89" s="9">
        <v>40</v>
      </c>
      <c r="K89" s="9">
        <v>100</v>
      </c>
      <c r="L89" s="9">
        <v>70</v>
      </c>
      <c r="M89" s="14">
        <f t="shared" si="10"/>
        <v>70</v>
      </c>
      <c r="N89" s="9">
        <v>70</v>
      </c>
      <c r="O89" s="9">
        <v>75</v>
      </c>
      <c r="P89" s="9">
        <v>0</v>
      </c>
      <c r="Q89" s="14">
        <f t="shared" si="11"/>
        <v>48.3333333333333</v>
      </c>
      <c r="R89" s="9">
        <v>100</v>
      </c>
      <c r="S89" s="9">
        <v>94.6649061592747</v>
      </c>
      <c r="T89" s="9">
        <v>89.4268009500303</v>
      </c>
      <c r="U89" s="9">
        <v>11.4310492111191</v>
      </c>
      <c r="V89" s="9">
        <v>13.3065772744316</v>
      </c>
      <c r="W89" s="9">
        <v>42.1822158014261</v>
      </c>
      <c r="X89" s="9">
        <v>76.8866864609159</v>
      </c>
      <c r="Y89" s="19">
        <f t="shared" si="12"/>
        <v>61.1283194081711</v>
      </c>
      <c r="Z89" s="6">
        <f t="shared" si="13"/>
        <v>60.9369319686608</v>
      </c>
      <c r="AA89" s="9">
        <v>75</v>
      </c>
      <c r="AB89" s="9">
        <v>25</v>
      </c>
      <c r="AC89" s="14">
        <f t="shared" si="14"/>
        <v>50</v>
      </c>
      <c r="AD89" s="17">
        <v>0.996869087170018</v>
      </c>
      <c r="AE89" s="9">
        <f t="shared" si="15"/>
        <v>56.0029013751284</v>
      </c>
      <c r="AF89" s="18">
        <f>RANK(AE89,AE$3:AE$298)</f>
        <v>124</v>
      </c>
      <c r="AG89" s="20" t="e">
        <f>#REF!-AF89</f>
        <v>#REF!</v>
      </c>
    </row>
    <row r="90" spans="1:33">
      <c r="A90" s="9" t="s">
        <v>124</v>
      </c>
      <c r="B90" s="9">
        <v>100</v>
      </c>
      <c r="C90" s="9">
        <v>60</v>
      </c>
      <c r="D90" s="9">
        <v>40</v>
      </c>
      <c r="E90" s="9">
        <v>60</v>
      </c>
      <c r="F90" s="13">
        <f t="shared" si="8"/>
        <v>65</v>
      </c>
      <c r="G90" s="14">
        <f t="shared" si="9"/>
        <v>64.257170818855</v>
      </c>
      <c r="H90" s="9">
        <v>80</v>
      </c>
      <c r="I90" s="9">
        <v>60</v>
      </c>
      <c r="J90" s="9">
        <v>60</v>
      </c>
      <c r="K90" s="9">
        <v>40</v>
      </c>
      <c r="L90" s="9">
        <v>70</v>
      </c>
      <c r="M90" s="14">
        <f t="shared" si="10"/>
        <v>62</v>
      </c>
      <c r="N90" s="9">
        <v>40</v>
      </c>
      <c r="O90" s="9">
        <v>25</v>
      </c>
      <c r="P90" s="9">
        <v>25</v>
      </c>
      <c r="Q90" s="14">
        <f t="shared" si="11"/>
        <v>30</v>
      </c>
      <c r="R90" s="9">
        <v>95.5282555282555</v>
      </c>
      <c r="S90" s="9">
        <v>92.0262496387715</v>
      </c>
      <c r="T90" s="9">
        <v>89.5573342716349</v>
      </c>
      <c r="U90" s="9">
        <v>13.3343189047704</v>
      </c>
      <c r="V90" s="9">
        <v>24.761208227164</v>
      </c>
      <c r="W90" s="9">
        <v>34.7510466689194</v>
      </c>
      <c r="X90" s="9">
        <v>76.8795774746863</v>
      </c>
      <c r="Y90" s="19">
        <f t="shared" si="12"/>
        <v>60.9768558163146</v>
      </c>
      <c r="Z90" s="6">
        <f t="shared" si="13"/>
        <v>60.2800036951634</v>
      </c>
      <c r="AA90" s="9">
        <v>25</v>
      </c>
      <c r="AB90" s="9">
        <v>25</v>
      </c>
      <c r="AC90" s="14">
        <f t="shared" si="14"/>
        <v>25</v>
      </c>
      <c r="AD90" s="17">
        <v>0.988571858751616</v>
      </c>
      <c r="AE90" s="9">
        <f t="shared" si="15"/>
        <v>51.58543527232</v>
      </c>
      <c r="AF90" s="18">
        <f>RANK(AE90,AE$3:AE$298)</f>
        <v>175</v>
      </c>
      <c r="AG90" s="20" t="e">
        <f>#REF!-AF90</f>
        <v>#REF!</v>
      </c>
    </row>
    <row r="91" spans="1:33">
      <c r="A91" s="9" t="s">
        <v>125</v>
      </c>
      <c r="B91" s="9">
        <v>100</v>
      </c>
      <c r="C91" s="9">
        <v>20</v>
      </c>
      <c r="D91" s="9">
        <v>20</v>
      </c>
      <c r="E91" s="9">
        <v>40</v>
      </c>
      <c r="F91" s="13">
        <f t="shared" si="8"/>
        <v>45</v>
      </c>
      <c r="G91" s="14">
        <f t="shared" si="9"/>
        <v>49.405681937718</v>
      </c>
      <c r="H91" s="9">
        <v>80</v>
      </c>
      <c r="I91" s="9">
        <v>60</v>
      </c>
      <c r="J91" s="9">
        <v>40</v>
      </c>
      <c r="K91" s="9">
        <v>40</v>
      </c>
      <c r="L91" s="9">
        <v>70</v>
      </c>
      <c r="M91" s="14">
        <f t="shared" si="10"/>
        <v>58</v>
      </c>
      <c r="N91" s="9">
        <v>20</v>
      </c>
      <c r="O91" s="9">
        <v>25</v>
      </c>
      <c r="P91" s="9">
        <v>50</v>
      </c>
      <c r="Q91" s="14">
        <f t="shared" si="11"/>
        <v>31.6666666666667</v>
      </c>
      <c r="R91" s="9">
        <v>100</v>
      </c>
      <c r="S91" s="9">
        <v>40.6205981553927</v>
      </c>
      <c r="T91" s="9">
        <v>78.0704019704332</v>
      </c>
      <c r="U91" s="9">
        <v>4.09803114218619</v>
      </c>
      <c r="V91" s="9">
        <v>100</v>
      </c>
      <c r="W91" s="9">
        <v>9.24603475847256</v>
      </c>
      <c r="X91" s="9">
        <v>94.4085912693142</v>
      </c>
      <c r="Y91" s="19">
        <f t="shared" si="12"/>
        <v>60.9205224708284</v>
      </c>
      <c r="Z91" s="6">
        <f t="shared" si="13"/>
        <v>66.8848879260745</v>
      </c>
      <c r="AA91" s="9">
        <v>50</v>
      </c>
      <c r="AB91" s="9">
        <v>25</v>
      </c>
      <c r="AC91" s="14">
        <f t="shared" si="14"/>
        <v>37.5</v>
      </c>
      <c r="AD91" s="17">
        <v>1.0979040430604</v>
      </c>
      <c r="AE91" s="9">
        <f t="shared" si="15"/>
        <v>51.9216027653659</v>
      </c>
      <c r="AF91" s="18">
        <f>RANK(AE91,AE$3:AE$298)</f>
        <v>170</v>
      </c>
      <c r="AG91" s="20" t="e">
        <f>#REF!-AF91</f>
        <v>#REF!</v>
      </c>
    </row>
    <row r="92" spans="1:33">
      <c r="A92" s="9" t="s">
        <v>126</v>
      </c>
      <c r="B92" s="9">
        <v>100</v>
      </c>
      <c r="C92" s="9">
        <v>40</v>
      </c>
      <c r="D92" s="9">
        <v>20</v>
      </c>
      <c r="E92" s="9">
        <v>40</v>
      </c>
      <c r="F92" s="13">
        <f t="shared" si="8"/>
        <v>50</v>
      </c>
      <c r="G92" s="14">
        <f t="shared" si="9"/>
        <v>52.903625699305</v>
      </c>
      <c r="H92" s="9">
        <v>60</v>
      </c>
      <c r="I92" s="9">
        <v>60</v>
      </c>
      <c r="J92" s="9">
        <v>40</v>
      </c>
      <c r="K92" s="9">
        <v>100</v>
      </c>
      <c r="L92" s="9">
        <v>30</v>
      </c>
      <c r="M92" s="14">
        <f t="shared" si="10"/>
        <v>58</v>
      </c>
      <c r="N92" s="9">
        <v>70</v>
      </c>
      <c r="O92" s="9">
        <v>50</v>
      </c>
      <c r="P92" s="9">
        <v>25</v>
      </c>
      <c r="Q92" s="14">
        <f t="shared" si="11"/>
        <v>48.3333333333333</v>
      </c>
      <c r="R92" s="9">
        <v>100</v>
      </c>
      <c r="S92" s="9">
        <v>76.0209681165955</v>
      </c>
      <c r="T92" s="9">
        <v>82.7696015481975</v>
      </c>
      <c r="U92" s="9">
        <v>6.48140490270451</v>
      </c>
      <c r="V92" s="9">
        <v>52.3346312391305</v>
      </c>
      <c r="W92" s="9">
        <v>19.1895604109346</v>
      </c>
      <c r="X92" s="9">
        <v>87.9854438882505</v>
      </c>
      <c r="Y92" s="19">
        <f t="shared" si="12"/>
        <v>60.6830871579733</v>
      </c>
      <c r="Z92" s="6">
        <f t="shared" si="13"/>
        <v>64.2071065856744</v>
      </c>
      <c r="AA92" s="9">
        <v>50</v>
      </c>
      <c r="AB92" s="9">
        <v>25</v>
      </c>
      <c r="AC92" s="14">
        <f t="shared" si="14"/>
        <v>37.5</v>
      </c>
      <c r="AD92" s="17">
        <v>1.0580725139861</v>
      </c>
      <c r="AE92" s="9">
        <f t="shared" si="15"/>
        <v>54.3178571155633</v>
      </c>
      <c r="AF92" s="18">
        <f>RANK(AE92,AE$3:AE$298)</f>
        <v>148</v>
      </c>
      <c r="AG92" s="20" t="e">
        <f>#REF!-AF92</f>
        <v>#REF!</v>
      </c>
    </row>
    <row r="93" spans="1:33">
      <c r="A93" s="9" t="s">
        <v>127</v>
      </c>
      <c r="B93" s="9">
        <v>100</v>
      </c>
      <c r="C93" s="9">
        <v>60</v>
      </c>
      <c r="D93" s="9">
        <v>40</v>
      </c>
      <c r="E93" s="9">
        <v>40</v>
      </c>
      <c r="F93" s="13">
        <f t="shared" si="8"/>
        <v>60</v>
      </c>
      <c r="G93" s="14">
        <f t="shared" si="9"/>
        <v>58.3695367388409</v>
      </c>
      <c r="H93" s="9">
        <v>20</v>
      </c>
      <c r="I93" s="9">
        <v>40</v>
      </c>
      <c r="J93" s="9">
        <v>70</v>
      </c>
      <c r="K93" s="9">
        <v>70</v>
      </c>
      <c r="L93" s="9">
        <v>70</v>
      </c>
      <c r="M93" s="14">
        <f t="shared" si="10"/>
        <v>54</v>
      </c>
      <c r="N93" s="9">
        <v>40</v>
      </c>
      <c r="O93" s="9">
        <v>75</v>
      </c>
      <c r="P93" s="9">
        <v>0</v>
      </c>
      <c r="Q93" s="14">
        <f t="shared" si="11"/>
        <v>38.3333333333333</v>
      </c>
      <c r="R93" s="9">
        <v>100</v>
      </c>
      <c r="S93" s="9">
        <v>82.781321683724</v>
      </c>
      <c r="T93" s="9">
        <v>80.4200017593154</v>
      </c>
      <c r="U93" s="9">
        <v>11.1681350792633</v>
      </c>
      <c r="V93" s="9">
        <v>29.3567787291584</v>
      </c>
      <c r="W93" s="9">
        <v>36.5326691376445</v>
      </c>
      <c r="X93" s="9">
        <v>84.0784720008307</v>
      </c>
      <c r="Y93" s="19">
        <f t="shared" si="12"/>
        <v>60.6196254842766</v>
      </c>
      <c r="Z93" s="6">
        <f t="shared" si="13"/>
        <v>58.9723242799877</v>
      </c>
      <c r="AA93" s="9">
        <v>50</v>
      </c>
      <c r="AB93" s="9">
        <v>25</v>
      </c>
      <c r="AC93" s="14">
        <f t="shared" si="14"/>
        <v>37.5</v>
      </c>
      <c r="AD93" s="17">
        <v>0.972825612314015</v>
      </c>
      <c r="AE93" s="9">
        <f t="shared" si="15"/>
        <v>51.5406046317645</v>
      </c>
      <c r="AF93" s="18">
        <f>RANK(AE93,AE$3:AE$298)</f>
        <v>177</v>
      </c>
      <c r="AG93" s="20" t="e">
        <f>#REF!-AF93</f>
        <v>#REF!</v>
      </c>
    </row>
    <row r="94" spans="1:33">
      <c r="A94" s="9" t="s">
        <v>128</v>
      </c>
      <c r="B94" s="9">
        <v>100</v>
      </c>
      <c r="C94" s="9">
        <v>40</v>
      </c>
      <c r="D94" s="9">
        <v>60</v>
      </c>
      <c r="E94" s="9">
        <v>60</v>
      </c>
      <c r="F94" s="13">
        <f t="shared" si="8"/>
        <v>65</v>
      </c>
      <c r="G94" s="14">
        <f t="shared" si="9"/>
        <v>60.7685621302621</v>
      </c>
      <c r="H94" s="9">
        <v>40</v>
      </c>
      <c r="I94" s="9">
        <v>40</v>
      </c>
      <c r="J94" s="9">
        <v>70</v>
      </c>
      <c r="K94" s="9">
        <v>100</v>
      </c>
      <c r="L94" s="9">
        <v>70</v>
      </c>
      <c r="M94" s="14">
        <f t="shared" si="10"/>
        <v>64</v>
      </c>
      <c r="N94" s="9">
        <v>70</v>
      </c>
      <c r="O94" s="9">
        <v>50</v>
      </c>
      <c r="P94" s="9">
        <v>0</v>
      </c>
      <c r="Q94" s="14">
        <f t="shared" si="11"/>
        <v>40</v>
      </c>
      <c r="R94" s="9">
        <v>100</v>
      </c>
      <c r="S94" s="9">
        <v>74.4608865241812</v>
      </c>
      <c r="T94" s="9">
        <v>68.5414694933</v>
      </c>
      <c r="U94" s="9">
        <v>6.87577610048812</v>
      </c>
      <c r="V94" s="9">
        <v>26.1330203173116</v>
      </c>
      <c r="W94" s="9">
        <v>52.3678282692003</v>
      </c>
      <c r="X94" s="9">
        <v>95.4847440345537</v>
      </c>
      <c r="Y94" s="19">
        <f t="shared" si="12"/>
        <v>60.551960677005</v>
      </c>
      <c r="Z94" s="6">
        <f t="shared" si="13"/>
        <v>56.6100859155348</v>
      </c>
      <c r="AA94" s="9">
        <v>50</v>
      </c>
      <c r="AB94" s="9">
        <v>50</v>
      </c>
      <c r="AC94" s="14">
        <f t="shared" si="14"/>
        <v>50</v>
      </c>
      <c r="AD94" s="17">
        <v>0.934900955850186</v>
      </c>
      <c r="AE94" s="9">
        <f t="shared" si="15"/>
        <v>55.4367382007129</v>
      </c>
      <c r="AF94" s="18">
        <f>RANK(AE94,AE$3:AE$298)</f>
        <v>133</v>
      </c>
      <c r="AG94" s="20" t="e">
        <f>#REF!-AF94</f>
        <v>#REF!</v>
      </c>
    </row>
    <row r="95" spans="1:33">
      <c r="A95" s="9" t="s">
        <v>129</v>
      </c>
      <c r="B95" s="9">
        <v>80</v>
      </c>
      <c r="C95" s="9">
        <v>40</v>
      </c>
      <c r="D95" s="9">
        <v>20</v>
      </c>
      <c r="E95" s="9">
        <v>40</v>
      </c>
      <c r="F95" s="13">
        <f t="shared" si="8"/>
        <v>45</v>
      </c>
      <c r="G95" s="14">
        <f t="shared" si="9"/>
        <v>45.3700032888163</v>
      </c>
      <c r="H95" s="9">
        <v>60</v>
      </c>
      <c r="I95" s="9">
        <v>80</v>
      </c>
      <c r="J95" s="9">
        <v>70</v>
      </c>
      <c r="K95" s="9">
        <v>100</v>
      </c>
      <c r="L95" s="9">
        <v>70</v>
      </c>
      <c r="M95" s="14">
        <f t="shared" si="10"/>
        <v>76</v>
      </c>
      <c r="N95" s="9">
        <v>70</v>
      </c>
      <c r="O95" s="9">
        <v>75</v>
      </c>
      <c r="P95" s="9">
        <v>50</v>
      </c>
      <c r="Q95" s="14">
        <f t="shared" si="11"/>
        <v>65</v>
      </c>
      <c r="R95" s="9">
        <v>100</v>
      </c>
      <c r="S95" s="9">
        <v>69.6072993477813</v>
      </c>
      <c r="T95" s="9">
        <v>73.632269035878</v>
      </c>
      <c r="U95" s="9">
        <v>20.0271982178806</v>
      </c>
      <c r="V95" s="9">
        <v>41.5659063314719</v>
      </c>
      <c r="W95" s="9">
        <v>25.2103531582547</v>
      </c>
      <c r="X95" s="9">
        <v>93.7113094737259</v>
      </c>
      <c r="Y95" s="19">
        <f t="shared" si="12"/>
        <v>60.5363336521418</v>
      </c>
      <c r="Z95" s="6">
        <f t="shared" si="13"/>
        <v>61.0340812642346</v>
      </c>
      <c r="AA95" s="9">
        <v>75</v>
      </c>
      <c r="AB95" s="9">
        <v>75</v>
      </c>
      <c r="AC95" s="14">
        <f t="shared" si="14"/>
        <v>75</v>
      </c>
      <c r="AD95" s="17">
        <v>1.00822229530703</v>
      </c>
      <c r="AE95" s="9">
        <f t="shared" si="15"/>
        <v>63.5842250370336</v>
      </c>
      <c r="AF95" s="18">
        <f>RANK(AE95,AE$3:AE$298)</f>
        <v>62</v>
      </c>
      <c r="AG95" s="20" t="e">
        <f>#REF!-AF95</f>
        <v>#REF!</v>
      </c>
    </row>
    <row r="96" spans="1:33">
      <c r="A96" s="9" t="s">
        <v>130</v>
      </c>
      <c r="B96" s="9">
        <v>100</v>
      </c>
      <c r="C96" s="9">
        <v>60</v>
      </c>
      <c r="D96" s="9">
        <v>60</v>
      </c>
      <c r="E96" s="9">
        <v>60</v>
      </c>
      <c r="F96" s="13">
        <f t="shared" si="8"/>
        <v>70</v>
      </c>
      <c r="G96" s="14">
        <f t="shared" si="9"/>
        <v>70.2723395654364</v>
      </c>
      <c r="H96" s="9">
        <v>60</v>
      </c>
      <c r="I96" s="9">
        <v>80</v>
      </c>
      <c r="J96" s="9">
        <v>100</v>
      </c>
      <c r="K96" s="9">
        <v>100</v>
      </c>
      <c r="L96" s="9">
        <v>70</v>
      </c>
      <c r="M96" s="14">
        <f t="shared" si="10"/>
        <v>82</v>
      </c>
      <c r="N96" s="9">
        <v>70</v>
      </c>
      <c r="O96" s="9">
        <v>75</v>
      </c>
      <c r="P96" s="9">
        <v>0</v>
      </c>
      <c r="Q96" s="14">
        <f t="shared" si="11"/>
        <v>48.3333333333333</v>
      </c>
      <c r="R96" s="9">
        <v>81.1529933481153</v>
      </c>
      <c r="S96" s="9">
        <v>92.5077563030969</v>
      </c>
      <c r="T96" s="9">
        <v>92.0374673821216</v>
      </c>
      <c r="U96" s="9">
        <v>17.6724020803901</v>
      </c>
      <c r="V96" s="9">
        <v>32.8548995590347</v>
      </c>
      <c r="W96" s="9">
        <v>29.4764950652537</v>
      </c>
      <c r="X96" s="9">
        <v>78.0443650999327</v>
      </c>
      <c r="Y96" s="19">
        <f t="shared" si="12"/>
        <v>60.5351969768493</v>
      </c>
      <c r="Z96" s="6">
        <f t="shared" si="13"/>
        <v>60.7707131088247</v>
      </c>
      <c r="AA96" s="9">
        <v>50</v>
      </c>
      <c r="AB96" s="9">
        <v>50</v>
      </c>
      <c r="AC96" s="14">
        <f t="shared" si="14"/>
        <v>50</v>
      </c>
      <c r="AD96" s="17">
        <v>1.00389056522052</v>
      </c>
      <c r="AE96" s="9">
        <f t="shared" si="15"/>
        <v>63.4356818457347</v>
      </c>
      <c r="AF96" s="18">
        <f>RANK(AE96,AE$3:AE$298)</f>
        <v>63</v>
      </c>
      <c r="AG96" s="20" t="e">
        <f>#REF!-AF96</f>
        <v>#REF!</v>
      </c>
    </row>
    <row r="97" spans="1:33">
      <c r="A97" s="9" t="s">
        <v>131</v>
      </c>
      <c r="B97" s="9">
        <v>100</v>
      </c>
      <c r="C97" s="9">
        <v>20</v>
      </c>
      <c r="D97" s="9">
        <v>40</v>
      </c>
      <c r="E97" s="9">
        <v>80</v>
      </c>
      <c r="F97" s="13">
        <f t="shared" si="8"/>
        <v>60</v>
      </c>
      <c r="G97" s="14">
        <f t="shared" si="9"/>
        <v>57.9995120940022</v>
      </c>
      <c r="H97" s="9">
        <v>80</v>
      </c>
      <c r="I97" s="9">
        <v>80</v>
      </c>
      <c r="J97" s="9">
        <v>100</v>
      </c>
      <c r="K97" s="9">
        <v>100</v>
      </c>
      <c r="L97" s="9">
        <v>70</v>
      </c>
      <c r="M97" s="14">
        <f t="shared" si="10"/>
        <v>86</v>
      </c>
      <c r="N97" s="9">
        <v>70</v>
      </c>
      <c r="O97" s="9">
        <v>75</v>
      </c>
      <c r="P97" s="9">
        <v>25</v>
      </c>
      <c r="Q97" s="14">
        <f t="shared" si="11"/>
        <v>56.6666666666667</v>
      </c>
      <c r="R97" s="9">
        <v>100</v>
      </c>
      <c r="S97" s="9">
        <v>93.5670709646128</v>
      </c>
      <c r="T97" s="9">
        <v>88.6436010204029</v>
      </c>
      <c r="U97" s="9">
        <v>1.96042493970692</v>
      </c>
      <c r="V97" s="9">
        <v>16.0502014547268</v>
      </c>
      <c r="W97" s="9">
        <v>47.9249855825319</v>
      </c>
      <c r="X97" s="9">
        <v>74.9547928150951</v>
      </c>
      <c r="Y97" s="19">
        <f t="shared" si="12"/>
        <v>60.4430109681538</v>
      </c>
      <c r="Z97" s="6">
        <f t="shared" si="13"/>
        <v>58.4277524274223</v>
      </c>
      <c r="AA97" s="9">
        <v>25</v>
      </c>
      <c r="AB97" s="9">
        <v>50</v>
      </c>
      <c r="AC97" s="14">
        <f t="shared" si="14"/>
        <v>37.5</v>
      </c>
      <c r="AD97" s="17">
        <v>0.966658534900036</v>
      </c>
      <c r="AE97" s="9">
        <f t="shared" si="15"/>
        <v>60.4532281470271</v>
      </c>
      <c r="AF97" s="18">
        <f>RANK(AE97,AE$3:AE$298)</f>
        <v>90</v>
      </c>
      <c r="AG97" s="20" t="e">
        <f>#REF!-AF97</f>
        <v>#REF!</v>
      </c>
    </row>
    <row r="98" spans="1:33">
      <c r="A98" s="9" t="s">
        <v>132</v>
      </c>
      <c r="B98" s="9">
        <v>100</v>
      </c>
      <c r="C98" s="9">
        <v>80</v>
      </c>
      <c r="D98" s="9">
        <v>40</v>
      </c>
      <c r="E98" s="9">
        <v>60</v>
      </c>
      <c r="F98" s="13">
        <f t="shared" si="8"/>
        <v>70</v>
      </c>
      <c r="G98" s="14">
        <f t="shared" si="9"/>
        <v>69.5909747020348</v>
      </c>
      <c r="H98" s="9">
        <v>100</v>
      </c>
      <c r="I98" s="9">
        <v>60</v>
      </c>
      <c r="J98" s="9">
        <v>100</v>
      </c>
      <c r="K98" s="9">
        <v>100</v>
      </c>
      <c r="L98" s="9">
        <v>70</v>
      </c>
      <c r="M98" s="14">
        <f t="shared" si="10"/>
        <v>86</v>
      </c>
      <c r="N98" s="9">
        <v>70</v>
      </c>
      <c r="O98" s="9">
        <v>75</v>
      </c>
      <c r="P98" s="9">
        <v>50</v>
      </c>
      <c r="Q98" s="14">
        <f t="shared" si="11"/>
        <v>65</v>
      </c>
      <c r="R98" s="9">
        <v>96.6559780119102</v>
      </c>
      <c r="S98" s="9">
        <v>95.4930976219143</v>
      </c>
      <c r="T98" s="9">
        <v>90.2100008796577</v>
      </c>
      <c r="U98" s="9">
        <v>15.0604073356494</v>
      </c>
      <c r="V98" s="9">
        <v>11.4546309527324</v>
      </c>
      <c r="W98" s="9">
        <v>35.8443172473442</v>
      </c>
      <c r="X98" s="9">
        <v>77.9896453802366</v>
      </c>
      <c r="Y98" s="19">
        <f t="shared" si="12"/>
        <v>60.3868682042064</v>
      </c>
      <c r="Z98" s="6">
        <f t="shared" si="13"/>
        <v>60.0340145362005</v>
      </c>
      <c r="AA98" s="9">
        <v>50</v>
      </c>
      <c r="AB98" s="9">
        <v>75</v>
      </c>
      <c r="AC98" s="14">
        <f t="shared" si="14"/>
        <v>62.5</v>
      </c>
      <c r="AD98" s="17">
        <v>0.99415678145764</v>
      </c>
      <c r="AE98" s="9">
        <f t="shared" si="15"/>
        <v>68.2533993012671</v>
      </c>
      <c r="AF98" s="18">
        <f>RANK(AE98,AE$3:AE$298)</f>
        <v>34</v>
      </c>
      <c r="AG98" s="20" t="e">
        <f>#REF!-AF98</f>
        <v>#REF!</v>
      </c>
    </row>
    <row r="99" spans="1:33">
      <c r="A99" s="9" t="s">
        <v>133</v>
      </c>
      <c r="B99" s="9">
        <v>100</v>
      </c>
      <c r="C99" s="9">
        <v>60</v>
      </c>
      <c r="D99" s="9">
        <v>20</v>
      </c>
      <c r="E99" s="9">
        <v>20</v>
      </c>
      <c r="F99" s="13">
        <f t="shared" si="8"/>
        <v>50</v>
      </c>
      <c r="G99" s="14">
        <f t="shared" si="9"/>
        <v>48.0535518878973</v>
      </c>
      <c r="H99" s="9">
        <v>80</v>
      </c>
      <c r="I99" s="9">
        <v>80</v>
      </c>
      <c r="J99" s="9">
        <v>100</v>
      </c>
      <c r="K99" s="9">
        <v>100</v>
      </c>
      <c r="L99" s="9">
        <v>70</v>
      </c>
      <c r="M99" s="14">
        <f t="shared" si="10"/>
        <v>86</v>
      </c>
      <c r="N99" s="9">
        <v>70</v>
      </c>
      <c r="O99" s="9">
        <v>100</v>
      </c>
      <c r="P99" s="9">
        <v>0</v>
      </c>
      <c r="Q99" s="14">
        <f t="shared" si="11"/>
        <v>56.6666666666667</v>
      </c>
      <c r="R99" s="9">
        <v>57.770845150312</v>
      </c>
      <c r="S99" s="9">
        <v>87.0956213960795</v>
      </c>
      <c r="T99" s="9">
        <v>86.6856011963344</v>
      </c>
      <c r="U99" s="9">
        <v>25.9141885616069</v>
      </c>
      <c r="V99" s="9">
        <v>33.7465774176307</v>
      </c>
      <c r="W99" s="9">
        <v>37.3149595717408</v>
      </c>
      <c r="X99" s="9">
        <v>93.9619820319945</v>
      </c>
      <c r="Y99" s="19">
        <f t="shared" si="12"/>
        <v>60.3556821893855</v>
      </c>
      <c r="Z99" s="6">
        <f t="shared" si="13"/>
        <v>58.0060981163415</v>
      </c>
      <c r="AA99" s="9">
        <v>50</v>
      </c>
      <c r="AB99" s="9">
        <v>25</v>
      </c>
      <c r="AC99" s="14">
        <f t="shared" si="14"/>
        <v>37.5</v>
      </c>
      <c r="AD99" s="17">
        <v>0.961071037757946</v>
      </c>
      <c r="AE99" s="9">
        <f t="shared" si="15"/>
        <v>58.3375398124819</v>
      </c>
      <c r="AF99" s="18">
        <f>RANK(AE99,AE$3:AE$298)</f>
        <v>106</v>
      </c>
      <c r="AG99" s="20" t="e">
        <f>#REF!-AF99</f>
        <v>#REF!</v>
      </c>
    </row>
    <row r="100" spans="1:33">
      <c r="A100" s="9" t="s">
        <v>134</v>
      </c>
      <c r="B100" s="9">
        <v>80</v>
      </c>
      <c r="C100" s="9">
        <v>20</v>
      </c>
      <c r="D100" s="9">
        <v>60</v>
      </c>
      <c r="E100" s="9">
        <v>60</v>
      </c>
      <c r="F100" s="13">
        <f t="shared" si="8"/>
        <v>55</v>
      </c>
      <c r="G100" s="14">
        <f t="shared" si="9"/>
        <v>55.2198690063064</v>
      </c>
      <c r="H100" s="9">
        <v>60</v>
      </c>
      <c r="I100" s="9">
        <v>80</v>
      </c>
      <c r="J100" s="9">
        <v>70</v>
      </c>
      <c r="K100" s="9">
        <v>100</v>
      </c>
      <c r="L100" s="9">
        <v>70</v>
      </c>
      <c r="M100" s="14">
        <f t="shared" si="10"/>
        <v>76</v>
      </c>
      <c r="N100" s="9">
        <v>70</v>
      </c>
      <c r="O100" s="9">
        <v>75</v>
      </c>
      <c r="P100" s="9">
        <v>25</v>
      </c>
      <c r="Q100" s="14">
        <f t="shared" si="11"/>
        <v>56.6666666666667</v>
      </c>
      <c r="R100" s="9">
        <v>100</v>
      </c>
      <c r="S100" s="9">
        <v>86.7489365977652</v>
      </c>
      <c r="T100" s="9">
        <v>83.5528014778249</v>
      </c>
      <c r="U100" s="9">
        <v>14.974674466566</v>
      </c>
      <c r="V100" s="9">
        <v>26.2016109218189</v>
      </c>
      <c r="W100" s="9">
        <v>30.1875313708291</v>
      </c>
      <c r="X100" s="9">
        <v>80.5901796292625</v>
      </c>
      <c r="Y100" s="19">
        <f t="shared" si="12"/>
        <v>60.3222477805809</v>
      </c>
      <c r="Z100" s="6">
        <f t="shared" si="13"/>
        <v>60.5633931019934</v>
      </c>
      <c r="AA100" s="9">
        <v>100</v>
      </c>
      <c r="AB100" s="9">
        <v>50</v>
      </c>
      <c r="AC100" s="14">
        <f t="shared" si="14"/>
        <v>75</v>
      </c>
      <c r="AD100" s="17">
        <v>1.00399761829648</v>
      </c>
      <c r="AE100" s="9">
        <f t="shared" si="15"/>
        <v>64.1629917318593</v>
      </c>
      <c r="AF100" s="18">
        <f>RANK(AE100,AE$3:AE$298)</f>
        <v>57</v>
      </c>
      <c r="AG100" s="20" t="e">
        <f>#REF!-AF100</f>
        <v>#REF!</v>
      </c>
    </row>
    <row r="101" spans="1:33">
      <c r="A101" s="9" t="s">
        <v>135</v>
      </c>
      <c r="B101" s="9">
        <v>80</v>
      </c>
      <c r="C101" s="9">
        <v>40</v>
      </c>
      <c r="D101" s="9">
        <v>40</v>
      </c>
      <c r="E101" s="9">
        <v>60</v>
      </c>
      <c r="F101" s="13">
        <f t="shared" si="8"/>
        <v>55</v>
      </c>
      <c r="G101" s="14">
        <f t="shared" si="9"/>
        <v>57.0203549053913</v>
      </c>
      <c r="H101" s="9">
        <v>40</v>
      </c>
      <c r="I101" s="9">
        <v>40</v>
      </c>
      <c r="J101" s="9">
        <v>70</v>
      </c>
      <c r="K101" s="9">
        <v>100</v>
      </c>
      <c r="L101" s="9">
        <v>70</v>
      </c>
      <c r="M101" s="14">
        <f t="shared" si="10"/>
        <v>64</v>
      </c>
      <c r="N101" s="9">
        <v>40</v>
      </c>
      <c r="O101" s="9">
        <v>25</v>
      </c>
      <c r="P101" s="9">
        <v>0</v>
      </c>
      <c r="Q101" s="14">
        <f t="shared" si="11"/>
        <v>21.6666666666667</v>
      </c>
      <c r="R101" s="9">
        <v>100</v>
      </c>
      <c r="S101" s="9">
        <v>94.6649061592747</v>
      </c>
      <c r="T101" s="9">
        <v>94.6481338142129</v>
      </c>
      <c r="U101" s="9">
        <v>12.76848196882</v>
      </c>
      <c r="V101" s="9">
        <v>35.7357049483447</v>
      </c>
      <c r="W101" s="9">
        <v>23.7371319334509</v>
      </c>
      <c r="X101" s="9">
        <v>60.6187278677674</v>
      </c>
      <c r="Y101" s="19">
        <f t="shared" si="12"/>
        <v>60.3104409559815</v>
      </c>
      <c r="Z101" s="6">
        <f t="shared" si="13"/>
        <v>62.525868142013</v>
      </c>
      <c r="AA101" s="9">
        <v>25</v>
      </c>
      <c r="AB101" s="9">
        <v>25</v>
      </c>
      <c r="AC101" s="14">
        <f t="shared" si="14"/>
        <v>25</v>
      </c>
      <c r="AD101" s="17">
        <v>1.03673372555257</v>
      </c>
      <c r="AE101" s="9">
        <f t="shared" si="15"/>
        <v>49.9618314236822</v>
      </c>
      <c r="AF101" s="18">
        <f>RANK(AE101,AE$3:AE$298)</f>
        <v>198</v>
      </c>
      <c r="AG101" s="20" t="e">
        <f>#REF!-AF101</f>
        <v>#REF!</v>
      </c>
    </row>
    <row r="102" spans="1:33">
      <c r="A102" s="9" t="s">
        <v>136</v>
      </c>
      <c r="B102" s="9">
        <v>80</v>
      </c>
      <c r="C102" s="9">
        <v>20</v>
      </c>
      <c r="D102" s="9">
        <v>40</v>
      </c>
      <c r="E102" s="9">
        <v>40</v>
      </c>
      <c r="F102" s="13">
        <f t="shared" si="8"/>
        <v>45</v>
      </c>
      <c r="G102" s="14">
        <f t="shared" si="9"/>
        <v>48.7205522044947</v>
      </c>
      <c r="H102" s="9">
        <v>60</v>
      </c>
      <c r="I102" s="9">
        <v>80</v>
      </c>
      <c r="J102" s="9">
        <v>100</v>
      </c>
      <c r="K102" s="9">
        <v>100</v>
      </c>
      <c r="L102" s="9">
        <v>70</v>
      </c>
      <c r="M102" s="14">
        <f t="shared" si="10"/>
        <v>82</v>
      </c>
      <c r="N102" s="9">
        <v>70</v>
      </c>
      <c r="O102" s="9">
        <v>75</v>
      </c>
      <c r="P102" s="9">
        <v>25</v>
      </c>
      <c r="Q102" s="14">
        <f t="shared" si="11"/>
        <v>56.6666666666667</v>
      </c>
      <c r="R102" s="9">
        <v>100</v>
      </c>
      <c r="S102" s="9">
        <v>86.6526352649001</v>
      </c>
      <c r="T102" s="9">
        <v>86.6856011963344</v>
      </c>
      <c r="U102" s="9">
        <v>12.0426103439139</v>
      </c>
      <c r="V102" s="9">
        <v>34.9812082987635</v>
      </c>
      <c r="W102" s="9">
        <v>16.6079735723558</v>
      </c>
      <c r="X102" s="9">
        <v>84.7293572331328</v>
      </c>
      <c r="Y102" s="19">
        <f t="shared" si="12"/>
        <v>60.2427694156286</v>
      </c>
      <c r="Z102" s="6">
        <f t="shared" si="13"/>
        <v>65.2235776057216</v>
      </c>
      <c r="AA102" s="9">
        <v>75</v>
      </c>
      <c r="AB102" s="9">
        <v>75</v>
      </c>
      <c r="AC102" s="14">
        <f t="shared" si="14"/>
        <v>75</v>
      </c>
      <c r="AD102" s="17">
        <v>1.08267893787766</v>
      </c>
      <c r="AE102" s="9">
        <f t="shared" si="15"/>
        <v>65.4611837226154</v>
      </c>
      <c r="AF102" s="18">
        <f>RANK(AE102,AE$3:AE$298)</f>
        <v>52</v>
      </c>
      <c r="AG102" s="20" t="e">
        <f>#REF!-AF102</f>
        <v>#REF!</v>
      </c>
    </row>
    <row r="103" spans="1:33">
      <c r="A103" s="9" t="s">
        <v>137</v>
      </c>
      <c r="B103" s="9">
        <v>100</v>
      </c>
      <c r="C103" s="9">
        <v>60</v>
      </c>
      <c r="D103" s="9">
        <v>60</v>
      </c>
      <c r="E103" s="9">
        <v>60</v>
      </c>
      <c r="F103" s="13">
        <f t="shared" si="8"/>
        <v>70</v>
      </c>
      <c r="G103" s="14">
        <f t="shared" si="9"/>
        <v>69.286025535085</v>
      </c>
      <c r="H103" s="9">
        <v>40</v>
      </c>
      <c r="I103" s="9">
        <v>60</v>
      </c>
      <c r="J103" s="9">
        <v>100</v>
      </c>
      <c r="K103" s="9">
        <v>70</v>
      </c>
      <c r="L103" s="9">
        <v>70</v>
      </c>
      <c r="M103" s="14">
        <f t="shared" si="10"/>
        <v>68</v>
      </c>
      <c r="N103" s="9">
        <v>70</v>
      </c>
      <c r="O103" s="9">
        <v>75</v>
      </c>
      <c r="P103" s="9">
        <v>0</v>
      </c>
      <c r="Q103" s="14">
        <f t="shared" si="11"/>
        <v>48.3333333333333</v>
      </c>
      <c r="R103" s="9">
        <v>75.1375849789576</v>
      </c>
      <c r="S103" s="9">
        <v>82.9161435497351</v>
      </c>
      <c r="T103" s="9">
        <v>84.8581346938705</v>
      </c>
      <c r="U103" s="9">
        <v>17.1865824889175</v>
      </c>
      <c r="V103" s="9">
        <v>40.3998660548465</v>
      </c>
      <c r="W103" s="9">
        <v>32.5272224045594</v>
      </c>
      <c r="X103" s="9">
        <v>87.5367874846011</v>
      </c>
      <c r="Y103" s="19">
        <f t="shared" si="12"/>
        <v>60.0803316650697</v>
      </c>
      <c r="Z103" s="6">
        <f t="shared" si="13"/>
        <v>59.4675341986056</v>
      </c>
      <c r="AA103" s="9">
        <v>75</v>
      </c>
      <c r="AB103" s="9">
        <v>25</v>
      </c>
      <c r="AC103" s="14">
        <f t="shared" si="14"/>
        <v>50</v>
      </c>
      <c r="AD103" s="17">
        <v>0.989800364786929</v>
      </c>
      <c r="AE103" s="9">
        <f t="shared" si="15"/>
        <v>60.0474653665987</v>
      </c>
      <c r="AF103" s="18">
        <f>RANK(AE103,AE$3:AE$298)</f>
        <v>92</v>
      </c>
      <c r="AG103" s="20" t="e">
        <f>#REF!-AF103</f>
        <v>#REF!</v>
      </c>
    </row>
    <row r="104" spans="1:33">
      <c r="A104" s="9" t="s">
        <v>138</v>
      </c>
      <c r="B104" s="9">
        <v>80</v>
      </c>
      <c r="C104" s="9">
        <v>20</v>
      </c>
      <c r="D104" s="9">
        <v>60</v>
      </c>
      <c r="E104" s="9">
        <v>60</v>
      </c>
      <c r="F104" s="13">
        <f t="shared" si="8"/>
        <v>55</v>
      </c>
      <c r="G104" s="14">
        <f t="shared" si="9"/>
        <v>55.0942202257975</v>
      </c>
      <c r="H104" s="9">
        <v>40</v>
      </c>
      <c r="I104" s="9">
        <v>60</v>
      </c>
      <c r="J104" s="9">
        <v>70</v>
      </c>
      <c r="K104" s="9">
        <v>100</v>
      </c>
      <c r="L104" s="9">
        <v>70</v>
      </c>
      <c r="M104" s="14">
        <f t="shared" si="10"/>
        <v>68</v>
      </c>
      <c r="N104" s="9">
        <v>40</v>
      </c>
      <c r="O104" s="9">
        <v>75</v>
      </c>
      <c r="P104" s="9">
        <v>0</v>
      </c>
      <c r="Q104" s="14">
        <f t="shared" si="11"/>
        <v>38.3333333333333</v>
      </c>
      <c r="R104" s="9">
        <v>85.817852288174</v>
      </c>
      <c r="S104" s="9">
        <v>91.9684688390525</v>
      </c>
      <c r="T104" s="9">
        <v>88.6436010204029</v>
      </c>
      <c r="U104" s="9">
        <v>14.637458514838</v>
      </c>
      <c r="V104" s="9">
        <v>22.0175840468688</v>
      </c>
      <c r="W104" s="9">
        <v>26.5583431818546</v>
      </c>
      <c r="X104" s="9">
        <v>90.5976903869033</v>
      </c>
      <c r="Y104" s="19">
        <f t="shared" si="12"/>
        <v>60.034428325442</v>
      </c>
      <c r="Z104" s="6">
        <f t="shared" si="13"/>
        <v>60.1372730053047</v>
      </c>
      <c r="AA104" s="9">
        <v>50</v>
      </c>
      <c r="AB104" s="9">
        <v>25</v>
      </c>
      <c r="AC104" s="14">
        <f t="shared" si="14"/>
        <v>37.5</v>
      </c>
      <c r="AD104" s="17">
        <v>1.0017130950145</v>
      </c>
      <c r="AE104" s="9">
        <f t="shared" si="15"/>
        <v>54.0350259467509</v>
      </c>
      <c r="AF104" s="18">
        <f>RANK(AE104,AE$3:AE$298)</f>
        <v>152</v>
      </c>
      <c r="AG104" s="20" t="e">
        <f>#REF!-AF104</f>
        <v>#REF!</v>
      </c>
    </row>
    <row r="105" spans="1:33">
      <c r="A105" s="9" t="s">
        <v>139</v>
      </c>
      <c r="B105" s="9">
        <v>100</v>
      </c>
      <c r="C105" s="9">
        <v>60</v>
      </c>
      <c r="D105" s="9">
        <v>60</v>
      </c>
      <c r="E105" s="9">
        <v>60</v>
      </c>
      <c r="F105" s="13">
        <f t="shared" si="8"/>
        <v>70</v>
      </c>
      <c r="G105" s="14">
        <f t="shared" si="9"/>
        <v>68.9404738261021</v>
      </c>
      <c r="H105" s="9">
        <v>80</v>
      </c>
      <c r="I105" s="9">
        <v>20</v>
      </c>
      <c r="J105" s="9">
        <v>70</v>
      </c>
      <c r="K105" s="9">
        <v>40</v>
      </c>
      <c r="L105" s="9">
        <v>20</v>
      </c>
      <c r="M105" s="14">
        <f t="shared" si="10"/>
        <v>46</v>
      </c>
      <c r="N105" s="9">
        <v>20</v>
      </c>
      <c r="O105" s="9">
        <v>25</v>
      </c>
      <c r="P105" s="9">
        <v>0</v>
      </c>
      <c r="Q105" s="14">
        <f t="shared" si="11"/>
        <v>15</v>
      </c>
      <c r="R105" s="9">
        <v>100</v>
      </c>
      <c r="S105" s="9">
        <v>93.3744682988826</v>
      </c>
      <c r="T105" s="9">
        <v>89.1657343068212</v>
      </c>
      <c r="U105" s="9">
        <v>8.45897641622811</v>
      </c>
      <c r="V105" s="9">
        <v>17.9707383809334</v>
      </c>
      <c r="W105" s="9">
        <v>37.3432384702149</v>
      </c>
      <c r="X105" s="9">
        <v>73.5271735766388</v>
      </c>
      <c r="Y105" s="19">
        <f t="shared" si="12"/>
        <v>59.9771899213884</v>
      </c>
      <c r="Z105" s="6">
        <f t="shared" si="13"/>
        <v>59.0693698848376</v>
      </c>
      <c r="AA105" s="9">
        <v>75</v>
      </c>
      <c r="AB105" s="9">
        <v>25</v>
      </c>
      <c r="AC105" s="14">
        <f t="shared" si="14"/>
        <v>50</v>
      </c>
      <c r="AD105" s="17">
        <v>0.984863911801458</v>
      </c>
      <c r="AE105" s="9">
        <f t="shared" si="15"/>
        <v>50.4589057306717</v>
      </c>
      <c r="AF105" s="18">
        <f>RANK(AE105,AE$3:AE$298)</f>
        <v>196</v>
      </c>
      <c r="AG105" s="20" t="e">
        <f>#REF!-AF105</f>
        <v>#REF!</v>
      </c>
    </row>
    <row r="106" spans="1:33">
      <c r="A106" s="9" t="s">
        <v>140</v>
      </c>
      <c r="B106" s="9">
        <v>80</v>
      </c>
      <c r="C106" s="9">
        <v>60</v>
      </c>
      <c r="D106" s="9">
        <v>60</v>
      </c>
      <c r="E106" s="9">
        <v>80</v>
      </c>
      <c r="F106" s="13">
        <f t="shared" si="8"/>
        <v>70</v>
      </c>
      <c r="G106" s="14">
        <f t="shared" si="9"/>
        <v>70.4054387843772</v>
      </c>
      <c r="H106" s="9">
        <v>20</v>
      </c>
      <c r="I106" s="9">
        <v>20</v>
      </c>
      <c r="J106" s="9">
        <v>70</v>
      </c>
      <c r="K106" s="9">
        <v>70</v>
      </c>
      <c r="L106" s="9">
        <v>30</v>
      </c>
      <c r="M106" s="14">
        <f t="shared" si="10"/>
        <v>42</v>
      </c>
      <c r="N106" s="9">
        <v>40</v>
      </c>
      <c r="O106" s="9">
        <v>50</v>
      </c>
      <c r="P106" s="9">
        <v>0</v>
      </c>
      <c r="Q106" s="14">
        <f t="shared" si="11"/>
        <v>30</v>
      </c>
      <c r="R106" s="9">
        <v>100</v>
      </c>
      <c r="S106" s="9">
        <v>95.6471797544985</v>
      </c>
      <c r="T106" s="9">
        <v>94.1260005277946</v>
      </c>
      <c r="U106" s="9">
        <v>17.7695659986846</v>
      </c>
      <c r="V106" s="9">
        <v>24.4182552046271</v>
      </c>
      <c r="W106" s="9">
        <v>36.0118787793363</v>
      </c>
      <c r="X106" s="9">
        <v>50.7332358409708</v>
      </c>
      <c r="Y106" s="19">
        <f t="shared" si="12"/>
        <v>59.8151594437017</v>
      </c>
      <c r="Z106" s="6">
        <f t="shared" si="13"/>
        <v>60.1616078084472</v>
      </c>
      <c r="AA106" s="9">
        <v>50</v>
      </c>
      <c r="AB106" s="9">
        <v>25</v>
      </c>
      <c r="AC106" s="14">
        <f t="shared" si="14"/>
        <v>37.5</v>
      </c>
      <c r="AD106" s="17">
        <v>1.00579198263396</v>
      </c>
      <c r="AE106" s="9">
        <f t="shared" si="15"/>
        <v>50.6545700994096</v>
      </c>
      <c r="AF106" s="18">
        <f>RANK(AE106,AE$3:AE$298)</f>
        <v>192</v>
      </c>
      <c r="AG106" s="20" t="e">
        <f>#REF!-AF106</f>
        <v>#REF!</v>
      </c>
    </row>
    <row r="107" spans="1:33">
      <c r="A107" s="9" t="s">
        <v>141</v>
      </c>
      <c r="B107" s="9">
        <v>80</v>
      </c>
      <c r="C107" s="9">
        <v>20</v>
      </c>
      <c r="D107" s="9">
        <v>60</v>
      </c>
      <c r="E107" s="9">
        <v>60</v>
      </c>
      <c r="F107" s="13">
        <f t="shared" si="8"/>
        <v>55</v>
      </c>
      <c r="G107" s="14">
        <f t="shared" si="9"/>
        <v>53.7073505429695</v>
      </c>
      <c r="H107" s="9">
        <v>60</v>
      </c>
      <c r="I107" s="9">
        <v>60</v>
      </c>
      <c r="J107" s="9">
        <v>100</v>
      </c>
      <c r="K107" s="9">
        <v>20</v>
      </c>
      <c r="L107" s="9">
        <v>70</v>
      </c>
      <c r="M107" s="14">
        <f t="shared" si="10"/>
        <v>62</v>
      </c>
      <c r="N107" s="9">
        <v>40</v>
      </c>
      <c r="O107" s="9">
        <v>50</v>
      </c>
      <c r="P107" s="9">
        <v>25</v>
      </c>
      <c r="Q107" s="14">
        <f t="shared" si="11"/>
        <v>38.3333333333333</v>
      </c>
      <c r="R107" s="9">
        <v>100</v>
      </c>
      <c r="S107" s="9">
        <v>89.6764971168636</v>
      </c>
      <c r="T107" s="9">
        <v>78.0704019704332</v>
      </c>
      <c r="U107" s="9">
        <v>3.33215084504121</v>
      </c>
      <c r="V107" s="9">
        <v>10.9059061166733</v>
      </c>
      <c r="W107" s="9">
        <v>74.2406393323754</v>
      </c>
      <c r="X107" s="9">
        <v>61.9119417108597</v>
      </c>
      <c r="Y107" s="19">
        <f t="shared" si="12"/>
        <v>59.7339338703209</v>
      </c>
      <c r="Z107" s="6">
        <f t="shared" si="13"/>
        <v>58.3300241033433</v>
      </c>
      <c r="AA107" s="9">
        <v>25</v>
      </c>
      <c r="AB107" s="9">
        <v>25</v>
      </c>
      <c r="AC107" s="14">
        <f t="shared" si="14"/>
        <v>25</v>
      </c>
      <c r="AD107" s="17">
        <v>0.976497282599445</v>
      </c>
      <c r="AE107" s="9">
        <f t="shared" si="15"/>
        <v>50.1404773395969</v>
      </c>
      <c r="AF107" s="18">
        <f>RANK(AE107,AE$3:AE$298)</f>
        <v>197</v>
      </c>
      <c r="AG107" s="20" t="e">
        <f>#REF!-AF107</f>
        <v>#REF!</v>
      </c>
    </row>
    <row r="108" spans="1:33">
      <c r="A108" s="9" t="s">
        <v>142</v>
      </c>
      <c r="B108" s="9">
        <v>80</v>
      </c>
      <c r="C108" s="9">
        <v>40</v>
      </c>
      <c r="D108" s="9">
        <v>20</v>
      </c>
      <c r="E108" s="9">
        <v>60</v>
      </c>
      <c r="F108" s="13">
        <f t="shared" si="8"/>
        <v>50</v>
      </c>
      <c r="G108" s="14">
        <f t="shared" si="9"/>
        <v>51.669207504303</v>
      </c>
      <c r="H108" s="9">
        <v>20</v>
      </c>
      <c r="I108" s="9">
        <v>60</v>
      </c>
      <c r="J108" s="9">
        <v>70</v>
      </c>
      <c r="K108" s="9">
        <v>100</v>
      </c>
      <c r="L108" s="9">
        <v>70</v>
      </c>
      <c r="M108" s="14">
        <f t="shared" si="10"/>
        <v>64</v>
      </c>
      <c r="N108" s="9">
        <v>70</v>
      </c>
      <c r="O108" s="9">
        <v>50</v>
      </c>
      <c r="P108" s="9">
        <v>0</v>
      </c>
      <c r="Q108" s="14">
        <f t="shared" si="11"/>
        <v>40</v>
      </c>
      <c r="R108" s="9">
        <v>100</v>
      </c>
      <c r="S108" s="9">
        <v>98.1317541424175</v>
      </c>
      <c r="T108" s="9">
        <v>96.4756003166768</v>
      </c>
      <c r="U108" s="9">
        <v>12.7513353950033</v>
      </c>
      <c r="V108" s="9">
        <v>17.353422940367</v>
      </c>
      <c r="W108" s="9">
        <v>28.2981885613376</v>
      </c>
      <c r="X108" s="9">
        <v>65.0689583565256</v>
      </c>
      <c r="Y108" s="19">
        <f t="shared" si="12"/>
        <v>59.7256085303325</v>
      </c>
      <c r="Z108" s="6">
        <f t="shared" si="13"/>
        <v>61.7194972094904</v>
      </c>
      <c r="AA108" s="9">
        <v>50</v>
      </c>
      <c r="AB108" s="9">
        <v>50</v>
      </c>
      <c r="AC108" s="14">
        <f t="shared" si="14"/>
        <v>50</v>
      </c>
      <c r="AD108" s="17">
        <v>1.03338415008606</v>
      </c>
      <c r="AE108" s="9">
        <f t="shared" si="15"/>
        <v>55.1496906637077</v>
      </c>
      <c r="AF108" s="18">
        <f>RANK(AE108,AE$3:AE$298)</f>
        <v>136</v>
      </c>
      <c r="AG108" s="20" t="e">
        <f>#REF!-AF108</f>
        <v>#REF!</v>
      </c>
    </row>
    <row r="109" spans="1:33">
      <c r="A109" s="9" t="s">
        <v>143</v>
      </c>
      <c r="B109" s="9">
        <v>80</v>
      </c>
      <c r="C109" s="9">
        <v>60</v>
      </c>
      <c r="D109" s="9">
        <v>60</v>
      </c>
      <c r="E109" s="9">
        <v>40</v>
      </c>
      <c r="F109" s="13">
        <f t="shared" si="8"/>
        <v>60</v>
      </c>
      <c r="G109" s="14">
        <f t="shared" si="9"/>
        <v>59.1258567256821</v>
      </c>
      <c r="H109" s="9">
        <v>80</v>
      </c>
      <c r="I109" s="9">
        <v>80</v>
      </c>
      <c r="J109" s="9">
        <v>70</v>
      </c>
      <c r="K109" s="9">
        <v>100</v>
      </c>
      <c r="L109" s="9">
        <v>70</v>
      </c>
      <c r="M109" s="14">
        <f t="shared" si="10"/>
        <v>80</v>
      </c>
      <c r="N109" s="9">
        <v>70</v>
      </c>
      <c r="O109" s="9">
        <v>50</v>
      </c>
      <c r="P109" s="9">
        <v>0</v>
      </c>
      <c r="Q109" s="14">
        <f t="shared" si="11"/>
        <v>40</v>
      </c>
      <c r="R109" s="9">
        <v>88.7954340642836</v>
      </c>
      <c r="S109" s="9">
        <v>78.0047755736161</v>
      </c>
      <c r="T109" s="9">
        <v>75.9818688247602</v>
      </c>
      <c r="U109" s="9">
        <v>32.5899213009005</v>
      </c>
      <c r="V109" s="9">
        <v>30.9343626328281</v>
      </c>
      <c r="W109" s="9">
        <v>34.3503017773644</v>
      </c>
      <c r="X109" s="9">
        <v>76.300721728055</v>
      </c>
      <c r="Y109" s="19">
        <f t="shared" si="12"/>
        <v>59.5653408431154</v>
      </c>
      <c r="Z109" s="6">
        <f t="shared" si="13"/>
        <v>58.6975301417744</v>
      </c>
      <c r="AA109" s="9">
        <v>50</v>
      </c>
      <c r="AB109" s="9">
        <v>50</v>
      </c>
      <c r="AC109" s="14">
        <f t="shared" si="14"/>
        <v>50</v>
      </c>
      <c r="AD109" s="17">
        <v>0.985430945428035</v>
      </c>
      <c r="AE109" s="9">
        <f t="shared" si="15"/>
        <v>58.9344303876687</v>
      </c>
      <c r="AF109" s="18">
        <f>RANK(AE109,AE$3:AE$298)</f>
        <v>100</v>
      </c>
      <c r="AG109" s="20" t="e">
        <f>#REF!-AF109</f>
        <v>#REF!</v>
      </c>
    </row>
    <row r="110" spans="1:33">
      <c r="A110" s="9" t="s">
        <v>144</v>
      </c>
      <c r="B110" s="9">
        <v>80</v>
      </c>
      <c r="C110" s="9">
        <v>40</v>
      </c>
      <c r="D110" s="9">
        <v>40</v>
      </c>
      <c r="E110" s="9">
        <v>80</v>
      </c>
      <c r="F110" s="13">
        <f t="shared" si="8"/>
        <v>60</v>
      </c>
      <c r="G110" s="14">
        <f t="shared" si="9"/>
        <v>58.8963759587206</v>
      </c>
      <c r="H110" s="9">
        <v>40</v>
      </c>
      <c r="I110" s="9">
        <v>20</v>
      </c>
      <c r="J110" s="9">
        <v>80</v>
      </c>
      <c r="K110" s="9">
        <v>70</v>
      </c>
      <c r="L110" s="9">
        <v>30</v>
      </c>
      <c r="M110" s="14">
        <f t="shared" si="10"/>
        <v>48</v>
      </c>
      <c r="N110" s="9">
        <v>40</v>
      </c>
      <c r="O110" s="9">
        <v>50</v>
      </c>
      <c r="P110" s="9">
        <v>50</v>
      </c>
      <c r="Q110" s="14">
        <f t="shared" si="11"/>
        <v>46.6666666666667</v>
      </c>
      <c r="R110" s="9">
        <v>90.2644230769231</v>
      </c>
      <c r="S110" s="9">
        <v>94.7226869589937</v>
      </c>
      <c r="T110" s="9">
        <v>87.0772011611481</v>
      </c>
      <c r="U110" s="9">
        <v>9.09339964744522</v>
      </c>
      <c r="V110" s="9">
        <v>8.84818798145194</v>
      </c>
      <c r="W110" s="9">
        <v>48.9766953311028</v>
      </c>
      <c r="X110" s="9">
        <v>77.8777935506022</v>
      </c>
      <c r="Y110" s="19">
        <f t="shared" si="12"/>
        <v>59.5514839582382</v>
      </c>
      <c r="Z110" s="6">
        <f t="shared" si="13"/>
        <v>58.4561098017352</v>
      </c>
      <c r="AA110" s="9">
        <v>25</v>
      </c>
      <c r="AB110" s="9">
        <v>25</v>
      </c>
      <c r="AC110" s="14">
        <f t="shared" si="14"/>
        <v>25</v>
      </c>
      <c r="AD110" s="17">
        <v>0.981606265978677</v>
      </c>
      <c r="AE110" s="9">
        <f t="shared" si="15"/>
        <v>49.6661081322647</v>
      </c>
      <c r="AF110" s="18">
        <f>RANK(AE110,AE$3:AE$298)</f>
        <v>205</v>
      </c>
      <c r="AG110" s="20" t="e">
        <f>#REF!-AF110</f>
        <v>#REF!</v>
      </c>
    </row>
    <row r="111" spans="1:33">
      <c r="A111" s="9" t="s">
        <v>145</v>
      </c>
      <c r="B111" s="9">
        <v>100</v>
      </c>
      <c r="C111" s="9">
        <v>60</v>
      </c>
      <c r="D111" s="9">
        <v>40</v>
      </c>
      <c r="E111" s="9">
        <v>80</v>
      </c>
      <c r="F111" s="13">
        <f t="shared" si="8"/>
        <v>70</v>
      </c>
      <c r="G111" s="14">
        <f t="shared" si="9"/>
        <v>69.7533211509761</v>
      </c>
      <c r="H111" s="9">
        <v>40</v>
      </c>
      <c r="I111" s="9">
        <v>60</v>
      </c>
      <c r="J111" s="9">
        <v>100</v>
      </c>
      <c r="K111" s="9">
        <v>70</v>
      </c>
      <c r="L111" s="9">
        <v>30</v>
      </c>
      <c r="M111" s="14">
        <f t="shared" si="10"/>
        <v>60</v>
      </c>
      <c r="N111" s="9">
        <v>70</v>
      </c>
      <c r="O111" s="9">
        <v>75</v>
      </c>
      <c r="P111" s="9">
        <v>0</v>
      </c>
      <c r="Q111" s="14">
        <f t="shared" si="11"/>
        <v>48.3333333333333</v>
      </c>
      <c r="R111" s="9">
        <v>100</v>
      </c>
      <c r="S111" s="9">
        <v>90.3506064469191</v>
      </c>
      <c r="T111" s="9">
        <v>83.813868121034</v>
      </c>
      <c r="U111" s="9">
        <v>6.96150896957151</v>
      </c>
      <c r="V111" s="9">
        <v>16.804698104308</v>
      </c>
      <c r="W111" s="9">
        <v>41.4842641178821</v>
      </c>
      <c r="X111" s="9">
        <v>75.740014097783</v>
      </c>
      <c r="Y111" s="19">
        <f t="shared" si="12"/>
        <v>59.307851408214</v>
      </c>
      <c r="Z111" s="6">
        <f t="shared" si="13"/>
        <v>59.0988515150217</v>
      </c>
      <c r="AA111" s="9">
        <v>50</v>
      </c>
      <c r="AB111" s="9">
        <v>50</v>
      </c>
      <c r="AC111" s="14">
        <f t="shared" si="14"/>
        <v>50</v>
      </c>
      <c r="AD111" s="17">
        <v>0.996476016442516</v>
      </c>
      <c r="AE111" s="9">
        <f t="shared" si="15"/>
        <v>58.4303196847017</v>
      </c>
      <c r="AF111" s="18">
        <f>RANK(AE111,AE$3:AE$298)</f>
        <v>105</v>
      </c>
      <c r="AG111" s="20" t="e">
        <f>#REF!-AF111</f>
        <v>#REF!</v>
      </c>
    </row>
    <row r="112" spans="1:33">
      <c r="A112" s="9" t="s">
        <v>146</v>
      </c>
      <c r="B112" s="9">
        <v>80</v>
      </c>
      <c r="C112" s="9">
        <v>20</v>
      </c>
      <c r="D112" s="9">
        <v>40</v>
      </c>
      <c r="E112" s="9">
        <v>60</v>
      </c>
      <c r="F112" s="13">
        <f t="shared" si="8"/>
        <v>50</v>
      </c>
      <c r="G112" s="14">
        <f t="shared" si="9"/>
        <v>49.8618350230921</v>
      </c>
      <c r="H112" s="9">
        <v>100</v>
      </c>
      <c r="I112" s="9">
        <v>100</v>
      </c>
      <c r="J112" s="9">
        <v>100</v>
      </c>
      <c r="K112" s="9">
        <v>100</v>
      </c>
      <c r="L112" s="9">
        <v>70</v>
      </c>
      <c r="M112" s="14">
        <f t="shared" si="10"/>
        <v>94</v>
      </c>
      <c r="N112" s="9">
        <v>70</v>
      </c>
      <c r="O112" s="9">
        <v>75</v>
      </c>
      <c r="P112" s="9">
        <v>25</v>
      </c>
      <c r="Q112" s="14">
        <f t="shared" si="11"/>
        <v>56.6666666666667</v>
      </c>
      <c r="R112" s="9">
        <v>100</v>
      </c>
      <c r="S112" s="9">
        <v>82.4153766188367</v>
      </c>
      <c r="T112" s="9">
        <v>77.9398686488286</v>
      </c>
      <c r="U112" s="9">
        <v>16.6264610775727</v>
      </c>
      <c r="V112" s="9">
        <v>25.6528860857599</v>
      </c>
      <c r="W112" s="9">
        <v>32.0679600107762</v>
      </c>
      <c r="X112" s="9">
        <v>80.1431368031408</v>
      </c>
      <c r="Y112" s="19">
        <f t="shared" si="12"/>
        <v>59.2636698921307</v>
      </c>
      <c r="Z112" s="6">
        <f t="shared" si="13"/>
        <v>59.0999066204883</v>
      </c>
      <c r="AA112" s="9">
        <v>50</v>
      </c>
      <c r="AB112" s="9">
        <v>50</v>
      </c>
      <c r="AC112" s="14">
        <f t="shared" si="14"/>
        <v>50</v>
      </c>
      <c r="AD112" s="17">
        <v>0.997236700461843</v>
      </c>
      <c r="AE112" s="9">
        <f t="shared" si="15"/>
        <v>62.5023389907649</v>
      </c>
      <c r="AF112" s="18">
        <f>RANK(AE112,AE$3:AE$298)</f>
        <v>72</v>
      </c>
      <c r="AG112" s="20" t="e">
        <f>#REF!-AF112</f>
        <v>#REF!</v>
      </c>
    </row>
    <row r="113" spans="1:33">
      <c r="A113" s="9" t="s">
        <v>147</v>
      </c>
      <c r="B113" s="9">
        <v>100</v>
      </c>
      <c r="C113" s="9">
        <v>60</v>
      </c>
      <c r="D113" s="9">
        <v>60</v>
      </c>
      <c r="E113" s="9">
        <v>60</v>
      </c>
      <c r="F113" s="13">
        <f t="shared" si="8"/>
        <v>70</v>
      </c>
      <c r="G113" s="14">
        <f t="shared" si="9"/>
        <v>69.8047378277416</v>
      </c>
      <c r="H113" s="9">
        <v>60</v>
      </c>
      <c r="I113" s="9">
        <v>80</v>
      </c>
      <c r="J113" s="9">
        <v>100</v>
      </c>
      <c r="K113" s="9">
        <v>100</v>
      </c>
      <c r="L113" s="9">
        <v>70</v>
      </c>
      <c r="M113" s="14">
        <f t="shared" si="10"/>
        <v>82</v>
      </c>
      <c r="N113" s="9">
        <v>70</v>
      </c>
      <c r="O113" s="9">
        <v>75</v>
      </c>
      <c r="P113" s="9">
        <v>25</v>
      </c>
      <c r="Q113" s="14">
        <f t="shared" si="11"/>
        <v>56.6666666666667</v>
      </c>
      <c r="R113" s="9">
        <v>100</v>
      </c>
      <c r="S113" s="9">
        <v>83.6287734129367</v>
      </c>
      <c r="T113" s="9">
        <v>78.9841352216651</v>
      </c>
      <c r="U113" s="9">
        <v>24.7139283944394</v>
      </c>
      <c r="V113" s="9">
        <v>24.8983894361787</v>
      </c>
      <c r="W113" s="9">
        <v>32.9236171019273</v>
      </c>
      <c r="X113" s="9">
        <v>69.4721319714569</v>
      </c>
      <c r="Y113" s="19">
        <f t="shared" si="12"/>
        <v>59.2315679340863</v>
      </c>
      <c r="Z113" s="6">
        <f t="shared" si="13"/>
        <v>59.0663438680708</v>
      </c>
      <c r="AA113" s="9">
        <v>75</v>
      </c>
      <c r="AB113" s="9">
        <v>75</v>
      </c>
      <c r="AC113" s="14">
        <f t="shared" si="14"/>
        <v>75</v>
      </c>
      <c r="AD113" s="17">
        <v>0.997210540396308</v>
      </c>
      <c r="AE113" s="9">
        <f t="shared" si="15"/>
        <v>67.8308507259696</v>
      </c>
      <c r="AF113" s="18">
        <f>RANK(AE113,AE$3:AE$298)</f>
        <v>39</v>
      </c>
      <c r="AG113" s="20" t="e">
        <f>#REF!-AF113</f>
        <v>#REF!</v>
      </c>
    </row>
    <row r="114" spans="1:33">
      <c r="A114" s="9" t="s">
        <v>148</v>
      </c>
      <c r="B114" s="9">
        <v>100</v>
      </c>
      <c r="C114" s="9">
        <v>60</v>
      </c>
      <c r="D114" s="9">
        <v>80</v>
      </c>
      <c r="E114" s="9">
        <v>60</v>
      </c>
      <c r="F114" s="13">
        <f t="shared" si="8"/>
        <v>75</v>
      </c>
      <c r="G114" s="14">
        <f t="shared" si="9"/>
        <v>74.9992982580772</v>
      </c>
      <c r="H114" s="9">
        <v>20</v>
      </c>
      <c r="I114" s="9">
        <v>40</v>
      </c>
      <c r="J114" s="9">
        <v>70</v>
      </c>
      <c r="K114" s="9">
        <v>100</v>
      </c>
      <c r="L114" s="9">
        <v>70</v>
      </c>
      <c r="M114" s="14">
        <f t="shared" si="10"/>
        <v>60</v>
      </c>
      <c r="N114" s="9">
        <v>70</v>
      </c>
      <c r="O114" s="9">
        <v>25</v>
      </c>
      <c r="P114" s="9">
        <v>0</v>
      </c>
      <c r="Q114" s="14">
        <f t="shared" si="11"/>
        <v>31.6666666666667</v>
      </c>
      <c r="R114" s="9">
        <v>100</v>
      </c>
      <c r="S114" s="9">
        <v>90.5239488460763</v>
      </c>
      <c r="T114" s="9">
        <v>80.1589351161062</v>
      </c>
      <c r="U114" s="9">
        <v>3.06352118857991</v>
      </c>
      <c r="V114" s="9">
        <v>11.3174497437176</v>
      </c>
      <c r="W114" s="9">
        <v>46.3639257813026</v>
      </c>
      <c r="X114" s="9">
        <v>83.1365684425535</v>
      </c>
      <c r="Y114" s="19">
        <f t="shared" si="12"/>
        <v>59.2234784454766</v>
      </c>
      <c r="Z114" s="6">
        <f t="shared" si="13"/>
        <v>59.222924317508</v>
      </c>
      <c r="AA114" s="9">
        <v>75</v>
      </c>
      <c r="AB114" s="9">
        <v>25</v>
      </c>
      <c r="AC114" s="14">
        <f t="shared" si="14"/>
        <v>50</v>
      </c>
      <c r="AD114" s="17">
        <v>0.999990643441029</v>
      </c>
      <c r="AE114" s="9">
        <f t="shared" si="15"/>
        <v>57.0167369468679</v>
      </c>
      <c r="AF114" s="18">
        <f>RANK(AE114,AE$3:AE$298)</f>
        <v>117</v>
      </c>
      <c r="AG114" s="20" t="e">
        <f>#REF!-AF114</f>
        <v>#REF!</v>
      </c>
    </row>
    <row r="115" spans="1:33">
      <c r="A115" s="9" t="s">
        <v>149</v>
      </c>
      <c r="B115" s="9">
        <v>80</v>
      </c>
      <c r="C115" s="9">
        <v>40</v>
      </c>
      <c r="D115" s="9">
        <v>20</v>
      </c>
      <c r="E115" s="9">
        <v>40</v>
      </c>
      <c r="F115" s="13">
        <f t="shared" si="8"/>
        <v>45</v>
      </c>
      <c r="G115" s="14">
        <f t="shared" si="9"/>
        <v>45.111911740704</v>
      </c>
      <c r="H115" s="9">
        <v>60</v>
      </c>
      <c r="I115" s="9">
        <v>100</v>
      </c>
      <c r="J115" s="9">
        <v>100</v>
      </c>
      <c r="K115" s="9">
        <v>100</v>
      </c>
      <c r="L115" s="9">
        <v>70</v>
      </c>
      <c r="M115" s="14">
        <f t="shared" si="10"/>
        <v>86</v>
      </c>
      <c r="N115" s="9">
        <v>70</v>
      </c>
      <c r="O115" s="9">
        <v>75</v>
      </c>
      <c r="P115" s="9">
        <v>50</v>
      </c>
      <c r="Q115" s="14">
        <f t="shared" si="11"/>
        <v>65</v>
      </c>
      <c r="R115" s="9">
        <v>100</v>
      </c>
      <c r="S115" s="9">
        <v>93.9907968292191</v>
      </c>
      <c r="T115" s="9">
        <v>91.1237341308896</v>
      </c>
      <c r="U115" s="9">
        <v>7.16726785537166</v>
      </c>
      <c r="V115" s="9">
        <v>21.0573155837655</v>
      </c>
      <c r="W115" s="9">
        <v>33.9554781043397</v>
      </c>
      <c r="X115" s="9">
        <v>67.1648152466731</v>
      </c>
      <c r="Y115" s="19">
        <f t="shared" si="12"/>
        <v>59.2084868214655</v>
      </c>
      <c r="Z115" s="6">
        <f t="shared" si="13"/>
        <v>59.3557340397909</v>
      </c>
      <c r="AA115" s="9">
        <v>50</v>
      </c>
      <c r="AB115" s="9">
        <v>75</v>
      </c>
      <c r="AC115" s="14">
        <f t="shared" si="14"/>
        <v>62.5</v>
      </c>
      <c r="AD115" s="17">
        <v>1.0024869275712</v>
      </c>
      <c r="AE115" s="9">
        <f t="shared" si="15"/>
        <v>63.1541025600781</v>
      </c>
      <c r="AF115" s="18">
        <f>RANK(AE115,AE$3:AE$298)</f>
        <v>68</v>
      </c>
      <c r="AG115" s="20" t="e">
        <f>#REF!-AF115</f>
        <v>#REF!</v>
      </c>
    </row>
    <row r="116" spans="1:33">
      <c r="A116" s="9" t="s">
        <v>150</v>
      </c>
      <c r="B116" s="9">
        <v>80</v>
      </c>
      <c r="C116" s="9">
        <v>60</v>
      </c>
      <c r="D116" s="9">
        <v>60</v>
      </c>
      <c r="E116" s="9">
        <v>60</v>
      </c>
      <c r="F116" s="13">
        <f t="shared" si="8"/>
        <v>65</v>
      </c>
      <c r="G116" s="14">
        <f t="shared" si="9"/>
        <v>65.23140035269</v>
      </c>
      <c r="H116" s="9">
        <v>40</v>
      </c>
      <c r="I116" s="9">
        <v>40</v>
      </c>
      <c r="J116" s="9">
        <v>40</v>
      </c>
      <c r="K116" s="9">
        <v>70</v>
      </c>
      <c r="L116" s="9">
        <v>70</v>
      </c>
      <c r="M116" s="14">
        <f t="shared" si="10"/>
        <v>52</v>
      </c>
      <c r="N116" s="9">
        <v>70</v>
      </c>
      <c r="O116" s="9">
        <v>75</v>
      </c>
      <c r="P116" s="9">
        <v>0</v>
      </c>
      <c r="Q116" s="14">
        <f t="shared" si="11"/>
        <v>48.3333333333333</v>
      </c>
      <c r="R116" s="9">
        <v>100</v>
      </c>
      <c r="S116" s="9">
        <v>93.5092901648937</v>
      </c>
      <c r="T116" s="9">
        <v>90.6016008444714</v>
      </c>
      <c r="U116" s="9">
        <v>12.5855851814421</v>
      </c>
      <c r="V116" s="9">
        <v>21.7432216288393</v>
      </c>
      <c r="W116" s="9">
        <v>34.0667898533761</v>
      </c>
      <c r="X116" s="9">
        <v>61.2123510750485</v>
      </c>
      <c r="Y116" s="19">
        <f t="shared" si="12"/>
        <v>59.1026912497245</v>
      </c>
      <c r="Z116" s="6">
        <f t="shared" si="13"/>
        <v>59.3130971512647</v>
      </c>
      <c r="AA116" s="9">
        <v>75</v>
      </c>
      <c r="AB116" s="9">
        <v>25</v>
      </c>
      <c r="AC116" s="14">
        <f t="shared" si="14"/>
        <v>50</v>
      </c>
      <c r="AD116" s="17">
        <v>1.003560005426</v>
      </c>
      <c r="AE116" s="9">
        <f t="shared" si="15"/>
        <v>55.9902092159174</v>
      </c>
      <c r="AF116" s="18">
        <f>RANK(AE116,AE$3:AE$298)</f>
        <v>125</v>
      </c>
      <c r="AG116" s="20" t="e">
        <f>#REF!-AF116</f>
        <v>#REF!</v>
      </c>
    </row>
    <row r="117" spans="1:33">
      <c r="A117" s="9" t="s">
        <v>151</v>
      </c>
      <c r="B117" s="9">
        <v>100</v>
      </c>
      <c r="C117" s="9">
        <v>60</v>
      </c>
      <c r="D117" s="9">
        <v>20</v>
      </c>
      <c r="E117" s="9">
        <v>40</v>
      </c>
      <c r="F117" s="13">
        <f t="shared" si="8"/>
        <v>55</v>
      </c>
      <c r="G117" s="14">
        <f t="shared" si="9"/>
        <v>58.0561820063005</v>
      </c>
      <c r="H117" s="9">
        <v>20</v>
      </c>
      <c r="I117" s="9">
        <v>40</v>
      </c>
      <c r="J117" s="9">
        <v>40</v>
      </c>
      <c r="K117" s="9">
        <v>100</v>
      </c>
      <c r="L117" s="9">
        <v>70</v>
      </c>
      <c r="M117" s="14">
        <f t="shared" si="10"/>
        <v>54</v>
      </c>
      <c r="N117" s="9">
        <v>30</v>
      </c>
      <c r="O117" s="9">
        <v>50</v>
      </c>
      <c r="P117" s="9">
        <v>0</v>
      </c>
      <c r="Q117" s="14">
        <f t="shared" si="11"/>
        <v>26.6666666666667</v>
      </c>
      <c r="R117" s="9">
        <v>100</v>
      </c>
      <c r="S117" s="9">
        <v>91.8529072396144</v>
      </c>
      <c r="T117" s="9">
        <v>90.7321341660759</v>
      </c>
      <c r="U117" s="9">
        <v>15.0432607618327</v>
      </c>
      <c r="V117" s="9">
        <v>29.9055035652174</v>
      </c>
      <c r="W117" s="9">
        <v>20.4661972893095</v>
      </c>
      <c r="X117" s="9">
        <v>64.8135692792901</v>
      </c>
      <c r="Y117" s="19">
        <f t="shared" si="12"/>
        <v>58.97336747162</v>
      </c>
      <c r="Z117" s="6">
        <f t="shared" si="13"/>
        <v>62.250337371942</v>
      </c>
      <c r="AA117" s="9">
        <v>25</v>
      </c>
      <c r="AB117" s="9">
        <v>25</v>
      </c>
      <c r="AC117" s="14">
        <f t="shared" si="14"/>
        <v>25</v>
      </c>
      <c r="AD117" s="17">
        <v>1.0555669455691</v>
      </c>
      <c r="AE117" s="9">
        <f t="shared" si="15"/>
        <v>48.8363376128427</v>
      </c>
      <c r="AF117" s="18">
        <f>RANK(AE117,AE$3:AE$298)</f>
        <v>210</v>
      </c>
      <c r="AG117" s="20" t="e">
        <f>#REF!-AF117</f>
        <v>#REF!</v>
      </c>
    </row>
    <row r="118" spans="1:33">
      <c r="A118" s="9" t="s">
        <v>152</v>
      </c>
      <c r="B118" s="9">
        <v>100</v>
      </c>
      <c r="C118" s="9">
        <v>40</v>
      </c>
      <c r="D118" s="9">
        <v>60</v>
      </c>
      <c r="E118" s="9">
        <v>60</v>
      </c>
      <c r="F118" s="13">
        <f t="shared" si="8"/>
        <v>65</v>
      </c>
      <c r="G118" s="14">
        <f t="shared" si="9"/>
        <v>63.2877200358346</v>
      </c>
      <c r="H118" s="9">
        <v>80</v>
      </c>
      <c r="I118" s="9">
        <v>80</v>
      </c>
      <c r="J118" s="9">
        <v>70</v>
      </c>
      <c r="K118" s="9">
        <v>70</v>
      </c>
      <c r="L118" s="9">
        <v>70</v>
      </c>
      <c r="M118" s="14">
        <f t="shared" si="10"/>
        <v>74</v>
      </c>
      <c r="N118" s="9">
        <v>70</v>
      </c>
      <c r="O118" s="9">
        <v>75</v>
      </c>
      <c r="P118" s="9">
        <v>0</v>
      </c>
      <c r="Q118" s="14">
        <f t="shared" si="11"/>
        <v>48.3333333333333</v>
      </c>
      <c r="R118" s="9">
        <v>87.8130217028381</v>
      </c>
      <c r="S118" s="9">
        <v>91.9492085724794</v>
      </c>
      <c r="T118" s="9">
        <v>83.9444014426386</v>
      </c>
      <c r="U118" s="9">
        <v>2.03472675957919</v>
      </c>
      <c r="V118" s="9">
        <v>12.6206712293578</v>
      </c>
      <c r="W118" s="9">
        <v>93.2788880177617</v>
      </c>
      <c r="X118" s="9">
        <v>41.0762039089497</v>
      </c>
      <c r="Y118" s="19">
        <f t="shared" si="12"/>
        <v>58.9595888048006</v>
      </c>
      <c r="Z118" s="6">
        <f t="shared" si="13"/>
        <v>57.4064299954792</v>
      </c>
      <c r="AA118" s="9">
        <v>25</v>
      </c>
      <c r="AB118" s="9">
        <v>75</v>
      </c>
      <c r="AC118" s="14">
        <f t="shared" si="14"/>
        <v>50</v>
      </c>
      <c r="AD118" s="17">
        <v>0.973657231320532</v>
      </c>
      <c r="AE118" s="9">
        <f t="shared" si="15"/>
        <v>59.4294730058107</v>
      </c>
      <c r="AF118" s="18">
        <f>RANK(AE118,AE$3:AE$298)</f>
        <v>98</v>
      </c>
      <c r="AG118" s="20" t="e">
        <f>#REF!-AF118</f>
        <v>#REF!</v>
      </c>
    </row>
    <row r="119" spans="1:33">
      <c r="A119" s="9" t="s">
        <v>153</v>
      </c>
      <c r="B119" s="9">
        <v>40</v>
      </c>
      <c r="C119" s="9">
        <v>60</v>
      </c>
      <c r="D119" s="9">
        <v>40</v>
      </c>
      <c r="E119" s="9">
        <v>40</v>
      </c>
      <c r="F119" s="13">
        <f t="shared" si="8"/>
        <v>45</v>
      </c>
      <c r="G119" s="14">
        <f t="shared" si="9"/>
        <v>47.9043358540983</v>
      </c>
      <c r="H119" s="9">
        <v>60</v>
      </c>
      <c r="I119" s="9">
        <v>40</v>
      </c>
      <c r="J119" s="9">
        <v>70</v>
      </c>
      <c r="K119" s="9">
        <v>70</v>
      </c>
      <c r="L119" s="9">
        <v>30</v>
      </c>
      <c r="M119" s="14">
        <f t="shared" si="10"/>
        <v>54</v>
      </c>
      <c r="N119" s="9">
        <v>70</v>
      </c>
      <c r="O119" s="9">
        <v>25</v>
      </c>
      <c r="P119" s="9">
        <v>0</v>
      </c>
      <c r="Q119" s="14">
        <f t="shared" si="11"/>
        <v>31.6666666666667</v>
      </c>
      <c r="R119" s="9">
        <v>100</v>
      </c>
      <c r="S119" s="9">
        <v>76.8298993126622</v>
      </c>
      <c r="T119" s="9">
        <v>81.0726683673382</v>
      </c>
      <c r="U119" s="9">
        <v>12.1797829344474</v>
      </c>
      <c r="V119" s="9">
        <v>44.7210741388114</v>
      </c>
      <c r="W119" s="9">
        <v>18.8285631157182</v>
      </c>
      <c r="X119" s="9">
        <v>78.9195381576228</v>
      </c>
      <c r="Y119" s="19">
        <f t="shared" si="12"/>
        <v>58.9359322895143</v>
      </c>
      <c r="Z119" s="6">
        <f t="shared" si="13"/>
        <v>62.7397043171398</v>
      </c>
      <c r="AA119" s="9">
        <v>25</v>
      </c>
      <c r="AB119" s="9">
        <v>25</v>
      </c>
      <c r="AC119" s="14">
        <f t="shared" si="14"/>
        <v>25</v>
      </c>
      <c r="AD119" s="17">
        <v>1.06454079675774</v>
      </c>
      <c r="AE119" s="9">
        <f t="shared" si="15"/>
        <v>47.7027784659616</v>
      </c>
      <c r="AF119" s="18">
        <f>RANK(AE119,AE$3:AE$298)</f>
        <v>219</v>
      </c>
      <c r="AG119" s="20" t="e">
        <f>#REF!-AF119</f>
        <v>#REF!</v>
      </c>
    </row>
    <row r="120" spans="1:33">
      <c r="A120" s="9" t="s">
        <v>154</v>
      </c>
      <c r="B120" s="9">
        <v>60</v>
      </c>
      <c r="C120" s="9">
        <v>20</v>
      </c>
      <c r="D120" s="9">
        <v>20</v>
      </c>
      <c r="E120" s="9">
        <v>60</v>
      </c>
      <c r="F120" s="13">
        <f t="shared" si="8"/>
        <v>40</v>
      </c>
      <c r="G120" s="14">
        <f t="shared" si="9"/>
        <v>37.5769750419923</v>
      </c>
      <c r="H120" s="9">
        <v>40</v>
      </c>
      <c r="I120" s="9">
        <v>20</v>
      </c>
      <c r="J120" s="9">
        <v>40</v>
      </c>
      <c r="K120" s="9">
        <v>40</v>
      </c>
      <c r="L120" s="9">
        <v>30</v>
      </c>
      <c r="M120" s="14">
        <f t="shared" si="10"/>
        <v>34</v>
      </c>
      <c r="N120" s="9">
        <v>70</v>
      </c>
      <c r="O120" s="9">
        <v>75</v>
      </c>
      <c r="P120" s="9">
        <v>0</v>
      </c>
      <c r="Q120" s="14">
        <f t="shared" si="11"/>
        <v>48.3333333333333</v>
      </c>
      <c r="R120" s="9">
        <v>100</v>
      </c>
      <c r="S120" s="9">
        <v>89.9268805823128</v>
      </c>
      <c r="T120" s="9">
        <v>76.7650687543875</v>
      </c>
      <c r="U120" s="9">
        <v>1.04022547821184</v>
      </c>
      <c r="V120" s="9">
        <v>9.19114100398884</v>
      </c>
      <c r="W120" s="9">
        <v>80.8148961377459</v>
      </c>
      <c r="X120" s="9">
        <v>54.4892448227585</v>
      </c>
      <c r="Y120" s="19">
        <f t="shared" si="12"/>
        <v>58.8896366827722</v>
      </c>
      <c r="Z120" s="6">
        <f t="shared" si="13"/>
        <v>55.3223601965131</v>
      </c>
      <c r="AA120" s="9">
        <v>50</v>
      </c>
      <c r="AB120" s="9">
        <v>25</v>
      </c>
      <c r="AC120" s="14">
        <f t="shared" si="14"/>
        <v>37.5</v>
      </c>
      <c r="AD120" s="17">
        <v>0.939424376049807</v>
      </c>
      <c r="AE120" s="9">
        <f t="shared" si="15"/>
        <v>43.7871030673524</v>
      </c>
      <c r="AF120" s="18">
        <f>RANK(AE120,AE$3:AE$298)</f>
        <v>252</v>
      </c>
      <c r="AG120" s="20" t="e">
        <f>#REF!-AF120</f>
        <v>#REF!</v>
      </c>
    </row>
    <row r="121" spans="1:33">
      <c r="A121" s="9" t="s">
        <v>155</v>
      </c>
      <c r="B121" s="9">
        <v>100</v>
      </c>
      <c r="C121" s="9">
        <v>60</v>
      </c>
      <c r="D121" s="9">
        <v>60</v>
      </c>
      <c r="E121" s="9">
        <v>60</v>
      </c>
      <c r="F121" s="13">
        <f t="shared" si="8"/>
        <v>70</v>
      </c>
      <c r="G121" s="14">
        <f t="shared" si="9"/>
        <v>69.0353020380671</v>
      </c>
      <c r="H121" s="9">
        <v>20</v>
      </c>
      <c r="I121" s="9">
        <v>20</v>
      </c>
      <c r="J121" s="9">
        <v>40</v>
      </c>
      <c r="K121" s="9">
        <v>60</v>
      </c>
      <c r="L121" s="9">
        <v>70</v>
      </c>
      <c r="M121" s="14">
        <f t="shared" si="10"/>
        <v>42</v>
      </c>
      <c r="N121" s="9">
        <v>20</v>
      </c>
      <c r="O121" s="9">
        <v>25</v>
      </c>
      <c r="P121" s="9">
        <v>0</v>
      </c>
      <c r="Q121" s="14">
        <f t="shared" si="11"/>
        <v>15</v>
      </c>
      <c r="R121" s="9">
        <v>89.6051571313457</v>
      </c>
      <c r="S121" s="9">
        <v>86.3252107331589</v>
      </c>
      <c r="T121" s="9">
        <v>81.3337350105473</v>
      </c>
      <c r="U121" s="9">
        <v>20.1758018576252</v>
      </c>
      <c r="V121" s="9">
        <v>22.77208069645</v>
      </c>
      <c r="W121" s="9">
        <v>33.2503147686172</v>
      </c>
      <c r="X121" s="9">
        <v>78.3233897073322</v>
      </c>
      <c r="Y121" s="19">
        <f t="shared" si="12"/>
        <v>58.8265271292966</v>
      </c>
      <c r="Z121" s="6">
        <f t="shared" si="13"/>
        <v>58.0158152603077</v>
      </c>
      <c r="AA121" s="9">
        <v>25</v>
      </c>
      <c r="AB121" s="9">
        <v>25</v>
      </c>
      <c r="AC121" s="14">
        <f t="shared" si="14"/>
        <v>25</v>
      </c>
      <c r="AD121" s="17">
        <v>0.986218600543815</v>
      </c>
      <c r="AE121" s="9">
        <f t="shared" si="15"/>
        <v>45.6118049857057</v>
      </c>
      <c r="AF121" s="18">
        <f>RANK(AE121,AE$3:AE$298)</f>
        <v>237</v>
      </c>
      <c r="AG121" s="20" t="e">
        <f>#REF!-AF121</f>
        <v>#REF!</v>
      </c>
    </row>
    <row r="122" spans="1:33">
      <c r="A122" s="9" t="s">
        <v>156</v>
      </c>
      <c r="B122" s="9">
        <v>80</v>
      </c>
      <c r="C122" s="9">
        <v>20</v>
      </c>
      <c r="D122" s="9">
        <v>20</v>
      </c>
      <c r="E122" s="9">
        <v>60</v>
      </c>
      <c r="F122" s="13">
        <f t="shared" si="8"/>
        <v>45</v>
      </c>
      <c r="G122" s="14">
        <f t="shared" si="9"/>
        <v>46.3614150352766</v>
      </c>
      <c r="H122" s="9">
        <v>80</v>
      </c>
      <c r="I122" s="9">
        <v>60</v>
      </c>
      <c r="J122" s="9">
        <v>70</v>
      </c>
      <c r="K122" s="9">
        <v>100</v>
      </c>
      <c r="L122" s="9">
        <v>30</v>
      </c>
      <c r="M122" s="14">
        <f t="shared" si="10"/>
        <v>68</v>
      </c>
      <c r="N122" s="9">
        <v>70</v>
      </c>
      <c r="O122" s="9">
        <v>75</v>
      </c>
      <c r="P122" s="9">
        <v>0</v>
      </c>
      <c r="Q122" s="14">
        <f t="shared" si="11"/>
        <v>48.3333333333333</v>
      </c>
      <c r="R122" s="9">
        <v>93.5294117647059</v>
      </c>
      <c r="S122" s="9">
        <v>95.6857002876445</v>
      </c>
      <c r="T122" s="9">
        <v>94.2565338493992</v>
      </c>
      <c r="U122" s="9">
        <v>5.29829130935369</v>
      </c>
      <c r="V122" s="9">
        <v>24.761208227164</v>
      </c>
      <c r="W122" s="9">
        <v>27.2491708025385</v>
      </c>
      <c r="X122" s="9">
        <v>70.9925301837124</v>
      </c>
      <c r="Y122" s="19">
        <f t="shared" si="12"/>
        <v>58.8246923463597</v>
      </c>
      <c r="Z122" s="6">
        <f t="shared" si="13"/>
        <v>60.6043550264898</v>
      </c>
      <c r="AA122" s="9">
        <v>25</v>
      </c>
      <c r="AB122" s="9">
        <v>25</v>
      </c>
      <c r="AC122" s="14">
        <f t="shared" si="14"/>
        <v>25</v>
      </c>
      <c r="AD122" s="17">
        <v>1.03025366745059</v>
      </c>
      <c r="AE122" s="9">
        <f t="shared" si="15"/>
        <v>52.0535895150022</v>
      </c>
      <c r="AF122" s="18">
        <f>RANK(AE122,AE$3:AE$298)</f>
        <v>169</v>
      </c>
      <c r="AG122" s="20" t="e">
        <f>#REF!-AF122</f>
        <v>#REF!</v>
      </c>
    </row>
    <row r="123" spans="1:33">
      <c r="A123" s="9" t="s">
        <v>157</v>
      </c>
      <c r="B123" s="9">
        <v>100</v>
      </c>
      <c r="C123" s="9">
        <v>60</v>
      </c>
      <c r="D123" s="9">
        <v>40</v>
      </c>
      <c r="E123" s="9">
        <v>60</v>
      </c>
      <c r="F123" s="13">
        <f t="shared" si="8"/>
        <v>65</v>
      </c>
      <c r="G123" s="14">
        <f t="shared" si="9"/>
        <v>65.3133734055082</v>
      </c>
      <c r="H123" s="9">
        <v>20</v>
      </c>
      <c r="I123" s="9">
        <v>40</v>
      </c>
      <c r="J123" s="9">
        <v>20</v>
      </c>
      <c r="K123" s="9">
        <v>70</v>
      </c>
      <c r="L123" s="9">
        <v>30</v>
      </c>
      <c r="M123" s="14">
        <f t="shared" si="10"/>
        <v>36</v>
      </c>
      <c r="N123" s="9">
        <v>70</v>
      </c>
      <c r="O123" s="9">
        <v>50</v>
      </c>
      <c r="P123" s="9">
        <v>0</v>
      </c>
      <c r="Q123" s="14">
        <f t="shared" si="11"/>
        <v>40</v>
      </c>
      <c r="R123" s="9">
        <v>82.4264409512293</v>
      </c>
      <c r="S123" s="9">
        <v>75.8091051842923</v>
      </c>
      <c r="T123" s="9">
        <v>82.1169349401747</v>
      </c>
      <c r="U123" s="9">
        <v>10.7909104552964</v>
      </c>
      <c r="V123" s="9">
        <v>50.7570473354608</v>
      </c>
      <c r="W123" s="9">
        <v>29.1170176186588</v>
      </c>
      <c r="X123" s="9">
        <v>79.8942672614859</v>
      </c>
      <c r="Y123" s="19">
        <f t="shared" si="12"/>
        <v>58.7016748209426</v>
      </c>
      <c r="Z123" s="6">
        <f t="shared" si="13"/>
        <v>58.9846831862914</v>
      </c>
      <c r="AA123" s="9">
        <v>25</v>
      </c>
      <c r="AB123" s="9">
        <v>25</v>
      </c>
      <c r="AC123" s="14">
        <f t="shared" si="14"/>
        <v>25</v>
      </c>
      <c r="AD123" s="17">
        <v>1.00482112931551</v>
      </c>
      <c r="AE123" s="9">
        <f t="shared" si="15"/>
        <v>47.708079636989</v>
      </c>
      <c r="AF123" s="18">
        <f>RANK(AE123,AE$3:AE$298)</f>
        <v>218</v>
      </c>
      <c r="AG123" s="20" t="e">
        <f>#REF!-AF123</f>
        <v>#REF!</v>
      </c>
    </row>
    <row r="124" spans="1:33">
      <c r="A124" s="9" t="s">
        <v>158</v>
      </c>
      <c r="B124" s="9">
        <v>80</v>
      </c>
      <c r="C124" s="9">
        <v>60</v>
      </c>
      <c r="D124" s="9">
        <v>40</v>
      </c>
      <c r="E124" s="9">
        <v>60</v>
      </c>
      <c r="F124" s="13">
        <f t="shared" si="8"/>
        <v>60</v>
      </c>
      <c r="G124" s="14">
        <f t="shared" si="9"/>
        <v>58.8599307368418</v>
      </c>
      <c r="H124" s="9">
        <v>100</v>
      </c>
      <c r="I124" s="9">
        <v>80</v>
      </c>
      <c r="J124" s="9">
        <v>100</v>
      </c>
      <c r="K124" s="9">
        <v>100</v>
      </c>
      <c r="L124" s="9">
        <v>70</v>
      </c>
      <c r="M124" s="14">
        <f t="shared" si="10"/>
        <v>90</v>
      </c>
      <c r="N124" s="9">
        <v>70</v>
      </c>
      <c r="O124" s="9">
        <v>75</v>
      </c>
      <c r="P124" s="9">
        <v>25</v>
      </c>
      <c r="Q124" s="14">
        <f t="shared" si="11"/>
        <v>56.6666666666667</v>
      </c>
      <c r="R124" s="9">
        <v>81.7438692098093</v>
      </c>
      <c r="S124" s="9">
        <v>92.1803317713556</v>
      </c>
      <c r="T124" s="9">
        <v>86.1634679099162</v>
      </c>
      <c r="U124" s="9">
        <v>21.4675104184816</v>
      </c>
      <c r="V124" s="9">
        <v>15.7072484321899</v>
      </c>
      <c r="W124" s="9">
        <v>45.296041211467</v>
      </c>
      <c r="X124" s="9">
        <v>68.2777974174234</v>
      </c>
      <c r="Y124" s="19">
        <f t="shared" si="12"/>
        <v>58.6908951958061</v>
      </c>
      <c r="Z124" s="6">
        <f t="shared" si="13"/>
        <v>57.5757004351399</v>
      </c>
      <c r="AA124" s="9">
        <v>75</v>
      </c>
      <c r="AB124" s="9">
        <v>75</v>
      </c>
      <c r="AC124" s="14">
        <f t="shared" si="14"/>
        <v>75</v>
      </c>
      <c r="AD124" s="17">
        <v>0.98099884561403</v>
      </c>
      <c r="AE124" s="9">
        <f t="shared" si="15"/>
        <v>66.7946962779103</v>
      </c>
      <c r="AF124" s="18">
        <f>RANK(AE124,AE$3:AE$298)</f>
        <v>45</v>
      </c>
      <c r="AG124" s="20" t="e">
        <f>#REF!-AF124</f>
        <v>#REF!</v>
      </c>
    </row>
    <row r="125" spans="1:33">
      <c r="A125" s="9" t="s">
        <v>159</v>
      </c>
      <c r="B125" s="9">
        <v>100</v>
      </c>
      <c r="C125" s="9">
        <v>60</v>
      </c>
      <c r="D125" s="9">
        <v>40</v>
      </c>
      <c r="E125" s="9">
        <v>60</v>
      </c>
      <c r="F125" s="13">
        <f t="shared" si="8"/>
        <v>65</v>
      </c>
      <c r="G125" s="14">
        <f t="shared" si="9"/>
        <v>65.2636228570976</v>
      </c>
      <c r="H125" s="9">
        <v>20</v>
      </c>
      <c r="I125" s="9">
        <v>40</v>
      </c>
      <c r="J125" s="9">
        <v>70</v>
      </c>
      <c r="K125" s="9">
        <v>70</v>
      </c>
      <c r="L125" s="9">
        <v>30</v>
      </c>
      <c r="M125" s="14">
        <f t="shared" si="10"/>
        <v>46</v>
      </c>
      <c r="N125" s="9">
        <v>40</v>
      </c>
      <c r="O125" s="9">
        <v>75</v>
      </c>
      <c r="P125" s="9">
        <v>0</v>
      </c>
      <c r="Q125" s="14">
        <f t="shared" si="11"/>
        <v>38.3333333333333</v>
      </c>
      <c r="R125" s="9">
        <v>100</v>
      </c>
      <c r="S125" s="9">
        <v>85.0155126061938</v>
      </c>
      <c r="T125" s="9">
        <v>78.9841352216651</v>
      </c>
      <c r="U125" s="9">
        <v>13.0656892483091</v>
      </c>
      <c r="V125" s="9">
        <v>21.7432216288393</v>
      </c>
      <c r="W125" s="9">
        <v>28.4221919332032</v>
      </c>
      <c r="X125" s="9">
        <v>83.283163621141</v>
      </c>
      <c r="Y125" s="19">
        <f t="shared" si="12"/>
        <v>58.6448448941931</v>
      </c>
      <c r="Z125" s="6">
        <f t="shared" si="13"/>
        <v>58.8826929182708</v>
      </c>
      <c r="AA125" s="9">
        <v>25</v>
      </c>
      <c r="AB125" s="9">
        <v>25</v>
      </c>
      <c r="AC125" s="14">
        <f t="shared" si="14"/>
        <v>25</v>
      </c>
      <c r="AD125" s="17">
        <v>1.00405573626304</v>
      </c>
      <c r="AE125" s="9">
        <f t="shared" si="15"/>
        <v>49.4175324469008</v>
      </c>
      <c r="AF125" s="18">
        <f>RANK(AE125,AE$3:AE$298)</f>
        <v>206</v>
      </c>
      <c r="AG125" s="20" t="e">
        <f>#REF!-AF125</f>
        <v>#REF!</v>
      </c>
    </row>
    <row r="126" spans="1:33">
      <c r="A126" s="9" t="s">
        <v>160</v>
      </c>
      <c r="B126" s="9">
        <v>80</v>
      </c>
      <c r="C126" s="9">
        <v>60</v>
      </c>
      <c r="D126" s="9">
        <v>20</v>
      </c>
      <c r="E126" s="9">
        <v>60</v>
      </c>
      <c r="F126" s="13">
        <f t="shared" si="8"/>
        <v>55</v>
      </c>
      <c r="G126" s="14">
        <f t="shared" si="9"/>
        <v>55.7909497033388</v>
      </c>
      <c r="H126" s="9">
        <v>100</v>
      </c>
      <c r="I126" s="9">
        <v>100</v>
      </c>
      <c r="J126" s="9">
        <v>100</v>
      </c>
      <c r="K126" s="9">
        <v>100</v>
      </c>
      <c r="L126" s="9">
        <v>70</v>
      </c>
      <c r="M126" s="14">
        <f t="shared" si="10"/>
        <v>94</v>
      </c>
      <c r="N126" s="9">
        <v>70</v>
      </c>
      <c r="O126" s="9">
        <v>75</v>
      </c>
      <c r="P126" s="9">
        <v>25</v>
      </c>
      <c r="Q126" s="14">
        <f t="shared" si="11"/>
        <v>56.6666666666667</v>
      </c>
      <c r="R126" s="9">
        <v>100</v>
      </c>
      <c r="S126" s="9">
        <v>97.3420832129238</v>
      </c>
      <c r="T126" s="9">
        <v>95.3008004222357</v>
      </c>
      <c r="U126" s="9">
        <v>5.25256711250921</v>
      </c>
      <c r="V126" s="9">
        <v>17.9707383809334</v>
      </c>
      <c r="W126" s="9">
        <v>30.5800927938454</v>
      </c>
      <c r="X126" s="9">
        <v>63.57425179848</v>
      </c>
      <c r="Y126" s="19">
        <f t="shared" si="12"/>
        <v>58.5743619601325</v>
      </c>
      <c r="Z126" s="6">
        <f t="shared" si="13"/>
        <v>59.4167142185985</v>
      </c>
      <c r="AA126" s="9">
        <v>75</v>
      </c>
      <c r="AB126" s="9">
        <v>100</v>
      </c>
      <c r="AC126" s="14">
        <f t="shared" si="14"/>
        <v>87.5</v>
      </c>
      <c r="AD126" s="17">
        <v>1.01438090369707</v>
      </c>
      <c r="AE126" s="9">
        <f t="shared" si="15"/>
        <v>69.4082042062473</v>
      </c>
      <c r="AF126" s="18">
        <f>RANK(AE126,AE$3:AE$298)</f>
        <v>26</v>
      </c>
      <c r="AG126" s="20" t="e">
        <f>#REF!-AF126</f>
        <v>#REF!</v>
      </c>
    </row>
    <row r="127" spans="1:33">
      <c r="A127" s="9" t="s">
        <v>161</v>
      </c>
      <c r="B127" s="9">
        <v>100</v>
      </c>
      <c r="C127" s="9">
        <v>60</v>
      </c>
      <c r="D127" s="9">
        <v>40</v>
      </c>
      <c r="E127" s="9">
        <v>60</v>
      </c>
      <c r="F127" s="13">
        <f t="shared" si="8"/>
        <v>65</v>
      </c>
      <c r="G127" s="14">
        <f t="shared" si="9"/>
        <v>64.7901516432825</v>
      </c>
      <c r="H127" s="9">
        <v>80</v>
      </c>
      <c r="I127" s="9">
        <v>80</v>
      </c>
      <c r="J127" s="9">
        <v>70</v>
      </c>
      <c r="K127" s="9">
        <v>100</v>
      </c>
      <c r="L127" s="9">
        <v>70</v>
      </c>
      <c r="M127" s="14">
        <f t="shared" si="10"/>
        <v>80</v>
      </c>
      <c r="N127" s="9">
        <v>70</v>
      </c>
      <c r="O127" s="9">
        <v>100</v>
      </c>
      <c r="P127" s="9">
        <v>25</v>
      </c>
      <c r="Q127" s="14">
        <f t="shared" si="11"/>
        <v>65</v>
      </c>
      <c r="R127" s="9">
        <v>60.3581142339075</v>
      </c>
      <c r="S127" s="9">
        <v>68.2398204210972</v>
      </c>
      <c r="T127" s="9">
        <v>79.2452018648743</v>
      </c>
      <c r="U127" s="9">
        <v>20.4787246617198</v>
      </c>
      <c r="V127" s="9">
        <v>58.6449668538094</v>
      </c>
      <c r="W127" s="9">
        <v>27.4733356677236</v>
      </c>
      <c r="X127" s="9">
        <v>95.4541251583325</v>
      </c>
      <c r="Y127" s="19">
        <f t="shared" si="12"/>
        <v>58.5563269802092</v>
      </c>
      <c r="Z127" s="6">
        <f t="shared" si="13"/>
        <v>58.3672816110982</v>
      </c>
      <c r="AA127" s="9">
        <v>75</v>
      </c>
      <c r="AB127" s="9">
        <v>50</v>
      </c>
      <c r="AC127" s="14">
        <f t="shared" si="14"/>
        <v>62.5</v>
      </c>
      <c r="AD127" s="17">
        <v>0.996771563742807</v>
      </c>
      <c r="AE127" s="9">
        <f t="shared" si="15"/>
        <v>65.593214811986</v>
      </c>
      <c r="AF127" s="18">
        <f>RANK(AE127,AE$3:AE$298)</f>
        <v>49</v>
      </c>
      <c r="AG127" s="20" t="e">
        <f>#REF!-AF127</f>
        <v>#REF!</v>
      </c>
    </row>
    <row r="128" spans="1:33">
      <c r="A128" s="9" t="s">
        <v>162</v>
      </c>
      <c r="B128" s="9">
        <v>100</v>
      </c>
      <c r="C128" s="9">
        <v>40</v>
      </c>
      <c r="D128" s="9">
        <v>60</v>
      </c>
      <c r="E128" s="9">
        <v>60</v>
      </c>
      <c r="F128" s="13">
        <f t="shared" si="8"/>
        <v>65</v>
      </c>
      <c r="G128" s="14">
        <f t="shared" si="9"/>
        <v>66.8404806173696</v>
      </c>
      <c r="H128" s="9">
        <v>20</v>
      </c>
      <c r="I128" s="9">
        <v>20</v>
      </c>
      <c r="J128" s="9">
        <v>40</v>
      </c>
      <c r="K128" s="9">
        <v>20</v>
      </c>
      <c r="L128" s="9">
        <v>30</v>
      </c>
      <c r="M128" s="14">
        <f t="shared" si="10"/>
        <v>26</v>
      </c>
      <c r="N128" s="9">
        <v>70</v>
      </c>
      <c r="O128" s="9">
        <v>25</v>
      </c>
      <c r="P128" s="9">
        <v>0</v>
      </c>
      <c r="Q128" s="14">
        <f t="shared" si="11"/>
        <v>31.6666666666667</v>
      </c>
      <c r="R128" s="9">
        <v>100</v>
      </c>
      <c r="S128" s="9">
        <v>93.9715365626461</v>
      </c>
      <c r="T128" s="9">
        <v>89.2962676284257</v>
      </c>
      <c r="U128" s="9">
        <v>15.3690456643496</v>
      </c>
      <c r="V128" s="9">
        <v>15.9816108502194</v>
      </c>
      <c r="W128" s="9">
        <v>30.0062806228217</v>
      </c>
      <c r="X128" s="9">
        <v>64.9968658613802</v>
      </c>
      <c r="Y128" s="19">
        <f t="shared" si="12"/>
        <v>58.5173724556918</v>
      </c>
      <c r="Z128" s="6">
        <f t="shared" si="13"/>
        <v>60.1742969139087</v>
      </c>
      <c r="AA128" s="9">
        <v>50</v>
      </c>
      <c r="AB128" s="9">
        <v>25</v>
      </c>
      <c r="AC128" s="14">
        <f t="shared" si="14"/>
        <v>37.5</v>
      </c>
      <c r="AD128" s="17">
        <v>1.02831508642107</v>
      </c>
      <c r="AE128" s="9">
        <f t="shared" si="15"/>
        <v>46.9953851976465</v>
      </c>
      <c r="AF128" s="18">
        <f>RANK(AE128,AE$3:AE$298)</f>
        <v>226</v>
      </c>
      <c r="AG128" s="20" t="e">
        <f>#REF!-AF128</f>
        <v>#REF!</v>
      </c>
    </row>
    <row r="129" spans="1:33">
      <c r="A129" s="9" t="s">
        <v>163</v>
      </c>
      <c r="B129" s="9">
        <v>80</v>
      </c>
      <c r="C129" s="9">
        <v>60</v>
      </c>
      <c r="D129" s="9">
        <v>40</v>
      </c>
      <c r="E129" s="9">
        <v>60</v>
      </c>
      <c r="F129" s="13">
        <f t="shared" si="8"/>
        <v>60</v>
      </c>
      <c r="G129" s="14">
        <f t="shared" si="9"/>
        <v>62.2112627044638</v>
      </c>
      <c r="H129" s="9">
        <v>20</v>
      </c>
      <c r="I129" s="9">
        <v>20</v>
      </c>
      <c r="J129" s="9">
        <v>70</v>
      </c>
      <c r="K129" s="9">
        <v>40</v>
      </c>
      <c r="L129" s="9">
        <v>30</v>
      </c>
      <c r="M129" s="14">
        <f t="shared" si="10"/>
        <v>36</v>
      </c>
      <c r="N129" s="9">
        <v>20</v>
      </c>
      <c r="O129" s="9">
        <v>25</v>
      </c>
      <c r="P129" s="9">
        <v>0</v>
      </c>
      <c r="Q129" s="14">
        <f t="shared" si="11"/>
        <v>15</v>
      </c>
      <c r="R129" s="9">
        <v>100</v>
      </c>
      <c r="S129" s="9">
        <v>72.4000380008686</v>
      </c>
      <c r="T129" s="9">
        <v>78.2009352920378</v>
      </c>
      <c r="U129" s="9">
        <v>12.4198349678809</v>
      </c>
      <c r="V129" s="9">
        <v>46.9159734830475</v>
      </c>
      <c r="W129" s="9">
        <v>21.4223295064182</v>
      </c>
      <c r="X129" s="9">
        <v>78.1309962082907</v>
      </c>
      <c r="Y129" s="19">
        <f t="shared" si="12"/>
        <v>58.4985867797919</v>
      </c>
      <c r="Z129" s="6">
        <f t="shared" si="13"/>
        <v>60.6545158332918</v>
      </c>
      <c r="AA129" s="9">
        <v>25</v>
      </c>
      <c r="AB129" s="9">
        <v>25</v>
      </c>
      <c r="AC129" s="14">
        <f t="shared" si="14"/>
        <v>25</v>
      </c>
      <c r="AD129" s="17">
        <v>1.03685437840773</v>
      </c>
      <c r="AE129" s="9">
        <f t="shared" si="15"/>
        <v>43.8386072908803</v>
      </c>
      <c r="AF129" s="18">
        <f>RANK(AE129,AE$3:AE$298)</f>
        <v>250</v>
      </c>
      <c r="AG129" s="20" t="e">
        <f>#REF!-AF129</f>
        <v>#REF!</v>
      </c>
    </row>
    <row r="130" spans="1:33">
      <c r="A130" s="9" t="s">
        <v>164</v>
      </c>
      <c r="B130" s="9">
        <v>80</v>
      </c>
      <c r="C130" s="9">
        <v>40</v>
      </c>
      <c r="D130" s="9">
        <v>40</v>
      </c>
      <c r="E130" s="9">
        <v>60</v>
      </c>
      <c r="F130" s="13">
        <f t="shared" si="8"/>
        <v>55</v>
      </c>
      <c r="G130" s="14">
        <f t="shared" si="9"/>
        <v>55.1706401127794</v>
      </c>
      <c r="H130" s="9">
        <v>80</v>
      </c>
      <c r="I130" s="9">
        <v>60</v>
      </c>
      <c r="J130" s="9">
        <v>70</v>
      </c>
      <c r="K130" s="9">
        <v>100</v>
      </c>
      <c r="L130" s="9">
        <v>70</v>
      </c>
      <c r="M130" s="14">
        <f t="shared" si="10"/>
        <v>76</v>
      </c>
      <c r="N130" s="9">
        <v>70</v>
      </c>
      <c r="O130" s="9">
        <v>50</v>
      </c>
      <c r="P130" s="9">
        <v>0</v>
      </c>
      <c r="Q130" s="14">
        <f t="shared" si="11"/>
        <v>40</v>
      </c>
      <c r="R130" s="9">
        <v>68.9956331877729</v>
      </c>
      <c r="S130" s="9">
        <v>71.0903398739035</v>
      </c>
      <c r="T130" s="9">
        <v>81.5948016537564</v>
      </c>
      <c r="U130" s="9">
        <v>15.4376319596163</v>
      </c>
      <c r="V130" s="9">
        <v>60.2911413619865</v>
      </c>
      <c r="W130" s="9">
        <v>29.9342150127823</v>
      </c>
      <c r="X130" s="9">
        <v>81.5106095986669</v>
      </c>
      <c r="Y130" s="19">
        <f t="shared" si="12"/>
        <v>58.4077675212121</v>
      </c>
      <c r="Z130" s="6">
        <f t="shared" si="13"/>
        <v>58.5889803946124</v>
      </c>
      <c r="AA130" s="9">
        <v>50</v>
      </c>
      <c r="AB130" s="9">
        <v>50</v>
      </c>
      <c r="AC130" s="14">
        <f t="shared" si="14"/>
        <v>50</v>
      </c>
      <c r="AD130" s="17">
        <v>1.00310254750508</v>
      </c>
      <c r="AE130" s="9">
        <f t="shared" si="15"/>
        <v>57.3108221409396</v>
      </c>
      <c r="AF130" s="18">
        <f>RANK(AE130,AE$3:AE$298)</f>
        <v>114</v>
      </c>
      <c r="AG130" s="20" t="e">
        <f>#REF!-AF130</f>
        <v>#REF!</v>
      </c>
    </row>
    <row r="131" spans="1:33">
      <c r="A131" s="9" t="s">
        <v>165</v>
      </c>
      <c r="B131" s="9">
        <v>100</v>
      </c>
      <c r="C131" s="9">
        <v>20</v>
      </c>
      <c r="D131" s="9">
        <v>80</v>
      </c>
      <c r="E131" s="9">
        <v>60</v>
      </c>
      <c r="F131" s="13">
        <f t="shared" ref="F131:F194" si="16">AVERAGE(B131:E131)</f>
        <v>65</v>
      </c>
      <c r="G131" s="14">
        <f t="shared" ref="G131:G194" si="17">F131*AD131</f>
        <v>63.966887986217</v>
      </c>
      <c r="H131" s="9">
        <v>80</v>
      </c>
      <c r="I131" s="9">
        <v>60</v>
      </c>
      <c r="J131" s="9">
        <v>70</v>
      </c>
      <c r="K131" s="9">
        <v>100</v>
      </c>
      <c r="L131" s="9">
        <v>70</v>
      </c>
      <c r="M131" s="14">
        <f t="shared" ref="M131:M194" si="18">AVERAGE(H131:L131)</f>
        <v>76</v>
      </c>
      <c r="N131" s="9">
        <v>70</v>
      </c>
      <c r="O131" s="9">
        <v>100</v>
      </c>
      <c r="P131" s="9">
        <v>25</v>
      </c>
      <c r="Q131" s="14">
        <f t="shared" ref="Q131:Q194" si="19">AVERAGE(N131:P131)</f>
        <v>65</v>
      </c>
      <c r="R131" s="9">
        <v>96.9858156028369</v>
      </c>
      <c r="S131" s="9">
        <v>92.9892629674223</v>
      </c>
      <c r="T131" s="9">
        <v>90.6016008444714</v>
      </c>
      <c r="U131" s="9">
        <v>3.34358189425233</v>
      </c>
      <c r="V131" s="9">
        <v>24.0753021820902</v>
      </c>
      <c r="W131" s="9">
        <v>45.0295045861644</v>
      </c>
      <c r="X131" s="9">
        <v>55.6672242056162</v>
      </c>
      <c r="Y131" s="19">
        <f t="shared" ref="Y131:Y194" si="20">AVERAGE(R131:X131)</f>
        <v>58.3846131832648</v>
      </c>
      <c r="Z131" s="6">
        <f t="shared" ref="Z131:Z194" si="21">Y131*AD131</f>
        <v>57.4566463325001</v>
      </c>
      <c r="AA131" s="9">
        <v>50</v>
      </c>
      <c r="AB131" s="9">
        <v>100</v>
      </c>
      <c r="AC131" s="14">
        <f t="shared" ref="AC131:AC194" si="22">AVERAGE(AA131:AB131)</f>
        <v>75</v>
      </c>
      <c r="AD131" s="17">
        <v>0.984105969018723</v>
      </c>
      <c r="AE131" s="9">
        <f t="shared" ref="AE131:AE194" si="23">G131*0.2+M131*0.2+Q131*0.15+Z131*0.3+AC131*0.15</f>
        <v>66.2303714969934</v>
      </c>
      <c r="AF131" s="18">
        <f>RANK(AE131,AE$3:AE$298)</f>
        <v>47</v>
      </c>
      <c r="AG131" s="20" t="e">
        <f>#REF!-AF131</f>
        <v>#REF!</v>
      </c>
    </row>
    <row r="132" s="1" customFormat="1" spans="1:33">
      <c r="A132" s="13" t="s">
        <v>166</v>
      </c>
      <c r="B132" s="13">
        <v>60</v>
      </c>
      <c r="C132" s="13">
        <v>20</v>
      </c>
      <c r="D132" s="13">
        <v>20</v>
      </c>
      <c r="E132" s="13">
        <v>40</v>
      </c>
      <c r="F132" s="13">
        <f t="shared" si="16"/>
        <v>35</v>
      </c>
      <c r="G132" s="14">
        <f t="shared" si="17"/>
        <v>34.3985405431765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f t="shared" si="18"/>
        <v>0</v>
      </c>
      <c r="N132" s="13">
        <v>0</v>
      </c>
      <c r="O132" s="13">
        <v>0</v>
      </c>
      <c r="P132" s="13">
        <v>0</v>
      </c>
      <c r="Q132" s="14">
        <f t="shared" si="19"/>
        <v>0</v>
      </c>
      <c r="R132" s="13">
        <v>100</v>
      </c>
      <c r="S132" s="13">
        <v>97.6887680112381</v>
      </c>
      <c r="T132" s="13">
        <v>94.6481338142129</v>
      </c>
      <c r="U132" s="13">
        <v>3.64650469834698</v>
      </c>
      <c r="V132" s="13">
        <v>12.0033557887914</v>
      </c>
      <c r="W132" s="13">
        <v>46.5680706030018</v>
      </c>
      <c r="X132" s="13">
        <v>53.4573639947467</v>
      </c>
      <c r="Y132" s="19">
        <f t="shared" si="20"/>
        <v>58.2874567014768</v>
      </c>
      <c r="Z132" s="6">
        <f t="shared" si="21"/>
        <v>57.2858126429828</v>
      </c>
      <c r="AA132" s="13">
        <v>0</v>
      </c>
      <c r="AB132" s="13">
        <v>0</v>
      </c>
      <c r="AC132" s="14">
        <f t="shared" si="22"/>
        <v>0</v>
      </c>
      <c r="AD132" s="21">
        <v>0.982815444090758</v>
      </c>
      <c r="AE132" s="13">
        <f t="shared" si="23"/>
        <v>24.0654519015301</v>
      </c>
      <c r="AF132" s="22">
        <f>RANK(AE132,AE$3:AE$298)</f>
        <v>296</v>
      </c>
      <c r="AG132" s="3" t="e">
        <f>#REF!-AF132</f>
        <v>#REF!</v>
      </c>
    </row>
    <row r="133" spans="1:33">
      <c r="A133" s="9" t="s">
        <v>167</v>
      </c>
      <c r="B133" s="9">
        <v>80</v>
      </c>
      <c r="C133" s="9">
        <v>40</v>
      </c>
      <c r="D133" s="9">
        <v>40</v>
      </c>
      <c r="E133" s="9">
        <v>60</v>
      </c>
      <c r="F133" s="13">
        <f t="shared" si="16"/>
        <v>55</v>
      </c>
      <c r="G133" s="14">
        <f t="shared" si="17"/>
        <v>57.0798344508062</v>
      </c>
      <c r="H133" s="9">
        <v>20</v>
      </c>
      <c r="I133" s="9">
        <v>40</v>
      </c>
      <c r="J133" s="9">
        <v>70</v>
      </c>
      <c r="K133" s="9">
        <v>70</v>
      </c>
      <c r="L133" s="9">
        <v>70</v>
      </c>
      <c r="M133" s="14">
        <f t="shared" si="18"/>
        <v>54</v>
      </c>
      <c r="N133" s="9">
        <v>70</v>
      </c>
      <c r="O133" s="9">
        <v>25</v>
      </c>
      <c r="P133" s="9">
        <v>50</v>
      </c>
      <c r="Q133" s="14">
        <f t="shared" si="19"/>
        <v>48.3333333333333</v>
      </c>
      <c r="R133" s="9">
        <v>99.5930824008138</v>
      </c>
      <c r="S133" s="9">
        <v>82.800581950297</v>
      </c>
      <c r="T133" s="9">
        <v>81.0726683673382</v>
      </c>
      <c r="U133" s="9">
        <v>2.78917600751305</v>
      </c>
      <c r="V133" s="9">
        <v>30.728590819306</v>
      </c>
      <c r="W133" s="9">
        <v>27.202518070855</v>
      </c>
      <c r="X133" s="9">
        <v>83.7440335410258</v>
      </c>
      <c r="Y133" s="19">
        <f t="shared" si="20"/>
        <v>58.2758073081641</v>
      </c>
      <c r="Z133" s="6">
        <f t="shared" si="21"/>
        <v>60.4795169752198</v>
      </c>
      <c r="AA133" s="9">
        <v>25</v>
      </c>
      <c r="AB133" s="9">
        <v>25</v>
      </c>
      <c r="AC133" s="14">
        <f t="shared" si="22"/>
        <v>25</v>
      </c>
      <c r="AD133" s="17">
        <v>1.03781517183284</v>
      </c>
      <c r="AE133" s="9">
        <f t="shared" si="23"/>
        <v>51.3598219827272</v>
      </c>
      <c r="AF133" s="18">
        <f>RANK(AE133,AE$3:AE$298)</f>
        <v>181</v>
      </c>
      <c r="AG133" s="20" t="e">
        <f>#REF!-AF133</f>
        <v>#REF!</v>
      </c>
    </row>
    <row r="134" spans="1:33">
      <c r="A134" s="9" t="s">
        <v>168</v>
      </c>
      <c r="B134" s="9">
        <v>100</v>
      </c>
      <c r="C134" s="9">
        <v>40</v>
      </c>
      <c r="D134" s="9">
        <v>40</v>
      </c>
      <c r="E134" s="9">
        <v>60</v>
      </c>
      <c r="F134" s="13">
        <f t="shared" si="16"/>
        <v>60</v>
      </c>
      <c r="G134" s="14">
        <f t="shared" si="17"/>
        <v>58.8551961069905</v>
      </c>
      <c r="H134" s="9">
        <v>20</v>
      </c>
      <c r="I134" s="9">
        <v>20</v>
      </c>
      <c r="J134" s="9">
        <v>40</v>
      </c>
      <c r="K134" s="9">
        <v>70</v>
      </c>
      <c r="L134" s="9">
        <v>30</v>
      </c>
      <c r="M134" s="14">
        <f t="shared" si="18"/>
        <v>36</v>
      </c>
      <c r="N134" s="9">
        <v>20</v>
      </c>
      <c r="O134" s="9">
        <v>50</v>
      </c>
      <c r="P134" s="9">
        <v>0</v>
      </c>
      <c r="Q134" s="14">
        <f t="shared" si="19"/>
        <v>23.3333333333333</v>
      </c>
      <c r="R134" s="9">
        <v>94.0082644628099</v>
      </c>
      <c r="S134" s="9">
        <v>93.836714696635</v>
      </c>
      <c r="T134" s="9">
        <v>88.5130676987983</v>
      </c>
      <c r="U134" s="9">
        <v>5.33258445698705</v>
      </c>
      <c r="V134" s="9">
        <v>14.6783893645792</v>
      </c>
      <c r="W134" s="9">
        <v>39.1235654163537</v>
      </c>
      <c r="X134" s="9">
        <v>72.3029869015876</v>
      </c>
      <c r="Y134" s="19">
        <f t="shared" si="20"/>
        <v>58.2565104282501</v>
      </c>
      <c r="Z134" s="6">
        <f t="shared" si="21"/>
        <v>57.1449724293933</v>
      </c>
      <c r="AA134" s="9">
        <v>50</v>
      </c>
      <c r="AB134" s="9">
        <v>25</v>
      </c>
      <c r="AC134" s="14">
        <f t="shared" si="22"/>
        <v>37.5</v>
      </c>
      <c r="AD134" s="17">
        <v>0.980919935116509</v>
      </c>
      <c r="AE134" s="9">
        <f t="shared" si="23"/>
        <v>45.2395309502161</v>
      </c>
      <c r="AF134" s="18">
        <f>RANK(AE134,AE$3:AE$298)</f>
        <v>242</v>
      </c>
      <c r="AG134" s="20" t="e">
        <f>#REF!-AF134</f>
        <v>#REF!</v>
      </c>
    </row>
    <row r="135" spans="1:33">
      <c r="A135" s="9" t="s">
        <v>169</v>
      </c>
      <c r="B135" s="9">
        <v>80</v>
      </c>
      <c r="C135" s="9">
        <v>40</v>
      </c>
      <c r="D135" s="9">
        <v>60</v>
      </c>
      <c r="E135" s="9">
        <v>40</v>
      </c>
      <c r="F135" s="13">
        <f t="shared" si="16"/>
        <v>55</v>
      </c>
      <c r="G135" s="14">
        <f t="shared" si="17"/>
        <v>55.8190467963056</v>
      </c>
      <c r="H135" s="9">
        <v>20</v>
      </c>
      <c r="I135" s="9">
        <v>20</v>
      </c>
      <c r="J135" s="9">
        <v>70</v>
      </c>
      <c r="K135" s="9">
        <v>100</v>
      </c>
      <c r="L135" s="9">
        <v>70</v>
      </c>
      <c r="M135" s="14">
        <f t="shared" si="18"/>
        <v>56</v>
      </c>
      <c r="N135" s="9">
        <v>70</v>
      </c>
      <c r="O135" s="9">
        <v>75</v>
      </c>
      <c r="P135" s="9">
        <v>0</v>
      </c>
      <c r="Q135" s="14">
        <f t="shared" si="19"/>
        <v>48.3333333333333</v>
      </c>
      <c r="R135" s="9">
        <v>98.7711213517665</v>
      </c>
      <c r="S135" s="9">
        <v>95.6857002876445</v>
      </c>
      <c r="T135" s="9">
        <v>94.7786671358174</v>
      </c>
      <c r="U135" s="9">
        <v>7.36159569196068</v>
      </c>
      <c r="V135" s="9">
        <v>28.1907384525329</v>
      </c>
      <c r="W135" s="9">
        <v>31.6363465540423</v>
      </c>
      <c r="X135" s="9">
        <v>50.8968829173611</v>
      </c>
      <c r="Y135" s="19">
        <f t="shared" si="20"/>
        <v>58.1887217701608</v>
      </c>
      <c r="Z135" s="6">
        <f t="shared" si="21"/>
        <v>59.0552542455602</v>
      </c>
      <c r="AA135" s="9">
        <v>25</v>
      </c>
      <c r="AB135" s="9">
        <v>25</v>
      </c>
      <c r="AC135" s="14">
        <f t="shared" si="22"/>
        <v>25</v>
      </c>
      <c r="AD135" s="17">
        <v>1.01489175993283</v>
      </c>
      <c r="AE135" s="9">
        <f t="shared" si="23"/>
        <v>51.0803856329292</v>
      </c>
      <c r="AF135" s="18">
        <f>RANK(AE135,AE$3:AE$298)</f>
        <v>185</v>
      </c>
      <c r="AG135" s="20" t="e">
        <f>#REF!-AF135</f>
        <v>#REF!</v>
      </c>
    </row>
    <row r="136" spans="1:33">
      <c r="A136" s="9" t="s">
        <v>170</v>
      </c>
      <c r="B136" s="9">
        <v>80</v>
      </c>
      <c r="C136" s="9">
        <v>60</v>
      </c>
      <c r="D136" s="9">
        <v>60</v>
      </c>
      <c r="E136" s="9">
        <v>60</v>
      </c>
      <c r="F136" s="13">
        <f t="shared" si="16"/>
        <v>65</v>
      </c>
      <c r="G136" s="14">
        <f t="shared" si="17"/>
        <v>66.7680297270051</v>
      </c>
      <c r="H136" s="9">
        <v>40</v>
      </c>
      <c r="I136" s="9">
        <v>60</v>
      </c>
      <c r="J136" s="9">
        <v>70</v>
      </c>
      <c r="K136" s="9">
        <v>100</v>
      </c>
      <c r="L136" s="9">
        <v>30</v>
      </c>
      <c r="M136" s="14">
        <f t="shared" si="18"/>
        <v>60</v>
      </c>
      <c r="N136" s="9">
        <v>70</v>
      </c>
      <c r="O136" s="9">
        <v>75</v>
      </c>
      <c r="P136" s="9">
        <v>0</v>
      </c>
      <c r="Q136" s="14">
        <f t="shared" si="19"/>
        <v>48.3333333333333</v>
      </c>
      <c r="R136" s="9">
        <v>100</v>
      </c>
      <c r="S136" s="9">
        <v>78.0047755736161</v>
      </c>
      <c r="T136" s="9">
        <v>78.9841352216651</v>
      </c>
      <c r="U136" s="9">
        <v>7.32158701972176</v>
      </c>
      <c r="V136" s="9">
        <v>36.9017452249701</v>
      </c>
      <c r="W136" s="9">
        <v>24.4367231338412</v>
      </c>
      <c r="X136" s="9">
        <v>81.3803867097672</v>
      </c>
      <c r="Y136" s="19">
        <f t="shared" si="20"/>
        <v>58.1470504119402</v>
      </c>
      <c r="Z136" s="6">
        <f t="shared" si="21"/>
        <v>59.7286767760321</v>
      </c>
      <c r="AA136" s="9">
        <v>50</v>
      </c>
      <c r="AB136" s="9">
        <v>75</v>
      </c>
      <c r="AC136" s="14">
        <f t="shared" si="22"/>
        <v>62.5</v>
      </c>
      <c r="AD136" s="17">
        <v>1.02720045733854</v>
      </c>
      <c r="AE136" s="9">
        <f t="shared" si="23"/>
        <v>59.8972089782107</v>
      </c>
      <c r="AF136" s="18">
        <f>RANK(AE136,AE$3:AE$298)</f>
        <v>95</v>
      </c>
      <c r="AG136" s="20" t="e">
        <f>#REF!-AF136</f>
        <v>#REF!</v>
      </c>
    </row>
    <row r="137" spans="1:33">
      <c r="A137" s="9" t="s">
        <v>171</v>
      </c>
      <c r="B137" s="9">
        <v>60</v>
      </c>
      <c r="C137" s="9">
        <v>40</v>
      </c>
      <c r="D137" s="9">
        <v>40</v>
      </c>
      <c r="E137" s="9">
        <v>60</v>
      </c>
      <c r="F137" s="13">
        <f t="shared" si="16"/>
        <v>50</v>
      </c>
      <c r="G137" s="14">
        <f t="shared" si="17"/>
        <v>54.89520215302</v>
      </c>
      <c r="H137" s="9">
        <v>20</v>
      </c>
      <c r="I137" s="9">
        <v>20</v>
      </c>
      <c r="J137" s="9">
        <v>40</v>
      </c>
      <c r="K137" s="9">
        <v>40</v>
      </c>
      <c r="L137" s="9">
        <v>30</v>
      </c>
      <c r="M137" s="14">
        <f t="shared" si="18"/>
        <v>30</v>
      </c>
      <c r="N137" s="9">
        <v>20</v>
      </c>
      <c r="O137" s="9">
        <v>25</v>
      </c>
      <c r="P137" s="9">
        <v>0</v>
      </c>
      <c r="Q137" s="14">
        <f t="shared" si="19"/>
        <v>15</v>
      </c>
      <c r="R137" s="9">
        <v>100</v>
      </c>
      <c r="S137" s="9">
        <v>89.9268805823128</v>
      </c>
      <c r="T137" s="9">
        <v>90.2100008796577</v>
      </c>
      <c r="U137" s="9">
        <v>8.1789157105557</v>
      </c>
      <c r="V137" s="9">
        <v>36.1472485753889</v>
      </c>
      <c r="W137" s="9">
        <v>15.1678916628445</v>
      </c>
      <c r="X137" s="9">
        <v>67.3661523383279</v>
      </c>
      <c r="Y137" s="19">
        <f t="shared" si="20"/>
        <v>58.1424413927268</v>
      </c>
      <c r="Z137" s="6">
        <f t="shared" si="21"/>
        <v>63.8348214784771</v>
      </c>
      <c r="AA137" s="9">
        <v>25</v>
      </c>
      <c r="AB137" s="9">
        <v>25</v>
      </c>
      <c r="AC137" s="14">
        <f t="shared" si="22"/>
        <v>25</v>
      </c>
      <c r="AD137" s="17">
        <v>1.0979040430604</v>
      </c>
      <c r="AE137" s="9">
        <f t="shared" si="23"/>
        <v>42.1294868741471</v>
      </c>
      <c r="AF137" s="18">
        <f>RANK(AE137,AE$3:AE$298)</f>
        <v>262</v>
      </c>
      <c r="AG137" s="20" t="e">
        <f>#REF!-AF137</f>
        <v>#REF!</v>
      </c>
    </row>
    <row r="138" spans="1:33">
      <c r="A138" s="9" t="s">
        <v>172</v>
      </c>
      <c r="B138" s="9">
        <v>100</v>
      </c>
      <c r="C138" s="9">
        <v>60</v>
      </c>
      <c r="D138" s="9">
        <v>40</v>
      </c>
      <c r="E138" s="9">
        <v>40</v>
      </c>
      <c r="F138" s="13">
        <f t="shared" si="16"/>
        <v>60</v>
      </c>
      <c r="G138" s="14">
        <f t="shared" si="17"/>
        <v>59.2817042535704</v>
      </c>
      <c r="H138" s="9">
        <v>80</v>
      </c>
      <c r="I138" s="9">
        <v>40</v>
      </c>
      <c r="J138" s="9">
        <v>70</v>
      </c>
      <c r="K138" s="9">
        <v>100</v>
      </c>
      <c r="L138" s="9">
        <v>70</v>
      </c>
      <c r="M138" s="14">
        <f t="shared" si="18"/>
        <v>72</v>
      </c>
      <c r="N138" s="9">
        <v>70</v>
      </c>
      <c r="O138" s="9">
        <v>75</v>
      </c>
      <c r="P138" s="9">
        <v>0</v>
      </c>
      <c r="Q138" s="14">
        <f t="shared" si="19"/>
        <v>48.3333333333333</v>
      </c>
      <c r="R138" s="9">
        <v>79.0367153572839</v>
      </c>
      <c r="S138" s="9">
        <v>91.6988251070302</v>
      </c>
      <c r="T138" s="9">
        <v>85.3802679802888</v>
      </c>
      <c r="U138" s="9">
        <v>14.0258973820431</v>
      </c>
      <c r="V138" s="9">
        <v>15.7072484321899</v>
      </c>
      <c r="W138" s="9">
        <v>34.8247747660959</v>
      </c>
      <c r="X138" s="9">
        <v>85.825849180504</v>
      </c>
      <c r="Y138" s="19">
        <f t="shared" si="20"/>
        <v>58.0713683150623</v>
      </c>
      <c r="Z138" s="6">
        <f t="shared" si="21"/>
        <v>57.3761613675614</v>
      </c>
      <c r="AA138" s="9">
        <v>50</v>
      </c>
      <c r="AB138" s="9">
        <v>100</v>
      </c>
      <c r="AC138" s="14">
        <f t="shared" si="22"/>
        <v>75</v>
      </c>
      <c r="AD138" s="17">
        <v>0.988028404226174</v>
      </c>
      <c r="AE138" s="9">
        <f t="shared" si="23"/>
        <v>61.9691892609825</v>
      </c>
      <c r="AF138" s="18">
        <f>RANK(AE138,AE$3:AE$298)</f>
        <v>78</v>
      </c>
      <c r="AG138" s="20" t="e">
        <f>#REF!-AF138</f>
        <v>#REF!</v>
      </c>
    </row>
    <row r="139" spans="1:33">
      <c r="A139" s="9" t="s">
        <v>173</v>
      </c>
      <c r="B139" s="9">
        <v>80</v>
      </c>
      <c r="C139" s="9">
        <v>40</v>
      </c>
      <c r="D139" s="9">
        <v>20</v>
      </c>
      <c r="E139" s="9">
        <v>60</v>
      </c>
      <c r="F139" s="13">
        <f t="shared" si="16"/>
        <v>50</v>
      </c>
      <c r="G139" s="14">
        <f t="shared" si="17"/>
        <v>50.4170704590555</v>
      </c>
      <c r="H139" s="9">
        <v>20</v>
      </c>
      <c r="I139" s="9">
        <v>80</v>
      </c>
      <c r="J139" s="9">
        <v>40</v>
      </c>
      <c r="K139" s="9">
        <v>20</v>
      </c>
      <c r="L139" s="9">
        <v>70</v>
      </c>
      <c r="M139" s="14">
        <f t="shared" si="18"/>
        <v>46</v>
      </c>
      <c r="N139" s="9">
        <v>40</v>
      </c>
      <c r="O139" s="9">
        <v>25</v>
      </c>
      <c r="P139" s="9">
        <v>0</v>
      </c>
      <c r="Q139" s="14">
        <f t="shared" si="19"/>
        <v>21.6666666666667</v>
      </c>
      <c r="R139" s="9">
        <v>93.598233995585</v>
      </c>
      <c r="S139" s="9">
        <v>85.9400054016986</v>
      </c>
      <c r="T139" s="9">
        <v>79.7673351512925</v>
      </c>
      <c r="U139" s="9">
        <v>16.2606675028169</v>
      </c>
      <c r="V139" s="9">
        <v>21.0573155837655</v>
      </c>
      <c r="W139" s="9">
        <v>28.0843752175152</v>
      </c>
      <c r="X139" s="9">
        <v>81.4976183491684</v>
      </c>
      <c r="Y139" s="19">
        <f t="shared" si="20"/>
        <v>58.029364457406</v>
      </c>
      <c r="Z139" s="6">
        <f t="shared" si="21"/>
        <v>58.513411130865</v>
      </c>
      <c r="AA139" s="9">
        <v>25</v>
      </c>
      <c r="AB139" s="9">
        <v>25</v>
      </c>
      <c r="AC139" s="14">
        <f t="shared" si="22"/>
        <v>25</v>
      </c>
      <c r="AD139" s="17">
        <v>1.00834140918111</v>
      </c>
      <c r="AE139" s="9">
        <f t="shared" si="23"/>
        <v>43.8374374310706</v>
      </c>
      <c r="AF139" s="18">
        <f>RANK(AE139,AE$3:AE$298)</f>
        <v>251</v>
      </c>
      <c r="AG139" s="20" t="e">
        <f>#REF!-AF139</f>
        <v>#REF!</v>
      </c>
    </row>
    <row r="140" spans="1:33">
      <c r="A140" s="9" t="s">
        <v>174</v>
      </c>
      <c r="B140" s="9">
        <v>80</v>
      </c>
      <c r="C140" s="9">
        <v>20</v>
      </c>
      <c r="D140" s="9">
        <v>40</v>
      </c>
      <c r="E140" s="9">
        <v>60</v>
      </c>
      <c r="F140" s="13">
        <f t="shared" si="16"/>
        <v>50</v>
      </c>
      <c r="G140" s="14">
        <f t="shared" si="17"/>
        <v>52.5327499683385</v>
      </c>
      <c r="H140" s="9">
        <v>20</v>
      </c>
      <c r="I140" s="9">
        <v>60</v>
      </c>
      <c r="J140" s="9">
        <v>70</v>
      </c>
      <c r="K140" s="9">
        <v>100</v>
      </c>
      <c r="L140" s="9">
        <v>30</v>
      </c>
      <c r="M140" s="14">
        <f t="shared" si="18"/>
        <v>56</v>
      </c>
      <c r="N140" s="9">
        <v>70</v>
      </c>
      <c r="O140" s="9">
        <v>50</v>
      </c>
      <c r="P140" s="9">
        <v>0</v>
      </c>
      <c r="Q140" s="14">
        <f t="shared" si="19"/>
        <v>40</v>
      </c>
      <c r="R140" s="9">
        <v>95.8010335917313</v>
      </c>
      <c r="S140" s="9">
        <v>92.7196192354001</v>
      </c>
      <c r="T140" s="9">
        <v>89.2962676284257</v>
      </c>
      <c r="U140" s="9">
        <v>9.6192279111567</v>
      </c>
      <c r="V140" s="9">
        <v>20.9887249792581</v>
      </c>
      <c r="W140" s="9">
        <v>23.9953097962189</v>
      </c>
      <c r="X140" s="9">
        <v>72.0954978791606</v>
      </c>
      <c r="Y140" s="19">
        <f t="shared" si="20"/>
        <v>57.7879544316216</v>
      </c>
      <c r="Z140" s="6">
        <f t="shared" si="21"/>
        <v>60.7152032267624</v>
      </c>
      <c r="AA140" s="9">
        <v>50</v>
      </c>
      <c r="AB140" s="9">
        <v>25</v>
      </c>
      <c r="AC140" s="14">
        <f t="shared" si="22"/>
        <v>37.5</v>
      </c>
      <c r="AD140" s="17">
        <v>1.05065499936677</v>
      </c>
      <c r="AE140" s="9">
        <f t="shared" si="23"/>
        <v>51.5461109616964</v>
      </c>
      <c r="AF140" s="18">
        <f>RANK(AE140,AE$3:AE$298)</f>
        <v>176</v>
      </c>
      <c r="AG140" s="20" t="e">
        <f>#REF!-AF140</f>
        <v>#REF!</v>
      </c>
    </row>
    <row r="141" spans="1:33">
      <c r="A141" s="9" t="s">
        <v>175</v>
      </c>
      <c r="B141" s="9">
        <v>80</v>
      </c>
      <c r="C141" s="9">
        <v>40</v>
      </c>
      <c r="D141" s="9">
        <v>40</v>
      </c>
      <c r="E141" s="9">
        <v>60</v>
      </c>
      <c r="F141" s="13">
        <f t="shared" si="16"/>
        <v>55</v>
      </c>
      <c r="G141" s="14">
        <f t="shared" si="17"/>
        <v>54.5218106160674</v>
      </c>
      <c r="H141" s="9">
        <v>20</v>
      </c>
      <c r="I141" s="9">
        <v>20</v>
      </c>
      <c r="J141" s="9">
        <v>40</v>
      </c>
      <c r="K141" s="9">
        <v>70</v>
      </c>
      <c r="L141" s="9">
        <v>30</v>
      </c>
      <c r="M141" s="14">
        <f t="shared" si="18"/>
        <v>36</v>
      </c>
      <c r="N141" s="9">
        <v>70</v>
      </c>
      <c r="O141" s="9">
        <v>25</v>
      </c>
      <c r="P141" s="9">
        <v>0</v>
      </c>
      <c r="Q141" s="14">
        <f t="shared" si="19"/>
        <v>31.6666666666667</v>
      </c>
      <c r="R141" s="9">
        <v>91.1835748792271</v>
      </c>
      <c r="S141" s="9">
        <v>94.2219200280953</v>
      </c>
      <c r="T141" s="9">
        <v>89.4268009500303</v>
      </c>
      <c r="U141" s="9">
        <v>11.0766866855744</v>
      </c>
      <c r="V141" s="9">
        <v>15.2957048051456</v>
      </c>
      <c r="W141" s="9">
        <v>41.6186573267825</v>
      </c>
      <c r="X141" s="9">
        <v>61.4378735163789</v>
      </c>
      <c r="Y141" s="19">
        <f t="shared" si="20"/>
        <v>57.7516025987477</v>
      </c>
      <c r="Z141" s="6">
        <f t="shared" si="21"/>
        <v>57.2494898120602</v>
      </c>
      <c r="AA141" s="9">
        <v>25</v>
      </c>
      <c r="AB141" s="9">
        <v>25</v>
      </c>
      <c r="AC141" s="14">
        <f t="shared" si="22"/>
        <v>25</v>
      </c>
      <c r="AD141" s="17">
        <v>0.991305647564862</v>
      </c>
      <c r="AE141" s="9">
        <f t="shared" si="23"/>
        <v>43.7792090668315</v>
      </c>
      <c r="AF141" s="18">
        <f>RANK(AE141,AE$3:AE$298)</f>
        <v>253</v>
      </c>
      <c r="AG141" s="20" t="e">
        <f>#REF!-AF141</f>
        <v>#REF!</v>
      </c>
    </row>
    <row r="142" spans="1:33">
      <c r="A142" s="9" t="s">
        <v>176</v>
      </c>
      <c r="B142" s="9">
        <v>80</v>
      </c>
      <c r="C142" s="9">
        <v>40</v>
      </c>
      <c r="D142" s="9">
        <v>60</v>
      </c>
      <c r="E142" s="9">
        <v>60</v>
      </c>
      <c r="F142" s="13">
        <f t="shared" si="16"/>
        <v>60</v>
      </c>
      <c r="G142" s="14">
        <f t="shared" si="17"/>
        <v>56.2542572157042</v>
      </c>
      <c r="H142" s="9">
        <v>80</v>
      </c>
      <c r="I142" s="9">
        <v>20</v>
      </c>
      <c r="J142" s="9">
        <v>70</v>
      </c>
      <c r="K142" s="9">
        <v>100</v>
      </c>
      <c r="L142" s="9">
        <v>70</v>
      </c>
      <c r="M142" s="14">
        <f t="shared" si="18"/>
        <v>68</v>
      </c>
      <c r="N142" s="9">
        <v>70</v>
      </c>
      <c r="O142" s="9">
        <v>75</v>
      </c>
      <c r="P142" s="9">
        <v>25</v>
      </c>
      <c r="Q142" s="14">
        <f t="shared" si="19"/>
        <v>56.6666666666667</v>
      </c>
      <c r="R142" s="9">
        <v>77.1821862348178</v>
      </c>
      <c r="S142" s="9">
        <v>58.3978242022862</v>
      </c>
      <c r="T142" s="9">
        <v>65.2781364531859</v>
      </c>
      <c r="U142" s="9">
        <v>15.0375452372271</v>
      </c>
      <c r="V142" s="9">
        <v>43.7608056757081</v>
      </c>
      <c r="W142" s="9">
        <v>51.2131754593525</v>
      </c>
      <c r="X142" s="9">
        <v>92.8949938026955</v>
      </c>
      <c r="Y142" s="19">
        <f t="shared" si="20"/>
        <v>57.6806667236104</v>
      </c>
      <c r="Z142" s="6">
        <f t="shared" si="21"/>
        <v>54.0797177040549</v>
      </c>
      <c r="AA142" s="9">
        <v>75</v>
      </c>
      <c r="AB142" s="9">
        <v>25</v>
      </c>
      <c r="AC142" s="14">
        <f t="shared" si="22"/>
        <v>50</v>
      </c>
      <c r="AD142" s="17">
        <v>0.93757095359507</v>
      </c>
      <c r="AE142" s="9">
        <f t="shared" si="23"/>
        <v>57.0747667543573</v>
      </c>
      <c r="AF142" s="18">
        <f>RANK(AE142,AE$3:AE$298)</f>
        <v>116</v>
      </c>
      <c r="AG142" s="20" t="e">
        <f>#REF!-AF142</f>
        <v>#REF!</v>
      </c>
    </row>
    <row r="143" spans="1:33">
      <c r="A143" s="9" t="s">
        <v>177</v>
      </c>
      <c r="B143" s="9">
        <v>80</v>
      </c>
      <c r="C143" s="9">
        <v>20</v>
      </c>
      <c r="D143" s="9">
        <v>20</v>
      </c>
      <c r="E143" s="9">
        <v>40</v>
      </c>
      <c r="F143" s="13">
        <f t="shared" si="16"/>
        <v>40</v>
      </c>
      <c r="G143" s="14">
        <f t="shared" si="17"/>
        <v>40.214585518708</v>
      </c>
      <c r="H143" s="9">
        <v>20</v>
      </c>
      <c r="I143" s="9">
        <v>40</v>
      </c>
      <c r="J143" s="9">
        <v>70</v>
      </c>
      <c r="K143" s="9">
        <v>100</v>
      </c>
      <c r="L143" s="9">
        <v>30</v>
      </c>
      <c r="M143" s="14">
        <f t="shared" si="18"/>
        <v>52</v>
      </c>
      <c r="N143" s="9">
        <v>70</v>
      </c>
      <c r="O143" s="9">
        <v>75</v>
      </c>
      <c r="P143" s="9">
        <v>0</v>
      </c>
      <c r="Q143" s="14">
        <f t="shared" si="19"/>
        <v>48.3333333333333</v>
      </c>
      <c r="R143" s="9">
        <v>53.5416666666667</v>
      </c>
      <c r="S143" s="9">
        <v>90.5239488460763</v>
      </c>
      <c r="T143" s="9">
        <v>90.8626674876805</v>
      </c>
      <c r="U143" s="9">
        <v>20.4558625632976</v>
      </c>
      <c r="V143" s="9">
        <v>36.695973411448</v>
      </c>
      <c r="W143" s="9">
        <v>30.6365859480003</v>
      </c>
      <c r="X143" s="9">
        <v>79.8112603480201</v>
      </c>
      <c r="Y143" s="19">
        <f t="shared" si="20"/>
        <v>57.5039950387414</v>
      </c>
      <c r="Z143" s="6">
        <f t="shared" si="21"/>
        <v>57.8124831538206</v>
      </c>
      <c r="AA143" s="9">
        <v>25</v>
      </c>
      <c r="AB143" s="9">
        <v>25</v>
      </c>
      <c r="AC143" s="14">
        <f t="shared" si="22"/>
        <v>25</v>
      </c>
      <c r="AD143" s="17">
        <v>1.0053646379677</v>
      </c>
      <c r="AE143" s="9">
        <f t="shared" si="23"/>
        <v>46.7866620498878</v>
      </c>
      <c r="AF143" s="18">
        <f>RANK(AE143,AE$3:AE$298)</f>
        <v>228</v>
      </c>
      <c r="AG143" s="20" t="e">
        <f>#REF!-AF143</f>
        <v>#REF!</v>
      </c>
    </row>
    <row r="144" spans="1:33">
      <c r="A144" s="9" t="s">
        <v>178</v>
      </c>
      <c r="B144" s="9">
        <v>100</v>
      </c>
      <c r="C144" s="9">
        <v>60</v>
      </c>
      <c r="D144" s="9">
        <v>60</v>
      </c>
      <c r="E144" s="9">
        <v>40</v>
      </c>
      <c r="F144" s="13">
        <f t="shared" si="16"/>
        <v>65</v>
      </c>
      <c r="G144" s="14">
        <f t="shared" si="17"/>
        <v>63.719107268958</v>
      </c>
      <c r="H144" s="9">
        <v>20</v>
      </c>
      <c r="I144" s="9">
        <v>60</v>
      </c>
      <c r="J144" s="9">
        <v>70</v>
      </c>
      <c r="K144" s="9">
        <v>100</v>
      </c>
      <c r="L144" s="9">
        <v>70</v>
      </c>
      <c r="M144" s="14">
        <f t="shared" si="18"/>
        <v>64</v>
      </c>
      <c r="N144" s="9">
        <v>70</v>
      </c>
      <c r="O144" s="9">
        <v>100</v>
      </c>
      <c r="P144" s="9">
        <v>0</v>
      </c>
      <c r="Q144" s="14">
        <f t="shared" si="19"/>
        <v>56.6666666666667</v>
      </c>
      <c r="R144" s="9">
        <v>83.1591173054588</v>
      </c>
      <c r="S144" s="9">
        <v>96.9183573483175</v>
      </c>
      <c r="T144" s="9">
        <v>93.3428005981672</v>
      </c>
      <c r="U144" s="9">
        <v>9.3505982546954</v>
      </c>
      <c r="V144" s="9">
        <v>12.7578524383726</v>
      </c>
      <c r="W144" s="9">
        <v>41.3920483019922</v>
      </c>
      <c r="X144" s="9">
        <v>65.5250563027024</v>
      </c>
      <c r="Y144" s="19">
        <f t="shared" si="20"/>
        <v>57.4922615071009</v>
      </c>
      <c r="Z144" s="6">
        <f t="shared" si="21"/>
        <v>56.3593165862454</v>
      </c>
      <c r="AA144" s="9">
        <v>75</v>
      </c>
      <c r="AB144" s="9">
        <v>25</v>
      </c>
      <c r="AC144" s="14">
        <f t="shared" si="22"/>
        <v>50</v>
      </c>
      <c r="AD144" s="17">
        <v>0.98029395798397</v>
      </c>
      <c r="AE144" s="9">
        <f t="shared" si="23"/>
        <v>58.4516164296652</v>
      </c>
      <c r="AF144" s="18">
        <f>RANK(AE144,AE$3:AE$298)</f>
        <v>104</v>
      </c>
      <c r="AG144" s="20" t="e">
        <f>#REF!-AF144</f>
        <v>#REF!</v>
      </c>
    </row>
    <row r="145" spans="1:33">
      <c r="A145" s="9" t="s">
        <v>179</v>
      </c>
      <c r="B145" s="9">
        <v>100</v>
      </c>
      <c r="C145" s="9">
        <v>40</v>
      </c>
      <c r="D145" s="9">
        <v>20</v>
      </c>
      <c r="E145" s="9">
        <v>40</v>
      </c>
      <c r="F145" s="13">
        <f t="shared" si="16"/>
        <v>50</v>
      </c>
      <c r="G145" s="14">
        <f t="shared" si="17"/>
        <v>49.6024011721876</v>
      </c>
      <c r="H145" s="9">
        <v>20</v>
      </c>
      <c r="I145" s="9">
        <v>20</v>
      </c>
      <c r="J145" s="9">
        <v>20</v>
      </c>
      <c r="K145" s="9">
        <v>20</v>
      </c>
      <c r="L145" s="9">
        <v>20</v>
      </c>
      <c r="M145" s="14">
        <f t="shared" si="18"/>
        <v>20</v>
      </c>
      <c r="N145" s="9">
        <v>20</v>
      </c>
      <c r="O145" s="9">
        <v>25</v>
      </c>
      <c r="P145" s="9">
        <v>0</v>
      </c>
      <c r="Q145" s="14">
        <f t="shared" si="19"/>
        <v>15</v>
      </c>
      <c r="R145" s="9">
        <v>98.4109589041096</v>
      </c>
      <c r="S145" s="9">
        <v>78.7366657033907</v>
      </c>
      <c r="T145" s="9">
        <v>75.3292022167373</v>
      </c>
      <c r="U145" s="9">
        <v>4.49811786457535</v>
      </c>
      <c r="V145" s="9">
        <v>28.5336914750698</v>
      </c>
      <c r="W145" s="9">
        <v>30.3358598116716</v>
      </c>
      <c r="X145" s="9">
        <v>86.5965014622814</v>
      </c>
      <c r="Y145" s="19">
        <f t="shared" si="20"/>
        <v>57.491571062548</v>
      </c>
      <c r="Z145" s="6">
        <f t="shared" si="21"/>
        <v>57.0343994372767</v>
      </c>
      <c r="AA145" s="9">
        <v>25</v>
      </c>
      <c r="AB145" s="9">
        <v>25</v>
      </c>
      <c r="AC145" s="14">
        <f t="shared" si="22"/>
        <v>25</v>
      </c>
      <c r="AD145" s="17">
        <v>0.992048023443752</v>
      </c>
      <c r="AE145" s="9">
        <f t="shared" si="23"/>
        <v>37.0308000656205</v>
      </c>
      <c r="AF145" s="18">
        <f>RANK(AE145,AE$3:AE$298)</f>
        <v>286</v>
      </c>
      <c r="AG145" s="20" t="e">
        <f>#REF!-AF145</f>
        <v>#REF!</v>
      </c>
    </row>
    <row r="146" spans="1:33">
      <c r="A146" s="9" t="s">
        <v>180</v>
      </c>
      <c r="B146" s="9">
        <v>80</v>
      </c>
      <c r="C146" s="9">
        <v>40</v>
      </c>
      <c r="D146" s="9">
        <v>20</v>
      </c>
      <c r="E146" s="9">
        <v>60</v>
      </c>
      <c r="F146" s="13">
        <f t="shared" si="16"/>
        <v>50</v>
      </c>
      <c r="G146" s="14">
        <f t="shared" si="17"/>
        <v>51.3093951919285</v>
      </c>
      <c r="H146" s="9">
        <v>80</v>
      </c>
      <c r="I146" s="9">
        <v>100</v>
      </c>
      <c r="J146" s="9">
        <v>70</v>
      </c>
      <c r="K146" s="9">
        <v>100</v>
      </c>
      <c r="L146" s="9">
        <v>70</v>
      </c>
      <c r="M146" s="14">
        <f t="shared" si="18"/>
        <v>84</v>
      </c>
      <c r="N146" s="9">
        <v>70</v>
      </c>
      <c r="O146" s="9">
        <v>100</v>
      </c>
      <c r="P146" s="9">
        <v>50</v>
      </c>
      <c r="Q146" s="14">
        <f t="shared" si="19"/>
        <v>73.3333333333333</v>
      </c>
      <c r="R146" s="9">
        <v>94.2513368983957</v>
      </c>
      <c r="S146" s="9">
        <v>91.2943595089969</v>
      </c>
      <c r="T146" s="9">
        <v>87.7298677691709</v>
      </c>
      <c r="U146" s="9">
        <v>8.13319151371122</v>
      </c>
      <c r="V146" s="9">
        <v>22.0175840468688</v>
      </c>
      <c r="W146" s="9">
        <v>29.1960375322908</v>
      </c>
      <c r="X146" s="9">
        <v>69.4993073810539</v>
      </c>
      <c r="Y146" s="19">
        <f t="shared" si="20"/>
        <v>57.4459549500697</v>
      </c>
      <c r="Z146" s="6">
        <f t="shared" si="21"/>
        <v>58.950344094217</v>
      </c>
      <c r="AA146" s="9">
        <v>50</v>
      </c>
      <c r="AB146" s="9">
        <v>50</v>
      </c>
      <c r="AC146" s="14">
        <f t="shared" si="22"/>
        <v>50</v>
      </c>
      <c r="AD146" s="17">
        <v>1.02618790383857</v>
      </c>
      <c r="AE146" s="9">
        <f t="shared" si="23"/>
        <v>63.2469822666508</v>
      </c>
      <c r="AF146" s="18">
        <f>RANK(AE146,AE$3:AE$298)</f>
        <v>66</v>
      </c>
      <c r="AG146" s="20" t="e">
        <f>#REF!-AF146</f>
        <v>#REF!</v>
      </c>
    </row>
    <row r="147" spans="1:33">
      <c r="A147" s="9" t="s">
        <v>181</v>
      </c>
      <c r="B147" s="9">
        <v>100</v>
      </c>
      <c r="C147" s="9">
        <v>40</v>
      </c>
      <c r="D147" s="9">
        <v>40</v>
      </c>
      <c r="E147" s="9">
        <v>20</v>
      </c>
      <c r="F147" s="13">
        <f t="shared" si="16"/>
        <v>50</v>
      </c>
      <c r="G147" s="14">
        <f t="shared" si="17"/>
        <v>49.679817471523</v>
      </c>
      <c r="H147" s="9">
        <v>20</v>
      </c>
      <c r="I147" s="9">
        <v>60</v>
      </c>
      <c r="J147" s="9">
        <v>70</v>
      </c>
      <c r="K147" s="9">
        <v>100</v>
      </c>
      <c r="L147" s="9">
        <v>70</v>
      </c>
      <c r="M147" s="14">
        <f t="shared" si="18"/>
        <v>64</v>
      </c>
      <c r="N147" s="9">
        <v>40</v>
      </c>
      <c r="O147" s="9">
        <v>75</v>
      </c>
      <c r="P147" s="9">
        <v>0</v>
      </c>
      <c r="Q147" s="14">
        <f t="shared" si="19"/>
        <v>38.3333333333333</v>
      </c>
      <c r="R147" s="9">
        <v>100</v>
      </c>
      <c r="S147" s="9">
        <v>86.1133478008557</v>
      </c>
      <c r="T147" s="9">
        <v>79.3757351864788</v>
      </c>
      <c r="U147" s="9">
        <v>7.40731988880516</v>
      </c>
      <c r="V147" s="9">
        <v>20.0284565161548</v>
      </c>
      <c r="W147" s="9">
        <v>39.5963717271495</v>
      </c>
      <c r="X147" s="9">
        <v>69.5738216928954</v>
      </c>
      <c r="Y147" s="19">
        <f t="shared" si="20"/>
        <v>57.4421504017628</v>
      </c>
      <c r="Z147" s="6">
        <f t="shared" si="21"/>
        <v>57.0743109426269</v>
      </c>
      <c r="AA147" s="9">
        <v>50</v>
      </c>
      <c r="AB147" s="9">
        <v>25</v>
      </c>
      <c r="AC147" s="14">
        <f t="shared" si="22"/>
        <v>37.5</v>
      </c>
      <c r="AD147" s="17">
        <v>0.993596349430459</v>
      </c>
      <c r="AE147" s="9">
        <f t="shared" si="23"/>
        <v>51.2332567770926</v>
      </c>
      <c r="AF147" s="18">
        <f>RANK(AE147,AE$3:AE$298)</f>
        <v>183</v>
      </c>
      <c r="AG147" s="20" t="e">
        <f>#REF!-AF147</f>
        <v>#REF!</v>
      </c>
    </row>
    <row r="148" spans="1:33">
      <c r="A148" s="9" t="s">
        <v>182</v>
      </c>
      <c r="B148" s="9">
        <v>80</v>
      </c>
      <c r="C148" s="9">
        <v>60</v>
      </c>
      <c r="D148" s="9">
        <v>60</v>
      </c>
      <c r="E148" s="9">
        <v>40</v>
      </c>
      <c r="F148" s="13">
        <f t="shared" si="16"/>
        <v>60</v>
      </c>
      <c r="G148" s="14">
        <f t="shared" si="17"/>
        <v>62.913675799599</v>
      </c>
      <c r="H148" s="9">
        <v>40</v>
      </c>
      <c r="I148" s="9">
        <v>60</v>
      </c>
      <c r="J148" s="9">
        <v>70</v>
      </c>
      <c r="K148" s="9">
        <v>100</v>
      </c>
      <c r="L148" s="9">
        <v>70</v>
      </c>
      <c r="M148" s="14">
        <f t="shared" si="18"/>
        <v>68</v>
      </c>
      <c r="N148" s="9">
        <v>70</v>
      </c>
      <c r="O148" s="9">
        <v>75</v>
      </c>
      <c r="P148" s="9">
        <v>0</v>
      </c>
      <c r="Q148" s="14">
        <f t="shared" si="19"/>
        <v>48.3333333333333</v>
      </c>
      <c r="R148" s="9">
        <v>100</v>
      </c>
      <c r="S148" s="9">
        <v>94.4337829603985</v>
      </c>
      <c r="T148" s="9">
        <v>92.1680007037261</v>
      </c>
      <c r="U148" s="9">
        <v>11.3567473912468</v>
      </c>
      <c r="V148" s="9">
        <v>22.77208069645</v>
      </c>
      <c r="W148" s="9">
        <v>22.0715283699333</v>
      </c>
      <c r="X148" s="9">
        <v>58.7085148146772</v>
      </c>
      <c r="Y148" s="19">
        <f t="shared" si="20"/>
        <v>57.3586649909188</v>
      </c>
      <c r="Z148" s="6">
        <f t="shared" si="21"/>
        <v>60.1440742256079</v>
      </c>
      <c r="AA148" s="9">
        <v>50</v>
      </c>
      <c r="AB148" s="9">
        <v>75</v>
      </c>
      <c r="AC148" s="14">
        <f t="shared" si="22"/>
        <v>62.5</v>
      </c>
      <c r="AD148" s="17">
        <v>1.04856126332665</v>
      </c>
      <c r="AE148" s="9">
        <f t="shared" si="23"/>
        <v>60.8509574276022</v>
      </c>
      <c r="AF148" s="18">
        <f>RANK(AE148,AE$3:AE$298)</f>
        <v>87</v>
      </c>
      <c r="AG148" s="20" t="e">
        <f>#REF!-AF148</f>
        <v>#REF!</v>
      </c>
    </row>
    <row r="149" spans="1:33">
      <c r="A149" s="9" t="s">
        <v>183</v>
      </c>
      <c r="B149" s="9">
        <v>80</v>
      </c>
      <c r="C149" s="9">
        <v>40</v>
      </c>
      <c r="D149" s="9">
        <v>40</v>
      </c>
      <c r="E149" s="9">
        <v>60</v>
      </c>
      <c r="F149" s="13">
        <f t="shared" si="16"/>
        <v>55</v>
      </c>
      <c r="G149" s="14">
        <f t="shared" si="17"/>
        <v>51.4195525717602</v>
      </c>
      <c r="H149" s="9">
        <v>20</v>
      </c>
      <c r="I149" s="9">
        <v>20</v>
      </c>
      <c r="J149" s="9">
        <v>100</v>
      </c>
      <c r="K149" s="9">
        <v>100</v>
      </c>
      <c r="L149" s="9">
        <v>70</v>
      </c>
      <c r="M149" s="14">
        <f t="shared" si="18"/>
        <v>62</v>
      </c>
      <c r="N149" s="9">
        <v>40</v>
      </c>
      <c r="O149" s="9">
        <v>25</v>
      </c>
      <c r="P149" s="9">
        <v>0</v>
      </c>
      <c r="Q149" s="14">
        <f t="shared" si="19"/>
        <v>21.6666666666667</v>
      </c>
      <c r="R149" s="9">
        <v>71.2241653418124</v>
      </c>
      <c r="S149" s="9">
        <v>94.6071253595556</v>
      </c>
      <c r="T149" s="9">
        <v>76.7650687543875</v>
      </c>
      <c r="U149" s="9">
        <v>1.54890716810663</v>
      </c>
      <c r="V149" s="9">
        <v>0</v>
      </c>
      <c r="W149" s="9">
        <v>100</v>
      </c>
      <c r="X149" s="9">
        <v>56.9541226225956</v>
      </c>
      <c r="Y149" s="19">
        <f t="shared" si="20"/>
        <v>57.299912749494</v>
      </c>
      <c r="Z149" s="6">
        <f t="shared" si="21"/>
        <v>53.5697431996342</v>
      </c>
      <c r="AA149" s="9">
        <v>25</v>
      </c>
      <c r="AB149" s="9">
        <v>25</v>
      </c>
      <c r="AC149" s="14">
        <f t="shared" si="22"/>
        <v>25</v>
      </c>
      <c r="AD149" s="17">
        <v>0.934900955850186</v>
      </c>
      <c r="AE149" s="9">
        <f t="shared" si="23"/>
        <v>45.7548334742423</v>
      </c>
      <c r="AF149" s="18">
        <f>RANK(AE149,AE$3:AE$298)</f>
        <v>235</v>
      </c>
      <c r="AG149" s="20" t="e">
        <f>#REF!-AF149</f>
        <v>#REF!</v>
      </c>
    </row>
    <row r="150" spans="1:33">
      <c r="A150" s="9" t="s">
        <v>184</v>
      </c>
      <c r="B150" s="9">
        <v>80</v>
      </c>
      <c r="C150" s="9">
        <v>40</v>
      </c>
      <c r="D150" s="9">
        <v>40</v>
      </c>
      <c r="E150" s="9">
        <v>40</v>
      </c>
      <c r="F150" s="13">
        <f t="shared" si="16"/>
        <v>50</v>
      </c>
      <c r="G150" s="14">
        <f t="shared" si="17"/>
        <v>49.3967109820988</v>
      </c>
      <c r="H150" s="9">
        <v>80</v>
      </c>
      <c r="I150" s="9">
        <v>80</v>
      </c>
      <c r="J150" s="9">
        <v>70</v>
      </c>
      <c r="K150" s="9">
        <v>100</v>
      </c>
      <c r="L150" s="9">
        <v>70</v>
      </c>
      <c r="M150" s="14">
        <f t="shared" si="18"/>
        <v>80</v>
      </c>
      <c r="N150" s="9">
        <v>70</v>
      </c>
      <c r="O150" s="9">
        <v>75</v>
      </c>
      <c r="P150" s="9">
        <v>0</v>
      </c>
      <c r="Q150" s="14">
        <f t="shared" si="19"/>
        <v>48.3333333333333</v>
      </c>
      <c r="R150" s="9">
        <v>100</v>
      </c>
      <c r="S150" s="9">
        <v>80.9515963592875</v>
      </c>
      <c r="T150" s="9">
        <v>74.0238690006917</v>
      </c>
      <c r="U150" s="9">
        <v>14.8432174006381</v>
      </c>
      <c r="V150" s="9">
        <v>22.7034900919426</v>
      </c>
      <c r="W150" s="9">
        <v>35.342351993969</v>
      </c>
      <c r="X150" s="9">
        <v>72.5013942901394</v>
      </c>
      <c r="Y150" s="19">
        <f t="shared" si="20"/>
        <v>57.1951313052383</v>
      </c>
      <c r="Z150" s="6">
        <f t="shared" si="21"/>
        <v>56.5050274133609</v>
      </c>
      <c r="AA150" s="9">
        <v>75</v>
      </c>
      <c r="AB150" s="9">
        <v>50</v>
      </c>
      <c r="AC150" s="14">
        <f t="shared" si="22"/>
        <v>62.5</v>
      </c>
      <c r="AD150" s="17">
        <v>0.987934219641975</v>
      </c>
      <c r="AE150" s="9">
        <f t="shared" si="23"/>
        <v>59.455850420428</v>
      </c>
      <c r="AF150" s="18">
        <f>RANK(AE150,AE$3:AE$298)</f>
        <v>97</v>
      </c>
      <c r="AG150" s="20" t="e">
        <f>#REF!-AF150</f>
        <v>#REF!</v>
      </c>
    </row>
    <row r="151" spans="1:33">
      <c r="A151" s="9" t="s">
        <v>185</v>
      </c>
      <c r="B151" s="9">
        <v>100</v>
      </c>
      <c r="C151" s="9">
        <v>40</v>
      </c>
      <c r="D151" s="9">
        <v>20</v>
      </c>
      <c r="E151" s="9">
        <v>60</v>
      </c>
      <c r="F151" s="13">
        <f t="shared" si="16"/>
        <v>55</v>
      </c>
      <c r="G151" s="14">
        <f t="shared" si="17"/>
        <v>55.7843788967558</v>
      </c>
      <c r="H151" s="9">
        <v>20</v>
      </c>
      <c r="I151" s="9">
        <v>20</v>
      </c>
      <c r="J151" s="9">
        <v>40</v>
      </c>
      <c r="K151" s="9">
        <v>70</v>
      </c>
      <c r="L151" s="9">
        <v>30</v>
      </c>
      <c r="M151" s="14">
        <f t="shared" si="18"/>
        <v>36</v>
      </c>
      <c r="N151" s="9">
        <v>20</v>
      </c>
      <c r="O151" s="9">
        <v>25</v>
      </c>
      <c r="P151" s="9">
        <v>0</v>
      </c>
      <c r="Q151" s="14">
        <f t="shared" si="19"/>
        <v>15</v>
      </c>
      <c r="R151" s="9">
        <v>94.3828811616355</v>
      </c>
      <c r="S151" s="9">
        <v>82.3190752859716</v>
      </c>
      <c r="T151" s="9">
        <v>76.2429354679693</v>
      </c>
      <c r="U151" s="9">
        <v>15.9405981249055</v>
      </c>
      <c r="V151" s="9">
        <v>23.1836243234942</v>
      </c>
      <c r="W151" s="9">
        <v>32.4840426045867</v>
      </c>
      <c r="X151" s="9">
        <v>75.2824931600367</v>
      </c>
      <c r="Y151" s="19">
        <f t="shared" si="20"/>
        <v>57.1193785897999</v>
      </c>
      <c r="Z151" s="6">
        <f t="shared" si="21"/>
        <v>57.9339828654662</v>
      </c>
      <c r="AA151" s="9">
        <v>25</v>
      </c>
      <c r="AB151" s="9">
        <v>25</v>
      </c>
      <c r="AC151" s="14">
        <f t="shared" si="22"/>
        <v>25</v>
      </c>
      <c r="AD151" s="17">
        <v>1.01426143448647</v>
      </c>
      <c r="AE151" s="9">
        <f t="shared" si="23"/>
        <v>41.737070638991</v>
      </c>
      <c r="AF151" s="18">
        <f>RANK(AE151,AE$3:AE$298)</f>
        <v>266</v>
      </c>
      <c r="AG151" s="20" t="e">
        <f>#REF!-AF151</f>
        <v>#REF!</v>
      </c>
    </row>
    <row r="152" spans="1:33">
      <c r="A152" s="9" t="s">
        <v>186</v>
      </c>
      <c r="B152" s="9">
        <v>100</v>
      </c>
      <c r="C152" s="9">
        <v>60</v>
      </c>
      <c r="D152" s="9">
        <v>60</v>
      </c>
      <c r="E152" s="9">
        <v>60</v>
      </c>
      <c r="F152" s="13">
        <f t="shared" si="16"/>
        <v>70</v>
      </c>
      <c r="G152" s="14">
        <f t="shared" si="17"/>
        <v>69.7384546624933</v>
      </c>
      <c r="H152" s="9">
        <v>20</v>
      </c>
      <c r="I152" s="9">
        <v>40</v>
      </c>
      <c r="J152" s="9">
        <v>70</v>
      </c>
      <c r="K152" s="9">
        <v>100</v>
      </c>
      <c r="L152" s="9">
        <v>70</v>
      </c>
      <c r="M152" s="14">
        <f t="shared" si="18"/>
        <v>60</v>
      </c>
      <c r="N152" s="9">
        <v>20</v>
      </c>
      <c r="O152" s="9">
        <v>25</v>
      </c>
      <c r="P152" s="9">
        <v>0</v>
      </c>
      <c r="Q152" s="14">
        <f t="shared" si="19"/>
        <v>15</v>
      </c>
      <c r="R152" s="9">
        <v>84.8627450980392</v>
      </c>
      <c r="S152" s="9">
        <v>92.9700027008493</v>
      </c>
      <c r="T152" s="9">
        <v>88.5130676987983</v>
      </c>
      <c r="U152" s="9">
        <v>8.01888102160003</v>
      </c>
      <c r="V152" s="9">
        <v>17.8335571719186</v>
      </c>
      <c r="W152" s="9">
        <v>34.3645617737005</v>
      </c>
      <c r="X152" s="9">
        <v>73.078401330684</v>
      </c>
      <c r="Y152" s="19">
        <f t="shared" si="20"/>
        <v>57.09160239937</v>
      </c>
      <c r="Z152" s="6">
        <f t="shared" si="21"/>
        <v>56.8782875076794</v>
      </c>
      <c r="AA152" s="9">
        <v>50</v>
      </c>
      <c r="AB152" s="9">
        <v>25</v>
      </c>
      <c r="AC152" s="14">
        <f t="shared" si="22"/>
        <v>37.5</v>
      </c>
      <c r="AD152" s="17">
        <v>0.996263638035619</v>
      </c>
      <c r="AE152" s="9">
        <f t="shared" si="23"/>
        <v>50.8861771848025</v>
      </c>
      <c r="AF152" s="18">
        <f>RANK(AE152,AE$3:AE$298)</f>
        <v>187</v>
      </c>
      <c r="AG152" s="20" t="e">
        <f>#REF!-AF152</f>
        <v>#REF!</v>
      </c>
    </row>
    <row r="153" spans="1:33">
      <c r="A153" s="9" t="s">
        <v>187</v>
      </c>
      <c r="B153" s="9">
        <v>60</v>
      </c>
      <c r="C153" s="9">
        <v>20</v>
      </c>
      <c r="D153" s="9">
        <v>20</v>
      </c>
      <c r="E153" s="9">
        <v>40</v>
      </c>
      <c r="F153" s="13">
        <f t="shared" si="16"/>
        <v>35</v>
      </c>
      <c r="G153" s="14">
        <f t="shared" si="17"/>
        <v>36.7000878700473</v>
      </c>
      <c r="H153" s="9">
        <v>20</v>
      </c>
      <c r="I153" s="9">
        <v>20</v>
      </c>
      <c r="J153" s="9">
        <v>20</v>
      </c>
      <c r="K153" s="9">
        <v>20</v>
      </c>
      <c r="L153" s="9">
        <v>20</v>
      </c>
      <c r="M153" s="14">
        <f t="shared" si="18"/>
        <v>20</v>
      </c>
      <c r="N153" s="9">
        <v>20</v>
      </c>
      <c r="O153" s="9">
        <v>25</v>
      </c>
      <c r="P153" s="9">
        <v>0</v>
      </c>
      <c r="Q153" s="14">
        <f t="shared" si="19"/>
        <v>15</v>
      </c>
      <c r="R153" s="9">
        <v>60.6837606837607</v>
      </c>
      <c r="S153" s="9">
        <v>92.4307152368048</v>
      </c>
      <c r="T153" s="9">
        <v>82.1169349401747</v>
      </c>
      <c r="U153" s="9">
        <v>5.60121411344834</v>
      </c>
      <c r="V153" s="9">
        <v>8.9853691904667</v>
      </c>
      <c r="W153" s="9">
        <v>98.2925355451951</v>
      </c>
      <c r="X153" s="9">
        <v>51.2560794725476</v>
      </c>
      <c r="Y153" s="19">
        <f t="shared" si="20"/>
        <v>57.0523727403426</v>
      </c>
      <c r="Z153" s="6">
        <f t="shared" si="21"/>
        <v>59.8236312218647</v>
      </c>
      <c r="AA153" s="9">
        <v>25</v>
      </c>
      <c r="AB153" s="9">
        <v>25</v>
      </c>
      <c r="AC153" s="14">
        <f t="shared" si="22"/>
        <v>25</v>
      </c>
      <c r="AD153" s="17">
        <v>1.04857393914421</v>
      </c>
      <c r="AE153" s="9">
        <f t="shared" si="23"/>
        <v>35.2871069405689</v>
      </c>
      <c r="AF153" s="18">
        <f>RANK(AE153,AE$3:AE$298)</f>
        <v>291</v>
      </c>
      <c r="AG153" s="20" t="e">
        <f>#REF!-AF153</f>
        <v>#REF!</v>
      </c>
    </row>
    <row r="154" spans="1:33">
      <c r="A154" s="9" t="s">
        <v>188</v>
      </c>
      <c r="B154" s="9">
        <v>100</v>
      </c>
      <c r="C154" s="9">
        <v>60</v>
      </c>
      <c r="D154" s="9">
        <v>40</v>
      </c>
      <c r="E154" s="9">
        <v>60</v>
      </c>
      <c r="F154" s="13">
        <f t="shared" si="16"/>
        <v>65</v>
      </c>
      <c r="G154" s="14">
        <f t="shared" si="17"/>
        <v>63.8240099322575</v>
      </c>
      <c r="H154" s="9">
        <v>40</v>
      </c>
      <c r="I154" s="9">
        <v>40</v>
      </c>
      <c r="J154" s="9">
        <v>40</v>
      </c>
      <c r="K154" s="9">
        <v>100</v>
      </c>
      <c r="L154" s="9">
        <v>70</v>
      </c>
      <c r="M154" s="14">
        <f t="shared" si="18"/>
        <v>58</v>
      </c>
      <c r="N154" s="9">
        <v>70</v>
      </c>
      <c r="O154" s="9">
        <v>75</v>
      </c>
      <c r="P154" s="9">
        <v>0</v>
      </c>
      <c r="Q154" s="14">
        <f t="shared" si="19"/>
        <v>48.3333333333333</v>
      </c>
      <c r="R154" s="9">
        <v>92.5</v>
      </c>
      <c r="S154" s="9">
        <v>89.0601685865271</v>
      </c>
      <c r="T154" s="9">
        <v>80.2894684377108</v>
      </c>
      <c r="U154" s="9">
        <v>4.55527311063095</v>
      </c>
      <c r="V154" s="9">
        <v>14.815570573594</v>
      </c>
      <c r="W154" s="9">
        <v>45.1021325586686</v>
      </c>
      <c r="X154" s="9">
        <v>73.0098646280476</v>
      </c>
      <c r="Y154" s="19">
        <f t="shared" si="20"/>
        <v>57.0474968421684</v>
      </c>
      <c r="Z154" s="6">
        <f t="shared" si="21"/>
        <v>56.0153846933075</v>
      </c>
      <c r="AA154" s="9">
        <v>50</v>
      </c>
      <c r="AB154" s="9">
        <v>25</v>
      </c>
      <c r="AC154" s="14">
        <f t="shared" si="22"/>
        <v>37.5</v>
      </c>
      <c r="AD154" s="17">
        <v>0.981907845111654</v>
      </c>
      <c r="AE154" s="9">
        <f t="shared" si="23"/>
        <v>54.0444173944437</v>
      </c>
      <c r="AF154" s="18">
        <f>RANK(AE154,AE$3:AE$298)</f>
        <v>151</v>
      </c>
      <c r="AG154" s="20" t="e">
        <f>#REF!-AF154</f>
        <v>#REF!</v>
      </c>
    </row>
    <row r="155" spans="1:33">
      <c r="A155" s="9" t="s">
        <v>189</v>
      </c>
      <c r="B155" s="9">
        <v>100</v>
      </c>
      <c r="C155" s="9">
        <v>60</v>
      </c>
      <c r="D155" s="9">
        <v>60</v>
      </c>
      <c r="E155" s="9">
        <v>80</v>
      </c>
      <c r="F155" s="13">
        <f t="shared" si="16"/>
        <v>75</v>
      </c>
      <c r="G155" s="14">
        <f t="shared" si="17"/>
        <v>74.4495153740467</v>
      </c>
      <c r="H155" s="9">
        <v>80</v>
      </c>
      <c r="I155" s="9">
        <v>60</v>
      </c>
      <c r="J155" s="9">
        <v>100</v>
      </c>
      <c r="K155" s="9">
        <v>100</v>
      </c>
      <c r="L155" s="9">
        <v>70</v>
      </c>
      <c r="M155" s="14">
        <f t="shared" si="18"/>
        <v>82</v>
      </c>
      <c r="N155" s="9">
        <v>70</v>
      </c>
      <c r="O155" s="9">
        <v>75</v>
      </c>
      <c r="P155" s="9">
        <v>25</v>
      </c>
      <c r="Q155" s="14">
        <f t="shared" si="19"/>
        <v>56.6666666666667</v>
      </c>
      <c r="R155" s="9">
        <v>90.5875641756988</v>
      </c>
      <c r="S155" s="9">
        <v>93.855974963208</v>
      </c>
      <c r="T155" s="9">
        <v>88.3825343771938</v>
      </c>
      <c r="U155" s="9">
        <v>10.7166086354241</v>
      </c>
      <c r="V155" s="9">
        <v>14.3354363420423</v>
      </c>
      <c r="W155" s="9">
        <v>38.244063926555</v>
      </c>
      <c r="X155" s="9">
        <v>63.174657343201</v>
      </c>
      <c r="Y155" s="19">
        <f t="shared" si="20"/>
        <v>57.0424056804747</v>
      </c>
      <c r="Z155" s="6">
        <f t="shared" si="21"/>
        <v>56.6237261157481</v>
      </c>
      <c r="AA155" s="9">
        <v>75</v>
      </c>
      <c r="AB155" s="9">
        <v>75</v>
      </c>
      <c r="AC155" s="14">
        <f t="shared" si="22"/>
        <v>75</v>
      </c>
      <c r="AD155" s="17">
        <v>0.992660204987289</v>
      </c>
      <c r="AE155" s="9">
        <f t="shared" si="23"/>
        <v>68.0270209095338</v>
      </c>
      <c r="AF155" s="18">
        <f>RANK(AE155,AE$3:AE$298)</f>
        <v>36</v>
      </c>
      <c r="AG155" s="20" t="e">
        <f>#REF!-AF155</f>
        <v>#REF!</v>
      </c>
    </row>
    <row r="156" spans="1:33">
      <c r="A156" s="9" t="s">
        <v>190</v>
      </c>
      <c r="B156" s="9">
        <v>80</v>
      </c>
      <c r="C156" s="9">
        <v>60</v>
      </c>
      <c r="D156" s="9">
        <v>20</v>
      </c>
      <c r="E156" s="9">
        <v>60</v>
      </c>
      <c r="F156" s="13">
        <f t="shared" si="16"/>
        <v>55</v>
      </c>
      <c r="G156" s="14">
        <f t="shared" si="17"/>
        <v>52.8028963421275</v>
      </c>
      <c r="H156" s="9">
        <v>60</v>
      </c>
      <c r="I156" s="9">
        <v>80</v>
      </c>
      <c r="J156" s="9">
        <v>70</v>
      </c>
      <c r="K156" s="9">
        <v>40</v>
      </c>
      <c r="L156" s="9">
        <v>70</v>
      </c>
      <c r="M156" s="14">
        <f t="shared" si="18"/>
        <v>64</v>
      </c>
      <c r="N156" s="9">
        <v>70</v>
      </c>
      <c r="O156" s="9">
        <v>75</v>
      </c>
      <c r="P156" s="9">
        <v>0</v>
      </c>
      <c r="Q156" s="14">
        <f t="shared" si="19"/>
        <v>48.3333333333333</v>
      </c>
      <c r="R156" s="9">
        <v>100</v>
      </c>
      <c r="S156" s="9">
        <v>79.5070763663114</v>
      </c>
      <c r="T156" s="9">
        <v>63.5812032723265</v>
      </c>
      <c r="U156" s="9">
        <v>8.17320018595014</v>
      </c>
      <c r="V156" s="9">
        <v>14.6097987600718</v>
      </c>
      <c r="W156" s="9">
        <v>56.8090940380532</v>
      </c>
      <c r="X156" s="9">
        <v>75.5857373117978</v>
      </c>
      <c r="Y156" s="19">
        <f t="shared" si="20"/>
        <v>56.895158562073</v>
      </c>
      <c r="Z156" s="6">
        <f t="shared" si="21"/>
        <v>54.622348362219</v>
      </c>
      <c r="AA156" s="9">
        <v>50</v>
      </c>
      <c r="AB156" s="9">
        <v>50</v>
      </c>
      <c r="AC156" s="14">
        <f t="shared" si="22"/>
        <v>50</v>
      </c>
      <c r="AD156" s="17">
        <v>0.960052660765954</v>
      </c>
      <c r="AE156" s="9">
        <f t="shared" si="23"/>
        <v>54.4972837770912</v>
      </c>
      <c r="AF156" s="18">
        <f>RANK(AE156,AE$3:AE$298)</f>
        <v>142</v>
      </c>
      <c r="AG156" s="20" t="e">
        <f>#REF!-AF156</f>
        <v>#REF!</v>
      </c>
    </row>
    <row r="157" spans="1:33">
      <c r="A157" s="9" t="s">
        <v>191</v>
      </c>
      <c r="B157" s="9">
        <v>100</v>
      </c>
      <c r="C157" s="9">
        <v>40</v>
      </c>
      <c r="D157" s="9">
        <v>60</v>
      </c>
      <c r="E157" s="9">
        <v>60</v>
      </c>
      <c r="F157" s="13">
        <f t="shared" si="16"/>
        <v>65</v>
      </c>
      <c r="G157" s="14">
        <f t="shared" si="17"/>
        <v>65.0582498733004</v>
      </c>
      <c r="H157" s="9">
        <v>100</v>
      </c>
      <c r="I157" s="9">
        <v>80</v>
      </c>
      <c r="J157" s="9">
        <v>40</v>
      </c>
      <c r="K157" s="9">
        <v>70</v>
      </c>
      <c r="L157" s="9">
        <v>70</v>
      </c>
      <c r="M157" s="14">
        <f t="shared" si="18"/>
        <v>72</v>
      </c>
      <c r="N157" s="9">
        <v>40</v>
      </c>
      <c r="O157" s="9">
        <v>25</v>
      </c>
      <c r="P157" s="9">
        <v>0</v>
      </c>
      <c r="Q157" s="14">
        <f t="shared" si="19"/>
        <v>21.6666666666667</v>
      </c>
      <c r="R157" s="9">
        <v>95.9006211180124</v>
      </c>
      <c r="S157" s="9">
        <v>88.7134837882128</v>
      </c>
      <c r="T157" s="9">
        <v>81.2032016889427</v>
      </c>
      <c r="U157" s="9">
        <v>5.4526104737038</v>
      </c>
      <c r="V157" s="9">
        <v>16.804698104308</v>
      </c>
      <c r="W157" s="9">
        <v>33.6667097889275</v>
      </c>
      <c r="X157" s="9">
        <v>76.5155220060565</v>
      </c>
      <c r="Y157" s="19">
        <f t="shared" si="20"/>
        <v>56.8938352811662</v>
      </c>
      <c r="Z157" s="6">
        <f t="shared" si="21"/>
        <v>56.9448207995771</v>
      </c>
      <c r="AA157" s="9">
        <v>50</v>
      </c>
      <c r="AB157" s="9">
        <v>25</v>
      </c>
      <c r="AC157" s="14">
        <f t="shared" si="22"/>
        <v>37.5</v>
      </c>
      <c r="AD157" s="17">
        <v>1.00089615189693</v>
      </c>
      <c r="AE157" s="9">
        <f t="shared" si="23"/>
        <v>53.3700962145332</v>
      </c>
      <c r="AF157" s="18">
        <f>RANK(AE157,AE$3:AE$298)</f>
        <v>160</v>
      </c>
      <c r="AG157" s="20" t="e">
        <f>#REF!-AF157</f>
        <v>#REF!</v>
      </c>
    </row>
    <row r="158" spans="1:33">
      <c r="A158" s="9" t="s">
        <v>192</v>
      </c>
      <c r="B158" s="9">
        <v>100</v>
      </c>
      <c r="C158" s="9">
        <v>80</v>
      </c>
      <c r="D158" s="9">
        <v>40</v>
      </c>
      <c r="E158" s="9">
        <v>60</v>
      </c>
      <c r="F158" s="13">
        <f t="shared" si="16"/>
        <v>70</v>
      </c>
      <c r="G158" s="14">
        <f t="shared" si="17"/>
        <v>68.6016522884075</v>
      </c>
      <c r="H158" s="9">
        <v>20</v>
      </c>
      <c r="I158" s="9">
        <v>20</v>
      </c>
      <c r="J158" s="9">
        <v>20</v>
      </c>
      <c r="K158" s="9">
        <v>20</v>
      </c>
      <c r="L158" s="9">
        <v>30</v>
      </c>
      <c r="M158" s="14">
        <f t="shared" si="18"/>
        <v>22</v>
      </c>
      <c r="N158" s="9">
        <v>20</v>
      </c>
      <c r="O158" s="9">
        <v>25</v>
      </c>
      <c r="P158" s="9">
        <v>0</v>
      </c>
      <c r="Q158" s="14">
        <f t="shared" si="19"/>
        <v>15</v>
      </c>
      <c r="R158" s="9">
        <v>100</v>
      </c>
      <c r="S158" s="9">
        <v>92.0262496387715</v>
      </c>
      <c r="T158" s="9">
        <v>84.5970680506614</v>
      </c>
      <c r="U158" s="9">
        <v>7.94457920172775</v>
      </c>
      <c r="V158" s="9">
        <v>13.375167878939</v>
      </c>
      <c r="W158" s="9">
        <v>41.7819976804621</v>
      </c>
      <c r="X158" s="9">
        <v>58.1658316296149</v>
      </c>
      <c r="Y158" s="19">
        <f t="shared" si="20"/>
        <v>56.8415562971681</v>
      </c>
      <c r="Z158" s="6">
        <f t="shared" si="21"/>
        <v>55.7060668661466</v>
      </c>
      <c r="AA158" s="9">
        <v>25</v>
      </c>
      <c r="AB158" s="9">
        <v>25</v>
      </c>
      <c r="AC158" s="14">
        <f t="shared" si="22"/>
        <v>25</v>
      </c>
      <c r="AD158" s="17">
        <v>0.980023604120107</v>
      </c>
      <c r="AE158" s="9">
        <f t="shared" si="23"/>
        <v>40.8321505175255</v>
      </c>
      <c r="AF158" s="18">
        <f>RANK(AE158,AE$3:AE$298)</f>
        <v>270</v>
      </c>
      <c r="AG158" s="20" t="e">
        <f>#REF!-AF158</f>
        <v>#REF!</v>
      </c>
    </row>
    <row r="159" spans="1:33">
      <c r="A159" s="9" t="s">
        <v>193</v>
      </c>
      <c r="B159" s="9">
        <v>80</v>
      </c>
      <c r="C159" s="9">
        <v>40</v>
      </c>
      <c r="D159" s="9">
        <v>40</v>
      </c>
      <c r="E159" s="9">
        <v>80</v>
      </c>
      <c r="F159" s="13">
        <f t="shared" si="16"/>
        <v>60</v>
      </c>
      <c r="G159" s="14">
        <f t="shared" si="17"/>
        <v>62.6914390705362</v>
      </c>
      <c r="H159" s="9">
        <v>60</v>
      </c>
      <c r="I159" s="9">
        <v>100</v>
      </c>
      <c r="J159" s="9">
        <v>100</v>
      </c>
      <c r="K159" s="9">
        <v>100</v>
      </c>
      <c r="L159" s="9">
        <v>70</v>
      </c>
      <c r="M159" s="14">
        <f t="shared" si="18"/>
        <v>86</v>
      </c>
      <c r="N159" s="9">
        <v>70</v>
      </c>
      <c r="O159" s="9">
        <v>75</v>
      </c>
      <c r="P159" s="9">
        <v>25</v>
      </c>
      <c r="Q159" s="14">
        <f t="shared" si="19"/>
        <v>56.6666666666667</v>
      </c>
      <c r="R159" s="9">
        <v>100</v>
      </c>
      <c r="S159" s="9">
        <v>87.5771280604049</v>
      </c>
      <c r="T159" s="9">
        <v>84.5970680506614</v>
      </c>
      <c r="U159" s="9">
        <v>11.6310925723137</v>
      </c>
      <c r="V159" s="9">
        <v>26.2016109218189</v>
      </c>
      <c r="W159" s="9">
        <v>24.6261593077438</v>
      </c>
      <c r="X159" s="9">
        <v>63.1518540546613</v>
      </c>
      <c r="Y159" s="19">
        <f t="shared" si="20"/>
        <v>56.8264161382291</v>
      </c>
      <c r="Z159" s="6">
        <f t="shared" si="21"/>
        <v>59.3754967487788</v>
      </c>
      <c r="AA159" s="9">
        <v>50</v>
      </c>
      <c r="AB159" s="9">
        <v>100</v>
      </c>
      <c r="AC159" s="14">
        <f t="shared" si="22"/>
        <v>75</v>
      </c>
      <c r="AD159" s="17">
        <v>1.04485731784227</v>
      </c>
      <c r="AE159" s="9">
        <f t="shared" si="23"/>
        <v>67.3009368387409</v>
      </c>
      <c r="AF159" s="18">
        <f>RANK(AE159,AE$3:AE$298)</f>
        <v>42</v>
      </c>
      <c r="AG159" s="20" t="e">
        <f>#REF!-AF159</f>
        <v>#REF!</v>
      </c>
    </row>
    <row r="160" spans="1:33">
      <c r="A160" s="9" t="s">
        <v>194</v>
      </c>
      <c r="B160" s="9">
        <v>100</v>
      </c>
      <c r="C160" s="9">
        <v>20</v>
      </c>
      <c r="D160" s="9">
        <v>20</v>
      </c>
      <c r="E160" s="9">
        <v>40</v>
      </c>
      <c r="F160" s="13">
        <f t="shared" si="16"/>
        <v>45</v>
      </c>
      <c r="G160" s="14">
        <f t="shared" si="17"/>
        <v>46.894701950059</v>
      </c>
      <c r="H160" s="9">
        <v>20</v>
      </c>
      <c r="I160" s="9">
        <v>20</v>
      </c>
      <c r="J160" s="9">
        <v>40</v>
      </c>
      <c r="K160" s="9">
        <v>30</v>
      </c>
      <c r="L160" s="9">
        <v>30</v>
      </c>
      <c r="M160" s="14">
        <f t="shared" si="18"/>
        <v>28</v>
      </c>
      <c r="N160" s="9">
        <v>20</v>
      </c>
      <c r="O160" s="9">
        <v>25</v>
      </c>
      <c r="P160" s="9">
        <v>0</v>
      </c>
      <c r="Q160" s="14">
        <f t="shared" si="19"/>
        <v>15</v>
      </c>
      <c r="R160" s="9">
        <v>100</v>
      </c>
      <c r="S160" s="9">
        <v>82.1457328868145</v>
      </c>
      <c r="T160" s="9">
        <v>67.4972029204635</v>
      </c>
      <c r="U160" s="9">
        <v>2.29764089143493</v>
      </c>
      <c r="V160" s="9">
        <v>14.1296645285202</v>
      </c>
      <c r="W160" s="9">
        <v>45.1138075839367</v>
      </c>
      <c r="X160" s="9">
        <v>82.9605399153379</v>
      </c>
      <c r="Y160" s="19">
        <f t="shared" si="20"/>
        <v>56.3063698180725</v>
      </c>
      <c r="Z160" s="6">
        <f t="shared" si="21"/>
        <v>58.6771206779625</v>
      </c>
      <c r="AA160" s="9">
        <v>25</v>
      </c>
      <c r="AB160" s="9">
        <v>25</v>
      </c>
      <c r="AC160" s="14">
        <f t="shared" si="22"/>
        <v>25</v>
      </c>
      <c r="AD160" s="17">
        <v>1.04210448777909</v>
      </c>
      <c r="AE160" s="9">
        <f t="shared" si="23"/>
        <v>38.5820765934006</v>
      </c>
      <c r="AF160" s="18">
        <f>RANK(AE160,AE$3:AE$298)</f>
        <v>279</v>
      </c>
      <c r="AG160" s="20" t="e">
        <f>#REF!-AF160</f>
        <v>#REF!</v>
      </c>
    </row>
    <row r="161" spans="1:33">
      <c r="A161" s="9" t="s">
        <v>195</v>
      </c>
      <c r="B161" s="9">
        <v>100</v>
      </c>
      <c r="C161" s="9">
        <v>40</v>
      </c>
      <c r="D161" s="9">
        <v>40</v>
      </c>
      <c r="E161" s="9">
        <v>40</v>
      </c>
      <c r="F161" s="13">
        <f t="shared" si="16"/>
        <v>55</v>
      </c>
      <c r="G161" s="14">
        <f t="shared" si="17"/>
        <v>53.8099044505557</v>
      </c>
      <c r="H161" s="9">
        <v>100</v>
      </c>
      <c r="I161" s="9">
        <v>100</v>
      </c>
      <c r="J161" s="9">
        <v>100</v>
      </c>
      <c r="K161" s="9">
        <v>70</v>
      </c>
      <c r="L161" s="9">
        <v>70</v>
      </c>
      <c r="M161" s="14">
        <f t="shared" si="18"/>
        <v>88</v>
      </c>
      <c r="N161" s="9">
        <v>70</v>
      </c>
      <c r="O161" s="9">
        <v>75</v>
      </c>
      <c r="P161" s="9">
        <v>50</v>
      </c>
      <c r="Q161" s="14">
        <f t="shared" si="19"/>
        <v>65</v>
      </c>
      <c r="R161" s="9">
        <v>88.4968445209409</v>
      </c>
      <c r="S161" s="9">
        <v>67.8931356227829</v>
      </c>
      <c r="T161" s="9">
        <v>69.7162693877411</v>
      </c>
      <c r="U161" s="9">
        <v>8.39610564556696</v>
      </c>
      <c r="V161" s="9">
        <v>37.3818794565218</v>
      </c>
      <c r="W161" s="9">
        <v>32.9158171987506</v>
      </c>
      <c r="X161" s="9">
        <v>89.3430681311619</v>
      </c>
      <c r="Y161" s="19">
        <f t="shared" si="20"/>
        <v>56.3061599947809</v>
      </c>
      <c r="Z161" s="6">
        <f t="shared" si="21"/>
        <v>55.0878016235792</v>
      </c>
      <c r="AA161" s="9">
        <v>75</v>
      </c>
      <c r="AB161" s="9">
        <v>50</v>
      </c>
      <c r="AC161" s="14">
        <f t="shared" si="22"/>
        <v>62.5</v>
      </c>
      <c r="AD161" s="17">
        <v>0.978361899101012</v>
      </c>
      <c r="AE161" s="9">
        <f t="shared" si="23"/>
        <v>64.0133213771849</v>
      </c>
      <c r="AF161" s="18">
        <f>RANK(AE161,AE$3:AE$298)</f>
        <v>58</v>
      </c>
      <c r="AG161" s="20" t="e">
        <f>#REF!-AF161</f>
        <v>#REF!</v>
      </c>
    </row>
    <row r="162" spans="1:33">
      <c r="A162" s="9" t="s">
        <v>196</v>
      </c>
      <c r="B162" s="9">
        <v>100</v>
      </c>
      <c r="C162" s="9">
        <v>60</v>
      </c>
      <c r="D162" s="9">
        <v>20</v>
      </c>
      <c r="E162" s="9">
        <v>60</v>
      </c>
      <c r="F162" s="13">
        <f t="shared" si="16"/>
        <v>60</v>
      </c>
      <c r="G162" s="14">
        <f t="shared" si="17"/>
        <v>61.3576269355176</v>
      </c>
      <c r="H162" s="9">
        <v>20</v>
      </c>
      <c r="I162" s="9">
        <v>40</v>
      </c>
      <c r="J162" s="9">
        <v>70</v>
      </c>
      <c r="K162" s="9">
        <v>30</v>
      </c>
      <c r="L162" s="9">
        <v>30</v>
      </c>
      <c r="M162" s="14">
        <f t="shared" si="18"/>
        <v>38</v>
      </c>
      <c r="N162" s="9">
        <v>40</v>
      </c>
      <c r="O162" s="9">
        <v>25</v>
      </c>
      <c r="P162" s="9">
        <v>0</v>
      </c>
      <c r="Q162" s="14">
        <f t="shared" si="19"/>
        <v>21.6666666666667</v>
      </c>
      <c r="R162" s="9">
        <v>100</v>
      </c>
      <c r="S162" s="9">
        <v>94.8767690915778</v>
      </c>
      <c r="T162" s="9">
        <v>89.9489342364485</v>
      </c>
      <c r="U162" s="9">
        <v>15.7462702883165</v>
      </c>
      <c r="V162" s="9">
        <v>13.6495302969685</v>
      </c>
      <c r="W162" s="9">
        <v>32.0567043039976</v>
      </c>
      <c r="X162" s="9">
        <v>46.8840768921018</v>
      </c>
      <c r="Y162" s="19">
        <f t="shared" si="20"/>
        <v>56.1660407299158</v>
      </c>
      <c r="Z162" s="6">
        <f t="shared" si="21"/>
        <v>57.4369162258544</v>
      </c>
      <c r="AA162" s="9">
        <v>25</v>
      </c>
      <c r="AB162" s="9">
        <v>25</v>
      </c>
      <c r="AC162" s="14">
        <f t="shared" si="22"/>
        <v>25</v>
      </c>
      <c r="AD162" s="17">
        <v>1.02262711559196</v>
      </c>
      <c r="AE162" s="9">
        <f t="shared" si="23"/>
        <v>44.1026002548598</v>
      </c>
      <c r="AF162" s="18">
        <f>RANK(AE162,AE$3:AE$298)</f>
        <v>249</v>
      </c>
      <c r="AG162" s="20" t="e">
        <f>#REF!-AF162</f>
        <v>#REF!</v>
      </c>
    </row>
    <row r="163" spans="1:33">
      <c r="A163" s="9" t="s">
        <v>197</v>
      </c>
      <c r="B163" s="9">
        <v>80</v>
      </c>
      <c r="C163" s="9">
        <v>40</v>
      </c>
      <c r="D163" s="9">
        <v>60</v>
      </c>
      <c r="E163" s="9">
        <v>60</v>
      </c>
      <c r="F163" s="13">
        <f t="shared" si="16"/>
        <v>60</v>
      </c>
      <c r="G163" s="14">
        <f t="shared" si="17"/>
        <v>57.4384428165254</v>
      </c>
      <c r="H163" s="9">
        <v>100</v>
      </c>
      <c r="I163" s="9">
        <v>80</v>
      </c>
      <c r="J163" s="9">
        <v>100</v>
      </c>
      <c r="K163" s="9">
        <v>100</v>
      </c>
      <c r="L163" s="9">
        <v>70</v>
      </c>
      <c r="M163" s="14">
        <f t="shared" si="18"/>
        <v>90</v>
      </c>
      <c r="N163" s="9">
        <v>40</v>
      </c>
      <c r="O163" s="9">
        <v>75</v>
      </c>
      <c r="P163" s="9">
        <v>0</v>
      </c>
      <c r="Q163" s="14">
        <f t="shared" si="19"/>
        <v>38.3333333333333</v>
      </c>
      <c r="R163" s="9">
        <v>77.4595267745953</v>
      </c>
      <c r="S163" s="9">
        <v>94.4337829603985</v>
      </c>
      <c r="T163" s="9">
        <v>81.3337350105473</v>
      </c>
      <c r="U163" s="9">
        <v>2.84061572896309</v>
      </c>
      <c r="V163" s="9">
        <v>3.29234901635421</v>
      </c>
      <c r="W163" s="9">
        <v>65.9358476046109</v>
      </c>
      <c r="X163" s="9">
        <v>67.3907149564031</v>
      </c>
      <c r="Y163" s="19">
        <f t="shared" si="20"/>
        <v>56.0980817216961</v>
      </c>
      <c r="Z163" s="6">
        <f t="shared" si="21"/>
        <v>53.7031076514735</v>
      </c>
      <c r="AA163" s="9">
        <v>50</v>
      </c>
      <c r="AB163" s="9">
        <v>50</v>
      </c>
      <c r="AC163" s="14">
        <f t="shared" si="22"/>
        <v>50</v>
      </c>
      <c r="AD163" s="17">
        <v>0.957307380275424</v>
      </c>
      <c r="AE163" s="9">
        <f t="shared" si="23"/>
        <v>58.8486208587471</v>
      </c>
      <c r="AF163" s="18">
        <f>RANK(AE163,AE$3:AE$298)</f>
        <v>101</v>
      </c>
      <c r="AG163" s="20" t="e">
        <f>#REF!-AF163</f>
        <v>#REF!</v>
      </c>
    </row>
    <row r="164" spans="1:33">
      <c r="A164" s="9" t="s">
        <v>198</v>
      </c>
      <c r="B164" s="9">
        <v>80</v>
      </c>
      <c r="C164" s="9">
        <v>40</v>
      </c>
      <c r="D164" s="9">
        <v>60</v>
      </c>
      <c r="E164" s="9">
        <v>60</v>
      </c>
      <c r="F164" s="13">
        <f t="shared" si="16"/>
        <v>60</v>
      </c>
      <c r="G164" s="14">
        <f t="shared" si="17"/>
        <v>62.1374974501818</v>
      </c>
      <c r="H164" s="9">
        <v>20</v>
      </c>
      <c r="I164" s="9">
        <v>20</v>
      </c>
      <c r="J164" s="9">
        <v>40</v>
      </c>
      <c r="K164" s="9">
        <v>70</v>
      </c>
      <c r="L164" s="9">
        <v>70</v>
      </c>
      <c r="M164" s="14">
        <f t="shared" si="18"/>
        <v>44</v>
      </c>
      <c r="N164" s="9">
        <v>70</v>
      </c>
      <c r="O164" s="9">
        <v>25</v>
      </c>
      <c r="P164" s="9">
        <v>0</v>
      </c>
      <c r="Q164" s="14">
        <f t="shared" si="19"/>
        <v>31.6666666666667</v>
      </c>
      <c r="R164" s="9">
        <v>87.4585635359116</v>
      </c>
      <c r="S164" s="9">
        <v>88.906086453943</v>
      </c>
      <c r="T164" s="9">
        <v>86.2940012315207</v>
      </c>
      <c r="U164" s="9">
        <v>20.2901123497364</v>
      </c>
      <c r="V164" s="9">
        <v>26.6131545488632</v>
      </c>
      <c r="W164" s="9">
        <v>24.5317265244013</v>
      </c>
      <c r="X164" s="9">
        <v>58.5753748232724</v>
      </c>
      <c r="Y164" s="19">
        <f t="shared" si="20"/>
        <v>56.0955742096641</v>
      </c>
      <c r="Z164" s="6">
        <f t="shared" si="21"/>
        <v>58.0939766569914</v>
      </c>
      <c r="AA164" s="9">
        <v>25</v>
      </c>
      <c r="AB164" s="9">
        <v>25</v>
      </c>
      <c r="AC164" s="14">
        <f t="shared" si="22"/>
        <v>25</v>
      </c>
      <c r="AD164" s="17">
        <v>1.03562495750303</v>
      </c>
      <c r="AE164" s="9">
        <f t="shared" si="23"/>
        <v>47.1556924871338</v>
      </c>
      <c r="AF164" s="18">
        <f>RANK(AE164,AE$3:AE$298)</f>
        <v>223</v>
      </c>
      <c r="AG164" s="20" t="e">
        <f>#REF!-AF164</f>
        <v>#REF!</v>
      </c>
    </row>
    <row r="165" spans="1:33">
      <c r="A165" s="9" t="s">
        <v>199</v>
      </c>
      <c r="B165" s="9">
        <v>100</v>
      </c>
      <c r="C165" s="9">
        <v>60</v>
      </c>
      <c r="D165" s="9">
        <v>80</v>
      </c>
      <c r="E165" s="9">
        <v>40</v>
      </c>
      <c r="F165" s="13">
        <f t="shared" si="16"/>
        <v>70</v>
      </c>
      <c r="G165" s="14">
        <f t="shared" si="17"/>
        <v>71.1956067287661</v>
      </c>
      <c r="H165" s="9">
        <v>20</v>
      </c>
      <c r="I165" s="9">
        <v>40</v>
      </c>
      <c r="J165" s="9">
        <v>70</v>
      </c>
      <c r="K165" s="9">
        <v>40</v>
      </c>
      <c r="L165" s="9">
        <v>30</v>
      </c>
      <c r="M165" s="14">
        <f t="shared" si="18"/>
        <v>40</v>
      </c>
      <c r="N165" s="9">
        <v>20</v>
      </c>
      <c r="O165" s="9">
        <v>25</v>
      </c>
      <c r="P165" s="9">
        <v>0</v>
      </c>
      <c r="Q165" s="14">
        <f t="shared" si="19"/>
        <v>15</v>
      </c>
      <c r="R165" s="9">
        <v>41.447891805887</v>
      </c>
      <c r="S165" s="9">
        <v>90.9476747106826</v>
      </c>
      <c r="T165" s="9">
        <v>92.2985340253307</v>
      </c>
      <c r="U165" s="9">
        <v>16.7807802419228</v>
      </c>
      <c r="V165" s="9">
        <v>42.5947653990826</v>
      </c>
      <c r="W165" s="9">
        <v>25.2907255170453</v>
      </c>
      <c r="X165" s="9">
        <v>82.5345074682374</v>
      </c>
      <c r="Y165" s="19">
        <f t="shared" si="20"/>
        <v>55.9849827383126</v>
      </c>
      <c r="Z165" s="6">
        <f t="shared" si="21"/>
        <v>56.9412116250523</v>
      </c>
      <c r="AA165" s="9">
        <v>25</v>
      </c>
      <c r="AB165" s="9">
        <v>25</v>
      </c>
      <c r="AC165" s="14">
        <f t="shared" si="22"/>
        <v>25</v>
      </c>
      <c r="AD165" s="17">
        <v>1.01708009612523</v>
      </c>
      <c r="AE165" s="9">
        <f t="shared" si="23"/>
        <v>45.3214848332689</v>
      </c>
      <c r="AF165" s="18">
        <f>RANK(AE165,AE$3:AE$298)</f>
        <v>240</v>
      </c>
      <c r="AG165" s="20" t="e">
        <f>#REF!-AF165</f>
        <v>#REF!</v>
      </c>
    </row>
    <row r="166" spans="1:33">
      <c r="A166" s="9" t="s">
        <v>200</v>
      </c>
      <c r="B166" s="9">
        <v>80</v>
      </c>
      <c r="C166" s="9">
        <v>60</v>
      </c>
      <c r="D166" s="9">
        <v>80</v>
      </c>
      <c r="E166" s="9">
        <v>60</v>
      </c>
      <c r="F166" s="13">
        <f t="shared" si="16"/>
        <v>70</v>
      </c>
      <c r="G166" s="14">
        <f t="shared" si="17"/>
        <v>75.9473381922507</v>
      </c>
      <c r="H166" s="9">
        <v>80</v>
      </c>
      <c r="I166" s="9">
        <v>60</v>
      </c>
      <c r="J166" s="9">
        <v>70</v>
      </c>
      <c r="K166" s="9">
        <v>100</v>
      </c>
      <c r="L166" s="9">
        <v>70</v>
      </c>
      <c r="M166" s="14">
        <f t="shared" si="18"/>
        <v>76</v>
      </c>
      <c r="N166" s="9">
        <v>70</v>
      </c>
      <c r="O166" s="9">
        <v>75</v>
      </c>
      <c r="P166" s="9">
        <v>25</v>
      </c>
      <c r="Q166" s="14">
        <f t="shared" si="19"/>
        <v>56.6666666666667</v>
      </c>
      <c r="R166" s="9">
        <v>100</v>
      </c>
      <c r="S166" s="9">
        <v>79.6418982323224</v>
      </c>
      <c r="T166" s="9">
        <v>77.8093353272241</v>
      </c>
      <c r="U166" s="9">
        <v>4.63529045510878</v>
      </c>
      <c r="V166" s="9">
        <v>30.9343626328281</v>
      </c>
      <c r="W166" s="9">
        <v>15.6796556757516</v>
      </c>
      <c r="X166" s="9">
        <v>82.3999094233059</v>
      </c>
      <c r="Y166" s="19">
        <f t="shared" si="20"/>
        <v>55.8714931066487</v>
      </c>
      <c r="Z166" s="6">
        <f t="shared" si="21"/>
        <v>60.618445461095</v>
      </c>
      <c r="AA166" s="9">
        <v>50</v>
      </c>
      <c r="AB166" s="9">
        <v>75</v>
      </c>
      <c r="AC166" s="14">
        <f t="shared" si="22"/>
        <v>62.5</v>
      </c>
      <c r="AD166" s="17">
        <v>1.08496197417501</v>
      </c>
      <c r="AE166" s="9">
        <f t="shared" si="23"/>
        <v>66.4500012767787</v>
      </c>
      <c r="AF166" s="18">
        <f>RANK(AE166,AE$3:AE$298)</f>
        <v>46</v>
      </c>
      <c r="AG166" s="20" t="e">
        <f>#REF!-AF166</f>
        <v>#REF!</v>
      </c>
    </row>
    <row r="167" spans="1:33">
      <c r="A167" s="9" t="s">
        <v>201</v>
      </c>
      <c r="B167" s="9">
        <v>80</v>
      </c>
      <c r="C167" s="9">
        <v>40</v>
      </c>
      <c r="D167" s="9">
        <v>40</v>
      </c>
      <c r="E167" s="9">
        <v>60</v>
      </c>
      <c r="F167" s="13">
        <f t="shared" si="16"/>
        <v>55</v>
      </c>
      <c r="G167" s="14">
        <f t="shared" si="17"/>
        <v>54.9359191763734</v>
      </c>
      <c r="H167" s="9">
        <v>20</v>
      </c>
      <c r="I167" s="9">
        <v>80</v>
      </c>
      <c r="J167" s="9">
        <v>70</v>
      </c>
      <c r="K167" s="9">
        <v>100</v>
      </c>
      <c r="L167" s="9">
        <v>30</v>
      </c>
      <c r="M167" s="14">
        <f t="shared" si="18"/>
        <v>60</v>
      </c>
      <c r="N167" s="9">
        <v>70</v>
      </c>
      <c r="O167" s="9">
        <v>100</v>
      </c>
      <c r="P167" s="9">
        <v>0</v>
      </c>
      <c r="Q167" s="14">
        <f t="shared" si="19"/>
        <v>56.6666666666667</v>
      </c>
      <c r="R167" s="9">
        <v>76.4055299539171</v>
      </c>
      <c r="S167" s="9">
        <v>89.0986891196731</v>
      </c>
      <c r="T167" s="9">
        <v>89.5573342716349</v>
      </c>
      <c r="U167" s="9">
        <v>17.0436943737785</v>
      </c>
      <c r="V167" s="9">
        <v>36.9017452249701</v>
      </c>
      <c r="W167" s="9">
        <v>26.1816354445682</v>
      </c>
      <c r="X167" s="9"/>
      <c r="Y167" s="19">
        <f t="shared" si="20"/>
        <v>55.8647713980903</v>
      </c>
      <c r="Z167" s="6">
        <f t="shared" si="21"/>
        <v>55.7996830242194</v>
      </c>
      <c r="AA167" s="9">
        <v>75</v>
      </c>
      <c r="AB167" s="9">
        <v>25</v>
      </c>
      <c r="AC167" s="14">
        <f t="shared" si="22"/>
        <v>50</v>
      </c>
      <c r="AD167" s="17">
        <v>0.99883489411588</v>
      </c>
      <c r="AE167" s="9">
        <f t="shared" si="23"/>
        <v>55.7270887425405</v>
      </c>
      <c r="AF167" s="18">
        <f>RANK(AE167,AE$3:AE$298)</f>
        <v>128</v>
      </c>
      <c r="AG167" s="20" t="e">
        <f>#REF!-AF167</f>
        <v>#REF!</v>
      </c>
    </row>
    <row r="168" spans="1:33">
      <c r="A168" s="9" t="s">
        <v>202</v>
      </c>
      <c r="B168" s="9">
        <v>100</v>
      </c>
      <c r="C168" s="9">
        <v>60</v>
      </c>
      <c r="D168" s="9">
        <v>40</v>
      </c>
      <c r="E168" s="9">
        <v>60</v>
      </c>
      <c r="F168" s="13">
        <f t="shared" si="16"/>
        <v>65</v>
      </c>
      <c r="G168" s="14">
        <f t="shared" si="17"/>
        <v>67.1003093909869</v>
      </c>
      <c r="H168" s="9">
        <v>100</v>
      </c>
      <c r="I168" s="9">
        <v>100</v>
      </c>
      <c r="J168" s="9">
        <v>70</v>
      </c>
      <c r="K168" s="9">
        <v>100</v>
      </c>
      <c r="L168" s="9">
        <v>70</v>
      </c>
      <c r="M168" s="14">
        <f t="shared" si="18"/>
        <v>88</v>
      </c>
      <c r="N168" s="9">
        <v>70</v>
      </c>
      <c r="O168" s="9">
        <v>75</v>
      </c>
      <c r="P168" s="9">
        <v>25</v>
      </c>
      <c r="Q168" s="14">
        <f t="shared" si="19"/>
        <v>56.6666666666667</v>
      </c>
      <c r="R168" s="9">
        <v>100</v>
      </c>
      <c r="S168" s="9">
        <v>92.1803317713556</v>
      </c>
      <c r="T168" s="9">
        <v>87.3382678043573</v>
      </c>
      <c r="U168" s="9">
        <v>4.78960961945889</v>
      </c>
      <c r="V168" s="9">
        <v>17.9707383809334</v>
      </c>
      <c r="W168" s="9">
        <v>27.6816312825173</v>
      </c>
      <c r="X168" s="9">
        <v>60.5917562827332</v>
      </c>
      <c r="Y168" s="19">
        <f t="shared" si="20"/>
        <v>55.7931907344794</v>
      </c>
      <c r="Z168" s="6">
        <f t="shared" si="21"/>
        <v>57.5960055414448</v>
      </c>
      <c r="AA168" s="9">
        <v>75</v>
      </c>
      <c r="AB168" s="9">
        <v>100</v>
      </c>
      <c r="AC168" s="14">
        <f t="shared" si="22"/>
        <v>87.5</v>
      </c>
      <c r="AD168" s="17">
        <v>1.03231245216903</v>
      </c>
      <c r="AE168" s="9">
        <f t="shared" si="23"/>
        <v>69.9238635406308</v>
      </c>
      <c r="AF168" s="18">
        <f>RANK(AE168,AE$3:AE$298)</f>
        <v>24</v>
      </c>
      <c r="AG168" s="20" t="e">
        <f>#REF!-AF168</f>
        <v>#REF!</v>
      </c>
    </row>
    <row r="169" spans="1:33">
      <c r="A169" s="9" t="s">
        <v>203</v>
      </c>
      <c r="B169" s="9">
        <v>80</v>
      </c>
      <c r="C169" s="9">
        <v>60</v>
      </c>
      <c r="D169" s="9">
        <v>80</v>
      </c>
      <c r="E169" s="9">
        <v>60</v>
      </c>
      <c r="F169" s="13">
        <f t="shared" si="16"/>
        <v>70</v>
      </c>
      <c r="G169" s="14">
        <f t="shared" si="17"/>
        <v>68.896663762772</v>
      </c>
      <c r="H169" s="9">
        <v>80</v>
      </c>
      <c r="I169" s="9">
        <v>60</v>
      </c>
      <c r="J169" s="9">
        <v>70</v>
      </c>
      <c r="K169" s="9">
        <v>70</v>
      </c>
      <c r="L169" s="9">
        <v>70</v>
      </c>
      <c r="M169" s="14">
        <f t="shared" si="18"/>
        <v>70</v>
      </c>
      <c r="N169" s="9">
        <v>70</v>
      </c>
      <c r="O169" s="9">
        <v>75</v>
      </c>
      <c r="P169" s="9">
        <v>25</v>
      </c>
      <c r="Q169" s="14">
        <f t="shared" si="19"/>
        <v>56.6666666666667</v>
      </c>
      <c r="R169" s="9">
        <v>100</v>
      </c>
      <c r="S169" s="9">
        <v>74.3838454578892</v>
      </c>
      <c r="T169" s="9">
        <v>65.6697364179996</v>
      </c>
      <c r="U169" s="9">
        <v>5.424032850676</v>
      </c>
      <c r="V169" s="9">
        <v>23.0464431144795</v>
      </c>
      <c r="W169" s="9">
        <v>33.0760845733364</v>
      </c>
      <c r="X169" s="9">
        <v>88.7395220287342</v>
      </c>
      <c r="Y169" s="19">
        <f t="shared" si="20"/>
        <v>55.7628092061593</v>
      </c>
      <c r="Z169" s="6">
        <f t="shared" si="21"/>
        <v>54.8838788049194</v>
      </c>
      <c r="AA169" s="9">
        <v>75</v>
      </c>
      <c r="AB169" s="9">
        <v>50</v>
      </c>
      <c r="AC169" s="14">
        <f t="shared" si="22"/>
        <v>62.5</v>
      </c>
      <c r="AD169" s="17">
        <v>0.984238053753885</v>
      </c>
      <c r="AE169" s="9">
        <f t="shared" si="23"/>
        <v>62.1194963940302</v>
      </c>
      <c r="AF169" s="18">
        <f>RANK(AE169,AE$3:AE$298)</f>
        <v>75</v>
      </c>
      <c r="AG169" s="20" t="e">
        <f>#REF!-AF169</f>
        <v>#REF!</v>
      </c>
    </row>
    <row r="170" spans="1:33">
      <c r="A170" s="9" t="s">
        <v>204</v>
      </c>
      <c r="B170" s="9">
        <v>100</v>
      </c>
      <c r="C170" s="9">
        <v>60</v>
      </c>
      <c r="D170" s="9">
        <v>60</v>
      </c>
      <c r="E170" s="9">
        <v>40</v>
      </c>
      <c r="F170" s="13">
        <f t="shared" si="16"/>
        <v>65</v>
      </c>
      <c r="G170" s="14">
        <f t="shared" si="17"/>
        <v>65.8480473224847</v>
      </c>
      <c r="H170" s="9">
        <v>100</v>
      </c>
      <c r="I170" s="9">
        <v>100</v>
      </c>
      <c r="J170" s="9">
        <v>100</v>
      </c>
      <c r="K170" s="9">
        <v>100</v>
      </c>
      <c r="L170" s="9">
        <v>70</v>
      </c>
      <c r="M170" s="14">
        <f t="shared" si="18"/>
        <v>94</v>
      </c>
      <c r="N170" s="9">
        <v>70</v>
      </c>
      <c r="O170" s="9">
        <v>75</v>
      </c>
      <c r="P170" s="9">
        <v>0</v>
      </c>
      <c r="Q170" s="14">
        <f t="shared" si="19"/>
        <v>48.3333333333333</v>
      </c>
      <c r="R170" s="9">
        <v>68.6284046692607</v>
      </c>
      <c r="S170" s="9">
        <v>80.7589936935574</v>
      </c>
      <c r="T170" s="9">
        <v>82.1169349401747</v>
      </c>
      <c r="U170" s="9">
        <v>9.92215071525135</v>
      </c>
      <c r="V170" s="9">
        <v>38.3421479196251</v>
      </c>
      <c r="W170" s="9">
        <v>29.8498703185656</v>
      </c>
      <c r="X170" s="9">
        <v>80.4820745213697</v>
      </c>
      <c r="Y170" s="19">
        <f t="shared" si="20"/>
        <v>55.7286538254007</v>
      </c>
      <c r="Z170" s="6">
        <f t="shared" si="21"/>
        <v>56.4557389894362</v>
      </c>
      <c r="AA170" s="9">
        <v>50</v>
      </c>
      <c r="AB170" s="9">
        <v>50</v>
      </c>
      <c r="AC170" s="14">
        <f t="shared" si="22"/>
        <v>50</v>
      </c>
      <c r="AD170" s="17">
        <v>1.01304688188438</v>
      </c>
      <c r="AE170" s="9">
        <f t="shared" si="23"/>
        <v>63.6563311613278</v>
      </c>
      <c r="AF170" s="18">
        <f>RANK(AE170,AE$3:AE$298)</f>
        <v>61</v>
      </c>
      <c r="AG170" s="20" t="e">
        <f>#REF!-AF170</f>
        <v>#REF!</v>
      </c>
    </row>
    <row r="171" spans="1:33">
      <c r="A171" s="9" t="s">
        <v>205</v>
      </c>
      <c r="B171" s="9">
        <v>20</v>
      </c>
      <c r="C171" s="9">
        <v>60</v>
      </c>
      <c r="D171" s="9">
        <v>20</v>
      </c>
      <c r="E171" s="9">
        <v>60</v>
      </c>
      <c r="F171" s="13">
        <f t="shared" si="16"/>
        <v>40</v>
      </c>
      <c r="G171" s="14">
        <f t="shared" si="17"/>
        <v>38.5956371075835</v>
      </c>
      <c r="H171" s="9">
        <v>60</v>
      </c>
      <c r="I171" s="9">
        <v>40</v>
      </c>
      <c r="J171" s="9">
        <v>70</v>
      </c>
      <c r="K171" s="9">
        <v>100</v>
      </c>
      <c r="L171" s="9">
        <v>70</v>
      </c>
      <c r="M171" s="14">
        <f t="shared" si="18"/>
        <v>68</v>
      </c>
      <c r="N171" s="9">
        <v>40</v>
      </c>
      <c r="O171" s="9">
        <v>75</v>
      </c>
      <c r="P171" s="9">
        <v>0</v>
      </c>
      <c r="Q171" s="14">
        <f t="shared" si="19"/>
        <v>38.3333333333333</v>
      </c>
      <c r="R171" s="9">
        <v>69.3620844564241</v>
      </c>
      <c r="S171" s="9">
        <v>82.742801150578</v>
      </c>
      <c r="T171" s="9">
        <v>62.0148034130718</v>
      </c>
      <c r="U171" s="9">
        <v>1.84039892299017</v>
      </c>
      <c r="V171" s="9">
        <v>9.73986584004787</v>
      </c>
      <c r="W171" s="9">
        <v>87.6137665797882</v>
      </c>
      <c r="X171" s="9">
        <v>75.6712708102582</v>
      </c>
      <c r="Y171" s="19">
        <f t="shared" si="20"/>
        <v>55.5692844533083</v>
      </c>
      <c r="Z171" s="6">
        <f t="shared" si="21"/>
        <v>53.6182984271992</v>
      </c>
      <c r="AA171" s="9">
        <v>25</v>
      </c>
      <c r="AB171" s="9">
        <v>25</v>
      </c>
      <c r="AC171" s="14">
        <f t="shared" si="22"/>
        <v>25</v>
      </c>
      <c r="AD171" s="17">
        <v>0.964890927689587</v>
      </c>
      <c r="AE171" s="9">
        <f t="shared" si="23"/>
        <v>46.9046169496765</v>
      </c>
      <c r="AF171" s="18">
        <f>RANK(AE171,AE$3:AE$298)</f>
        <v>227</v>
      </c>
      <c r="AG171" s="20" t="e">
        <f>#REF!-AF171</f>
        <v>#REF!</v>
      </c>
    </row>
    <row r="172" spans="1:33">
      <c r="A172" s="9" t="s">
        <v>206</v>
      </c>
      <c r="B172" s="9">
        <v>80</v>
      </c>
      <c r="C172" s="9">
        <v>60</v>
      </c>
      <c r="D172" s="9">
        <v>40</v>
      </c>
      <c r="E172" s="9">
        <v>40</v>
      </c>
      <c r="F172" s="13">
        <f t="shared" si="16"/>
        <v>55</v>
      </c>
      <c r="G172" s="14">
        <f t="shared" si="17"/>
        <v>54.8004693949188</v>
      </c>
      <c r="H172" s="9">
        <v>20</v>
      </c>
      <c r="I172" s="9">
        <v>40</v>
      </c>
      <c r="J172" s="9">
        <v>70</v>
      </c>
      <c r="K172" s="9">
        <v>100</v>
      </c>
      <c r="L172" s="9">
        <v>70</v>
      </c>
      <c r="M172" s="14">
        <f t="shared" si="18"/>
        <v>60</v>
      </c>
      <c r="N172" s="9">
        <v>70</v>
      </c>
      <c r="O172" s="9">
        <v>75</v>
      </c>
      <c r="P172" s="9">
        <v>0</v>
      </c>
      <c r="Q172" s="14">
        <f t="shared" si="19"/>
        <v>48.3333333333333</v>
      </c>
      <c r="R172" s="9">
        <v>91.0402097902098</v>
      </c>
      <c r="S172" s="9">
        <v>91.8721675061874</v>
      </c>
      <c r="T172" s="9">
        <v>85.2497346586842</v>
      </c>
      <c r="U172" s="9">
        <v>11.13384193163</v>
      </c>
      <c r="V172" s="9">
        <v>14.9527517826087</v>
      </c>
      <c r="W172" s="9">
        <v>38.6502956951889</v>
      </c>
      <c r="X172" s="9">
        <v>55.7800410800345</v>
      </c>
      <c r="Y172" s="19">
        <f t="shared" si="20"/>
        <v>55.5255774920776</v>
      </c>
      <c r="Z172" s="6">
        <f t="shared" si="21"/>
        <v>55.3241401816326</v>
      </c>
      <c r="AA172" s="9">
        <v>50</v>
      </c>
      <c r="AB172" s="9">
        <v>50</v>
      </c>
      <c r="AC172" s="14">
        <f t="shared" si="22"/>
        <v>50</v>
      </c>
      <c r="AD172" s="17">
        <v>0.996372170816706</v>
      </c>
      <c r="AE172" s="9">
        <f t="shared" si="23"/>
        <v>54.3073359334736</v>
      </c>
      <c r="AF172" s="18">
        <f>RANK(AE172,AE$3:AE$298)</f>
        <v>149</v>
      </c>
      <c r="AG172" s="20" t="e">
        <f>#REF!-AF172</f>
        <v>#REF!</v>
      </c>
    </row>
    <row r="173" spans="1:33">
      <c r="A173" s="9" t="s">
        <v>207</v>
      </c>
      <c r="B173" s="9">
        <v>100</v>
      </c>
      <c r="C173" s="9">
        <v>40</v>
      </c>
      <c r="D173" s="9">
        <v>60</v>
      </c>
      <c r="E173" s="9">
        <v>40</v>
      </c>
      <c r="F173" s="13">
        <f t="shared" si="16"/>
        <v>60</v>
      </c>
      <c r="G173" s="14">
        <f t="shared" si="17"/>
        <v>58.153625605682</v>
      </c>
      <c r="H173" s="9">
        <v>20</v>
      </c>
      <c r="I173" s="9">
        <v>20</v>
      </c>
      <c r="J173" s="9">
        <v>70</v>
      </c>
      <c r="K173" s="9">
        <v>100</v>
      </c>
      <c r="L173" s="9">
        <v>20</v>
      </c>
      <c r="M173" s="14">
        <f t="shared" si="18"/>
        <v>46</v>
      </c>
      <c r="N173" s="9">
        <v>70</v>
      </c>
      <c r="O173" s="9">
        <v>25</v>
      </c>
      <c r="P173" s="9">
        <v>0</v>
      </c>
      <c r="Q173" s="14">
        <f t="shared" si="19"/>
        <v>31.6666666666667</v>
      </c>
      <c r="R173" s="9">
        <v>86.0776439089692</v>
      </c>
      <c r="S173" s="9">
        <v>85.8051835356875</v>
      </c>
      <c r="T173" s="9">
        <v>72.1964024982278</v>
      </c>
      <c r="U173" s="9">
        <v>3.48075448478576</v>
      </c>
      <c r="V173" s="9">
        <v>12.4148994158357</v>
      </c>
      <c r="W173" s="9">
        <v>58.6087526486366</v>
      </c>
      <c r="X173" s="9">
        <v>69.9722240064714</v>
      </c>
      <c r="Y173" s="19">
        <f t="shared" si="20"/>
        <v>55.5079800712306</v>
      </c>
      <c r="Z173" s="6">
        <f t="shared" si="21"/>
        <v>53.7998381865</v>
      </c>
      <c r="AA173" s="9">
        <v>25</v>
      </c>
      <c r="AB173" s="9">
        <v>25</v>
      </c>
      <c r="AC173" s="14">
        <f t="shared" si="22"/>
        <v>25</v>
      </c>
      <c r="AD173" s="17">
        <v>0.969227093428033</v>
      </c>
      <c r="AE173" s="9">
        <f t="shared" si="23"/>
        <v>45.4706765770864</v>
      </c>
      <c r="AF173" s="18">
        <f>RANK(AE173,AE$3:AE$298)</f>
        <v>238</v>
      </c>
      <c r="AG173" s="20" t="e">
        <f>#REF!-AF173</f>
        <v>#REF!</v>
      </c>
    </row>
    <row r="174" spans="1:33">
      <c r="A174" s="9" t="s">
        <v>208</v>
      </c>
      <c r="B174" s="9">
        <v>100</v>
      </c>
      <c r="C174" s="9">
        <v>20</v>
      </c>
      <c r="D174" s="9">
        <v>40</v>
      </c>
      <c r="E174" s="9">
        <v>40</v>
      </c>
      <c r="F174" s="13">
        <f t="shared" si="16"/>
        <v>50</v>
      </c>
      <c r="G174" s="14">
        <f t="shared" si="17"/>
        <v>51.1327599656495</v>
      </c>
      <c r="H174" s="9">
        <v>20</v>
      </c>
      <c r="I174" s="9">
        <v>20</v>
      </c>
      <c r="J174" s="9">
        <v>40</v>
      </c>
      <c r="K174" s="9">
        <v>70</v>
      </c>
      <c r="L174" s="9">
        <v>70</v>
      </c>
      <c r="M174" s="14">
        <f t="shared" si="18"/>
        <v>44</v>
      </c>
      <c r="N174" s="9">
        <v>20</v>
      </c>
      <c r="O174" s="9">
        <v>25</v>
      </c>
      <c r="P174" s="9">
        <v>0</v>
      </c>
      <c r="Q174" s="14">
        <f t="shared" si="19"/>
        <v>15</v>
      </c>
      <c r="R174" s="9">
        <v>100</v>
      </c>
      <c r="S174" s="9">
        <v>91.0247157769747</v>
      </c>
      <c r="T174" s="9">
        <v>83.0306681914066</v>
      </c>
      <c r="U174" s="9">
        <v>3.33786636964677</v>
      </c>
      <c r="V174" s="9">
        <v>13.7181209014759</v>
      </c>
      <c r="W174" s="9">
        <v>31.4988988889172</v>
      </c>
      <c r="X174" s="9">
        <v>65.5416080356965</v>
      </c>
      <c r="Y174" s="19">
        <f t="shared" si="20"/>
        <v>55.4502683091597</v>
      </c>
      <c r="Z174" s="6">
        <f t="shared" si="21"/>
        <v>56.7065051896624</v>
      </c>
      <c r="AA174" s="9">
        <v>25</v>
      </c>
      <c r="AB174" s="9">
        <v>25</v>
      </c>
      <c r="AC174" s="14">
        <f t="shared" si="22"/>
        <v>25</v>
      </c>
      <c r="AD174" s="17">
        <v>1.02265519931299</v>
      </c>
      <c r="AE174" s="9">
        <f t="shared" si="23"/>
        <v>42.0385035500286</v>
      </c>
      <c r="AF174" s="18">
        <f>RANK(AE174,AE$3:AE$298)</f>
        <v>263</v>
      </c>
      <c r="AG174" s="20" t="e">
        <f>#REF!-AF174</f>
        <v>#REF!</v>
      </c>
    </row>
    <row r="175" spans="1:33">
      <c r="A175" s="9" t="s">
        <v>209</v>
      </c>
      <c r="B175" s="9">
        <v>80</v>
      </c>
      <c r="C175" s="9">
        <v>40</v>
      </c>
      <c r="D175" s="9">
        <v>40</v>
      </c>
      <c r="E175" s="9">
        <v>60</v>
      </c>
      <c r="F175" s="13">
        <f t="shared" si="16"/>
        <v>55</v>
      </c>
      <c r="G175" s="14">
        <f t="shared" si="17"/>
        <v>56.4114533245439</v>
      </c>
      <c r="H175" s="9">
        <v>20</v>
      </c>
      <c r="I175" s="9">
        <v>40</v>
      </c>
      <c r="J175" s="9">
        <v>70</v>
      </c>
      <c r="K175" s="9">
        <v>70</v>
      </c>
      <c r="L175" s="9">
        <v>30</v>
      </c>
      <c r="M175" s="14">
        <f t="shared" si="18"/>
        <v>46</v>
      </c>
      <c r="N175" s="9">
        <v>40</v>
      </c>
      <c r="O175" s="9">
        <v>50</v>
      </c>
      <c r="P175" s="9">
        <v>0</v>
      </c>
      <c r="Q175" s="14">
        <f t="shared" si="19"/>
        <v>30</v>
      </c>
      <c r="R175" s="9">
        <v>74.6331758269087</v>
      </c>
      <c r="S175" s="9">
        <v>86.8837584637763</v>
      </c>
      <c r="T175" s="9">
        <v>79.3757351864788</v>
      </c>
      <c r="U175" s="9">
        <v>16.7464870942894</v>
      </c>
      <c r="V175" s="9">
        <v>18.4508726124851</v>
      </c>
      <c r="W175" s="9">
        <v>30.6240176846752</v>
      </c>
      <c r="X175" s="9">
        <v>81.1053245575615</v>
      </c>
      <c r="Y175" s="19">
        <f t="shared" si="20"/>
        <v>55.4027673465964</v>
      </c>
      <c r="Z175" s="6">
        <f t="shared" si="21"/>
        <v>56.8245568040562</v>
      </c>
      <c r="AA175" s="9">
        <v>50</v>
      </c>
      <c r="AB175" s="9">
        <v>25</v>
      </c>
      <c r="AC175" s="14">
        <f t="shared" si="22"/>
        <v>37.5</v>
      </c>
      <c r="AD175" s="17">
        <v>1.02566278771898</v>
      </c>
      <c r="AE175" s="9">
        <f t="shared" si="23"/>
        <v>47.6546577061256</v>
      </c>
      <c r="AF175" s="18">
        <f>RANK(AE175,AE$3:AE$298)</f>
        <v>220</v>
      </c>
      <c r="AG175" s="20" t="e">
        <f>#REF!-AF175</f>
        <v>#REF!</v>
      </c>
    </row>
    <row r="176" spans="1:33">
      <c r="A176" s="9" t="s">
        <v>210</v>
      </c>
      <c r="B176" s="9">
        <v>60</v>
      </c>
      <c r="C176" s="9">
        <v>60</v>
      </c>
      <c r="D176" s="9">
        <v>40</v>
      </c>
      <c r="E176" s="9">
        <v>60</v>
      </c>
      <c r="F176" s="13">
        <f t="shared" si="16"/>
        <v>55</v>
      </c>
      <c r="G176" s="14">
        <f t="shared" si="17"/>
        <v>56.0959902888231</v>
      </c>
      <c r="H176" s="9">
        <v>40</v>
      </c>
      <c r="I176" s="9">
        <v>80</v>
      </c>
      <c r="J176" s="9">
        <v>100</v>
      </c>
      <c r="K176" s="9">
        <v>100</v>
      </c>
      <c r="L176" s="9">
        <v>70</v>
      </c>
      <c r="M176" s="14">
        <f t="shared" si="18"/>
        <v>78</v>
      </c>
      <c r="N176" s="9">
        <v>70</v>
      </c>
      <c r="O176" s="9">
        <v>75</v>
      </c>
      <c r="P176" s="9">
        <v>0</v>
      </c>
      <c r="Q176" s="14">
        <f t="shared" si="19"/>
        <v>48.3333333333333</v>
      </c>
      <c r="R176" s="9">
        <v>60.1485148514851</v>
      </c>
      <c r="S176" s="9">
        <v>91.0439760435477</v>
      </c>
      <c r="T176" s="9">
        <v>87.0772011611481</v>
      </c>
      <c r="U176" s="9">
        <v>11.4253336865135</v>
      </c>
      <c r="V176" s="9">
        <v>21.2630873972876</v>
      </c>
      <c r="W176" s="9">
        <v>26.0375175137932</v>
      </c>
      <c r="X176" s="9">
        <v>90.4998411324615</v>
      </c>
      <c r="Y176" s="19">
        <f t="shared" si="20"/>
        <v>55.3564959694624</v>
      </c>
      <c r="Z176" s="6">
        <f t="shared" si="21"/>
        <v>56.4595901877498</v>
      </c>
      <c r="AA176" s="9">
        <v>75</v>
      </c>
      <c r="AB176" s="9">
        <v>75</v>
      </c>
      <c r="AC176" s="14">
        <f t="shared" si="22"/>
        <v>75</v>
      </c>
      <c r="AD176" s="17">
        <v>1.01992709616042</v>
      </c>
      <c r="AE176" s="9">
        <f t="shared" si="23"/>
        <v>62.2570751140896</v>
      </c>
      <c r="AF176" s="18">
        <f>RANK(AE176,AE$3:AE$298)</f>
        <v>73</v>
      </c>
      <c r="AG176" s="20" t="e">
        <f>#REF!-AF176</f>
        <v>#REF!</v>
      </c>
    </row>
    <row r="177" spans="1:33">
      <c r="A177" s="9" t="s">
        <v>211</v>
      </c>
      <c r="B177" s="9">
        <v>60</v>
      </c>
      <c r="C177" s="9">
        <v>60</v>
      </c>
      <c r="D177" s="9">
        <v>40</v>
      </c>
      <c r="E177" s="9">
        <v>40</v>
      </c>
      <c r="F177" s="13">
        <f t="shared" si="16"/>
        <v>50</v>
      </c>
      <c r="G177" s="14">
        <f t="shared" si="17"/>
        <v>49.2360323284583</v>
      </c>
      <c r="H177" s="9">
        <v>80</v>
      </c>
      <c r="I177" s="9">
        <v>60</v>
      </c>
      <c r="J177" s="9">
        <v>100</v>
      </c>
      <c r="K177" s="9">
        <v>100</v>
      </c>
      <c r="L177" s="9">
        <v>70</v>
      </c>
      <c r="M177" s="14">
        <f t="shared" si="18"/>
        <v>82</v>
      </c>
      <c r="N177" s="9">
        <v>70</v>
      </c>
      <c r="O177" s="9">
        <v>75</v>
      </c>
      <c r="P177" s="9">
        <v>0</v>
      </c>
      <c r="Q177" s="14">
        <f t="shared" si="19"/>
        <v>48.3333333333333</v>
      </c>
      <c r="R177" s="9">
        <v>100</v>
      </c>
      <c r="S177" s="9">
        <v>88.8483056542239</v>
      </c>
      <c r="T177" s="9">
        <v>80.4200017593154</v>
      </c>
      <c r="U177" s="9">
        <v>6.46997385349339</v>
      </c>
      <c r="V177" s="9">
        <v>15.4328860141604</v>
      </c>
      <c r="W177" s="9">
        <v>42.8045396295461</v>
      </c>
      <c r="X177" s="9">
        <v>52.3499204953545</v>
      </c>
      <c r="Y177" s="19">
        <f t="shared" si="20"/>
        <v>55.1893753437277</v>
      </c>
      <c r="Z177" s="6">
        <f t="shared" si="21"/>
        <v>54.3461173722238</v>
      </c>
      <c r="AA177" s="9">
        <v>75</v>
      </c>
      <c r="AB177" s="9">
        <v>50</v>
      </c>
      <c r="AC177" s="14">
        <f t="shared" si="22"/>
        <v>62.5</v>
      </c>
      <c r="AD177" s="17">
        <v>0.984720646569165</v>
      </c>
      <c r="AE177" s="9">
        <f t="shared" si="23"/>
        <v>59.1760416773588</v>
      </c>
      <c r="AF177" s="18">
        <f>RANK(AE177,AE$3:AE$298)</f>
        <v>99</v>
      </c>
      <c r="AG177" s="20" t="e">
        <f>#REF!-AF177</f>
        <v>#REF!</v>
      </c>
    </row>
    <row r="178" spans="1:33">
      <c r="A178" s="9" t="s">
        <v>212</v>
      </c>
      <c r="B178" s="9">
        <v>80</v>
      </c>
      <c r="C178" s="9">
        <v>60</v>
      </c>
      <c r="D178" s="9">
        <v>20</v>
      </c>
      <c r="E178" s="9">
        <v>40</v>
      </c>
      <c r="F178" s="13">
        <f t="shared" si="16"/>
        <v>50</v>
      </c>
      <c r="G178" s="14">
        <f t="shared" si="17"/>
        <v>50.1107562483205</v>
      </c>
      <c r="H178" s="9">
        <v>80</v>
      </c>
      <c r="I178" s="9">
        <v>80</v>
      </c>
      <c r="J178" s="9">
        <v>70</v>
      </c>
      <c r="K178" s="9">
        <v>70</v>
      </c>
      <c r="L178" s="9">
        <v>70</v>
      </c>
      <c r="M178" s="14">
        <f t="shared" si="18"/>
        <v>74</v>
      </c>
      <c r="N178" s="9">
        <v>70</v>
      </c>
      <c r="O178" s="9">
        <v>75</v>
      </c>
      <c r="P178" s="9">
        <v>0</v>
      </c>
      <c r="Q178" s="14">
        <f t="shared" si="19"/>
        <v>48.3333333333333</v>
      </c>
      <c r="R178" s="9">
        <v>93.1390977443609</v>
      </c>
      <c r="S178" s="9">
        <v>60.2275495267227</v>
      </c>
      <c r="T178" s="9">
        <v>71.1521359253913</v>
      </c>
      <c r="U178" s="9">
        <v>4.77246304564221</v>
      </c>
      <c r="V178" s="9">
        <v>51.8544970075788</v>
      </c>
      <c r="W178" s="9">
        <v>30.1998576480266</v>
      </c>
      <c r="X178" s="9">
        <v>74.1550978341909</v>
      </c>
      <c r="Y178" s="19">
        <f t="shared" si="20"/>
        <v>55.0715283902733</v>
      </c>
      <c r="Z178" s="6">
        <f t="shared" si="21"/>
        <v>55.193518707749</v>
      </c>
      <c r="AA178" s="9">
        <v>75</v>
      </c>
      <c r="AB178" s="9">
        <v>50</v>
      </c>
      <c r="AC178" s="14">
        <f t="shared" si="22"/>
        <v>62.5</v>
      </c>
      <c r="AD178" s="17">
        <v>1.00221512496641</v>
      </c>
      <c r="AE178" s="9">
        <f t="shared" si="23"/>
        <v>58.0052068619888</v>
      </c>
      <c r="AF178" s="18">
        <f>RANK(AE178,AE$3:AE$298)</f>
        <v>107</v>
      </c>
      <c r="AG178" s="20" t="e">
        <f>#REF!-AF178</f>
        <v>#REF!</v>
      </c>
    </row>
    <row r="179" spans="1:33">
      <c r="A179" s="9" t="s">
        <v>213</v>
      </c>
      <c r="B179" s="9">
        <v>100</v>
      </c>
      <c r="C179" s="9">
        <v>40</v>
      </c>
      <c r="D179" s="9">
        <v>60</v>
      </c>
      <c r="E179" s="9">
        <v>60</v>
      </c>
      <c r="F179" s="13">
        <f t="shared" si="16"/>
        <v>65</v>
      </c>
      <c r="G179" s="14">
        <f t="shared" si="17"/>
        <v>64.2264485495384</v>
      </c>
      <c r="H179" s="9">
        <v>60</v>
      </c>
      <c r="I179" s="9">
        <v>80</v>
      </c>
      <c r="J179" s="9">
        <v>100</v>
      </c>
      <c r="K179" s="9">
        <v>100</v>
      </c>
      <c r="L179" s="9">
        <v>70</v>
      </c>
      <c r="M179" s="14">
        <f t="shared" si="18"/>
        <v>82</v>
      </c>
      <c r="N179" s="9">
        <v>70</v>
      </c>
      <c r="O179" s="9">
        <v>75</v>
      </c>
      <c r="P179" s="9">
        <v>25</v>
      </c>
      <c r="Q179" s="14">
        <f t="shared" si="19"/>
        <v>56.6666666666667</v>
      </c>
      <c r="R179" s="9">
        <v>52.9859719438878</v>
      </c>
      <c r="S179" s="9">
        <v>92.9122219011302</v>
      </c>
      <c r="T179" s="9">
        <v>87.4688011259618</v>
      </c>
      <c r="U179" s="9">
        <v>19.8614480043194</v>
      </c>
      <c r="V179" s="9">
        <v>15.8444296412046</v>
      </c>
      <c r="W179" s="9">
        <v>34.6539123846417</v>
      </c>
      <c r="X179" s="9">
        <v>80.5930198951588</v>
      </c>
      <c r="Y179" s="19">
        <f t="shared" si="20"/>
        <v>54.9028292709006</v>
      </c>
      <c r="Z179" s="6">
        <f t="shared" si="21"/>
        <v>54.249442144486</v>
      </c>
      <c r="AA179" s="9">
        <v>50</v>
      </c>
      <c r="AB179" s="9">
        <v>50</v>
      </c>
      <c r="AC179" s="14">
        <f t="shared" si="22"/>
        <v>50</v>
      </c>
      <c r="AD179" s="17">
        <v>0.988099208454437</v>
      </c>
      <c r="AE179" s="9">
        <f t="shared" si="23"/>
        <v>61.5201223532535</v>
      </c>
      <c r="AF179" s="18">
        <f>RANK(AE179,AE$3:AE$298)</f>
        <v>83</v>
      </c>
      <c r="AG179" s="20" t="e">
        <f>#REF!-AF179</f>
        <v>#REF!</v>
      </c>
    </row>
    <row r="180" spans="1:33">
      <c r="A180" s="9" t="s">
        <v>214</v>
      </c>
      <c r="B180" s="9">
        <v>100</v>
      </c>
      <c r="C180" s="9">
        <v>40</v>
      </c>
      <c r="D180" s="9">
        <v>40</v>
      </c>
      <c r="E180" s="9">
        <v>60</v>
      </c>
      <c r="F180" s="13">
        <f t="shared" si="16"/>
        <v>60</v>
      </c>
      <c r="G180" s="14">
        <f t="shared" si="17"/>
        <v>58.8905589548723</v>
      </c>
      <c r="H180" s="9">
        <v>20</v>
      </c>
      <c r="I180" s="9">
        <v>40</v>
      </c>
      <c r="J180" s="9">
        <v>40</v>
      </c>
      <c r="K180" s="9">
        <v>100</v>
      </c>
      <c r="L180" s="9">
        <v>70</v>
      </c>
      <c r="M180" s="14">
        <f t="shared" si="18"/>
        <v>54</v>
      </c>
      <c r="N180" s="9">
        <v>40</v>
      </c>
      <c r="O180" s="9">
        <v>25</v>
      </c>
      <c r="P180" s="9">
        <v>0</v>
      </c>
      <c r="Q180" s="14">
        <f t="shared" si="19"/>
        <v>21.6666666666667</v>
      </c>
      <c r="R180" s="9">
        <v>60.9598853868195</v>
      </c>
      <c r="S180" s="9">
        <v>95.088632023881</v>
      </c>
      <c r="T180" s="9">
        <v>89.4268009500303</v>
      </c>
      <c r="U180" s="9">
        <v>11.8940067041694</v>
      </c>
      <c r="V180" s="9">
        <v>11.5232215572397</v>
      </c>
      <c r="W180" s="9">
        <v>44.7049940008491</v>
      </c>
      <c r="X180" s="9">
        <v>70.6917437907653</v>
      </c>
      <c r="Y180" s="19">
        <f t="shared" si="20"/>
        <v>54.8984692019649</v>
      </c>
      <c r="Z180" s="6">
        <f t="shared" si="21"/>
        <v>53.8833589511759</v>
      </c>
      <c r="AA180" s="9">
        <v>25</v>
      </c>
      <c r="AB180" s="9">
        <v>25</v>
      </c>
      <c r="AC180" s="14">
        <f t="shared" si="22"/>
        <v>25</v>
      </c>
      <c r="AD180" s="17">
        <v>0.981509315914538</v>
      </c>
      <c r="AE180" s="9">
        <f t="shared" si="23"/>
        <v>45.7431194763272</v>
      </c>
      <c r="AF180" s="18">
        <f>RANK(AE180,AE$3:AE$298)</f>
        <v>236</v>
      </c>
      <c r="AG180" s="20" t="e">
        <f>#REF!-AF180</f>
        <v>#REF!</v>
      </c>
    </row>
    <row r="181" spans="1:33">
      <c r="A181" s="9" t="s">
        <v>215</v>
      </c>
      <c r="B181" s="9">
        <v>60</v>
      </c>
      <c r="C181" s="9">
        <v>20</v>
      </c>
      <c r="D181" s="9">
        <v>80</v>
      </c>
      <c r="E181" s="9">
        <v>40</v>
      </c>
      <c r="F181" s="13">
        <f t="shared" si="16"/>
        <v>50</v>
      </c>
      <c r="G181" s="14">
        <f t="shared" si="17"/>
        <v>52.4783885060865</v>
      </c>
      <c r="H181" s="9">
        <v>80</v>
      </c>
      <c r="I181" s="9">
        <v>80</v>
      </c>
      <c r="J181" s="9">
        <v>100</v>
      </c>
      <c r="K181" s="9">
        <v>100</v>
      </c>
      <c r="L181" s="9">
        <v>70</v>
      </c>
      <c r="M181" s="14">
        <f t="shared" si="18"/>
        <v>86</v>
      </c>
      <c r="N181" s="9">
        <v>70</v>
      </c>
      <c r="O181" s="9">
        <v>75</v>
      </c>
      <c r="P181" s="9">
        <v>0</v>
      </c>
      <c r="Q181" s="14">
        <f t="shared" si="19"/>
        <v>48.3333333333333</v>
      </c>
      <c r="R181" s="9">
        <v>91.0623946037099</v>
      </c>
      <c r="S181" s="9">
        <v>95.069371757308</v>
      </c>
      <c r="T181" s="9">
        <v>89.4268009500303</v>
      </c>
      <c r="U181" s="9">
        <v>3.34358189425233</v>
      </c>
      <c r="V181" s="9">
        <v>11.7289933707619</v>
      </c>
      <c r="W181" s="9">
        <v>22.4468700466764</v>
      </c>
      <c r="X181" s="9">
        <v>70.7687136394025</v>
      </c>
      <c r="Y181" s="19">
        <f t="shared" si="20"/>
        <v>54.8352466088773</v>
      </c>
      <c r="Z181" s="6">
        <f t="shared" si="21"/>
        <v>57.5533075073546</v>
      </c>
      <c r="AA181" s="9">
        <v>75</v>
      </c>
      <c r="AB181" s="9">
        <v>50</v>
      </c>
      <c r="AC181" s="14">
        <f t="shared" si="22"/>
        <v>62.5</v>
      </c>
      <c r="AD181" s="17">
        <v>1.04956777012173</v>
      </c>
      <c r="AE181" s="9">
        <f t="shared" si="23"/>
        <v>61.5866699534237</v>
      </c>
      <c r="AF181" s="18">
        <f>RANK(AE181,AE$3:AE$298)</f>
        <v>82</v>
      </c>
      <c r="AG181" s="20" t="e">
        <f>#REF!-AF181</f>
        <v>#REF!</v>
      </c>
    </row>
    <row r="182" spans="1:33">
      <c r="A182" s="9" t="s">
        <v>216</v>
      </c>
      <c r="B182" s="9">
        <v>80</v>
      </c>
      <c r="C182" s="9">
        <v>20</v>
      </c>
      <c r="D182" s="9">
        <v>20</v>
      </c>
      <c r="E182" s="9">
        <v>60</v>
      </c>
      <c r="F182" s="13">
        <f t="shared" si="16"/>
        <v>45</v>
      </c>
      <c r="G182" s="14">
        <f t="shared" si="17"/>
        <v>46.4503646169252</v>
      </c>
      <c r="H182" s="9">
        <v>40</v>
      </c>
      <c r="I182" s="9">
        <v>20</v>
      </c>
      <c r="J182" s="9">
        <v>70</v>
      </c>
      <c r="K182" s="9">
        <v>100</v>
      </c>
      <c r="L182" s="9">
        <v>30</v>
      </c>
      <c r="M182" s="14">
        <f t="shared" si="18"/>
        <v>52</v>
      </c>
      <c r="N182" s="9">
        <v>70</v>
      </c>
      <c r="O182" s="9">
        <v>75</v>
      </c>
      <c r="P182" s="9">
        <v>0</v>
      </c>
      <c r="Q182" s="14">
        <f t="shared" si="19"/>
        <v>48.3333333333333</v>
      </c>
      <c r="R182" s="9">
        <v>90.8761329305136</v>
      </c>
      <c r="S182" s="9">
        <v>87.2497035286636</v>
      </c>
      <c r="T182" s="9">
        <v>79.1146685432697</v>
      </c>
      <c r="U182" s="9">
        <v>5.29829130935369</v>
      </c>
      <c r="V182" s="9">
        <v>17.2848323358596</v>
      </c>
      <c r="W182" s="9">
        <v>23.3918380343679</v>
      </c>
      <c r="X182" s="9">
        <v>79.7362949590954</v>
      </c>
      <c r="Y182" s="19">
        <f t="shared" si="20"/>
        <v>54.7073945201605</v>
      </c>
      <c r="Z182" s="6">
        <f t="shared" si="21"/>
        <v>56.4706316156318</v>
      </c>
      <c r="AA182" s="9">
        <v>50</v>
      </c>
      <c r="AB182" s="9">
        <v>50</v>
      </c>
      <c r="AC182" s="14">
        <f t="shared" si="22"/>
        <v>50</v>
      </c>
      <c r="AD182" s="17">
        <v>1.03223032482056</v>
      </c>
      <c r="AE182" s="9">
        <f t="shared" si="23"/>
        <v>51.3812624080746</v>
      </c>
      <c r="AF182" s="18">
        <f>RANK(AE182,AE$3:AE$298)</f>
        <v>180</v>
      </c>
      <c r="AG182" s="20" t="e">
        <f>#REF!-AF182</f>
        <v>#REF!</v>
      </c>
    </row>
    <row r="183" spans="1:33">
      <c r="A183" s="9" t="s">
        <v>217</v>
      </c>
      <c r="B183" s="9">
        <v>100</v>
      </c>
      <c r="C183" s="9">
        <v>60</v>
      </c>
      <c r="D183" s="9">
        <v>20</v>
      </c>
      <c r="E183" s="9">
        <v>60</v>
      </c>
      <c r="F183" s="13">
        <f t="shared" si="16"/>
        <v>60</v>
      </c>
      <c r="G183" s="14">
        <f t="shared" si="17"/>
        <v>59.7698919215449</v>
      </c>
      <c r="H183" s="9">
        <v>20</v>
      </c>
      <c r="I183" s="9">
        <v>20</v>
      </c>
      <c r="J183" s="9">
        <v>70</v>
      </c>
      <c r="K183" s="9">
        <v>70</v>
      </c>
      <c r="L183" s="9">
        <v>30</v>
      </c>
      <c r="M183" s="14">
        <f t="shared" si="18"/>
        <v>42</v>
      </c>
      <c r="N183" s="9">
        <v>70</v>
      </c>
      <c r="O183" s="9">
        <v>50</v>
      </c>
      <c r="P183" s="9">
        <v>0</v>
      </c>
      <c r="Q183" s="14">
        <f t="shared" si="19"/>
        <v>40</v>
      </c>
      <c r="R183" s="9">
        <v>80.184331797235</v>
      </c>
      <c r="S183" s="9">
        <v>93.4322490986017</v>
      </c>
      <c r="T183" s="9">
        <v>86.9466678395436</v>
      </c>
      <c r="U183" s="9">
        <v>3.25213350056338</v>
      </c>
      <c r="V183" s="9">
        <v>12.8264430428799</v>
      </c>
      <c r="W183" s="9">
        <v>37.1331109088009</v>
      </c>
      <c r="X183" s="9">
        <v>68.8151222160127</v>
      </c>
      <c r="Y183" s="19">
        <f t="shared" si="20"/>
        <v>54.655722629091</v>
      </c>
      <c r="Z183" s="6">
        <f t="shared" si="21"/>
        <v>54.4461105739118</v>
      </c>
      <c r="AA183" s="9">
        <v>25</v>
      </c>
      <c r="AB183" s="9">
        <v>25</v>
      </c>
      <c r="AC183" s="14">
        <f t="shared" si="22"/>
        <v>25</v>
      </c>
      <c r="AD183" s="17">
        <v>0.996164865359082</v>
      </c>
      <c r="AE183" s="9">
        <f t="shared" si="23"/>
        <v>46.4378115564825</v>
      </c>
      <c r="AF183" s="18">
        <f>RANK(AE183,AE$3:AE$298)</f>
        <v>231</v>
      </c>
      <c r="AG183" s="20" t="e">
        <f>#REF!-AF183</f>
        <v>#REF!</v>
      </c>
    </row>
    <row r="184" spans="1:33">
      <c r="A184" s="9" t="s">
        <v>218</v>
      </c>
      <c r="B184" s="9">
        <v>100</v>
      </c>
      <c r="C184" s="9">
        <v>60</v>
      </c>
      <c r="D184" s="9">
        <v>60</v>
      </c>
      <c r="E184" s="9">
        <v>40</v>
      </c>
      <c r="F184" s="13">
        <f t="shared" si="16"/>
        <v>65</v>
      </c>
      <c r="G184" s="14">
        <f t="shared" si="17"/>
        <v>67.9160319631326</v>
      </c>
      <c r="H184" s="9">
        <v>60</v>
      </c>
      <c r="I184" s="9">
        <v>60</v>
      </c>
      <c r="J184" s="9">
        <v>70</v>
      </c>
      <c r="K184" s="9">
        <v>100</v>
      </c>
      <c r="L184" s="9">
        <v>70</v>
      </c>
      <c r="M184" s="14">
        <f t="shared" si="18"/>
        <v>72</v>
      </c>
      <c r="N184" s="9">
        <v>70</v>
      </c>
      <c r="O184" s="9">
        <v>100</v>
      </c>
      <c r="P184" s="9">
        <v>25</v>
      </c>
      <c r="Q184" s="14">
        <f t="shared" si="19"/>
        <v>65</v>
      </c>
      <c r="R184" s="9">
        <v>100</v>
      </c>
      <c r="S184" s="9">
        <v>97.8235898772492</v>
      </c>
      <c r="T184" s="9">
        <v>96.6061336382813</v>
      </c>
      <c r="U184" s="9">
        <v>7.04724183865491</v>
      </c>
      <c r="V184" s="9">
        <v>22.2233558603909</v>
      </c>
      <c r="W184" s="9">
        <v>23.6711262904323</v>
      </c>
      <c r="X184" s="9">
        <v>35.2054999198916</v>
      </c>
      <c r="Y184" s="19">
        <f t="shared" si="20"/>
        <v>54.6538496321286</v>
      </c>
      <c r="Z184" s="6">
        <f t="shared" si="21"/>
        <v>57.1057322849829</v>
      </c>
      <c r="AA184" s="9">
        <v>75</v>
      </c>
      <c r="AB184" s="9">
        <v>100</v>
      </c>
      <c r="AC184" s="14">
        <f t="shared" si="22"/>
        <v>87.5</v>
      </c>
      <c r="AD184" s="17">
        <v>1.04486203020204</v>
      </c>
      <c r="AE184" s="9">
        <f t="shared" si="23"/>
        <v>67.9899260781214</v>
      </c>
      <c r="AF184" s="18">
        <f>RANK(AE184,AE$3:AE$298)</f>
        <v>38</v>
      </c>
      <c r="AG184" s="20" t="e">
        <f>#REF!-AF184</f>
        <v>#REF!</v>
      </c>
    </row>
    <row r="185" spans="1:33">
      <c r="A185" s="9" t="s">
        <v>219</v>
      </c>
      <c r="B185" s="9">
        <v>100</v>
      </c>
      <c r="C185" s="9">
        <v>20</v>
      </c>
      <c r="D185" s="9">
        <v>60</v>
      </c>
      <c r="E185" s="9">
        <v>40</v>
      </c>
      <c r="F185" s="13">
        <f t="shared" si="16"/>
        <v>55</v>
      </c>
      <c r="G185" s="14">
        <f t="shared" si="17"/>
        <v>53.7303896814523</v>
      </c>
      <c r="H185" s="9">
        <v>100</v>
      </c>
      <c r="I185" s="9">
        <v>80</v>
      </c>
      <c r="J185" s="9">
        <v>70</v>
      </c>
      <c r="K185" s="9">
        <v>100</v>
      </c>
      <c r="L185" s="9">
        <v>70</v>
      </c>
      <c r="M185" s="14">
        <f t="shared" si="18"/>
        <v>84</v>
      </c>
      <c r="N185" s="9">
        <v>70</v>
      </c>
      <c r="O185" s="9">
        <v>75</v>
      </c>
      <c r="P185" s="9">
        <v>25</v>
      </c>
      <c r="Q185" s="14">
        <f t="shared" si="19"/>
        <v>56.6666666666667</v>
      </c>
      <c r="R185" s="9">
        <v>65.0969529085873</v>
      </c>
      <c r="S185" s="9">
        <v>82.9161435497351</v>
      </c>
      <c r="T185" s="9">
        <v>72.8490691062506</v>
      </c>
      <c r="U185" s="9">
        <v>26.4914565467684</v>
      </c>
      <c r="V185" s="9">
        <v>17.902147776426</v>
      </c>
      <c r="W185" s="9">
        <v>37.2278767254554</v>
      </c>
      <c r="X185" s="9">
        <v>79.1761587239211</v>
      </c>
      <c r="Y185" s="19">
        <f t="shared" si="20"/>
        <v>54.5228293338777</v>
      </c>
      <c r="Z185" s="6">
        <f t="shared" si="21"/>
        <v>53.2642339389921</v>
      </c>
      <c r="AA185" s="9">
        <v>75</v>
      </c>
      <c r="AB185" s="9">
        <v>75</v>
      </c>
      <c r="AC185" s="14">
        <f t="shared" si="22"/>
        <v>75</v>
      </c>
      <c r="AD185" s="17">
        <v>0.976916176026405</v>
      </c>
      <c r="AE185" s="9">
        <f t="shared" si="23"/>
        <v>63.2753481179881</v>
      </c>
      <c r="AF185" s="18">
        <f>RANK(AE185,AE$3:AE$298)</f>
        <v>65</v>
      </c>
      <c r="AG185" s="20" t="e">
        <f>#REF!-AF185</f>
        <v>#REF!</v>
      </c>
    </row>
    <row r="186" spans="1:33">
      <c r="A186" s="9" t="s">
        <v>220</v>
      </c>
      <c r="B186" s="9">
        <v>100</v>
      </c>
      <c r="C186" s="9">
        <v>60</v>
      </c>
      <c r="D186" s="9">
        <v>60</v>
      </c>
      <c r="E186" s="9">
        <v>60</v>
      </c>
      <c r="F186" s="13">
        <f t="shared" si="16"/>
        <v>70</v>
      </c>
      <c r="G186" s="14">
        <f t="shared" si="17"/>
        <v>69.7929565615554</v>
      </c>
      <c r="H186" s="9">
        <v>40</v>
      </c>
      <c r="I186" s="9">
        <v>80</v>
      </c>
      <c r="J186" s="9">
        <v>70</v>
      </c>
      <c r="K186" s="9">
        <v>100</v>
      </c>
      <c r="L186" s="9">
        <v>30</v>
      </c>
      <c r="M186" s="14">
        <f t="shared" si="18"/>
        <v>64</v>
      </c>
      <c r="N186" s="9">
        <v>70</v>
      </c>
      <c r="O186" s="9">
        <v>75</v>
      </c>
      <c r="P186" s="9">
        <v>0</v>
      </c>
      <c r="Q186" s="14">
        <f t="shared" si="19"/>
        <v>48.3333333333333</v>
      </c>
      <c r="R186" s="9">
        <v>89.7593445980543</v>
      </c>
      <c r="S186" s="9">
        <v>83.3976502140605</v>
      </c>
      <c r="T186" s="9">
        <v>72.5880024630415</v>
      </c>
      <c r="U186" s="9">
        <v>4.75531647182553</v>
      </c>
      <c r="V186" s="9">
        <v>16.804698104308</v>
      </c>
      <c r="W186" s="9">
        <v>40.2774045714127</v>
      </c>
      <c r="X186" s="9">
        <v>73.5399382517925</v>
      </c>
      <c r="Y186" s="19">
        <f t="shared" si="20"/>
        <v>54.446050667785</v>
      </c>
      <c r="Z186" s="6">
        <f t="shared" si="21"/>
        <v>54.2850121314995</v>
      </c>
      <c r="AA186" s="9">
        <v>50</v>
      </c>
      <c r="AB186" s="9">
        <v>25</v>
      </c>
      <c r="AC186" s="14">
        <f t="shared" si="22"/>
        <v>37.5</v>
      </c>
      <c r="AD186" s="17">
        <v>0.997042236593648</v>
      </c>
      <c r="AE186" s="9">
        <f t="shared" si="23"/>
        <v>55.9190949517609</v>
      </c>
      <c r="AF186" s="18">
        <f>RANK(AE186,AE$3:AE$298)</f>
        <v>127</v>
      </c>
      <c r="AG186" s="20" t="e">
        <f>#REF!-AF186</f>
        <v>#REF!</v>
      </c>
    </row>
    <row r="187" spans="1:33">
      <c r="A187" s="9" t="s">
        <v>221</v>
      </c>
      <c r="B187" s="9">
        <v>80</v>
      </c>
      <c r="C187" s="9">
        <v>20</v>
      </c>
      <c r="D187" s="9">
        <v>20</v>
      </c>
      <c r="E187" s="9">
        <v>60</v>
      </c>
      <c r="F187" s="13">
        <f t="shared" si="16"/>
        <v>45</v>
      </c>
      <c r="G187" s="14">
        <f t="shared" si="17"/>
        <v>45.5349090989871</v>
      </c>
      <c r="H187" s="9">
        <v>20</v>
      </c>
      <c r="I187" s="9">
        <v>40</v>
      </c>
      <c r="J187" s="9">
        <v>40</v>
      </c>
      <c r="K187" s="9">
        <v>70</v>
      </c>
      <c r="L187" s="9">
        <v>30</v>
      </c>
      <c r="M187" s="14">
        <f t="shared" si="18"/>
        <v>40</v>
      </c>
      <c r="N187" s="9">
        <v>40</v>
      </c>
      <c r="O187" s="9">
        <v>25</v>
      </c>
      <c r="P187" s="9">
        <v>0</v>
      </c>
      <c r="Q187" s="14">
        <f t="shared" si="19"/>
        <v>21.6666666666667</v>
      </c>
      <c r="R187" s="9">
        <v>50.7789095266627</v>
      </c>
      <c r="S187" s="9">
        <v>79.9308022309177</v>
      </c>
      <c r="T187" s="9">
        <v>80.811601724129</v>
      </c>
      <c r="U187" s="9">
        <v>17.7581349494735</v>
      </c>
      <c r="V187" s="9">
        <v>36.9017452249701</v>
      </c>
      <c r="W187" s="9">
        <v>28.3727967637098</v>
      </c>
      <c r="X187" s="9">
        <v>86.5051098924439</v>
      </c>
      <c r="Y187" s="19">
        <f t="shared" si="20"/>
        <v>54.4370143303295</v>
      </c>
      <c r="Z187" s="6">
        <f t="shared" si="21"/>
        <v>55.0840999811514</v>
      </c>
      <c r="AA187" s="9">
        <v>25</v>
      </c>
      <c r="AB187" s="9">
        <v>25</v>
      </c>
      <c r="AC187" s="14">
        <f t="shared" si="22"/>
        <v>25</v>
      </c>
      <c r="AD187" s="17">
        <v>1.01188686886638</v>
      </c>
      <c r="AE187" s="9">
        <f t="shared" si="23"/>
        <v>40.6322118141428</v>
      </c>
      <c r="AF187" s="18">
        <f>RANK(AE187,AE$3:AE$298)</f>
        <v>272</v>
      </c>
      <c r="AG187" s="20" t="e">
        <f>#REF!-AF187</f>
        <v>#REF!</v>
      </c>
    </row>
    <row r="188" spans="1:33">
      <c r="A188" s="9" t="s">
        <v>222</v>
      </c>
      <c r="B188" s="9">
        <v>80</v>
      </c>
      <c r="C188" s="9">
        <v>60</v>
      </c>
      <c r="D188" s="9">
        <v>20</v>
      </c>
      <c r="E188" s="9">
        <v>40</v>
      </c>
      <c r="F188" s="13">
        <f t="shared" si="16"/>
        <v>50</v>
      </c>
      <c r="G188" s="14">
        <f t="shared" si="17"/>
        <v>49.2790770571357</v>
      </c>
      <c r="H188" s="9">
        <v>100</v>
      </c>
      <c r="I188" s="9">
        <v>80</v>
      </c>
      <c r="J188" s="9">
        <v>100</v>
      </c>
      <c r="K188" s="9">
        <v>100</v>
      </c>
      <c r="L188" s="9">
        <v>70</v>
      </c>
      <c r="M188" s="14">
        <f t="shared" si="18"/>
        <v>90</v>
      </c>
      <c r="N188" s="9">
        <v>70</v>
      </c>
      <c r="O188" s="9">
        <v>75</v>
      </c>
      <c r="P188" s="9">
        <v>25</v>
      </c>
      <c r="Q188" s="14">
        <f t="shared" si="19"/>
        <v>56.6666666666667</v>
      </c>
      <c r="R188" s="9">
        <v>100</v>
      </c>
      <c r="S188" s="9">
        <v>72.9971062646321</v>
      </c>
      <c r="T188" s="9">
        <v>53.6606708303797</v>
      </c>
      <c r="U188" s="9">
        <v>7.33301806893288</v>
      </c>
      <c r="V188" s="9">
        <v>15.5014766186677</v>
      </c>
      <c r="W188" s="9">
        <v>38.2339359785167</v>
      </c>
      <c r="X188" s="9">
        <v>93.3092875787361</v>
      </c>
      <c r="Y188" s="19">
        <f t="shared" si="20"/>
        <v>54.4336421914093</v>
      </c>
      <c r="Z188" s="6">
        <f t="shared" si="21"/>
        <v>53.6487929610202</v>
      </c>
      <c r="AA188" s="9">
        <v>75</v>
      </c>
      <c r="AB188" s="9">
        <v>50</v>
      </c>
      <c r="AC188" s="14">
        <f t="shared" si="22"/>
        <v>62.5</v>
      </c>
      <c r="AD188" s="17">
        <v>0.985581541142713</v>
      </c>
      <c r="AE188" s="9">
        <f t="shared" si="23"/>
        <v>61.8254532997332</v>
      </c>
      <c r="AF188" s="18">
        <f>RANK(AE188,AE$3:AE$298)</f>
        <v>79</v>
      </c>
      <c r="AG188" s="20" t="e">
        <f>#REF!-AF188</f>
        <v>#REF!</v>
      </c>
    </row>
    <row r="189" spans="1:33">
      <c r="A189" s="9" t="s">
        <v>223</v>
      </c>
      <c r="B189" s="9">
        <v>80</v>
      </c>
      <c r="C189" s="9">
        <v>40</v>
      </c>
      <c r="D189" s="9">
        <v>20</v>
      </c>
      <c r="E189" s="9">
        <v>40</v>
      </c>
      <c r="F189" s="13">
        <f t="shared" si="16"/>
        <v>45</v>
      </c>
      <c r="G189" s="14">
        <f t="shared" si="17"/>
        <v>45.5318908692471</v>
      </c>
      <c r="H189" s="9">
        <v>20</v>
      </c>
      <c r="I189" s="9">
        <v>20</v>
      </c>
      <c r="J189" s="9">
        <v>40</v>
      </c>
      <c r="K189" s="9">
        <v>40</v>
      </c>
      <c r="L189" s="9">
        <v>70</v>
      </c>
      <c r="M189" s="14">
        <f t="shared" si="18"/>
        <v>38</v>
      </c>
      <c r="N189" s="9">
        <v>40</v>
      </c>
      <c r="O189" s="9">
        <v>25</v>
      </c>
      <c r="P189" s="9">
        <v>0</v>
      </c>
      <c r="Q189" s="14">
        <f t="shared" si="19"/>
        <v>21.6666666666667</v>
      </c>
      <c r="R189" s="9">
        <v>54.7523427041499</v>
      </c>
      <c r="S189" s="9">
        <v>91.0054555104017</v>
      </c>
      <c r="T189" s="9">
        <v>87.7298677691709</v>
      </c>
      <c r="U189" s="9">
        <v>11.5682218016525</v>
      </c>
      <c r="V189" s="9">
        <v>23.2522149280016</v>
      </c>
      <c r="W189" s="9">
        <v>31.6580074878836</v>
      </c>
      <c r="X189" s="9">
        <v>80.0619852849602</v>
      </c>
      <c r="Y189" s="19">
        <f t="shared" si="20"/>
        <v>54.2897279266029</v>
      </c>
      <c r="Z189" s="6">
        <f t="shared" si="21"/>
        <v>54.9314214950045</v>
      </c>
      <c r="AA189" s="9">
        <v>25</v>
      </c>
      <c r="AB189" s="9">
        <v>25</v>
      </c>
      <c r="AC189" s="14">
        <f t="shared" si="22"/>
        <v>25</v>
      </c>
      <c r="AD189" s="17">
        <v>1.01181979709438</v>
      </c>
      <c r="AE189" s="9">
        <f t="shared" si="23"/>
        <v>40.1858046223508</v>
      </c>
      <c r="AF189" s="18">
        <f>RANK(AE189,AE$3:AE$298)</f>
        <v>275</v>
      </c>
      <c r="AG189" s="20" t="e">
        <f>#REF!-AF189</f>
        <v>#REF!</v>
      </c>
    </row>
    <row r="190" spans="1:33">
      <c r="A190" s="9" t="s">
        <v>224</v>
      </c>
      <c r="B190" s="9">
        <v>100</v>
      </c>
      <c r="C190" s="9">
        <v>60</v>
      </c>
      <c r="D190" s="9">
        <v>40</v>
      </c>
      <c r="E190" s="9">
        <v>40</v>
      </c>
      <c r="F190" s="13">
        <f t="shared" si="16"/>
        <v>60</v>
      </c>
      <c r="G190" s="14">
        <f t="shared" si="17"/>
        <v>61.3467967424424</v>
      </c>
      <c r="H190" s="9">
        <v>40</v>
      </c>
      <c r="I190" s="9">
        <v>80</v>
      </c>
      <c r="J190" s="9">
        <v>70</v>
      </c>
      <c r="K190" s="9">
        <v>100</v>
      </c>
      <c r="L190" s="9">
        <v>70</v>
      </c>
      <c r="M190" s="14">
        <f t="shared" si="18"/>
        <v>72</v>
      </c>
      <c r="N190" s="9">
        <v>70</v>
      </c>
      <c r="O190" s="9">
        <v>75</v>
      </c>
      <c r="P190" s="9">
        <v>0</v>
      </c>
      <c r="Q190" s="14">
        <f t="shared" si="19"/>
        <v>48.3333333333333</v>
      </c>
      <c r="R190" s="9">
        <v>73.0554521771492</v>
      </c>
      <c r="S190" s="9">
        <v>80.0078432972097</v>
      </c>
      <c r="T190" s="9">
        <v>78.4620019352469</v>
      </c>
      <c r="U190" s="9">
        <v>10.4765566019906</v>
      </c>
      <c r="V190" s="9">
        <v>31.4830874688871</v>
      </c>
      <c r="W190" s="9">
        <v>27.5861628886608</v>
      </c>
      <c r="X190" s="9">
        <v>78.1448963982763</v>
      </c>
      <c r="Y190" s="19">
        <f t="shared" si="20"/>
        <v>54.1737143953458</v>
      </c>
      <c r="Z190" s="6">
        <f t="shared" si="21"/>
        <v>55.3897307632401</v>
      </c>
      <c r="AA190" s="9">
        <v>50</v>
      </c>
      <c r="AB190" s="9">
        <v>75</v>
      </c>
      <c r="AC190" s="14">
        <f t="shared" si="22"/>
        <v>62.5</v>
      </c>
      <c r="AD190" s="17">
        <v>1.02244661237404</v>
      </c>
      <c r="AE190" s="9">
        <f t="shared" si="23"/>
        <v>59.9112785774605</v>
      </c>
      <c r="AF190" s="18">
        <f>RANK(AE190,AE$3:AE$298)</f>
        <v>94</v>
      </c>
      <c r="AG190" s="20" t="e">
        <f>#REF!-AF190</f>
        <v>#REF!</v>
      </c>
    </row>
    <row r="191" spans="1:33">
      <c r="A191" s="9" t="s">
        <v>225</v>
      </c>
      <c r="B191" s="9">
        <v>60</v>
      </c>
      <c r="C191" s="9">
        <v>60</v>
      </c>
      <c r="D191" s="9">
        <v>60</v>
      </c>
      <c r="E191" s="9">
        <v>60</v>
      </c>
      <c r="F191" s="13">
        <f t="shared" si="16"/>
        <v>60</v>
      </c>
      <c r="G191" s="14">
        <f t="shared" si="17"/>
        <v>60.3933118093074</v>
      </c>
      <c r="H191" s="9">
        <v>20</v>
      </c>
      <c r="I191" s="9">
        <v>40</v>
      </c>
      <c r="J191" s="9">
        <v>40</v>
      </c>
      <c r="K191" s="9">
        <v>70</v>
      </c>
      <c r="L191" s="9">
        <v>70</v>
      </c>
      <c r="M191" s="14">
        <f t="shared" si="18"/>
        <v>48</v>
      </c>
      <c r="N191" s="9">
        <v>30</v>
      </c>
      <c r="O191" s="9">
        <v>25</v>
      </c>
      <c r="P191" s="9">
        <v>0</v>
      </c>
      <c r="Q191" s="14">
        <f t="shared" si="19"/>
        <v>18.3333333333333</v>
      </c>
      <c r="R191" s="9">
        <v>100</v>
      </c>
      <c r="S191" s="9">
        <v>66.6604785621099</v>
      </c>
      <c r="T191" s="9">
        <v>59.534670302585</v>
      </c>
      <c r="U191" s="9">
        <v>3.26928007438005</v>
      </c>
      <c r="V191" s="9">
        <v>26.6131545488632</v>
      </c>
      <c r="W191" s="9">
        <v>24.1451834511627</v>
      </c>
      <c r="X191" s="9">
        <v>98.9512265121609</v>
      </c>
      <c r="Y191" s="19">
        <f t="shared" si="20"/>
        <v>54.1677133501803</v>
      </c>
      <c r="Z191" s="6">
        <f t="shared" si="21"/>
        <v>54.522793372577</v>
      </c>
      <c r="AA191" s="9">
        <v>25</v>
      </c>
      <c r="AB191" s="9">
        <v>25</v>
      </c>
      <c r="AC191" s="14">
        <f t="shared" si="22"/>
        <v>25</v>
      </c>
      <c r="AD191" s="17">
        <v>1.00655519682179</v>
      </c>
      <c r="AE191" s="9">
        <f t="shared" si="23"/>
        <v>44.5355003736346</v>
      </c>
      <c r="AF191" s="18">
        <f>RANK(AE191,AE$3:AE$298)</f>
        <v>246</v>
      </c>
      <c r="AG191" s="20" t="e">
        <f>#REF!-AF191</f>
        <v>#REF!</v>
      </c>
    </row>
    <row r="192" spans="1:33">
      <c r="A192" s="9" t="s">
        <v>226</v>
      </c>
      <c r="B192" s="9">
        <v>100</v>
      </c>
      <c r="C192" s="9">
        <v>60</v>
      </c>
      <c r="D192" s="9">
        <v>40</v>
      </c>
      <c r="E192" s="9">
        <v>60</v>
      </c>
      <c r="F192" s="13">
        <f t="shared" si="16"/>
        <v>65</v>
      </c>
      <c r="G192" s="14">
        <f t="shared" si="17"/>
        <v>66.9386242735314</v>
      </c>
      <c r="H192" s="9">
        <v>20</v>
      </c>
      <c r="I192" s="9">
        <v>20</v>
      </c>
      <c r="J192" s="9">
        <v>20</v>
      </c>
      <c r="K192" s="9">
        <v>20</v>
      </c>
      <c r="L192" s="9">
        <v>30</v>
      </c>
      <c r="M192" s="14">
        <f t="shared" si="18"/>
        <v>22</v>
      </c>
      <c r="N192" s="9">
        <v>70</v>
      </c>
      <c r="O192" s="9">
        <v>25</v>
      </c>
      <c r="P192" s="9">
        <v>0</v>
      </c>
      <c r="Q192" s="14">
        <f t="shared" si="19"/>
        <v>31.6666666666667</v>
      </c>
      <c r="R192" s="9">
        <v>44.1574415744157</v>
      </c>
      <c r="S192" s="9">
        <v>87.6156485935509</v>
      </c>
      <c r="T192" s="9">
        <v>87.9909344123801</v>
      </c>
      <c r="U192" s="9">
        <v>6.46425832888783</v>
      </c>
      <c r="V192" s="9">
        <v>36.1472485753889</v>
      </c>
      <c r="W192" s="9">
        <v>27.3243764393451</v>
      </c>
      <c r="X192" s="9">
        <v>89.0237380463819</v>
      </c>
      <c r="Y192" s="19">
        <f t="shared" si="20"/>
        <v>54.1033779957643</v>
      </c>
      <c r="Z192" s="6">
        <f t="shared" si="21"/>
        <v>55.7170106398049</v>
      </c>
      <c r="AA192" s="9">
        <v>50</v>
      </c>
      <c r="AB192" s="9">
        <v>25</v>
      </c>
      <c r="AC192" s="14">
        <f t="shared" si="22"/>
        <v>37.5</v>
      </c>
      <c r="AD192" s="17">
        <v>1.02982498882356</v>
      </c>
      <c r="AE192" s="9">
        <f t="shared" si="23"/>
        <v>44.8778280466477</v>
      </c>
      <c r="AF192" s="18">
        <f>RANK(AE192,AE$3:AE$298)</f>
        <v>245</v>
      </c>
      <c r="AG192" s="20" t="e">
        <f>#REF!-AF192</f>
        <v>#REF!</v>
      </c>
    </row>
    <row r="193" spans="1:33">
      <c r="A193" s="9" t="s">
        <v>227</v>
      </c>
      <c r="B193" s="9">
        <v>100</v>
      </c>
      <c r="C193" s="9">
        <v>60</v>
      </c>
      <c r="D193" s="9">
        <v>40</v>
      </c>
      <c r="E193" s="9">
        <v>60</v>
      </c>
      <c r="F193" s="13">
        <f t="shared" si="16"/>
        <v>65</v>
      </c>
      <c r="G193" s="14">
        <f t="shared" si="17"/>
        <v>63.7944316426082</v>
      </c>
      <c r="H193" s="9">
        <v>100</v>
      </c>
      <c r="I193" s="9">
        <v>80</v>
      </c>
      <c r="J193" s="9">
        <v>100</v>
      </c>
      <c r="K193" s="9">
        <v>100</v>
      </c>
      <c r="L193" s="9">
        <v>70</v>
      </c>
      <c r="M193" s="14">
        <f t="shared" si="18"/>
        <v>90</v>
      </c>
      <c r="N193" s="9">
        <v>70</v>
      </c>
      <c r="O193" s="9">
        <v>75</v>
      </c>
      <c r="P193" s="9">
        <v>25</v>
      </c>
      <c r="Q193" s="14">
        <f t="shared" si="19"/>
        <v>56.6666666666667</v>
      </c>
      <c r="R193" s="9">
        <v>100</v>
      </c>
      <c r="S193" s="9">
        <v>72.0726134691273</v>
      </c>
      <c r="T193" s="9">
        <v>56.5324039056801</v>
      </c>
      <c r="U193" s="9">
        <v>6.85862952667144</v>
      </c>
      <c r="V193" s="9">
        <v>18.2451007989629</v>
      </c>
      <c r="W193" s="9">
        <v>33.114539671226</v>
      </c>
      <c r="X193" s="9">
        <v>91.6509394497802</v>
      </c>
      <c r="Y193" s="19">
        <f t="shared" si="20"/>
        <v>54.0677466887783</v>
      </c>
      <c r="Z193" s="6">
        <f t="shared" si="21"/>
        <v>53.0649410801096</v>
      </c>
      <c r="AA193" s="9">
        <v>50</v>
      </c>
      <c r="AB193" s="9">
        <v>50</v>
      </c>
      <c r="AC193" s="14">
        <f t="shared" si="22"/>
        <v>50</v>
      </c>
      <c r="AD193" s="17">
        <v>0.981452794501665</v>
      </c>
      <c r="AE193" s="9">
        <f t="shared" si="23"/>
        <v>62.6783686525545</v>
      </c>
      <c r="AF193" s="18">
        <f>RANK(AE193,AE$3:AE$298)</f>
        <v>70</v>
      </c>
      <c r="AG193" s="20" t="e">
        <f>#REF!-AF193</f>
        <v>#REF!</v>
      </c>
    </row>
    <row r="194" spans="1:33">
      <c r="A194" s="9" t="s">
        <v>228</v>
      </c>
      <c r="B194" s="9">
        <v>100</v>
      </c>
      <c r="C194" s="9">
        <v>60</v>
      </c>
      <c r="D194" s="9">
        <v>20</v>
      </c>
      <c r="E194" s="9">
        <v>40</v>
      </c>
      <c r="F194" s="13">
        <f t="shared" si="16"/>
        <v>55</v>
      </c>
      <c r="G194" s="14">
        <f t="shared" si="17"/>
        <v>52.0098732087437</v>
      </c>
      <c r="H194" s="9">
        <v>60</v>
      </c>
      <c r="I194" s="9">
        <v>60</v>
      </c>
      <c r="J194" s="9">
        <v>70</v>
      </c>
      <c r="K194" s="9">
        <v>70</v>
      </c>
      <c r="L194" s="9">
        <v>70</v>
      </c>
      <c r="M194" s="14">
        <f t="shared" si="18"/>
        <v>66</v>
      </c>
      <c r="N194" s="9">
        <v>70</v>
      </c>
      <c r="O194" s="9">
        <v>75</v>
      </c>
      <c r="P194" s="9">
        <v>0</v>
      </c>
      <c r="Q194" s="14">
        <f t="shared" si="19"/>
        <v>48.3333333333333</v>
      </c>
      <c r="R194" s="9">
        <v>63.715710723192</v>
      </c>
      <c r="S194" s="9">
        <v>79.6804187654685</v>
      </c>
      <c r="T194" s="9">
        <v>67.4972029204635</v>
      </c>
      <c r="U194" s="9">
        <v>1.48603639744548</v>
      </c>
      <c r="V194" s="9">
        <v>17.5591947538891</v>
      </c>
      <c r="W194" s="9">
        <v>57.059644391334</v>
      </c>
      <c r="X194" s="9">
        <v>91.230284352126</v>
      </c>
      <c r="Y194" s="19">
        <f t="shared" si="20"/>
        <v>54.0326417577027</v>
      </c>
      <c r="Z194" s="6">
        <f t="shared" si="21"/>
        <v>51.0951063082107</v>
      </c>
      <c r="AA194" s="9">
        <v>50</v>
      </c>
      <c r="AB194" s="9">
        <v>50</v>
      </c>
      <c r="AC194" s="14">
        <f t="shared" si="22"/>
        <v>50</v>
      </c>
      <c r="AD194" s="17">
        <v>0.945634058340795</v>
      </c>
      <c r="AE194" s="9">
        <f t="shared" si="23"/>
        <v>53.680506534212</v>
      </c>
      <c r="AF194" s="18">
        <f>RANK(AE194,AE$3:AE$298)</f>
        <v>157</v>
      </c>
      <c r="AG194" s="20" t="e">
        <f>#REF!-AF194</f>
        <v>#REF!</v>
      </c>
    </row>
    <row r="195" spans="1:33">
      <c r="A195" s="9" t="s">
        <v>229</v>
      </c>
      <c r="B195" s="9">
        <v>100</v>
      </c>
      <c r="C195" s="9">
        <v>20</v>
      </c>
      <c r="D195" s="9">
        <v>60</v>
      </c>
      <c r="E195" s="9">
        <v>60</v>
      </c>
      <c r="F195" s="13">
        <f t="shared" ref="F195:F258" si="24">AVERAGE(B195:E195)</f>
        <v>60</v>
      </c>
      <c r="G195" s="14">
        <f t="shared" ref="G195:G258" si="25">F195*AD195</f>
        <v>62.0676242571108</v>
      </c>
      <c r="H195" s="9">
        <v>20</v>
      </c>
      <c r="I195" s="9">
        <v>20</v>
      </c>
      <c r="J195" s="9">
        <v>70</v>
      </c>
      <c r="K195" s="9">
        <v>100</v>
      </c>
      <c r="L195" s="9">
        <v>30</v>
      </c>
      <c r="M195" s="14">
        <f t="shared" ref="M195:M258" si="26">AVERAGE(H195:L195)</f>
        <v>48</v>
      </c>
      <c r="N195" s="9">
        <v>40</v>
      </c>
      <c r="O195" s="9">
        <v>75</v>
      </c>
      <c r="P195" s="9">
        <v>25</v>
      </c>
      <c r="Q195" s="14">
        <f t="shared" ref="Q195:Q258" si="27">AVERAGE(N195:P195)</f>
        <v>46.6666666666667</v>
      </c>
      <c r="R195" s="9">
        <v>71.6378162450067</v>
      </c>
      <c r="S195" s="9">
        <v>78.5055425045145</v>
      </c>
      <c r="T195" s="9">
        <v>77.1566687192012</v>
      </c>
      <c r="U195" s="9">
        <v>8.21892438279461</v>
      </c>
      <c r="V195" s="9">
        <v>32.1004029094536</v>
      </c>
      <c r="W195" s="9">
        <v>23.0823054809663</v>
      </c>
      <c r="X195" s="9">
        <v>87.1293939928027</v>
      </c>
      <c r="Y195" s="19">
        <f t="shared" ref="Y195:Y258" si="28">AVERAGE(R195:X195)</f>
        <v>53.9758648906771</v>
      </c>
      <c r="Z195" s="6">
        <f t="shared" ref="Z195:Z258" si="29">Y195*AD195</f>
        <v>55.8358950164521</v>
      </c>
      <c r="AA195" s="9">
        <v>50</v>
      </c>
      <c r="AB195" s="9">
        <v>25</v>
      </c>
      <c r="AC195" s="14">
        <f t="shared" ref="AC195:AC258" si="30">AVERAGE(AA195:AB195)</f>
        <v>37.5</v>
      </c>
      <c r="AD195" s="17">
        <v>1.03446040428518</v>
      </c>
      <c r="AE195" s="9">
        <f t="shared" ref="AE195:AE258" si="31">G195*0.2+M195*0.2+Q195*0.15+Z195*0.3+AC195*0.15</f>
        <v>51.3892933563578</v>
      </c>
      <c r="AF195" s="18">
        <f>RANK(AE195,AE$3:AE$298)</f>
        <v>179</v>
      </c>
      <c r="AG195" s="20" t="e">
        <f>#REF!-AF195</f>
        <v>#REF!</v>
      </c>
    </row>
    <row r="196" spans="1:33">
      <c r="A196" s="9" t="s">
        <v>230</v>
      </c>
      <c r="B196" s="9">
        <v>60</v>
      </c>
      <c r="C196" s="9">
        <v>40</v>
      </c>
      <c r="D196" s="9">
        <v>40</v>
      </c>
      <c r="E196" s="9">
        <v>40</v>
      </c>
      <c r="F196" s="13">
        <f t="shared" si="24"/>
        <v>45</v>
      </c>
      <c r="G196" s="14">
        <f t="shared" si="25"/>
        <v>43.9173508422721</v>
      </c>
      <c r="H196" s="9">
        <v>80</v>
      </c>
      <c r="I196" s="9">
        <v>60</v>
      </c>
      <c r="J196" s="9">
        <v>40</v>
      </c>
      <c r="K196" s="9">
        <v>100</v>
      </c>
      <c r="L196" s="9">
        <v>70</v>
      </c>
      <c r="M196" s="14">
        <f t="shared" si="26"/>
        <v>70</v>
      </c>
      <c r="N196" s="9">
        <v>70</v>
      </c>
      <c r="O196" s="9">
        <v>50</v>
      </c>
      <c r="P196" s="9">
        <v>50</v>
      </c>
      <c r="Q196" s="14">
        <f t="shared" si="27"/>
        <v>56.6666666666667</v>
      </c>
      <c r="R196" s="9">
        <v>66.6183774834437</v>
      </c>
      <c r="S196" s="9">
        <v>87.3652651281017</v>
      </c>
      <c r="T196" s="9">
        <v>75.5902688599465</v>
      </c>
      <c r="U196" s="9">
        <v>18.192514819496</v>
      </c>
      <c r="V196" s="9">
        <v>12.8950336473873</v>
      </c>
      <c r="W196" s="9">
        <v>40.0286740823426</v>
      </c>
      <c r="X196" s="9">
        <v>77.0860006428574</v>
      </c>
      <c r="Y196" s="19">
        <f t="shared" si="28"/>
        <v>53.9680192376536</v>
      </c>
      <c r="Z196" s="6">
        <f t="shared" si="29"/>
        <v>52.6696096693894</v>
      </c>
      <c r="AA196" s="9">
        <v>50</v>
      </c>
      <c r="AB196" s="9">
        <v>25</v>
      </c>
      <c r="AC196" s="14">
        <f t="shared" si="30"/>
        <v>37.5</v>
      </c>
      <c r="AD196" s="17">
        <v>0.975941129828268</v>
      </c>
      <c r="AE196" s="9">
        <f t="shared" si="31"/>
        <v>52.7093530692712</v>
      </c>
      <c r="AF196" s="18">
        <f>RANK(AE196,AE$3:AE$298)</f>
        <v>164</v>
      </c>
      <c r="AG196" s="20" t="e">
        <f>#REF!-AF196</f>
        <v>#REF!</v>
      </c>
    </row>
    <row r="197" spans="1:33">
      <c r="A197" s="9" t="s">
        <v>231</v>
      </c>
      <c r="B197" s="9">
        <v>80</v>
      </c>
      <c r="C197" s="9">
        <v>20</v>
      </c>
      <c r="D197" s="9">
        <v>40</v>
      </c>
      <c r="E197" s="9">
        <v>40</v>
      </c>
      <c r="F197" s="13">
        <f t="shared" si="24"/>
        <v>45</v>
      </c>
      <c r="G197" s="14">
        <f t="shared" si="25"/>
        <v>46.5622329124863</v>
      </c>
      <c r="H197" s="9">
        <v>80</v>
      </c>
      <c r="I197" s="9">
        <v>60</v>
      </c>
      <c r="J197" s="9">
        <v>100</v>
      </c>
      <c r="K197" s="9">
        <v>100</v>
      </c>
      <c r="L197" s="9">
        <v>70</v>
      </c>
      <c r="M197" s="14">
        <f t="shared" si="26"/>
        <v>82</v>
      </c>
      <c r="N197" s="9">
        <v>70</v>
      </c>
      <c r="O197" s="9">
        <v>75</v>
      </c>
      <c r="P197" s="9">
        <v>0</v>
      </c>
      <c r="Q197" s="14">
        <f t="shared" si="27"/>
        <v>48.3333333333333</v>
      </c>
      <c r="R197" s="9">
        <v>49.6910856134157</v>
      </c>
      <c r="S197" s="9">
        <v>97.1494805471937</v>
      </c>
      <c r="T197" s="9">
        <v>93.8649338845855</v>
      </c>
      <c r="U197" s="9">
        <v>17.7009797034179</v>
      </c>
      <c r="V197" s="9">
        <v>12.8264430428799</v>
      </c>
      <c r="W197" s="9">
        <v>28.0426112401882</v>
      </c>
      <c r="X197" s="9">
        <v>77.2515250323881</v>
      </c>
      <c r="Y197" s="19">
        <f t="shared" si="28"/>
        <v>53.7895798662956</v>
      </c>
      <c r="Z197" s="6">
        <f t="shared" si="29"/>
        <v>55.6569543555386</v>
      </c>
      <c r="AA197" s="9">
        <v>50</v>
      </c>
      <c r="AB197" s="9">
        <v>50</v>
      </c>
      <c r="AC197" s="14">
        <f t="shared" si="30"/>
        <v>50</v>
      </c>
      <c r="AD197" s="17">
        <v>1.03471628694414</v>
      </c>
      <c r="AE197" s="9">
        <f t="shared" si="31"/>
        <v>57.1595328891589</v>
      </c>
      <c r="AF197" s="18">
        <f>RANK(AE197,AE$3:AE$298)</f>
        <v>115</v>
      </c>
      <c r="AG197" s="20" t="e">
        <f>#REF!-AF197</f>
        <v>#REF!</v>
      </c>
    </row>
    <row r="198" spans="1:33">
      <c r="A198" s="9" t="s">
        <v>232</v>
      </c>
      <c r="B198" s="9">
        <v>100</v>
      </c>
      <c r="C198" s="9">
        <v>40</v>
      </c>
      <c r="D198" s="9">
        <v>60</v>
      </c>
      <c r="E198" s="9">
        <v>60</v>
      </c>
      <c r="F198" s="13">
        <f t="shared" si="24"/>
        <v>65</v>
      </c>
      <c r="G198" s="14">
        <f t="shared" si="25"/>
        <v>65.8059207577662</v>
      </c>
      <c r="H198" s="9">
        <v>40</v>
      </c>
      <c r="I198" s="9">
        <v>80</v>
      </c>
      <c r="J198" s="9">
        <v>100</v>
      </c>
      <c r="K198" s="9">
        <v>70</v>
      </c>
      <c r="L198" s="9">
        <v>70</v>
      </c>
      <c r="M198" s="14">
        <f t="shared" si="26"/>
        <v>72</v>
      </c>
      <c r="N198" s="9">
        <v>20</v>
      </c>
      <c r="O198" s="9">
        <v>75</v>
      </c>
      <c r="P198" s="9">
        <v>25</v>
      </c>
      <c r="Q198" s="14">
        <f t="shared" si="27"/>
        <v>40</v>
      </c>
      <c r="R198" s="9">
        <v>43.9165329052969</v>
      </c>
      <c r="S198" s="9">
        <v>80.4315691618161</v>
      </c>
      <c r="T198" s="9">
        <v>81.0726683673382</v>
      </c>
      <c r="U198" s="9">
        <v>17.5523760636733</v>
      </c>
      <c r="V198" s="9">
        <v>36.2844297844037</v>
      </c>
      <c r="W198" s="9">
        <v>25.6599836928525</v>
      </c>
      <c r="X198" s="9">
        <v>89.988669937873</v>
      </c>
      <c r="Y198" s="19">
        <f t="shared" si="28"/>
        <v>53.5580328447505</v>
      </c>
      <c r="Z198" s="6">
        <f t="shared" si="29"/>
        <v>54.2220871588229</v>
      </c>
      <c r="AA198" s="9">
        <v>25</v>
      </c>
      <c r="AB198" s="9">
        <v>25</v>
      </c>
      <c r="AC198" s="14">
        <f t="shared" si="30"/>
        <v>25</v>
      </c>
      <c r="AD198" s="17">
        <v>1.01239878088871</v>
      </c>
      <c r="AE198" s="9">
        <f t="shared" si="31"/>
        <v>53.5778102992001</v>
      </c>
      <c r="AF198" s="18">
        <f>RANK(AE198,AE$3:AE$298)</f>
        <v>159</v>
      </c>
      <c r="AG198" s="20" t="e">
        <f>#REF!-AF198</f>
        <v>#REF!</v>
      </c>
    </row>
    <row r="199" spans="1:33">
      <c r="A199" s="9" t="s">
        <v>233</v>
      </c>
      <c r="B199" s="9">
        <v>60</v>
      </c>
      <c r="C199" s="9">
        <v>40</v>
      </c>
      <c r="D199" s="9">
        <v>40</v>
      </c>
      <c r="E199" s="9">
        <v>40</v>
      </c>
      <c r="F199" s="13">
        <f t="shared" si="24"/>
        <v>45</v>
      </c>
      <c r="G199" s="14">
        <f t="shared" si="25"/>
        <v>45.6472003475281</v>
      </c>
      <c r="H199" s="9">
        <v>80</v>
      </c>
      <c r="I199" s="9">
        <v>40</v>
      </c>
      <c r="J199" s="9">
        <v>100</v>
      </c>
      <c r="K199" s="9">
        <v>70</v>
      </c>
      <c r="L199" s="9">
        <v>70</v>
      </c>
      <c r="M199" s="14">
        <f t="shared" si="26"/>
        <v>72</v>
      </c>
      <c r="N199" s="9">
        <v>70</v>
      </c>
      <c r="O199" s="9">
        <v>50</v>
      </c>
      <c r="P199" s="9">
        <v>0</v>
      </c>
      <c r="Q199" s="14">
        <f t="shared" si="27"/>
        <v>40</v>
      </c>
      <c r="R199" s="9">
        <v>100</v>
      </c>
      <c r="S199" s="9">
        <v>71.0710796073305</v>
      </c>
      <c r="T199" s="9">
        <v>55.357604011239</v>
      </c>
      <c r="U199" s="9">
        <v>3.76081519045817</v>
      </c>
      <c r="V199" s="9">
        <v>18.5194632169924</v>
      </c>
      <c r="W199" s="9">
        <v>25.5137185011443</v>
      </c>
      <c r="X199" s="9">
        <v>96.6884094432041</v>
      </c>
      <c r="Y199" s="19">
        <f t="shared" si="28"/>
        <v>52.9872985671955</v>
      </c>
      <c r="Z199" s="6">
        <f t="shared" si="29"/>
        <v>53.749374079357</v>
      </c>
      <c r="AA199" s="9">
        <v>25</v>
      </c>
      <c r="AB199" s="9">
        <v>25</v>
      </c>
      <c r="AC199" s="14">
        <f t="shared" si="30"/>
        <v>25</v>
      </c>
      <c r="AD199" s="17">
        <v>1.01438222994507</v>
      </c>
      <c r="AE199" s="9">
        <f t="shared" si="31"/>
        <v>49.4042522933127</v>
      </c>
      <c r="AF199" s="18">
        <f>RANK(AE199,AE$3:AE$298)</f>
        <v>207</v>
      </c>
      <c r="AG199" s="20" t="e">
        <f>#REF!-AF199</f>
        <v>#REF!</v>
      </c>
    </row>
    <row r="200" spans="1:33">
      <c r="A200" s="9" t="s">
        <v>234</v>
      </c>
      <c r="B200" s="9">
        <v>100</v>
      </c>
      <c r="C200" s="9">
        <v>60</v>
      </c>
      <c r="D200" s="9">
        <v>20</v>
      </c>
      <c r="E200" s="9">
        <v>60</v>
      </c>
      <c r="F200" s="13">
        <f t="shared" si="24"/>
        <v>60</v>
      </c>
      <c r="G200" s="14">
        <f t="shared" si="25"/>
        <v>59.901917187173</v>
      </c>
      <c r="H200" s="9">
        <v>20</v>
      </c>
      <c r="I200" s="9">
        <v>20</v>
      </c>
      <c r="J200" s="9">
        <v>20</v>
      </c>
      <c r="K200" s="9">
        <v>40</v>
      </c>
      <c r="L200" s="9">
        <v>30</v>
      </c>
      <c r="M200" s="14">
        <f t="shared" si="26"/>
        <v>26</v>
      </c>
      <c r="N200" s="9">
        <v>70</v>
      </c>
      <c r="O200" s="9">
        <v>25</v>
      </c>
      <c r="P200" s="9">
        <v>0</v>
      </c>
      <c r="Q200" s="14">
        <f t="shared" si="27"/>
        <v>31.6666666666667</v>
      </c>
      <c r="R200" s="9">
        <v>71.2422360248447</v>
      </c>
      <c r="S200" s="9">
        <v>78.6596246370986</v>
      </c>
      <c r="T200" s="9">
        <v>72.5880024630415</v>
      </c>
      <c r="U200" s="9">
        <v>4.53812653681427</v>
      </c>
      <c r="V200" s="9">
        <v>24.6240270181492</v>
      </c>
      <c r="W200" s="9">
        <v>29.0680465884896</v>
      </c>
      <c r="X200" s="9">
        <v>90.0305552132101</v>
      </c>
      <c r="Y200" s="19">
        <f t="shared" si="28"/>
        <v>52.9643740688069</v>
      </c>
      <c r="Z200" s="6">
        <f t="shared" si="29"/>
        <v>52.8777924890021</v>
      </c>
      <c r="AA200" s="9">
        <v>50</v>
      </c>
      <c r="AB200" s="9">
        <v>25</v>
      </c>
      <c r="AC200" s="14">
        <f t="shared" si="30"/>
        <v>37.5</v>
      </c>
      <c r="AD200" s="17">
        <v>0.998365286452884</v>
      </c>
      <c r="AE200" s="9">
        <f t="shared" si="31"/>
        <v>43.4187211841352</v>
      </c>
      <c r="AF200" s="18">
        <f>RANK(AE200,AE$3:AE$298)</f>
        <v>255</v>
      </c>
      <c r="AG200" s="20" t="e">
        <f>#REF!-AF200</f>
        <v>#REF!</v>
      </c>
    </row>
    <row r="201" spans="1:33">
      <c r="A201" s="9" t="s">
        <v>235</v>
      </c>
      <c r="B201" s="9">
        <v>80</v>
      </c>
      <c r="C201" s="9">
        <v>60</v>
      </c>
      <c r="D201" s="9">
        <v>40</v>
      </c>
      <c r="E201" s="9">
        <v>40</v>
      </c>
      <c r="F201" s="13">
        <f t="shared" si="24"/>
        <v>55</v>
      </c>
      <c r="G201" s="14">
        <f t="shared" si="25"/>
        <v>55.0005146203733</v>
      </c>
      <c r="H201" s="9">
        <v>20</v>
      </c>
      <c r="I201" s="9">
        <v>40</v>
      </c>
      <c r="J201" s="9">
        <v>40</v>
      </c>
      <c r="K201" s="9">
        <v>70</v>
      </c>
      <c r="L201" s="9">
        <v>30</v>
      </c>
      <c r="M201" s="14">
        <f t="shared" si="26"/>
        <v>40</v>
      </c>
      <c r="N201" s="9">
        <v>20</v>
      </c>
      <c r="O201" s="9">
        <v>25</v>
      </c>
      <c r="P201" s="9">
        <v>0</v>
      </c>
      <c r="Q201" s="14">
        <f t="shared" si="27"/>
        <v>15</v>
      </c>
      <c r="R201" s="9">
        <v>69.6682464454976</v>
      </c>
      <c r="S201" s="9">
        <v>70.7629153421622</v>
      </c>
      <c r="T201" s="9">
        <v>69.9773360309502</v>
      </c>
      <c r="U201" s="9">
        <v>8.40753669477808</v>
      </c>
      <c r="V201" s="9">
        <v>33.6093962086159</v>
      </c>
      <c r="W201" s="9">
        <v>28.5723633755905</v>
      </c>
      <c r="X201" s="9">
        <v>89.5121751069616</v>
      </c>
      <c r="Y201" s="19">
        <f t="shared" si="28"/>
        <v>52.9299956006509</v>
      </c>
      <c r="Z201" s="6">
        <f t="shared" si="29"/>
        <v>52.9304908525435</v>
      </c>
      <c r="AA201" s="9">
        <v>25</v>
      </c>
      <c r="AB201" s="9">
        <v>25</v>
      </c>
      <c r="AC201" s="14">
        <f t="shared" si="30"/>
        <v>25</v>
      </c>
      <c r="AD201" s="17">
        <v>1.00000935673406</v>
      </c>
      <c r="AE201" s="9">
        <f t="shared" si="31"/>
        <v>40.8792501798377</v>
      </c>
      <c r="AF201" s="18">
        <f>RANK(AE201,AE$3:AE$298)</f>
        <v>269</v>
      </c>
      <c r="AG201" s="20" t="e">
        <f>#REF!-AF201</f>
        <v>#REF!</v>
      </c>
    </row>
    <row r="202" spans="1:33">
      <c r="A202" s="9" t="s">
        <v>236</v>
      </c>
      <c r="B202" s="9">
        <v>80</v>
      </c>
      <c r="C202" s="9">
        <v>40</v>
      </c>
      <c r="D202" s="9">
        <v>40</v>
      </c>
      <c r="E202" s="9">
        <v>40</v>
      </c>
      <c r="F202" s="13">
        <f t="shared" si="24"/>
        <v>50</v>
      </c>
      <c r="G202" s="14">
        <f t="shared" si="25"/>
        <v>50.410117083446</v>
      </c>
      <c r="H202" s="9">
        <v>80</v>
      </c>
      <c r="I202" s="9">
        <v>60</v>
      </c>
      <c r="J202" s="9">
        <v>100</v>
      </c>
      <c r="K202" s="9">
        <v>70</v>
      </c>
      <c r="L202" s="9">
        <v>70</v>
      </c>
      <c r="M202" s="14">
        <f t="shared" si="26"/>
        <v>76</v>
      </c>
      <c r="N202" s="9">
        <v>70</v>
      </c>
      <c r="O202" s="9">
        <v>50</v>
      </c>
      <c r="P202" s="9">
        <v>25</v>
      </c>
      <c r="Q202" s="14">
        <f t="shared" si="27"/>
        <v>48.3333333333333</v>
      </c>
      <c r="R202" s="9">
        <v>69.8559077809798</v>
      </c>
      <c r="S202" s="9">
        <v>84.4377046090033</v>
      </c>
      <c r="T202" s="9">
        <v>81.3337350105473</v>
      </c>
      <c r="U202" s="9">
        <v>7.74453584053317</v>
      </c>
      <c r="V202" s="9">
        <v>27.3676511984444</v>
      </c>
      <c r="W202" s="9">
        <v>31.466623623983</v>
      </c>
      <c r="X202" s="9">
        <v>68.0118160792051</v>
      </c>
      <c r="Y202" s="19">
        <f t="shared" si="28"/>
        <v>52.8882820203852</v>
      </c>
      <c r="Z202" s="6">
        <f t="shared" si="29"/>
        <v>53.3220897797986</v>
      </c>
      <c r="AA202" s="9">
        <v>75</v>
      </c>
      <c r="AB202" s="9">
        <v>75</v>
      </c>
      <c r="AC202" s="14">
        <f t="shared" si="30"/>
        <v>75</v>
      </c>
      <c r="AD202" s="17">
        <v>1.00820234166892</v>
      </c>
      <c r="AE202" s="9">
        <f t="shared" si="31"/>
        <v>59.7786503506288</v>
      </c>
      <c r="AF202" s="18">
        <f>RANK(AE202,AE$3:AE$298)</f>
        <v>96</v>
      </c>
      <c r="AG202" s="20" t="e">
        <f>#REF!-AF202</f>
        <v>#REF!</v>
      </c>
    </row>
    <row r="203" spans="1:33">
      <c r="A203" s="9" t="s">
        <v>237</v>
      </c>
      <c r="B203" s="9">
        <v>100</v>
      </c>
      <c r="C203" s="9">
        <v>60</v>
      </c>
      <c r="D203" s="9">
        <v>40</v>
      </c>
      <c r="E203" s="9">
        <v>60</v>
      </c>
      <c r="F203" s="13">
        <f t="shared" si="24"/>
        <v>65</v>
      </c>
      <c r="G203" s="14">
        <f t="shared" si="25"/>
        <v>64.4282705837716</v>
      </c>
      <c r="H203" s="9">
        <v>80</v>
      </c>
      <c r="I203" s="9">
        <v>60</v>
      </c>
      <c r="J203" s="9">
        <v>100</v>
      </c>
      <c r="K203" s="9">
        <v>100</v>
      </c>
      <c r="L203" s="9">
        <v>70</v>
      </c>
      <c r="M203" s="14">
        <f t="shared" si="26"/>
        <v>82</v>
      </c>
      <c r="N203" s="9">
        <v>70</v>
      </c>
      <c r="O203" s="9">
        <v>50</v>
      </c>
      <c r="P203" s="9">
        <v>0</v>
      </c>
      <c r="Q203" s="14">
        <f t="shared" si="27"/>
        <v>40</v>
      </c>
      <c r="R203" s="9">
        <v>100</v>
      </c>
      <c r="S203" s="9">
        <v>87.1341419292255</v>
      </c>
      <c r="T203" s="9">
        <v>71.0216026037867</v>
      </c>
      <c r="U203" s="9">
        <v>5.9327145405708</v>
      </c>
      <c r="V203" s="9">
        <v>9.39691281751098</v>
      </c>
      <c r="W203" s="9">
        <v>43.8862132243297</v>
      </c>
      <c r="X203" s="9">
        <v>49.6296403200338</v>
      </c>
      <c r="Y203" s="19">
        <f t="shared" si="28"/>
        <v>52.4287464907796</v>
      </c>
      <c r="Z203" s="6">
        <f t="shared" si="29"/>
        <v>51.9675917734756</v>
      </c>
      <c r="AA203" s="9">
        <v>50</v>
      </c>
      <c r="AB203" s="9">
        <v>75</v>
      </c>
      <c r="AC203" s="14">
        <f t="shared" si="30"/>
        <v>62.5</v>
      </c>
      <c r="AD203" s="17">
        <v>0.991204162827255</v>
      </c>
      <c r="AE203" s="9">
        <f t="shared" si="31"/>
        <v>60.250931648797</v>
      </c>
      <c r="AF203" s="18">
        <f>RANK(AE203,AE$3:AE$298)</f>
        <v>91</v>
      </c>
      <c r="AG203" s="20" t="e">
        <f>#REF!-AF203</f>
        <v>#REF!</v>
      </c>
    </row>
    <row r="204" spans="1:33">
      <c r="A204" s="9" t="s">
        <v>238</v>
      </c>
      <c r="B204" s="9">
        <v>80</v>
      </c>
      <c r="C204" s="9">
        <v>60</v>
      </c>
      <c r="D204" s="9">
        <v>40</v>
      </c>
      <c r="E204" s="9">
        <v>60</v>
      </c>
      <c r="F204" s="13">
        <f t="shared" si="24"/>
        <v>60</v>
      </c>
      <c r="G204" s="14">
        <f t="shared" si="25"/>
        <v>58.3102911603097</v>
      </c>
      <c r="H204" s="9">
        <v>40</v>
      </c>
      <c r="I204" s="9">
        <v>40</v>
      </c>
      <c r="J204" s="9">
        <v>100</v>
      </c>
      <c r="K204" s="9">
        <v>100</v>
      </c>
      <c r="L204" s="9">
        <v>70</v>
      </c>
      <c r="M204" s="14">
        <f t="shared" si="26"/>
        <v>70</v>
      </c>
      <c r="N204" s="9">
        <v>40</v>
      </c>
      <c r="O204" s="9">
        <v>75</v>
      </c>
      <c r="P204" s="9">
        <v>0</v>
      </c>
      <c r="Q204" s="14">
        <f t="shared" si="27"/>
        <v>38.3333333333333</v>
      </c>
      <c r="R204" s="9">
        <v>74.7641509433962</v>
      </c>
      <c r="S204" s="9">
        <v>91.4869621747271</v>
      </c>
      <c r="T204" s="9">
        <v>84.9886680154751</v>
      </c>
      <c r="U204" s="9">
        <v>6.61857749323794</v>
      </c>
      <c r="V204" s="9">
        <v>15.6386578276825</v>
      </c>
      <c r="W204" s="9">
        <v>57.4804197879947</v>
      </c>
      <c r="X204" s="9">
        <v>35.9100668941519</v>
      </c>
      <c r="Y204" s="19">
        <f t="shared" si="28"/>
        <v>52.4125004480951</v>
      </c>
      <c r="Z204" s="6">
        <f t="shared" si="29"/>
        <v>50.9364693594714</v>
      </c>
      <c r="AA204" s="9">
        <v>75</v>
      </c>
      <c r="AB204" s="9">
        <v>50</v>
      </c>
      <c r="AC204" s="14">
        <f t="shared" si="30"/>
        <v>62.5</v>
      </c>
      <c r="AD204" s="17">
        <v>0.971838186005161</v>
      </c>
      <c r="AE204" s="9">
        <f t="shared" si="31"/>
        <v>56.0679990399033</v>
      </c>
      <c r="AF204" s="18">
        <f>RANK(AE204,AE$3:AE$298)</f>
        <v>123</v>
      </c>
      <c r="AG204" s="20" t="e">
        <f>#REF!-AF204</f>
        <v>#REF!</v>
      </c>
    </row>
    <row r="205" spans="1:33">
      <c r="A205" s="9" t="s">
        <v>239</v>
      </c>
      <c r="B205" s="9">
        <v>100</v>
      </c>
      <c r="C205" s="9">
        <v>40</v>
      </c>
      <c r="D205" s="9">
        <v>20</v>
      </c>
      <c r="E205" s="9">
        <v>40</v>
      </c>
      <c r="F205" s="13">
        <f t="shared" si="24"/>
        <v>50</v>
      </c>
      <c r="G205" s="14">
        <f t="shared" si="25"/>
        <v>49.2710483718473</v>
      </c>
      <c r="H205" s="9">
        <v>80</v>
      </c>
      <c r="I205" s="9">
        <v>60</v>
      </c>
      <c r="J205" s="9">
        <v>70</v>
      </c>
      <c r="K205" s="9">
        <v>100</v>
      </c>
      <c r="L205" s="9">
        <v>70</v>
      </c>
      <c r="M205" s="14">
        <f t="shared" si="26"/>
        <v>76</v>
      </c>
      <c r="N205" s="9">
        <v>70</v>
      </c>
      <c r="O205" s="9">
        <v>75</v>
      </c>
      <c r="P205" s="9">
        <v>100</v>
      </c>
      <c r="Q205" s="14">
        <f t="shared" si="27"/>
        <v>81.6666666666667</v>
      </c>
      <c r="R205" s="9">
        <v>100</v>
      </c>
      <c r="S205" s="9">
        <v>81.529404356478</v>
      </c>
      <c r="T205" s="9">
        <v>58.0988037649348</v>
      </c>
      <c r="U205" s="9">
        <v>1.91470074286244</v>
      </c>
      <c r="V205" s="9">
        <v>8.9853691904667</v>
      </c>
      <c r="W205" s="9">
        <v>52.6839903951571</v>
      </c>
      <c r="X205" s="9">
        <v>63.1340911709471</v>
      </c>
      <c r="Y205" s="19">
        <f t="shared" si="28"/>
        <v>52.3351942315495</v>
      </c>
      <c r="Z205" s="6">
        <f t="shared" si="29"/>
        <v>51.5721977306539</v>
      </c>
      <c r="AA205" s="9">
        <v>50</v>
      </c>
      <c r="AB205" s="9">
        <v>75</v>
      </c>
      <c r="AC205" s="14">
        <f t="shared" si="30"/>
        <v>62.5</v>
      </c>
      <c r="AD205" s="17">
        <v>0.985420967436945</v>
      </c>
      <c r="AE205" s="9">
        <f t="shared" si="31"/>
        <v>62.1508689935656</v>
      </c>
      <c r="AF205" s="18">
        <f>RANK(AE205,AE$3:AE$298)</f>
        <v>74</v>
      </c>
      <c r="AG205" s="20" t="e">
        <f>#REF!-AF205</f>
        <v>#REF!</v>
      </c>
    </row>
    <row r="206" spans="1:33">
      <c r="A206" s="9" t="s">
        <v>240</v>
      </c>
      <c r="B206" s="9">
        <v>100</v>
      </c>
      <c r="C206" s="9">
        <v>40</v>
      </c>
      <c r="D206" s="9">
        <v>60</v>
      </c>
      <c r="E206" s="9">
        <v>40</v>
      </c>
      <c r="F206" s="13">
        <f t="shared" si="24"/>
        <v>60</v>
      </c>
      <c r="G206" s="14">
        <f t="shared" si="25"/>
        <v>59.9291962239777</v>
      </c>
      <c r="H206" s="9">
        <v>20</v>
      </c>
      <c r="I206" s="9">
        <v>20</v>
      </c>
      <c r="J206" s="9">
        <v>70</v>
      </c>
      <c r="K206" s="9">
        <v>100</v>
      </c>
      <c r="L206" s="9">
        <v>30</v>
      </c>
      <c r="M206" s="14">
        <f t="shared" si="26"/>
        <v>48</v>
      </c>
      <c r="N206" s="9">
        <v>20</v>
      </c>
      <c r="O206" s="9">
        <v>25</v>
      </c>
      <c r="P206" s="9">
        <v>0</v>
      </c>
      <c r="Q206" s="14">
        <f t="shared" si="27"/>
        <v>15</v>
      </c>
      <c r="R206" s="9">
        <v>99.588377723971</v>
      </c>
      <c r="S206" s="9">
        <v>50.6744573065069</v>
      </c>
      <c r="T206" s="9">
        <v>51.4416043631021</v>
      </c>
      <c r="U206" s="9">
        <v>5.32115340777593</v>
      </c>
      <c r="V206" s="9">
        <v>35.3927519258078</v>
      </c>
      <c r="W206" s="9">
        <v>28.6957184230025</v>
      </c>
      <c r="X206" s="9">
        <v>94.825980953989</v>
      </c>
      <c r="Y206" s="19">
        <f t="shared" si="28"/>
        <v>52.2771491577365</v>
      </c>
      <c r="Z206" s="6">
        <f t="shared" si="29"/>
        <v>52.2154588317357</v>
      </c>
      <c r="AA206" s="9">
        <v>25</v>
      </c>
      <c r="AB206" s="9">
        <v>75</v>
      </c>
      <c r="AC206" s="14">
        <f t="shared" si="30"/>
        <v>50</v>
      </c>
      <c r="AD206" s="17">
        <v>0.998819937066295</v>
      </c>
      <c r="AE206" s="9">
        <f t="shared" si="31"/>
        <v>47.0004768943162</v>
      </c>
      <c r="AF206" s="18">
        <f>RANK(AE206,AE$3:AE$298)</f>
        <v>225</v>
      </c>
      <c r="AG206" s="20" t="e">
        <f>#REF!-AF206</f>
        <v>#REF!</v>
      </c>
    </row>
    <row r="207" spans="1:33">
      <c r="A207" s="9" t="s">
        <v>241</v>
      </c>
      <c r="B207" s="9">
        <v>100</v>
      </c>
      <c r="C207" s="9">
        <v>60</v>
      </c>
      <c r="D207" s="9">
        <v>40</v>
      </c>
      <c r="E207" s="9">
        <v>40</v>
      </c>
      <c r="F207" s="13">
        <f t="shared" si="24"/>
        <v>60</v>
      </c>
      <c r="G207" s="14">
        <f t="shared" si="25"/>
        <v>61.092131358231</v>
      </c>
      <c r="H207" s="9">
        <v>20</v>
      </c>
      <c r="I207" s="9">
        <v>20</v>
      </c>
      <c r="J207" s="9">
        <v>20</v>
      </c>
      <c r="K207" s="9">
        <v>20</v>
      </c>
      <c r="L207" s="9">
        <v>30</v>
      </c>
      <c r="M207" s="14">
        <f t="shared" si="26"/>
        <v>22</v>
      </c>
      <c r="N207" s="9">
        <v>70</v>
      </c>
      <c r="O207" s="9">
        <v>25</v>
      </c>
      <c r="P207" s="9">
        <v>0</v>
      </c>
      <c r="Q207" s="14">
        <f t="shared" si="27"/>
        <v>31.6666666666667</v>
      </c>
      <c r="R207" s="9">
        <v>73.5483870967742</v>
      </c>
      <c r="S207" s="9">
        <v>86.3252107331589</v>
      </c>
      <c r="T207" s="9">
        <v>75.3292022167373</v>
      </c>
      <c r="U207" s="9">
        <v>3.65222022295254</v>
      </c>
      <c r="V207" s="9">
        <v>14.5412081555644</v>
      </c>
      <c r="W207" s="9">
        <v>34.8138095298848</v>
      </c>
      <c r="X207" s="9">
        <v>77.5580767395495</v>
      </c>
      <c r="Y207" s="19">
        <f t="shared" si="28"/>
        <v>52.2525878135174</v>
      </c>
      <c r="Z207" s="6">
        <f t="shared" si="29"/>
        <v>53.2036993085151</v>
      </c>
      <c r="AA207" s="9">
        <v>50</v>
      </c>
      <c r="AB207" s="9">
        <v>25</v>
      </c>
      <c r="AC207" s="14">
        <f t="shared" si="30"/>
        <v>37.5</v>
      </c>
      <c r="AD207" s="17">
        <v>1.01820218930385</v>
      </c>
      <c r="AE207" s="9">
        <f t="shared" si="31"/>
        <v>42.9545360642007</v>
      </c>
      <c r="AF207" s="18">
        <f>RANK(AE207,AE$3:AE$298)</f>
        <v>257</v>
      </c>
      <c r="AG207" s="20" t="e">
        <f>#REF!-AF207</f>
        <v>#REF!</v>
      </c>
    </row>
    <row r="208" spans="1:33">
      <c r="A208" s="9" t="s">
        <v>242</v>
      </c>
      <c r="B208" s="9">
        <v>60</v>
      </c>
      <c r="C208" s="9">
        <v>40</v>
      </c>
      <c r="D208" s="9">
        <v>20</v>
      </c>
      <c r="E208" s="9">
        <v>40</v>
      </c>
      <c r="F208" s="13">
        <f t="shared" si="24"/>
        <v>40</v>
      </c>
      <c r="G208" s="14">
        <f t="shared" si="25"/>
        <v>39.7875379299899</v>
      </c>
      <c r="H208" s="9">
        <v>60</v>
      </c>
      <c r="I208" s="9">
        <v>100</v>
      </c>
      <c r="J208" s="9">
        <v>70</v>
      </c>
      <c r="K208" s="9">
        <v>100</v>
      </c>
      <c r="L208" s="9">
        <v>70</v>
      </c>
      <c r="M208" s="14">
        <f t="shared" si="26"/>
        <v>80</v>
      </c>
      <c r="N208" s="9">
        <v>70</v>
      </c>
      <c r="O208" s="9">
        <v>75</v>
      </c>
      <c r="P208" s="9">
        <v>0</v>
      </c>
      <c r="Q208" s="14">
        <f t="shared" si="27"/>
        <v>48.3333333333333</v>
      </c>
      <c r="R208" s="9">
        <v>100</v>
      </c>
      <c r="S208" s="9">
        <v>66.795300428121</v>
      </c>
      <c r="T208" s="9">
        <v>48.4393379661971</v>
      </c>
      <c r="U208" s="9">
        <v>6.67001721468798</v>
      </c>
      <c r="V208" s="9">
        <v>18.2451007989629</v>
      </c>
      <c r="W208" s="9">
        <v>32.6658763263665</v>
      </c>
      <c r="X208" s="9">
        <v>91.8284438827169</v>
      </c>
      <c r="Y208" s="19">
        <f t="shared" si="28"/>
        <v>52.0920109452932</v>
      </c>
      <c r="Z208" s="6">
        <f t="shared" si="29"/>
        <v>51.8153215333825</v>
      </c>
      <c r="AA208" s="9">
        <v>75</v>
      </c>
      <c r="AB208" s="9">
        <v>50</v>
      </c>
      <c r="AC208" s="14">
        <f t="shared" si="30"/>
        <v>62.5</v>
      </c>
      <c r="AD208" s="17">
        <v>0.994688448249747</v>
      </c>
      <c r="AE208" s="9">
        <f t="shared" si="31"/>
        <v>56.1271040460127</v>
      </c>
      <c r="AF208" s="18">
        <f>RANK(AE208,AE$3:AE$298)</f>
        <v>122</v>
      </c>
      <c r="AG208" s="20" t="e">
        <f>#REF!-AF208</f>
        <v>#REF!</v>
      </c>
    </row>
    <row r="209" spans="1:33">
      <c r="A209" s="9" t="s">
        <v>243</v>
      </c>
      <c r="B209" s="9">
        <v>100</v>
      </c>
      <c r="C209" s="9">
        <v>20</v>
      </c>
      <c r="D209" s="9">
        <v>60</v>
      </c>
      <c r="E209" s="9">
        <v>60</v>
      </c>
      <c r="F209" s="13">
        <f t="shared" si="24"/>
        <v>60</v>
      </c>
      <c r="G209" s="14">
        <f t="shared" si="25"/>
        <v>65.874242583624</v>
      </c>
      <c r="H209" s="9">
        <v>40</v>
      </c>
      <c r="I209" s="9">
        <v>20</v>
      </c>
      <c r="J209" s="9">
        <v>70</v>
      </c>
      <c r="K209" s="9">
        <v>100</v>
      </c>
      <c r="L209" s="9">
        <v>30</v>
      </c>
      <c r="M209" s="14">
        <f t="shared" si="26"/>
        <v>52</v>
      </c>
      <c r="N209" s="9">
        <v>70</v>
      </c>
      <c r="O209" s="9">
        <v>50</v>
      </c>
      <c r="P209" s="9">
        <v>0</v>
      </c>
      <c r="Q209" s="14">
        <f t="shared" si="27"/>
        <v>40</v>
      </c>
      <c r="R209" s="9">
        <v>50.3671970624235</v>
      </c>
      <c r="S209" s="9">
        <v>87.5578677938319</v>
      </c>
      <c r="T209" s="9">
        <v>88.5130676987983</v>
      </c>
      <c r="U209" s="9">
        <v>13.9973197590153</v>
      </c>
      <c r="V209" s="9">
        <v>38.4107385241325</v>
      </c>
      <c r="W209" s="9">
        <v>15.3243588301705</v>
      </c>
      <c r="X209" s="9">
        <v>70.3640792281802</v>
      </c>
      <c r="Y209" s="19">
        <f t="shared" si="28"/>
        <v>52.0763755566503</v>
      </c>
      <c r="Z209" s="6">
        <f t="shared" si="29"/>
        <v>57.1748632715782</v>
      </c>
      <c r="AA209" s="9">
        <v>25</v>
      </c>
      <c r="AB209" s="9">
        <v>25</v>
      </c>
      <c r="AC209" s="14">
        <f t="shared" si="30"/>
        <v>25</v>
      </c>
      <c r="AD209" s="17">
        <v>1.0979040430604</v>
      </c>
      <c r="AE209" s="9">
        <f t="shared" si="31"/>
        <v>50.4773074981983</v>
      </c>
      <c r="AF209" s="18">
        <f>RANK(AE209,AE$3:AE$298)</f>
        <v>195</v>
      </c>
      <c r="AG209" s="20" t="e">
        <f>#REF!-AF209</f>
        <v>#REF!</v>
      </c>
    </row>
    <row r="210" spans="1:33">
      <c r="A210" s="9" t="s">
        <v>244</v>
      </c>
      <c r="B210" s="9">
        <v>100</v>
      </c>
      <c r="C210" s="9">
        <v>60</v>
      </c>
      <c r="D210" s="9">
        <v>20</v>
      </c>
      <c r="E210" s="9">
        <v>60</v>
      </c>
      <c r="F210" s="13">
        <f t="shared" si="24"/>
        <v>60</v>
      </c>
      <c r="G210" s="14">
        <f t="shared" si="25"/>
        <v>65.874242583624</v>
      </c>
      <c r="H210" s="9">
        <v>80</v>
      </c>
      <c r="I210" s="9">
        <v>40</v>
      </c>
      <c r="J210" s="9">
        <v>40</v>
      </c>
      <c r="K210" s="9">
        <v>100</v>
      </c>
      <c r="L210" s="9">
        <v>70</v>
      </c>
      <c r="M210" s="14">
        <f t="shared" si="26"/>
        <v>66</v>
      </c>
      <c r="N210" s="9">
        <v>40</v>
      </c>
      <c r="O210" s="9">
        <v>75</v>
      </c>
      <c r="P210" s="9">
        <v>0</v>
      </c>
      <c r="Q210" s="14">
        <f t="shared" si="27"/>
        <v>38.3333333333333</v>
      </c>
      <c r="R210" s="9">
        <v>100</v>
      </c>
      <c r="S210" s="9">
        <v>25.1738643638342</v>
      </c>
      <c r="T210" s="9">
        <v>55.2270706896344</v>
      </c>
      <c r="U210" s="9">
        <v>22.4048564537934</v>
      </c>
      <c r="V210" s="9">
        <v>65.3668460955326</v>
      </c>
      <c r="W210" s="9">
        <v>12.2803041917765</v>
      </c>
      <c r="X210" s="9">
        <v>82.3749327717192</v>
      </c>
      <c r="Y210" s="19">
        <f t="shared" si="28"/>
        <v>51.83255350947</v>
      </c>
      <c r="Z210" s="6">
        <f t="shared" si="29"/>
        <v>56.9071700601917</v>
      </c>
      <c r="AA210" s="9">
        <v>25</v>
      </c>
      <c r="AB210" s="9">
        <v>25</v>
      </c>
      <c r="AC210" s="14">
        <f t="shared" si="30"/>
        <v>25</v>
      </c>
      <c r="AD210" s="17">
        <v>1.0979040430604</v>
      </c>
      <c r="AE210" s="9">
        <f t="shared" si="31"/>
        <v>52.9469995347823</v>
      </c>
      <c r="AF210" s="18">
        <f>RANK(AE210,AE$3:AE$298)</f>
        <v>163</v>
      </c>
      <c r="AG210" s="20" t="e">
        <f>#REF!-AF210</f>
        <v>#REF!</v>
      </c>
    </row>
    <row r="211" spans="1:33">
      <c r="A211" s="9" t="s">
        <v>245</v>
      </c>
      <c r="B211" s="9">
        <v>80</v>
      </c>
      <c r="C211" s="9">
        <v>60</v>
      </c>
      <c r="D211" s="9">
        <v>20</v>
      </c>
      <c r="E211" s="9">
        <v>60</v>
      </c>
      <c r="F211" s="13">
        <f t="shared" si="24"/>
        <v>55</v>
      </c>
      <c r="G211" s="14">
        <f t="shared" si="25"/>
        <v>55.6753294155047</v>
      </c>
      <c r="H211" s="9">
        <v>20</v>
      </c>
      <c r="I211" s="9">
        <v>40</v>
      </c>
      <c r="J211" s="9">
        <v>70</v>
      </c>
      <c r="K211" s="9">
        <v>70</v>
      </c>
      <c r="L211" s="9">
        <v>30</v>
      </c>
      <c r="M211" s="14">
        <f t="shared" si="26"/>
        <v>46</v>
      </c>
      <c r="N211" s="9">
        <v>30</v>
      </c>
      <c r="O211" s="9">
        <v>25</v>
      </c>
      <c r="P211" s="9">
        <v>0</v>
      </c>
      <c r="Q211" s="14">
        <f t="shared" si="27"/>
        <v>18.3333333333333</v>
      </c>
      <c r="R211" s="9">
        <v>63.0744849445325</v>
      </c>
      <c r="S211" s="9">
        <v>92.7774000351191</v>
      </c>
      <c r="T211" s="9">
        <v>88.6436010204029</v>
      </c>
      <c r="U211" s="9">
        <v>15.0661228602549</v>
      </c>
      <c r="V211" s="9">
        <v>18.8624162395293</v>
      </c>
      <c r="W211" s="9">
        <v>36.083841097401</v>
      </c>
      <c r="X211" s="9">
        <v>47.487124053842</v>
      </c>
      <c r="Y211" s="19">
        <f t="shared" si="28"/>
        <v>51.7135700358688</v>
      </c>
      <c r="Z211" s="6">
        <f t="shared" si="29"/>
        <v>52.3485463090685</v>
      </c>
      <c r="AA211" s="9">
        <v>50</v>
      </c>
      <c r="AB211" s="9">
        <v>25</v>
      </c>
      <c r="AC211" s="14">
        <f t="shared" si="30"/>
        <v>37.5</v>
      </c>
      <c r="AD211" s="17">
        <v>1.01227871664554</v>
      </c>
      <c r="AE211" s="9">
        <f t="shared" si="31"/>
        <v>44.4146297758215</v>
      </c>
      <c r="AF211" s="18">
        <f>RANK(AE211,AE$3:AE$298)</f>
        <v>247</v>
      </c>
      <c r="AG211" s="20" t="e">
        <f>#REF!-AF211</f>
        <v>#REF!</v>
      </c>
    </row>
    <row r="212" spans="1:33">
      <c r="A212" s="9" t="s">
        <v>246</v>
      </c>
      <c r="B212" s="9">
        <v>80</v>
      </c>
      <c r="C212" s="9">
        <v>40</v>
      </c>
      <c r="D212" s="9">
        <v>20</v>
      </c>
      <c r="E212" s="9">
        <v>40</v>
      </c>
      <c r="F212" s="13">
        <f t="shared" si="24"/>
        <v>45</v>
      </c>
      <c r="G212" s="14">
        <f t="shared" si="25"/>
        <v>45.1173729974049</v>
      </c>
      <c r="H212" s="9">
        <v>20</v>
      </c>
      <c r="I212" s="9">
        <v>40</v>
      </c>
      <c r="J212" s="9">
        <v>70</v>
      </c>
      <c r="K212" s="9">
        <v>70</v>
      </c>
      <c r="L212" s="9">
        <v>30</v>
      </c>
      <c r="M212" s="14">
        <f t="shared" si="26"/>
        <v>46</v>
      </c>
      <c r="N212" s="9">
        <v>70</v>
      </c>
      <c r="O212" s="9">
        <v>50</v>
      </c>
      <c r="P212" s="9">
        <v>0</v>
      </c>
      <c r="Q212" s="14">
        <f t="shared" si="27"/>
        <v>40</v>
      </c>
      <c r="R212" s="9">
        <v>75.5013077593723</v>
      </c>
      <c r="S212" s="9">
        <v>55.0465378185815</v>
      </c>
      <c r="T212" s="9">
        <v>63.450669950722</v>
      </c>
      <c r="U212" s="9">
        <v>4.74960094721997</v>
      </c>
      <c r="V212" s="9">
        <v>45.1326177658556</v>
      </c>
      <c r="W212" s="9">
        <v>27.4920644609402</v>
      </c>
      <c r="X212" s="9">
        <v>90.1077458135405</v>
      </c>
      <c r="Y212" s="19">
        <f t="shared" si="28"/>
        <v>51.6400777880331</v>
      </c>
      <c r="Z212" s="6">
        <f t="shared" si="29"/>
        <v>51.774770026171</v>
      </c>
      <c r="AA212" s="9">
        <v>25</v>
      </c>
      <c r="AB212" s="9">
        <v>25</v>
      </c>
      <c r="AC212" s="14">
        <f t="shared" si="30"/>
        <v>25</v>
      </c>
      <c r="AD212" s="17">
        <v>1.00260828883122</v>
      </c>
      <c r="AE212" s="9">
        <f t="shared" si="31"/>
        <v>43.5059056073323</v>
      </c>
      <c r="AF212" s="18">
        <f>RANK(AE212,AE$3:AE$298)</f>
        <v>254</v>
      </c>
      <c r="AG212" s="20" t="e">
        <f>#REF!-AF212</f>
        <v>#REF!</v>
      </c>
    </row>
    <row r="213" spans="1:33">
      <c r="A213" s="9" t="s">
        <v>247</v>
      </c>
      <c r="B213" s="9">
        <v>60</v>
      </c>
      <c r="C213" s="9">
        <v>40</v>
      </c>
      <c r="D213" s="9">
        <v>40</v>
      </c>
      <c r="E213" s="9">
        <v>60</v>
      </c>
      <c r="F213" s="13">
        <f t="shared" si="24"/>
        <v>50</v>
      </c>
      <c r="G213" s="14">
        <f t="shared" si="25"/>
        <v>49.7967885345559</v>
      </c>
      <c r="H213" s="9">
        <v>20</v>
      </c>
      <c r="I213" s="9">
        <v>60</v>
      </c>
      <c r="J213" s="9">
        <v>70</v>
      </c>
      <c r="K213" s="9">
        <v>100</v>
      </c>
      <c r="L213" s="9">
        <v>70</v>
      </c>
      <c r="M213" s="14">
        <f t="shared" si="26"/>
        <v>64</v>
      </c>
      <c r="N213" s="9">
        <v>20</v>
      </c>
      <c r="O213" s="9">
        <v>25</v>
      </c>
      <c r="P213" s="9">
        <v>0</v>
      </c>
      <c r="Q213" s="14">
        <f t="shared" si="27"/>
        <v>15</v>
      </c>
      <c r="R213" s="9">
        <v>56.0520864160994</v>
      </c>
      <c r="S213" s="9">
        <v>90.138743514616</v>
      </c>
      <c r="T213" s="9">
        <v>82.3780015833838</v>
      </c>
      <c r="U213" s="9">
        <v>18.9355330182187</v>
      </c>
      <c r="V213" s="9">
        <v>15.1585235961308</v>
      </c>
      <c r="W213" s="9">
        <v>31.8771816604794</v>
      </c>
      <c r="X213" s="9">
        <v>66.898535284427</v>
      </c>
      <c r="Y213" s="19">
        <f t="shared" si="28"/>
        <v>51.6340864390507</v>
      </c>
      <c r="Z213" s="6">
        <f t="shared" si="29"/>
        <v>51.4242336716077</v>
      </c>
      <c r="AA213" s="9">
        <v>25</v>
      </c>
      <c r="AB213" s="9">
        <v>25</v>
      </c>
      <c r="AC213" s="14">
        <f t="shared" si="30"/>
        <v>25</v>
      </c>
      <c r="AD213" s="17">
        <v>0.995935770691117</v>
      </c>
      <c r="AE213" s="9">
        <f t="shared" si="31"/>
        <v>44.1866278083935</v>
      </c>
      <c r="AF213" s="18">
        <f>RANK(AE213,AE$3:AE$298)</f>
        <v>248</v>
      </c>
      <c r="AG213" s="20" t="e">
        <f>#REF!-AF213</f>
        <v>#REF!</v>
      </c>
    </row>
    <row r="214" spans="1:33">
      <c r="A214" s="9" t="s">
        <v>248</v>
      </c>
      <c r="B214" s="9">
        <v>80</v>
      </c>
      <c r="C214" s="9">
        <v>60</v>
      </c>
      <c r="D214" s="9">
        <v>80</v>
      </c>
      <c r="E214" s="9">
        <v>60</v>
      </c>
      <c r="F214" s="13">
        <f t="shared" si="24"/>
        <v>70</v>
      </c>
      <c r="G214" s="14">
        <f t="shared" si="25"/>
        <v>74.3798474087158</v>
      </c>
      <c r="H214" s="9">
        <v>40</v>
      </c>
      <c r="I214" s="9">
        <v>60</v>
      </c>
      <c r="J214" s="9">
        <v>100</v>
      </c>
      <c r="K214" s="9">
        <v>100</v>
      </c>
      <c r="L214" s="9">
        <v>70</v>
      </c>
      <c r="M214" s="14">
        <f t="shared" si="26"/>
        <v>74</v>
      </c>
      <c r="N214" s="9">
        <v>70</v>
      </c>
      <c r="O214" s="9">
        <v>75</v>
      </c>
      <c r="P214" s="9">
        <v>25</v>
      </c>
      <c r="Q214" s="14">
        <f t="shared" si="27"/>
        <v>56.6666666666667</v>
      </c>
      <c r="R214" s="9">
        <v>45.294302801385</v>
      </c>
      <c r="S214" s="9">
        <v>67.9123958893559</v>
      </c>
      <c r="T214" s="9">
        <v>76.8956020759921</v>
      </c>
      <c r="U214" s="9">
        <v>14.4717083012767</v>
      </c>
      <c r="V214" s="9">
        <v>52.4032218436379</v>
      </c>
      <c r="W214" s="9">
        <v>19.6724151448805</v>
      </c>
      <c r="X214" s="9">
        <v>82.7860264827951</v>
      </c>
      <c r="Y214" s="19">
        <f t="shared" si="28"/>
        <v>51.3479532199033</v>
      </c>
      <c r="Z214" s="6">
        <f t="shared" si="29"/>
        <v>54.5607560749469</v>
      </c>
      <c r="AA214" s="9">
        <v>50</v>
      </c>
      <c r="AB214" s="9">
        <v>50</v>
      </c>
      <c r="AC214" s="14">
        <f t="shared" si="30"/>
        <v>50</v>
      </c>
      <c r="AD214" s="17">
        <v>1.06256924869594</v>
      </c>
      <c r="AE214" s="9">
        <f t="shared" si="31"/>
        <v>62.0441963042272</v>
      </c>
      <c r="AF214" s="18">
        <f>RANK(AE214,AE$3:AE$298)</f>
        <v>77</v>
      </c>
      <c r="AG214" s="20" t="e">
        <f>#REF!-AF214</f>
        <v>#REF!</v>
      </c>
    </row>
    <row r="215" spans="1:33">
      <c r="A215" s="9" t="s">
        <v>249</v>
      </c>
      <c r="B215" s="9">
        <v>100</v>
      </c>
      <c r="C215" s="9">
        <v>60</v>
      </c>
      <c r="D215" s="9">
        <v>20</v>
      </c>
      <c r="E215" s="9">
        <v>60</v>
      </c>
      <c r="F215" s="13">
        <f t="shared" si="24"/>
        <v>60</v>
      </c>
      <c r="G215" s="14">
        <f t="shared" si="25"/>
        <v>59.4519424407326</v>
      </c>
      <c r="H215" s="9">
        <v>20</v>
      </c>
      <c r="I215" s="9">
        <v>20</v>
      </c>
      <c r="J215" s="9">
        <v>20</v>
      </c>
      <c r="K215" s="9">
        <v>100</v>
      </c>
      <c r="L215" s="9">
        <v>30</v>
      </c>
      <c r="M215" s="14">
        <f t="shared" si="26"/>
        <v>38</v>
      </c>
      <c r="N215" s="9">
        <v>20</v>
      </c>
      <c r="O215" s="9">
        <v>25</v>
      </c>
      <c r="P215" s="9">
        <v>0</v>
      </c>
      <c r="Q215" s="14">
        <f t="shared" si="27"/>
        <v>15</v>
      </c>
      <c r="R215" s="9">
        <v>44.7598253275109</v>
      </c>
      <c r="S215" s="9">
        <v>96.7835354823064</v>
      </c>
      <c r="T215" s="9">
        <v>90.6016008444714</v>
      </c>
      <c r="U215" s="9">
        <v>4.33236765101413</v>
      </c>
      <c r="V215" s="9">
        <v>6.58469803270842</v>
      </c>
      <c r="W215" s="9">
        <v>48.6999361005474</v>
      </c>
      <c r="X215" s="9">
        <v>67.4944327871132</v>
      </c>
      <c r="Y215" s="19">
        <f t="shared" si="28"/>
        <v>51.3223423179531</v>
      </c>
      <c r="Z215" s="6">
        <f t="shared" si="29"/>
        <v>50.8535490235087</v>
      </c>
      <c r="AA215" s="9">
        <v>25</v>
      </c>
      <c r="AB215" s="9">
        <v>25</v>
      </c>
      <c r="AC215" s="14">
        <f t="shared" si="30"/>
        <v>25</v>
      </c>
      <c r="AD215" s="17">
        <v>0.990865707345543</v>
      </c>
      <c r="AE215" s="9">
        <f t="shared" si="31"/>
        <v>40.7464531951991</v>
      </c>
      <c r="AF215" s="18">
        <f>RANK(AE215,AE$3:AE$298)</f>
        <v>271</v>
      </c>
      <c r="AG215" s="20" t="e">
        <f>#REF!-AF215</f>
        <v>#REF!</v>
      </c>
    </row>
    <row r="216" spans="1:33">
      <c r="A216" s="9" t="s">
        <v>250</v>
      </c>
      <c r="B216" s="9">
        <v>100</v>
      </c>
      <c r="C216" s="9">
        <v>60</v>
      </c>
      <c r="D216" s="9">
        <v>40</v>
      </c>
      <c r="E216" s="9">
        <v>60</v>
      </c>
      <c r="F216" s="13">
        <f t="shared" si="24"/>
        <v>65</v>
      </c>
      <c r="G216" s="14">
        <f t="shared" si="25"/>
        <v>65.5613042278727</v>
      </c>
      <c r="H216" s="9">
        <v>20</v>
      </c>
      <c r="I216" s="9">
        <v>40</v>
      </c>
      <c r="J216" s="9">
        <v>40</v>
      </c>
      <c r="K216" s="9">
        <v>70</v>
      </c>
      <c r="L216" s="9">
        <v>70</v>
      </c>
      <c r="M216" s="14">
        <f t="shared" si="26"/>
        <v>48</v>
      </c>
      <c r="N216" s="9">
        <v>20</v>
      </c>
      <c r="O216" s="9">
        <v>75</v>
      </c>
      <c r="P216" s="9">
        <v>0</v>
      </c>
      <c r="Q216" s="14">
        <f t="shared" si="27"/>
        <v>31.6666666666667</v>
      </c>
      <c r="R216" s="9">
        <v>59.6171376481313</v>
      </c>
      <c r="S216" s="9">
        <v>45.859390663253</v>
      </c>
      <c r="T216" s="9">
        <v>63.8422699155357</v>
      </c>
      <c r="U216" s="9">
        <v>11.5282131294136</v>
      </c>
      <c r="V216" s="9">
        <v>57.4103359726765</v>
      </c>
      <c r="W216" s="9">
        <v>25.1129866184432</v>
      </c>
      <c r="X216" s="9">
        <v>93.7554462120621</v>
      </c>
      <c r="Y216" s="19">
        <f t="shared" si="28"/>
        <v>51.0179685942165</v>
      </c>
      <c r="Z216" s="6">
        <f t="shared" si="29"/>
        <v>51.4585316937459</v>
      </c>
      <c r="AA216" s="9">
        <v>25</v>
      </c>
      <c r="AB216" s="9">
        <v>25</v>
      </c>
      <c r="AC216" s="14">
        <f t="shared" si="30"/>
        <v>25</v>
      </c>
      <c r="AD216" s="17">
        <v>1.00863544965958</v>
      </c>
      <c r="AE216" s="9">
        <f t="shared" si="31"/>
        <v>46.6498203536983</v>
      </c>
      <c r="AF216" s="18">
        <f>RANK(AE216,AE$3:AE$298)</f>
        <v>230</v>
      </c>
      <c r="AG216" s="20" t="e">
        <f>#REF!-AF216</f>
        <v>#REF!</v>
      </c>
    </row>
    <row r="217" spans="1:33">
      <c r="A217" s="9" t="s">
        <v>251</v>
      </c>
      <c r="B217" s="9">
        <v>100</v>
      </c>
      <c r="C217" s="9">
        <v>60</v>
      </c>
      <c r="D217" s="9">
        <v>40</v>
      </c>
      <c r="E217" s="9">
        <v>60</v>
      </c>
      <c r="F217" s="13">
        <f t="shared" si="24"/>
        <v>65</v>
      </c>
      <c r="G217" s="14">
        <f t="shared" si="25"/>
        <v>62.1779961002069</v>
      </c>
      <c r="H217" s="9">
        <v>80</v>
      </c>
      <c r="I217" s="9">
        <v>80</v>
      </c>
      <c r="J217" s="9">
        <v>100</v>
      </c>
      <c r="K217" s="9">
        <v>100</v>
      </c>
      <c r="L217" s="9">
        <v>70</v>
      </c>
      <c r="M217" s="14">
        <f t="shared" si="26"/>
        <v>86</v>
      </c>
      <c r="N217" s="9">
        <v>70</v>
      </c>
      <c r="O217" s="9">
        <v>75</v>
      </c>
      <c r="P217" s="9">
        <v>0</v>
      </c>
      <c r="Q217" s="14">
        <f t="shared" si="27"/>
        <v>48.3333333333333</v>
      </c>
      <c r="R217" s="9">
        <v>100</v>
      </c>
      <c r="S217" s="9">
        <v>54.6998530202672</v>
      </c>
      <c r="T217" s="9">
        <v>43.4790717452236</v>
      </c>
      <c r="U217" s="9">
        <v>1.21169121637862</v>
      </c>
      <c r="V217" s="9">
        <v>25.5157048767451</v>
      </c>
      <c r="W217" s="9">
        <v>45.3254675311068</v>
      </c>
      <c r="X217" s="9">
        <v>85.7019597680403</v>
      </c>
      <c r="Y217" s="19">
        <f t="shared" si="28"/>
        <v>50.8476783082517</v>
      </c>
      <c r="Z217" s="6">
        <f t="shared" si="29"/>
        <v>48.6401037470007</v>
      </c>
      <c r="AA217" s="9">
        <v>25</v>
      </c>
      <c r="AB217" s="9">
        <v>25</v>
      </c>
      <c r="AC217" s="14">
        <f t="shared" si="30"/>
        <v>25</v>
      </c>
      <c r="AD217" s="17">
        <v>0.956584555387799</v>
      </c>
      <c r="AE217" s="9">
        <f t="shared" si="31"/>
        <v>55.2276303441416</v>
      </c>
      <c r="AF217" s="18">
        <f>RANK(AE217,AE$3:AE$298)</f>
        <v>135</v>
      </c>
      <c r="AG217" s="20" t="e">
        <f>#REF!-AF217</f>
        <v>#REF!</v>
      </c>
    </row>
    <row r="218" spans="1:33">
      <c r="A218" s="9" t="s">
        <v>252</v>
      </c>
      <c r="B218" s="9">
        <v>100</v>
      </c>
      <c r="C218" s="9">
        <v>60</v>
      </c>
      <c r="D218" s="9">
        <v>60</v>
      </c>
      <c r="E218" s="9">
        <v>60</v>
      </c>
      <c r="F218" s="13">
        <f t="shared" si="24"/>
        <v>70</v>
      </c>
      <c r="G218" s="14">
        <f t="shared" si="25"/>
        <v>70.9792454983976</v>
      </c>
      <c r="H218" s="9">
        <v>20</v>
      </c>
      <c r="I218" s="9">
        <v>20</v>
      </c>
      <c r="J218" s="9">
        <v>40</v>
      </c>
      <c r="K218" s="9">
        <v>70</v>
      </c>
      <c r="L218" s="9">
        <v>30</v>
      </c>
      <c r="M218" s="14">
        <f t="shared" si="26"/>
        <v>36</v>
      </c>
      <c r="N218" s="9">
        <v>70</v>
      </c>
      <c r="O218" s="9">
        <v>25</v>
      </c>
      <c r="P218" s="9">
        <v>0</v>
      </c>
      <c r="Q218" s="14">
        <f t="shared" si="27"/>
        <v>31.6666666666667</v>
      </c>
      <c r="R218" s="9">
        <v>59.3923675435346</v>
      </c>
      <c r="S218" s="9">
        <v>82.81984221687</v>
      </c>
      <c r="T218" s="9">
        <v>59.4041369809805</v>
      </c>
      <c r="U218" s="9">
        <v>5.88699034372632</v>
      </c>
      <c r="V218" s="9">
        <v>8.23087254088553</v>
      </c>
      <c r="W218" s="9">
        <v>53.1254089446972</v>
      </c>
      <c r="X218" s="9">
        <v>84.6597320472932</v>
      </c>
      <c r="Y218" s="19">
        <f t="shared" si="28"/>
        <v>50.5027643739982</v>
      </c>
      <c r="Z218" s="6">
        <f t="shared" si="29"/>
        <v>51.2092587264249</v>
      </c>
      <c r="AA218" s="9">
        <v>50</v>
      </c>
      <c r="AB218" s="9">
        <v>25</v>
      </c>
      <c r="AC218" s="14">
        <f t="shared" si="30"/>
        <v>37.5</v>
      </c>
      <c r="AD218" s="17">
        <v>1.01398922140568</v>
      </c>
      <c r="AE218" s="9">
        <f t="shared" si="31"/>
        <v>47.133626717607</v>
      </c>
      <c r="AF218" s="18">
        <f>RANK(AE218,AE$3:AE$298)</f>
        <v>224</v>
      </c>
      <c r="AG218" s="20" t="e">
        <f>#REF!-AF218</f>
        <v>#REF!</v>
      </c>
    </row>
    <row r="219" spans="1:33">
      <c r="A219" s="9" t="s">
        <v>253</v>
      </c>
      <c r="B219" s="9">
        <v>60</v>
      </c>
      <c r="C219" s="9">
        <v>60</v>
      </c>
      <c r="D219" s="9">
        <v>40</v>
      </c>
      <c r="E219" s="9">
        <v>40</v>
      </c>
      <c r="F219" s="13">
        <f t="shared" si="24"/>
        <v>50</v>
      </c>
      <c r="G219" s="14">
        <f t="shared" si="25"/>
        <v>52.2639693459775</v>
      </c>
      <c r="H219" s="9">
        <v>80</v>
      </c>
      <c r="I219" s="9">
        <v>80</v>
      </c>
      <c r="J219" s="9">
        <v>40</v>
      </c>
      <c r="K219" s="9">
        <v>100</v>
      </c>
      <c r="L219" s="9">
        <v>70</v>
      </c>
      <c r="M219" s="14">
        <f t="shared" si="26"/>
        <v>74</v>
      </c>
      <c r="N219" s="9">
        <v>70</v>
      </c>
      <c r="O219" s="9">
        <v>75</v>
      </c>
      <c r="P219" s="9">
        <v>50</v>
      </c>
      <c r="Q219" s="14">
        <f t="shared" si="27"/>
        <v>65</v>
      </c>
      <c r="R219" s="9">
        <v>63.9817629179331</v>
      </c>
      <c r="S219" s="9">
        <v>93.7018928306239</v>
      </c>
      <c r="T219" s="9">
        <v>89.5573342716349</v>
      </c>
      <c r="U219" s="9">
        <v>5.04680822670907</v>
      </c>
      <c r="V219" s="9">
        <v>17.6963759629039</v>
      </c>
      <c r="W219" s="9">
        <v>28.6717197698072</v>
      </c>
      <c r="X219" s="9">
        <v>54.4524306704006</v>
      </c>
      <c r="Y219" s="19">
        <f t="shared" si="28"/>
        <v>50.4440463785732</v>
      </c>
      <c r="Z219" s="6">
        <f t="shared" si="29"/>
        <v>52.7281218723364</v>
      </c>
      <c r="AA219" s="9">
        <v>75</v>
      </c>
      <c r="AB219" s="9">
        <v>75</v>
      </c>
      <c r="AC219" s="14">
        <f t="shared" si="30"/>
        <v>75</v>
      </c>
      <c r="AD219" s="17">
        <v>1.04527938691955</v>
      </c>
      <c r="AE219" s="9">
        <f t="shared" si="31"/>
        <v>62.0712304308964</v>
      </c>
      <c r="AF219" s="18">
        <f>RANK(AE219,AE$3:AE$298)</f>
        <v>76</v>
      </c>
      <c r="AG219" s="20" t="e">
        <f>#REF!-AF219</f>
        <v>#REF!</v>
      </c>
    </row>
    <row r="220" spans="1:33">
      <c r="A220" s="9" t="s">
        <v>254</v>
      </c>
      <c r="B220" s="9">
        <v>80</v>
      </c>
      <c r="C220" s="9">
        <v>40</v>
      </c>
      <c r="D220" s="9">
        <v>40</v>
      </c>
      <c r="E220" s="9">
        <v>60</v>
      </c>
      <c r="F220" s="13">
        <f t="shared" si="24"/>
        <v>55</v>
      </c>
      <c r="G220" s="14">
        <f t="shared" si="25"/>
        <v>52.1764410908597</v>
      </c>
      <c r="H220" s="9">
        <v>60</v>
      </c>
      <c r="I220" s="9">
        <v>80</v>
      </c>
      <c r="J220" s="9">
        <v>40</v>
      </c>
      <c r="K220" s="9">
        <v>40</v>
      </c>
      <c r="L220" s="9">
        <v>70</v>
      </c>
      <c r="M220" s="14">
        <f t="shared" si="26"/>
        <v>58</v>
      </c>
      <c r="N220" s="9">
        <v>70</v>
      </c>
      <c r="O220" s="9">
        <v>50</v>
      </c>
      <c r="P220" s="9">
        <v>0</v>
      </c>
      <c r="Q220" s="14">
        <f t="shared" si="27"/>
        <v>40</v>
      </c>
      <c r="R220" s="9">
        <v>79.0769230769231</v>
      </c>
      <c r="S220" s="9">
        <v>65.9285884323353</v>
      </c>
      <c r="T220" s="9">
        <v>42.8264051372008</v>
      </c>
      <c r="U220" s="9">
        <v>2.06901990721255</v>
      </c>
      <c r="V220" s="9">
        <v>15.9816108502194</v>
      </c>
      <c r="W220" s="9">
        <v>56.4684637143162</v>
      </c>
      <c r="X220" s="9">
        <v>90.267403069606</v>
      </c>
      <c r="Y220" s="19">
        <f t="shared" si="28"/>
        <v>50.3740591696876</v>
      </c>
      <c r="Z220" s="6">
        <f t="shared" si="29"/>
        <v>47.7879841959034</v>
      </c>
      <c r="AA220" s="9">
        <v>75</v>
      </c>
      <c r="AB220" s="9">
        <v>25</v>
      </c>
      <c r="AC220" s="14">
        <f t="shared" si="30"/>
        <v>50</v>
      </c>
      <c r="AD220" s="17">
        <v>0.948662565288359</v>
      </c>
      <c r="AE220" s="9">
        <f t="shared" si="31"/>
        <v>49.871683476943</v>
      </c>
      <c r="AF220" s="18">
        <f>RANK(AE220,AE$3:AE$298)</f>
        <v>199</v>
      </c>
      <c r="AG220" s="20" t="e">
        <f>#REF!-AF220</f>
        <v>#REF!</v>
      </c>
    </row>
    <row r="221" spans="1:33">
      <c r="A221" s="9" t="s">
        <v>255</v>
      </c>
      <c r="B221" s="9">
        <v>100</v>
      </c>
      <c r="C221" s="9">
        <v>60</v>
      </c>
      <c r="D221" s="9">
        <v>60</v>
      </c>
      <c r="E221" s="9">
        <v>60</v>
      </c>
      <c r="F221" s="13">
        <f t="shared" si="24"/>
        <v>70</v>
      </c>
      <c r="G221" s="14">
        <f t="shared" si="25"/>
        <v>69.4981860544587</v>
      </c>
      <c r="H221" s="9">
        <v>40</v>
      </c>
      <c r="I221" s="9">
        <v>20</v>
      </c>
      <c r="J221" s="9">
        <v>40</v>
      </c>
      <c r="K221" s="9">
        <v>70</v>
      </c>
      <c r="L221" s="9">
        <v>30</v>
      </c>
      <c r="M221" s="14">
        <f t="shared" si="26"/>
        <v>40</v>
      </c>
      <c r="N221" s="9">
        <v>20</v>
      </c>
      <c r="O221" s="9">
        <v>75</v>
      </c>
      <c r="P221" s="9">
        <v>0</v>
      </c>
      <c r="Q221" s="14">
        <f t="shared" si="27"/>
        <v>31.6666666666667</v>
      </c>
      <c r="R221" s="9">
        <v>90.6965648854962</v>
      </c>
      <c r="S221" s="9">
        <v>78.5440630376606</v>
      </c>
      <c r="T221" s="9">
        <v>61.8842700914672</v>
      </c>
      <c r="U221" s="9">
        <v>12.2712313281363</v>
      </c>
      <c r="V221" s="9">
        <v>14.6783893645792</v>
      </c>
      <c r="W221" s="9">
        <v>36.9054277948443</v>
      </c>
      <c r="X221" s="9">
        <v>55.13911444871</v>
      </c>
      <c r="Y221" s="19">
        <f t="shared" si="28"/>
        <v>50.0170087072705</v>
      </c>
      <c r="Z221" s="6">
        <f t="shared" si="29"/>
        <v>49.6584482432196</v>
      </c>
      <c r="AA221" s="9">
        <v>25</v>
      </c>
      <c r="AB221" s="9">
        <v>25</v>
      </c>
      <c r="AC221" s="14">
        <f t="shared" si="30"/>
        <v>25</v>
      </c>
      <c r="AD221" s="17">
        <v>0.99283122934941</v>
      </c>
      <c r="AE221" s="9">
        <f t="shared" si="31"/>
        <v>45.2971716838576</v>
      </c>
      <c r="AF221" s="18">
        <f>RANK(AE221,AE$3:AE$298)</f>
        <v>241</v>
      </c>
      <c r="AG221" s="20" t="e">
        <f>#REF!-AF221</f>
        <v>#REF!</v>
      </c>
    </row>
    <row r="222" spans="1:33">
      <c r="A222" s="9" t="s">
        <v>256</v>
      </c>
      <c r="B222" s="9">
        <v>100</v>
      </c>
      <c r="C222" s="9">
        <v>20</v>
      </c>
      <c r="D222" s="9">
        <v>40</v>
      </c>
      <c r="E222" s="9">
        <v>60</v>
      </c>
      <c r="F222" s="13">
        <f t="shared" si="24"/>
        <v>55</v>
      </c>
      <c r="G222" s="14">
        <f t="shared" si="25"/>
        <v>60.1031469748006</v>
      </c>
      <c r="H222" s="9" t="s">
        <v>257</v>
      </c>
      <c r="I222" s="9">
        <v>20</v>
      </c>
      <c r="J222" s="9">
        <v>20</v>
      </c>
      <c r="K222" s="9">
        <v>20</v>
      </c>
      <c r="L222" s="9">
        <v>20</v>
      </c>
      <c r="M222" s="14">
        <f t="shared" si="26"/>
        <v>20</v>
      </c>
      <c r="N222" s="9">
        <v>20</v>
      </c>
      <c r="O222" s="9">
        <v>25</v>
      </c>
      <c r="P222" s="9">
        <v>0</v>
      </c>
      <c r="Q222" s="14">
        <f t="shared" si="27"/>
        <v>15</v>
      </c>
      <c r="R222" s="9">
        <v>91.679273827534</v>
      </c>
      <c r="S222" s="9">
        <v>66.5641772292448</v>
      </c>
      <c r="T222" s="9">
        <v>44.5233383180602</v>
      </c>
      <c r="U222" s="9">
        <v>1.88040759522909</v>
      </c>
      <c r="V222" s="9">
        <v>16.3245638727563</v>
      </c>
      <c r="W222" s="9">
        <v>35.0823059396819</v>
      </c>
      <c r="X222" s="9">
        <v>93.524588627467</v>
      </c>
      <c r="Y222" s="19">
        <f t="shared" si="28"/>
        <v>49.9398079157105</v>
      </c>
      <c r="Z222" s="6">
        <f t="shared" si="29"/>
        <v>54.5734475463865</v>
      </c>
      <c r="AA222" s="9">
        <v>25</v>
      </c>
      <c r="AB222" s="9">
        <v>25</v>
      </c>
      <c r="AC222" s="14">
        <f t="shared" si="30"/>
        <v>25</v>
      </c>
      <c r="AD222" s="17">
        <v>1.09278449045092</v>
      </c>
      <c r="AE222" s="9">
        <f t="shared" si="31"/>
        <v>38.3926636588761</v>
      </c>
      <c r="AF222" s="18">
        <f>RANK(AE222,AE$3:AE$298)</f>
        <v>282</v>
      </c>
      <c r="AG222" s="20" t="e">
        <f>#REF!-AF222</f>
        <v>#REF!</v>
      </c>
    </row>
    <row r="223" spans="1:33">
      <c r="A223" s="9" t="s">
        <v>258</v>
      </c>
      <c r="B223" s="9">
        <v>100</v>
      </c>
      <c r="C223" s="9">
        <v>40</v>
      </c>
      <c r="D223" s="9">
        <v>40</v>
      </c>
      <c r="E223" s="9">
        <v>40</v>
      </c>
      <c r="F223" s="13">
        <f t="shared" si="24"/>
        <v>55</v>
      </c>
      <c r="G223" s="14">
        <f t="shared" si="25"/>
        <v>55.4274758894136</v>
      </c>
      <c r="H223" s="9">
        <v>20</v>
      </c>
      <c r="I223" s="9">
        <v>20</v>
      </c>
      <c r="J223" s="9">
        <v>20</v>
      </c>
      <c r="K223" s="9">
        <v>20</v>
      </c>
      <c r="L223" s="9">
        <v>70</v>
      </c>
      <c r="M223" s="14">
        <f t="shared" si="26"/>
        <v>30</v>
      </c>
      <c r="N223" s="9">
        <v>40</v>
      </c>
      <c r="O223" s="9">
        <v>25</v>
      </c>
      <c r="P223" s="9">
        <v>25</v>
      </c>
      <c r="Q223" s="14">
        <f t="shared" si="27"/>
        <v>30</v>
      </c>
      <c r="R223" s="9">
        <v>77.5510204081633</v>
      </c>
      <c r="S223" s="9">
        <v>86.8644981972033</v>
      </c>
      <c r="T223" s="9">
        <v>70.4994693173685</v>
      </c>
      <c r="U223" s="9">
        <v>6.76146560837693</v>
      </c>
      <c r="V223" s="9">
        <v>9.46550342201836</v>
      </c>
      <c r="W223" s="9">
        <v>35.0851446491102</v>
      </c>
      <c r="X223" s="9">
        <v>63.2161559840653</v>
      </c>
      <c r="Y223" s="19">
        <f t="shared" si="28"/>
        <v>49.9204653694723</v>
      </c>
      <c r="Z223" s="6">
        <f t="shared" si="29"/>
        <v>50.3084616482679</v>
      </c>
      <c r="AA223" s="9">
        <v>25</v>
      </c>
      <c r="AB223" s="9">
        <v>25</v>
      </c>
      <c r="AC223" s="14">
        <f t="shared" si="30"/>
        <v>25</v>
      </c>
      <c r="AD223" s="17">
        <v>1.00777228889843</v>
      </c>
      <c r="AE223" s="9">
        <f t="shared" si="31"/>
        <v>40.4280336723631</v>
      </c>
      <c r="AF223" s="18">
        <f>RANK(AE223,AE$3:AE$298)</f>
        <v>273</v>
      </c>
      <c r="AG223" s="20" t="e">
        <f>#REF!-AF223</f>
        <v>#REF!</v>
      </c>
    </row>
    <row r="224" spans="1:33">
      <c r="A224" s="9" t="s">
        <v>259</v>
      </c>
      <c r="B224" s="9">
        <v>80</v>
      </c>
      <c r="C224" s="9">
        <v>60</v>
      </c>
      <c r="D224" s="9">
        <v>40</v>
      </c>
      <c r="E224" s="9">
        <v>60</v>
      </c>
      <c r="F224" s="13">
        <f t="shared" si="24"/>
        <v>60</v>
      </c>
      <c r="G224" s="14">
        <f t="shared" si="25"/>
        <v>64.2479125177398</v>
      </c>
      <c r="H224" s="9">
        <v>20</v>
      </c>
      <c r="I224" s="9">
        <v>60</v>
      </c>
      <c r="J224" s="9">
        <v>100</v>
      </c>
      <c r="K224" s="9">
        <v>100</v>
      </c>
      <c r="L224" s="9">
        <v>70</v>
      </c>
      <c r="M224" s="14">
        <f t="shared" si="26"/>
        <v>70</v>
      </c>
      <c r="N224" s="9">
        <v>70</v>
      </c>
      <c r="O224" s="9">
        <v>75</v>
      </c>
      <c r="P224" s="9">
        <v>0</v>
      </c>
      <c r="Q224" s="14">
        <f t="shared" si="27"/>
        <v>48.3333333333333</v>
      </c>
      <c r="R224" s="9">
        <v>68.2399213372665</v>
      </c>
      <c r="S224" s="9">
        <v>58.205221536556</v>
      </c>
      <c r="T224" s="9">
        <v>67.1056029556498</v>
      </c>
      <c r="U224" s="9">
        <v>4.97822193144235</v>
      </c>
      <c r="V224" s="9">
        <v>46.9159734830475</v>
      </c>
      <c r="W224" s="9">
        <v>17.9915914642836</v>
      </c>
      <c r="X224" s="9">
        <v>83.6353735100774</v>
      </c>
      <c r="Y224" s="19">
        <f t="shared" si="28"/>
        <v>49.5817008883319</v>
      </c>
      <c r="Z224" s="6">
        <f t="shared" si="29"/>
        <v>53.0920130192381</v>
      </c>
      <c r="AA224" s="9">
        <v>25</v>
      </c>
      <c r="AB224" s="9">
        <v>25</v>
      </c>
      <c r="AC224" s="14">
        <f t="shared" si="30"/>
        <v>25</v>
      </c>
      <c r="AD224" s="17">
        <v>1.07079854196233</v>
      </c>
      <c r="AE224" s="9">
        <f t="shared" si="31"/>
        <v>53.7771864093194</v>
      </c>
      <c r="AF224" s="18">
        <f>RANK(AE224,AE$3:AE$298)</f>
        <v>155</v>
      </c>
      <c r="AG224" s="20" t="e">
        <f>#REF!-AF224</f>
        <v>#REF!</v>
      </c>
    </row>
    <row r="225" spans="1:33">
      <c r="A225" s="9" t="s">
        <v>260</v>
      </c>
      <c r="B225" s="9">
        <v>100</v>
      </c>
      <c r="C225" s="9">
        <v>40</v>
      </c>
      <c r="D225" s="9">
        <v>40</v>
      </c>
      <c r="E225" s="9">
        <v>60</v>
      </c>
      <c r="F225" s="13">
        <f t="shared" si="24"/>
        <v>60</v>
      </c>
      <c r="G225" s="14">
        <f t="shared" si="25"/>
        <v>58.2138489714946</v>
      </c>
      <c r="H225" s="9">
        <v>80</v>
      </c>
      <c r="I225" s="9">
        <v>80</v>
      </c>
      <c r="J225" s="9">
        <v>40</v>
      </c>
      <c r="K225" s="9">
        <v>70</v>
      </c>
      <c r="L225" s="9">
        <v>70</v>
      </c>
      <c r="M225" s="14">
        <f t="shared" si="26"/>
        <v>68</v>
      </c>
      <c r="N225" s="9">
        <v>70</v>
      </c>
      <c r="O225" s="9">
        <v>75</v>
      </c>
      <c r="P225" s="9">
        <v>0</v>
      </c>
      <c r="Q225" s="14">
        <f t="shared" si="27"/>
        <v>48.3333333333333</v>
      </c>
      <c r="R225" s="9">
        <v>0</v>
      </c>
      <c r="S225" s="9">
        <v>90.5817296457953</v>
      </c>
      <c r="T225" s="9">
        <v>91.7764007389124</v>
      </c>
      <c r="U225" s="9">
        <v>2.90348649962424</v>
      </c>
      <c r="V225" s="9">
        <v>41.5659063314719</v>
      </c>
      <c r="W225" s="9">
        <v>34.4527160941131</v>
      </c>
      <c r="X225" s="9">
        <v>85.0412774886358</v>
      </c>
      <c r="Y225" s="19">
        <f t="shared" si="28"/>
        <v>49.4745023997933</v>
      </c>
      <c r="Z225" s="6">
        <f t="shared" si="29"/>
        <v>48.0016868440235</v>
      </c>
      <c r="AA225" s="9">
        <v>75</v>
      </c>
      <c r="AB225" s="9">
        <v>25</v>
      </c>
      <c r="AC225" s="14">
        <f t="shared" si="30"/>
        <v>50</v>
      </c>
      <c r="AD225" s="17">
        <v>0.970230816191576</v>
      </c>
      <c r="AE225" s="9">
        <f t="shared" si="31"/>
        <v>54.393275847506</v>
      </c>
      <c r="AF225" s="18">
        <f>RANK(AE225,AE$3:AE$298)</f>
        <v>146</v>
      </c>
      <c r="AG225" s="20" t="e">
        <f>#REF!-AF225</f>
        <v>#REF!</v>
      </c>
    </row>
    <row r="226" spans="1:33">
      <c r="A226" s="9" t="s">
        <v>261</v>
      </c>
      <c r="B226" s="9">
        <v>100</v>
      </c>
      <c r="C226" s="9">
        <v>60</v>
      </c>
      <c r="D226" s="9">
        <v>20</v>
      </c>
      <c r="E226" s="9">
        <v>60</v>
      </c>
      <c r="F226" s="13">
        <f t="shared" si="24"/>
        <v>60</v>
      </c>
      <c r="G226" s="14">
        <f t="shared" si="25"/>
        <v>62.6014902805008</v>
      </c>
      <c r="H226" s="9">
        <v>80</v>
      </c>
      <c r="I226" s="9">
        <v>80</v>
      </c>
      <c r="J226" s="9">
        <v>70</v>
      </c>
      <c r="K226" s="9">
        <v>100</v>
      </c>
      <c r="L226" s="9">
        <v>70</v>
      </c>
      <c r="M226" s="14">
        <f t="shared" si="26"/>
        <v>80</v>
      </c>
      <c r="N226" s="9">
        <v>70</v>
      </c>
      <c r="O226" s="9">
        <v>40</v>
      </c>
      <c r="P226" s="9">
        <v>0</v>
      </c>
      <c r="Q226" s="14">
        <f t="shared" si="27"/>
        <v>36.6666666666667</v>
      </c>
      <c r="R226" s="9">
        <v>93.9734833266372</v>
      </c>
      <c r="S226" s="9">
        <v>70.7051345424432</v>
      </c>
      <c r="T226" s="9">
        <v>53.7912041519842</v>
      </c>
      <c r="U226" s="9">
        <v>7.42446646262184</v>
      </c>
      <c r="V226" s="9">
        <v>17.8335571719186</v>
      </c>
      <c r="W226" s="9">
        <v>21.0563312958316</v>
      </c>
      <c r="X226" s="9">
        <v>81.370909388292</v>
      </c>
      <c r="Y226" s="19">
        <f t="shared" si="28"/>
        <v>49.4507266199612</v>
      </c>
      <c r="Z226" s="6">
        <f t="shared" si="29"/>
        <v>51.5948196977201</v>
      </c>
      <c r="AA226" s="9">
        <v>75</v>
      </c>
      <c r="AB226" s="9">
        <v>75</v>
      </c>
      <c r="AC226" s="14">
        <f t="shared" si="30"/>
        <v>75</v>
      </c>
      <c r="AD226" s="17">
        <v>1.04335817134168</v>
      </c>
      <c r="AE226" s="9">
        <f t="shared" si="31"/>
        <v>60.7487439654162</v>
      </c>
      <c r="AF226" s="18">
        <f>RANK(AE226,AE$3:AE$298)</f>
        <v>88</v>
      </c>
      <c r="AG226" s="20" t="e">
        <f>#REF!-AF226</f>
        <v>#REF!</v>
      </c>
    </row>
    <row r="227" spans="1:33">
      <c r="A227" s="9" t="s">
        <v>262</v>
      </c>
      <c r="B227" s="9">
        <v>80</v>
      </c>
      <c r="C227" s="9">
        <v>40</v>
      </c>
      <c r="D227" s="9">
        <v>20</v>
      </c>
      <c r="E227" s="9">
        <v>40</v>
      </c>
      <c r="F227" s="13">
        <f t="shared" si="24"/>
        <v>45</v>
      </c>
      <c r="G227" s="14">
        <f t="shared" si="25"/>
        <v>49.405681937718</v>
      </c>
      <c r="H227" s="9">
        <v>80</v>
      </c>
      <c r="I227" s="9">
        <v>60</v>
      </c>
      <c r="J227" s="9">
        <v>100</v>
      </c>
      <c r="K227" s="9">
        <v>40</v>
      </c>
      <c r="L227" s="9">
        <v>70</v>
      </c>
      <c r="M227" s="14">
        <f t="shared" si="26"/>
        <v>70</v>
      </c>
      <c r="N227" s="9">
        <v>70</v>
      </c>
      <c r="O227" s="9">
        <v>75</v>
      </c>
      <c r="P227" s="9">
        <v>0</v>
      </c>
      <c r="Q227" s="14">
        <f t="shared" si="27"/>
        <v>48.3333333333333</v>
      </c>
      <c r="R227" s="9">
        <v>97.6689976689977</v>
      </c>
      <c r="S227" s="9">
        <v>42.8933096110086</v>
      </c>
      <c r="T227" s="9">
        <v>52.7469375791477</v>
      </c>
      <c r="U227" s="9">
        <v>1.08023415045075</v>
      </c>
      <c r="V227" s="9">
        <v>44.1723493027523</v>
      </c>
      <c r="W227" s="9">
        <v>10.9829344988475</v>
      </c>
      <c r="X227" s="9">
        <v>96.2009112958044</v>
      </c>
      <c r="Y227" s="19">
        <f t="shared" si="28"/>
        <v>49.3922391581441</v>
      </c>
      <c r="Z227" s="6">
        <f t="shared" si="29"/>
        <v>54.2279390675327</v>
      </c>
      <c r="AA227" s="9">
        <v>25</v>
      </c>
      <c r="AB227" s="9">
        <v>25</v>
      </c>
      <c r="AC227" s="14">
        <f t="shared" si="30"/>
        <v>25</v>
      </c>
      <c r="AD227" s="17">
        <v>1.0979040430604</v>
      </c>
      <c r="AE227" s="9">
        <f t="shared" si="31"/>
        <v>51.1495181078034</v>
      </c>
      <c r="AF227" s="18">
        <f>RANK(AE227,AE$3:AE$298)</f>
        <v>184</v>
      </c>
      <c r="AG227" s="20" t="e">
        <f>#REF!-AF227</f>
        <v>#REF!</v>
      </c>
    </row>
    <row r="228" spans="1:33">
      <c r="A228" s="9" t="s">
        <v>263</v>
      </c>
      <c r="B228" s="9">
        <v>100</v>
      </c>
      <c r="C228" s="9">
        <v>80</v>
      </c>
      <c r="D228" s="9">
        <v>60</v>
      </c>
      <c r="E228" s="9">
        <v>60</v>
      </c>
      <c r="F228" s="13">
        <f t="shared" si="24"/>
        <v>75</v>
      </c>
      <c r="G228" s="14">
        <f t="shared" si="25"/>
        <v>77.1217441731345</v>
      </c>
      <c r="H228" s="9">
        <v>20</v>
      </c>
      <c r="I228" s="9">
        <v>20</v>
      </c>
      <c r="J228" s="9">
        <v>70</v>
      </c>
      <c r="K228" s="9">
        <v>100</v>
      </c>
      <c r="L228" s="9">
        <v>30</v>
      </c>
      <c r="M228" s="14">
        <f t="shared" si="26"/>
        <v>48</v>
      </c>
      <c r="N228" s="9">
        <v>40</v>
      </c>
      <c r="O228" s="9">
        <v>25</v>
      </c>
      <c r="P228" s="9">
        <v>0</v>
      </c>
      <c r="Q228" s="14">
        <f t="shared" si="27"/>
        <v>21.6666666666667</v>
      </c>
      <c r="R228" s="9">
        <v>0</v>
      </c>
      <c r="S228" s="9">
        <v>90.3891269800652</v>
      </c>
      <c r="T228" s="9">
        <v>90.8626674876805</v>
      </c>
      <c r="U228" s="9">
        <v>14.1402078741543</v>
      </c>
      <c r="V228" s="9">
        <v>37.5876512700439</v>
      </c>
      <c r="W228" s="9">
        <v>21.8392056581814</v>
      </c>
      <c r="X228" s="9">
        <v>89.7202445881952</v>
      </c>
      <c r="Y228" s="19">
        <f t="shared" si="28"/>
        <v>49.2198719797601</v>
      </c>
      <c r="Z228" s="6">
        <f t="shared" si="29"/>
        <v>50.6122983340998</v>
      </c>
      <c r="AA228" s="9">
        <v>25</v>
      </c>
      <c r="AB228" s="9">
        <v>25</v>
      </c>
      <c r="AC228" s="14">
        <f t="shared" si="30"/>
        <v>25</v>
      </c>
      <c r="AD228" s="17">
        <v>1.02828992230846</v>
      </c>
      <c r="AE228" s="9">
        <f t="shared" si="31"/>
        <v>47.2080383348569</v>
      </c>
      <c r="AF228" s="18">
        <f>RANK(AE228,AE$3:AE$298)</f>
        <v>222</v>
      </c>
      <c r="AG228" s="20" t="e">
        <f>#REF!-AF228</f>
        <v>#REF!</v>
      </c>
    </row>
    <row r="229" spans="1:33">
      <c r="A229" s="9" t="s">
        <v>264</v>
      </c>
      <c r="B229" s="9">
        <v>80</v>
      </c>
      <c r="C229" s="9">
        <v>40</v>
      </c>
      <c r="D229" s="9">
        <v>80</v>
      </c>
      <c r="E229" s="9">
        <v>80</v>
      </c>
      <c r="F229" s="13">
        <f t="shared" si="24"/>
        <v>70</v>
      </c>
      <c r="G229" s="14">
        <f t="shared" si="25"/>
        <v>70.8125799506552</v>
      </c>
      <c r="H229" s="9">
        <v>20</v>
      </c>
      <c r="I229" s="9">
        <v>20</v>
      </c>
      <c r="J229" s="9">
        <v>40</v>
      </c>
      <c r="K229" s="9">
        <v>40</v>
      </c>
      <c r="L229" s="9">
        <v>30</v>
      </c>
      <c r="M229" s="14">
        <f t="shared" si="26"/>
        <v>30</v>
      </c>
      <c r="N229" s="9">
        <v>70</v>
      </c>
      <c r="O229" s="9">
        <v>75</v>
      </c>
      <c r="P229" s="9">
        <v>0</v>
      </c>
      <c r="Q229" s="14">
        <f t="shared" si="27"/>
        <v>48.3333333333333</v>
      </c>
      <c r="R229" s="9">
        <v>100</v>
      </c>
      <c r="S229" s="9">
        <v>79.8537611646256</v>
      </c>
      <c r="T229" s="9">
        <v>55.8797372976573</v>
      </c>
      <c r="U229" s="9">
        <v>3.42931476333572</v>
      </c>
      <c r="V229" s="9">
        <v>9.6712752355405</v>
      </c>
      <c r="W229" s="9">
        <v>34.1345955863461</v>
      </c>
      <c r="X229" s="9">
        <v>59.5838929748726</v>
      </c>
      <c r="Y229" s="19">
        <f t="shared" si="28"/>
        <v>48.9360824317683</v>
      </c>
      <c r="Z229" s="6">
        <f t="shared" si="29"/>
        <v>49.5041464238778</v>
      </c>
      <c r="AA229" s="9">
        <v>75</v>
      </c>
      <c r="AB229" s="9">
        <v>50</v>
      </c>
      <c r="AC229" s="14">
        <f t="shared" si="30"/>
        <v>62.5</v>
      </c>
      <c r="AD229" s="17">
        <v>1.01160828500936</v>
      </c>
      <c r="AE229" s="9">
        <f t="shared" si="31"/>
        <v>51.6387599172944</v>
      </c>
      <c r="AF229" s="18">
        <f>RANK(AE229,AE$3:AE$298)</f>
        <v>173</v>
      </c>
      <c r="AG229" s="20" t="e">
        <f>#REF!-AF229</f>
        <v>#REF!</v>
      </c>
    </row>
    <row r="230" spans="1:33">
      <c r="A230" s="9" t="s">
        <v>265</v>
      </c>
      <c r="B230" s="9">
        <v>60</v>
      </c>
      <c r="C230" s="9">
        <v>60</v>
      </c>
      <c r="D230" s="9">
        <v>60</v>
      </c>
      <c r="E230" s="9">
        <v>40</v>
      </c>
      <c r="F230" s="13">
        <f t="shared" si="24"/>
        <v>55</v>
      </c>
      <c r="G230" s="14">
        <f t="shared" si="25"/>
        <v>57.2332258123098</v>
      </c>
      <c r="H230" s="9">
        <v>60</v>
      </c>
      <c r="I230" s="9">
        <v>80</v>
      </c>
      <c r="J230" s="9">
        <v>70</v>
      </c>
      <c r="K230" s="9">
        <v>100</v>
      </c>
      <c r="L230" s="9">
        <v>30</v>
      </c>
      <c r="M230" s="14">
        <f t="shared" si="26"/>
        <v>68</v>
      </c>
      <c r="N230" s="9">
        <v>70</v>
      </c>
      <c r="O230" s="9">
        <v>50</v>
      </c>
      <c r="P230" s="9">
        <v>0</v>
      </c>
      <c r="Q230" s="14">
        <f t="shared" si="27"/>
        <v>40</v>
      </c>
      <c r="R230" s="9">
        <v>57.5273010920437</v>
      </c>
      <c r="S230" s="9">
        <v>83.6865542126557</v>
      </c>
      <c r="T230" s="9">
        <v>80.0284017945017</v>
      </c>
      <c r="U230" s="9">
        <v>12.2426537051085</v>
      </c>
      <c r="V230" s="9">
        <v>26.5445639443558</v>
      </c>
      <c r="W230" s="9">
        <v>26.674201075533</v>
      </c>
      <c r="X230" s="9">
        <v>55.6272554413625</v>
      </c>
      <c r="Y230" s="19">
        <f t="shared" si="28"/>
        <v>48.904418752223</v>
      </c>
      <c r="Z230" s="6">
        <f t="shared" si="29"/>
        <v>50.890138939377</v>
      </c>
      <c r="AA230" s="9">
        <v>75</v>
      </c>
      <c r="AB230" s="9">
        <v>25</v>
      </c>
      <c r="AC230" s="14">
        <f t="shared" si="30"/>
        <v>50</v>
      </c>
      <c r="AD230" s="17">
        <v>1.04060410567836</v>
      </c>
      <c r="AE230" s="9">
        <f t="shared" si="31"/>
        <v>53.8136868442751</v>
      </c>
      <c r="AF230" s="18">
        <f>RANK(AE230,AE$3:AE$298)</f>
        <v>153</v>
      </c>
      <c r="AG230" s="20" t="e">
        <f>#REF!-AF230</f>
        <v>#REF!</v>
      </c>
    </row>
    <row r="231" spans="1:33">
      <c r="A231" s="9" t="s">
        <v>266</v>
      </c>
      <c r="B231" s="9">
        <v>80</v>
      </c>
      <c r="C231" s="9">
        <v>20</v>
      </c>
      <c r="D231" s="9">
        <v>20</v>
      </c>
      <c r="E231" s="9">
        <v>40</v>
      </c>
      <c r="F231" s="13">
        <f t="shared" si="24"/>
        <v>40</v>
      </c>
      <c r="G231" s="14">
        <f t="shared" si="25"/>
        <v>38.0552787523432</v>
      </c>
      <c r="H231" s="9">
        <v>60</v>
      </c>
      <c r="I231" s="9">
        <v>20</v>
      </c>
      <c r="J231" s="9">
        <v>40</v>
      </c>
      <c r="K231" s="9">
        <v>40</v>
      </c>
      <c r="L231" s="9">
        <v>30</v>
      </c>
      <c r="M231" s="14">
        <f t="shared" si="26"/>
        <v>38</v>
      </c>
      <c r="N231" s="9">
        <v>30</v>
      </c>
      <c r="O231" s="9">
        <v>25</v>
      </c>
      <c r="P231" s="9">
        <v>0</v>
      </c>
      <c r="Q231" s="14">
        <f t="shared" si="27"/>
        <v>18.3333333333333</v>
      </c>
      <c r="R231" s="9">
        <v>31.9742489270386</v>
      </c>
      <c r="S231" s="9">
        <v>94.5300842932636</v>
      </c>
      <c r="T231" s="9">
        <v>78.0704019704332</v>
      </c>
      <c r="U231" s="9">
        <v>1.61177793876779</v>
      </c>
      <c r="V231" s="9">
        <v>0.891677858595932</v>
      </c>
      <c r="W231" s="9">
        <v>68.4832729994255</v>
      </c>
      <c r="X231" s="9">
        <v>65.7520346839946</v>
      </c>
      <c r="Y231" s="19">
        <f t="shared" si="28"/>
        <v>48.7590712387885</v>
      </c>
      <c r="Z231" s="6">
        <f t="shared" si="29"/>
        <v>46.3885011924364</v>
      </c>
      <c r="AA231" s="9">
        <v>25</v>
      </c>
      <c r="AB231" s="9">
        <v>25</v>
      </c>
      <c r="AC231" s="14">
        <f t="shared" si="30"/>
        <v>25</v>
      </c>
      <c r="AD231" s="17">
        <v>0.951381968808581</v>
      </c>
      <c r="AE231" s="9">
        <f t="shared" si="31"/>
        <v>35.6276061081996</v>
      </c>
      <c r="AF231" s="18">
        <f>RANK(AE231,AE$3:AE$298)</f>
        <v>290</v>
      </c>
      <c r="AG231" s="20" t="e">
        <f>#REF!-AF231</f>
        <v>#REF!</v>
      </c>
    </row>
    <row r="232" spans="1:33">
      <c r="A232" s="9" t="s">
        <v>267</v>
      </c>
      <c r="B232" s="9">
        <v>100</v>
      </c>
      <c r="C232" s="9">
        <v>80</v>
      </c>
      <c r="D232" s="9">
        <v>20</v>
      </c>
      <c r="E232" s="9">
        <v>60</v>
      </c>
      <c r="F232" s="13">
        <f t="shared" si="24"/>
        <v>65</v>
      </c>
      <c r="G232" s="14">
        <f t="shared" si="25"/>
        <v>65.8378674735659</v>
      </c>
      <c r="H232" s="9">
        <v>20</v>
      </c>
      <c r="I232" s="9">
        <v>60</v>
      </c>
      <c r="J232" s="9">
        <v>70</v>
      </c>
      <c r="K232" s="9">
        <v>100</v>
      </c>
      <c r="L232" s="9">
        <v>70</v>
      </c>
      <c r="M232" s="14">
        <f t="shared" si="26"/>
        <v>64</v>
      </c>
      <c r="N232" s="9">
        <v>70</v>
      </c>
      <c r="O232" s="9">
        <v>75</v>
      </c>
      <c r="P232" s="9">
        <v>0</v>
      </c>
      <c r="Q232" s="14">
        <f t="shared" si="27"/>
        <v>48.3333333333333</v>
      </c>
      <c r="R232" s="9">
        <v>78.0988593155894</v>
      </c>
      <c r="S232" s="9">
        <v>71.2636822730607</v>
      </c>
      <c r="T232" s="9">
        <v>48.8309379310108</v>
      </c>
      <c r="U232" s="9">
        <v>19.8157238074749</v>
      </c>
      <c r="V232" s="9">
        <v>14.4726175510571</v>
      </c>
      <c r="W232" s="9">
        <v>28.2081504759157</v>
      </c>
      <c r="X232" s="9">
        <v>80.0870910894269</v>
      </c>
      <c r="Y232" s="19">
        <f t="shared" si="28"/>
        <v>48.6824374919336</v>
      </c>
      <c r="Z232" s="6">
        <f t="shared" si="29"/>
        <v>49.3099671982166</v>
      </c>
      <c r="AA232" s="9">
        <v>50</v>
      </c>
      <c r="AB232" s="9">
        <v>50</v>
      </c>
      <c r="AC232" s="14">
        <f t="shared" si="30"/>
        <v>50</v>
      </c>
      <c r="AD232" s="17">
        <v>1.01289026882409</v>
      </c>
      <c r="AE232" s="9">
        <f t="shared" si="31"/>
        <v>55.5105636541782</v>
      </c>
      <c r="AF232" s="18">
        <f>RANK(AE232,AE$3:AE$298)</f>
        <v>130</v>
      </c>
      <c r="AG232" s="20" t="e">
        <f>#REF!-AF232</f>
        <v>#REF!</v>
      </c>
    </row>
    <row r="233" spans="1:33">
      <c r="A233" s="9" t="s">
        <v>268</v>
      </c>
      <c r="B233" s="9">
        <v>100</v>
      </c>
      <c r="C233" s="9">
        <v>40</v>
      </c>
      <c r="D233" s="9">
        <v>20</v>
      </c>
      <c r="E233" s="9">
        <v>60</v>
      </c>
      <c r="F233" s="13">
        <f t="shared" si="24"/>
        <v>55</v>
      </c>
      <c r="G233" s="14">
        <f t="shared" si="25"/>
        <v>57.3803423338238</v>
      </c>
      <c r="H233" s="9">
        <v>60</v>
      </c>
      <c r="I233" s="9">
        <v>40</v>
      </c>
      <c r="J233" s="9">
        <v>70</v>
      </c>
      <c r="K233" s="9">
        <v>100</v>
      </c>
      <c r="L233" s="9">
        <v>70</v>
      </c>
      <c r="M233" s="14">
        <f t="shared" si="26"/>
        <v>68</v>
      </c>
      <c r="N233" s="9">
        <v>40</v>
      </c>
      <c r="O233" s="9">
        <v>75</v>
      </c>
      <c r="P233" s="9">
        <v>0</v>
      </c>
      <c r="Q233" s="14">
        <f t="shared" si="27"/>
        <v>38.3333333333333</v>
      </c>
      <c r="R233" s="9">
        <v>89.3415906127771</v>
      </c>
      <c r="S233" s="9">
        <v>76.4832145143479</v>
      </c>
      <c r="T233" s="9">
        <v>57.8377371217257</v>
      </c>
      <c r="U233" s="9">
        <v>4.943928783809</v>
      </c>
      <c r="V233" s="9">
        <v>14.4040269465497</v>
      </c>
      <c r="W233" s="9">
        <v>21.3576616330314</v>
      </c>
      <c r="X233" s="9">
        <v>76.295104245864</v>
      </c>
      <c r="Y233" s="19">
        <f t="shared" si="28"/>
        <v>48.6661805511578</v>
      </c>
      <c r="Z233" s="6">
        <f t="shared" si="29"/>
        <v>50.772401820093</v>
      </c>
      <c r="AA233" s="9">
        <v>25</v>
      </c>
      <c r="AB233" s="9">
        <v>25</v>
      </c>
      <c r="AC233" s="14">
        <f t="shared" si="30"/>
        <v>25</v>
      </c>
      <c r="AD233" s="17">
        <v>1.04327895152407</v>
      </c>
      <c r="AE233" s="9">
        <f t="shared" si="31"/>
        <v>49.8077890127927</v>
      </c>
      <c r="AF233" s="18">
        <f>RANK(AE233,AE$3:AE$298)</f>
        <v>201</v>
      </c>
      <c r="AG233" s="20" t="e">
        <f>#REF!-AF233</f>
        <v>#REF!</v>
      </c>
    </row>
    <row r="234" spans="1:33">
      <c r="A234" s="9" t="s">
        <v>269</v>
      </c>
      <c r="B234" s="9">
        <v>100</v>
      </c>
      <c r="C234" s="9">
        <v>60</v>
      </c>
      <c r="D234" s="9">
        <v>40</v>
      </c>
      <c r="E234" s="9">
        <v>40</v>
      </c>
      <c r="F234" s="13">
        <f t="shared" si="24"/>
        <v>60</v>
      </c>
      <c r="G234" s="14">
        <f t="shared" si="25"/>
        <v>61.8861118655802</v>
      </c>
      <c r="H234" s="9">
        <v>20</v>
      </c>
      <c r="I234" s="9">
        <v>20</v>
      </c>
      <c r="J234" s="9">
        <v>40</v>
      </c>
      <c r="K234" s="9">
        <v>70</v>
      </c>
      <c r="L234" s="9">
        <v>30</v>
      </c>
      <c r="M234" s="14">
        <f t="shared" si="26"/>
        <v>36</v>
      </c>
      <c r="N234" s="9">
        <v>70</v>
      </c>
      <c r="O234" s="9">
        <v>75</v>
      </c>
      <c r="P234" s="9">
        <v>0</v>
      </c>
      <c r="Q234" s="14">
        <f t="shared" si="27"/>
        <v>48.3333333333333</v>
      </c>
      <c r="R234" s="9">
        <v>0</v>
      </c>
      <c r="S234" s="9">
        <v>84.3799238092843</v>
      </c>
      <c r="T234" s="9">
        <v>86.0329345883116</v>
      </c>
      <c r="U234" s="9">
        <v>16.3578314211114</v>
      </c>
      <c r="V234" s="9">
        <v>40.125503636817</v>
      </c>
      <c r="W234" s="9">
        <v>23.1752618387603</v>
      </c>
      <c r="X234" s="9">
        <v>89.8322843019174</v>
      </c>
      <c r="Y234" s="19">
        <f t="shared" si="28"/>
        <v>48.5576770851717</v>
      </c>
      <c r="Z234" s="6">
        <f t="shared" si="29"/>
        <v>50.0840972670943</v>
      </c>
      <c r="AA234" s="9">
        <v>50</v>
      </c>
      <c r="AB234" s="9">
        <v>25</v>
      </c>
      <c r="AC234" s="14">
        <f t="shared" si="30"/>
        <v>37.5</v>
      </c>
      <c r="AD234" s="17">
        <v>1.03143519775967</v>
      </c>
      <c r="AE234" s="9">
        <f t="shared" si="31"/>
        <v>47.4774515532443</v>
      </c>
      <c r="AF234" s="18">
        <f>RANK(AE234,AE$3:AE$298)</f>
        <v>221</v>
      </c>
      <c r="AG234" s="20" t="e">
        <f>#REF!-AF234</f>
        <v>#REF!</v>
      </c>
    </row>
    <row r="235" spans="1:33">
      <c r="A235" s="9" t="s">
        <v>270</v>
      </c>
      <c r="B235" s="9">
        <v>100</v>
      </c>
      <c r="C235" s="9">
        <v>40</v>
      </c>
      <c r="D235" s="9">
        <v>40</v>
      </c>
      <c r="E235" s="9">
        <v>40</v>
      </c>
      <c r="F235" s="13">
        <f t="shared" si="24"/>
        <v>55</v>
      </c>
      <c r="G235" s="14">
        <f t="shared" si="25"/>
        <v>55.0958318125908</v>
      </c>
      <c r="H235" s="9">
        <v>20</v>
      </c>
      <c r="I235" s="9">
        <v>20</v>
      </c>
      <c r="J235" s="9">
        <v>40</v>
      </c>
      <c r="K235" s="9">
        <v>40</v>
      </c>
      <c r="L235" s="9">
        <v>70</v>
      </c>
      <c r="M235" s="14">
        <f t="shared" si="26"/>
        <v>38</v>
      </c>
      <c r="N235" s="9">
        <v>40</v>
      </c>
      <c r="O235" s="9">
        <v>50</v>
      </c>
      <c r="P235" s="9">
        <v>0</v>
      </c>
      <c r="Q235" s="14">
        <f t="shared" si="27"/>
        <v>30</v>
      </c>
      <c r="R235" s="9">
        <v>96.2253829321663</v>
      </c>
      <c r="S235" s="9">
        <v>70.1851073449718</v>
      </c>
      <c r="T235" s="9">
        <v>25.5960066853983</v>
      </c>
      <c r="U235" s="9">
        <v>2.80060705672417</v>
      </c>
      <c r="V235" s="9">
        <v>6.92765105524532</v>
      </c>
      <c r="W235" s="9">
        <v>46.5898826120223</v>
      </c>
      <c r="X235" s="9">
        <v>90.5017086864564</v>
      </c>
      <c r="Y235" s="19">
        <f t="shared" si="28"/>
        <v>48.4037637675692</v>
      </c>
      <c r="Z235" s="6">
        <f t="shared" si="29"/>
        <v>48.4881023206249</v>
      </c>
      <c r="AA235" s="9">
        <v>25</v>
      </c>
      <c r="AB235" s="9">
        <v>25</v>
      </c>
      <c r="AC235" s="14">
        <f t="shared" si="30"/>
        <v>25</v>
      </c>
      <c r="AD235" s="17">
        <v>1.00174239659256</v>
      </c>
      <c r="AE235" s="9">
        <f t="shared" si="31"/>
        <v>41.4155970587056</v>
      </c>
      <c r="AF235" s="18">
        <f>RANK(AE235,AE$3:AE$298)</f>
        <v>267</v>
      </c>
      <c r="AG235" s="20" t="e">
        <f>#REF!-AF235</f>
        <v>#REF!</v>
      </c>
    </row>
    <row r="236" spans="1:33">
      <c r="A236" s="9" t="s">
        <v>271</v>
      </c>
      <c r="B236" s="9">
        <v>100</v>
      </c>
      <c r="C236" s="9">
        <v>80</v>
      </c>
      <c r="D236" s="9">
        <v>60</v>
      </c>
      <c r="E236" s="9">
        <v>60</v>
      </c>
      <c r="F236" s="13">
        <f t="shared" si="24"/>
        <v>75</v>
      </c>
      <c r="G236" s="14">
        <f t="shared" si="25"/>
        <v>75.3290925990653</v>
      </c>
      <c r="H236" s="9">
        <v>60</v>
      </c>
      <c r="I236" s="9">
        <v>40</v>
      </c>
      <c r="J236" s="9">
        <v>70</v>
      </c>
      <c r="K236" s="9">
        <v>40</v>
      </c>
      <c r="L236" s="9">
        <v>30</v>
      </c>
      <c r="M236" s="14">
        <f t="shared" si="26"/>
        <v>48</v>
      </c>
      <c r="N236" s="9">
        <v>70</v>
      </c>
      <c r="O236" s="9">
        <v>50</v>
      </c>
      <c r="P236" s="9">
        <v>0</v>
      </c>
      <c r="Q236" s="14">
        <f t="shared" si="27"/>
        <v>40</v>
      </c>
      <c r="R236" s="9">
        <v>80.844327176781</v>
      </c>
      <c r="S236" s="9">
        <v>68.4709436199734</v>
      </c>
      <c r="T236" s="9">
        <v>50.5278711118701</v>
      </c>
      <c r="U236" s="9">
        <v>9.1105462212619</v>
      </c>
      <c r="V236" s="9">
        <v>17.9707383809334</v>
      </c>
      <c r="W236" s="9">
        <v>38.1822136247778</v>
      </c>
      <c r="X236" s="9">
        <v>72.4781474638011</v>
      </c>
      <c r="Y236" s="19">
        <f t="shared" si="28"/>
        <v>48.2263982284855</v>
      </c>
      <c r="Z236" s="6">
        <f t="shared" si="29"/>
        <v>48.4380109049731</v>
      </c>
      <c r="AA236" s="9">
        <v>75</v>
      </c>
      <c r="AB236" s="9">
        <v>25</v>
      </c>
      <c r="AC236" s="14">
        <f t="shared" si="30"/>
        <v>50</v>
      </c>
      <c r="AD236" s="17">
        <v>1.00438790132087</v>
      </c>
      <c r="AE236" s="9">
        <f t="shared" si="31"/>
        <v>52.697221791305</v>
      </c>
      <c r="AF236" s="18">
        <f>RANK(AE236,AE$3:AE$298)</f>
        <v>166</v>
      </c>
      <c r="AG236" s="20" t="e">
        <f>#REF!-AF236</f>
        <v>#REF!</v>
      </c>
    </row>
    <row r="237" spans="1:33">
      <c r="A237" s="9" t="s">
        <v>272</v>
      </c>
      <c r="B237" s="9">
        <v>100</v>
      </c>
      <c r="C237" s="9">
        <v>60</v>
      </c>
      <c r="D237" s="9">
        <v>20</v>
      </c>
      <c r="E237" s="9">
        <v>60</v>
      </c>
      <c r="F237" s="13">
        <f t="shared" si="24"/>
        <v>60</v>
      </c>
      <c r="G237" s="14">
        <f t="shared" si="25"/>
        <v>61.109063715882</v>
      </c>
      <c r="H237" s="9">
        <v>20</v>
      </c>
      <c r="I237" s="9">
        <v>60</v>
      </c>
      <c r="J237" s="9">
        <v>70</v>
      </c>
      <c r="K237" s="9">
        <v>100</v>
      </c>
      <c r="L237" s="9">
        <v>70</v>
      </c>
      <c r="M237" s="14">
        <f t="shared" si="26"/>
        <v>64</v>
      </c>
      <c r="N237" s="9">
        <v>70</v>
      </c>
      <c r="O237" s="9">
        <v>75</v>
      </c>
      <c r="P237" s="9">
        <v>0</v>
      </c>
      <c r="Q237" s="14">
        <f t="shared" si="27"/>
        <v>48.3333333333333</v>
      </c>
      <c r="R237" s="9">
        <v>68.3341670835418</v>
      </c>
      <c r="S237" s="9">
        <v>63.039548446383</v>
      </c>
      <c r="T237" s="9">
        <v>61.1010701618398</v>
      </c>
      <c r="U237" s="9">
        <v>3.99515169928611</v>
      </c>
      <c r="V237" s="9">
        <v>32.3747653274831</v>
      </c>
      <c r="W237" s="9">
        <v>26.0732391189148</v>
      </c>
      <c r="X237" s="9">
        <v>81.9833640258407</v>
      </c>
      <c r="Y237" s="19">
        <f t="shared" si="28"/>
        <v>48.1287579804699</v>
      </c>
      <c r="Z237" s="6">
        <f t="shared" si="29"/>
        <v>49.01838896658</v>
      </c>
      <c r="AA237" s="9">
        <v>75</v>
      </c>
      <c r="AB237" s="9">
        <v>25</v>
      </c>
      <c r="AC237" s="14">
        <f t="shared" si="30"/>
        <v>50</v>
      </c>
      <c r="AD237" s="17">
        <v>1.0184843952647</v>
      </c>
      <c r="AE237" s="9">
        <f t="shared" si="31"/>
        <v>54.4773294331504</v>
      </c>
      <c r="AF237" s="18">
        <f>RANK(AE237,AE$3:AE$298)</f>
        <v>143</v>
      </c>
      <c r="AG237" s="20" t="e">
        <f>#REF!-AF237</f>
        <v>#REF!</v>
      </c>
    </row>
    <row r="238" spans="1:33">
      <c r="A238" s="9" t="s">
        <v>273</v>
      </c>
      <c r="B238" s="9">
        <v>80</v>
      </c>
      <c r="C238" s="9">
        <v>20</v>
      </c>
      <c r="D238" s="9">
        <v>40</v>
      </c>
      <c r="E238" s="9">
        <v>40</v>
      </c>
      <c r="F238" s="13">
        <f t="shared" si="24"/>
        <v>45</v>
      </c>
      <c r="G238" s="14">
        <f t="shared" si="25"/>
        <v>46.1471441990256</v>
      </c>
      <c r="H238" s="9">
        <v>20</v>
      </c>
      <c r="I238" s="9">
        <v>20</v>
      </c>
      <c r="J238" s="9">
        <v>40</v>
      </c>
      <c r="K238" s="9">
        <v>100</v>
      </c>
      <c r="L238" s="9">
        <v>30</v>
      </c>
      <c r="M238" s="14">
        <f t="shared" si="26"/>
        <v>42</v>
      </c>
      <c r="N238" s="9">
        <v>20</v>
      </c>
      <c r="O238" s="9">
        <v>25</v>
      </c>
      <c r="P238" s="9">
        <v>0</v>
      </c>
      <c r="Q238" s="14">
        <f t="shared" si="27"/>
        <v>15</v>
      </c>
      <c r="R238" s="9">
        <v>48.0968858131488</v>
      </c>
      <c r="S238" s="9">
        <v>71.9185313365432</v>
      </c>
      <c r="T238" s="9">
        <v>42.4348051723871</v>
      </c>
      <c r="U238" s="9">
        <v>0.714440575694942</v>
      </c>
      <c r="V238" s="9">
        <v>11.0430873256881</v>
      </c>
      <c r="W238" s="9">
        <v>64.6967906421188</v>
      </c>
      <c r="X238" s="9">
        <v>97.1469575015328</v>
      </c>
      <c r="Y238" s="19">
        <f t="shared" si="28"/>
        <v>48.0073569095877</v>
      </c>
      <c r="Z238" s="6">
        <f t="shared" si="29"/>
        <v>49.231164931574</v>
      </c>
      <c r="AA238" s="9">
        <v>25</v>
      </c>
      <c r="AB238" s="9">
        <v>25</v>
      </c>
      <c r="AC238" s="14">
        <f t="shared" si="30"/>
        <v>25</v>
      </c>
      <c r="AD238" s="17">
        <v>1.02549209331168</v>
      </c>
      <c r="AE238" s="9">
        <f t="shared" si="31"/>
        <v>38.3987783192773</v>
      </c>
      <c r="AF238" s="18">
        <f>RANK(AE238,AE$3:AE$298)</f>
        <v>281</v>
      </c>
      <c r="AG238" s="20" t="e">
        <f>#REF!-AF238</f>
        <v>#REF!</v>
      </c>
    </row>
    <row r="239" spans="1:33">
      <c r="A239" s="9" t="s">
        <v>274</v>
      </c>
      <c r="B239" s="9">
        <v>80</v>
      </c>
      <c r="C239" s="9">
        <v>60</v>
      </c>
      <c r="D239" s="9">
        <v>40</v>
      </c>
      <c r="E239" s="9">
        <v>60</v>
      </c>
      <c r="F239" s="13">
        <f t="shared" si="24"/>
        <v>60</v>
      </c>
      <c r="G239" s="14">
        <f t="shared" si="25"/>
        <v>60.3993341787762</v>
      </c>
      <c r="H239" s="9">
        <v>20</v>
      </c>
      <c r="I239" s="9">
        <v>40</v>
      </c>
      <c r="J239" s="9">
        <v>40</v>
      </c>
      <c r="K239" s="9">
        <v>40</v>
      </c>
      <c r="L239" s="9">
        <v>70</v>
      </c>
      <c r="M239" s="14">
        <f t="shared" si="26"/>
        <v>42</v>
      </c>
      <c r="N239" s="9">
        <v>40</v>
      </c>
      <c r="O239" s="9">
        <v>25</v>
      </c>
      <c r="P239" s="9">
        <v>0</v>
      </c>
      <c r="Q239" s="14">
        <f t="shared" si="27"/>
        <v>21.6666666666667</v>
      </c>
      <c r="R239" s="9">
        <v>61.2636165577342</v>
      </c>
      <c r="S239" s="9">
        <v>78.3899809050764</v>
      </c>
      <c r="T239" s="9">
        <v>64.4949365235585</v>
      </c>
      <c r="U239" s="9">
        <v>12.1797829344474</v>
      </c>
      <c r="V239" s="9">
        <v>16.804698104308</v>
      </c>
      <c r="W239" s="9">
        <v>28.9081749925731</v>
      </c>
      <c r="X239" s="9">
        <v>73.1884251380197</v>
      </c>
      <c r="Y239" s="19">
        <f t="shared" si="28"/>
        <v>47.8899450222453</v>
      </c>
      <c r="Z239" s="6">
        <f t="shared" si="29"/>
        <v>48.2086798866969</v>
      </c>
      <c r="AA239" s="9">
        <v>25</v>
      </c>
      <c r="AB239" s="9">
        <v>25</v>
      </c>
      <c r="AC239" s="14">
        <f t="shared" si="30"/>
        <v>25</v>
      </c>
      <c r="AD239" s="17">
        <v>1.00665556964627</v>
      </c>
      <c r="AE239" s="9">
        <f t="shared" si="31"/>
        <v>41.9424708017643</v>
      </c>
      <c r="AF239" s="18">
        <f>RANK(AE239,AE$3:AE$298)</f>
        <v>264</v>
      </c>
      <c r="AG239" s="20" t="e">
        <f>#REF!-AF239</f>
        <v>#REF!</v>
      </c>
    </row>
    <row r="240" spans="1:33">
      <c r="A240" s="9" t="s">
        <v>275</v>
      </c>
      <c r="B240" s="9">
        <v>60</v>
      </c>
      <c r="C240" s="9">
        <v>40</v>
      </c>
      <c r="D240" s="9">
        <v>20</v>
      </c>
      <c r="E240" s="9">
        <v>40</v>
      </c>
      <c r="F240" s="13">
        <f t="shared" si="24"/>
        <v>40</v>
      </c>
      <c r="G240" s="14">
        <f t="shared" si="25"/>
        <v>39.2581724740208</v>
      </c>
      <c r="H240" s="9">
        <v>20</v>
      </c>
      <c r="I240" s="9">
        <v>20</v>
      </c>
      <c r="J240" s="9">
        <v>40</v>
      </c>
      <c r="K240" s="9">
        <v>100</v>
      </c>
      <c r="L240" s="9">
        <v>70</v>
      </c>
      <c r="M240" s="14">
        <f t="shared" si="26"/>
        <v>50</v>
      </c>
      <c r="N240" s="9">
        <v>70</v>
      </c>
      <c r="O240" s="9">
        <v>75</v>
      </c>
      <c r="P240" s="9">
        <v>0</v>
      </c>
      <c r="Q240" s="14">
        <f t="shared" si="27"/>
        <v>48.3333333333333</v>
      </c>
      <c r="R240" s="9">
        <v>30.188679245283</v>
      </c>
      <c r="S240" s="9">
        <v>96.321289084554</v>
      </c>
      <c r="T240" s="9">
        <v>89.9489342364485</v>
      </c>
      <c r="U240" s="9">
        <v>3.41216818951904</v>
      </c>
      <c r="V240" s="9">
        <v>7.40778528679698</v>
      </c>
      <c r="W240" s="9">
        <v>44.4815341051313</v>
      </c>
      <c r="X240" s="9">
        <v>62.1302283558895</v>
      </c>
      <c r="Y240" s="19">
        <f t="shared" si="28"/>
        <v>47.6986597862318</v>
      </c>
      <c r="Z240" s="6">
        <f t="shared" si="29"/>
        <v>46.8140553166882</v>
      </c>
      <c r="AA240" s="9">
        <v>25</v>
      </c>
      <c r="AB240" s="9">
        <v>25</v>
      </c>
      <c r="AC240" s="14">
        <f t="shared" si="30"/>
        <v>25</v>
      </c>
      <c r="AD240" s="17">
        <v>0.98145431185052</v>
      </c>
      <c r="AE240" s="9">
        <f t="shared" si="31"/>
        <v>42.8958510898106</v>
      </c>
      <c r="AF240" s="18">
        <f>RANK(AE240,AE$3:AE$298)</f>
        <v>259</v>
      </c>
      <c r="AG240" s="20" t="e">
        <f>#REF!-AF240</f>
        <v>#REF!</v>
      </c>
    </row>
    <row r="241" spans="1:33">
      <c r="A241" s="9" t="s">
        <v>276</v>
      </c>
      <c r="B241" s="9">
        <v>80</v>
      </c>
      <c r="C241" s="9">
        <v>60</v>
      </c>
      <c r="D241" s="9">
        <v>20</v>
      </c>
      <c r="E241" s="9">
        <v>60</v>
      </c>
      <c r="F241" s="13">
        <f t="shared" si="24"/>
        <v>55</v>
      </c>
      <c r="G241" s="14">
        <f t="shared" si="25"/>
        <v>56.1992724141046</v>
      </c>
      <c r="H241" s="9">
        <v>40</v>
      </c>
      <c r="I241" s="9">
        <v>60</v>
      </c>
      <c r="J241" s="9">
        <v>100</v>
      </c>
      <c r="K241" s="9">
        <v>70</v>
      </c>
      <c r="L241" s="9">
        <v>70</v>
      </c>
      <c r="M241" s="14">
        <f t="shared" si="26"/>
        <v>68</v>
      </c>
      <c r="N241" s="9">
        <v>70</v>
      </c>
      <c r="O241" s="9">
        <v>50</v>
      </c>
      <c r="P241" s="9">
        <v>0</v>
      </c>
      <c r="Q241" s="14">
        <f t="shared" si="27"/>
        <v>40</v>
      </c>
      <c r="R241" s="9">
        <v>85.692634131555</v>
      </c>
      <c r="S241" s="9">
        <v>55.5280444829069</v>
      </c>
      <c r="T241" s="9">
        <v>41.9126718859689</v>
      </c>
      <c r="U241" s="9">
        <v>3.81797043651377</v>
      </c>
      <c r="V241" s="9">
        <v>23.8009397640607</v>
      </c>
      <c r="W241" s="9">
        <v>26.4933115375398</v>
      </c>
      <c r="X241" s="9">
        <v>96.2758072645598</v>
      </c>
      <c r="Y241" s="19">
        <f t="shared" si="28"/>
        <v>47.6459113575864</v>
      </c>
      <c r="Z241" s="6">
        <f t="shared" si="29"/>
        <v>48.6848282146051</v>
      </c>
      <c r="AA241" s="9">
        <v>50</v>
      </c>
      <c r="AB241" s="9">
        <v>25</v>
      </c>
      <c r="AC241" s="14">
        <f t="shared" si="30"/>
        <v>37.5</v>
      </c>
      <c r="AD241" s="17">
        <v>1.02180495298372</v>
      </c>
      <c r="AE241" s="9">
        <f t="shared" si="31"/>
        <v>51.0703029472024</v>
      </c>
      <c r="AF241" s="18">
        <f>RANK(AE241,AE$3:AE$298)</f>
        <v>186</v>
      </c>
      <c r="AG241" s="20" t="e">
        <f>#REF!-AF241</f>
        <v>#REF!</v>
      </c>
    </row>
    <row r="242" s="1" customFormat="1" spans="1:33">
      <c r="A242" s="13" t="s">
        <v>277</v>
      </c>
      <c r="B242" s="13">
        <v>100</v>
      </c>
      <c r="C242" s="13">
        <v>20</v>
      </c>
      <c r="D242" s="13">
        <v>40</v>
      </c>
      <c r="E242" s="13">
        <v>80</v>
      </c>
      <c r="F242" s="13">
        <f t="shared" si="24"/>
        <v>60</v>
      </c>
      <c r="G242" s="14">
        <f t="shared" si="25"/>
        <v>59.0681522033142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4">
        <f t="shared" si="26"/>
        <v>0</v>
      </c>
      <c r="N242" s="13">
        <v>0</v>
      </c>
      <c r="O242" s="13">
        <v>0</v>
      </c>
      <c r="P242" s="13">
        <v>0</v>
      </c>
      <c r="Q242" s="14">
        <f t="shared" si="27"/>
        <v>0</v>
      </c>
      <c r="R242" s="13">
        <v>0</v>
      </c>
      <c r="S242" s="13">
        <v>92.3536741705128</v>
      </c>
      <c r="T242" s="13">
        <v>86.0329345883116</v>
      </c>
      <c r="U242" s="13">
        <v>4.42953156930864</v>
      </c>
      <c r="V242" s="13">
        <v>14.9527517826087</v>
      </c>
      <c r="W242" s="13">
        <v>53.809126708808</v>
      </c>
      <c r="X242" s="13">
        <v>79.3048389883542</v>
      </c>
      <c r="Y242" s="19">
        <f t="shared" si="28"/>
        <v>47.2689796868434</v>
      </c>
      <c r="Z242" s="6">
        <f t="shared" si="29"/>
        <v>46.5348547772972</v>
      </c>
      <c r="AA242" s="13">
        <v>0</v>
      </c>
      <c r="AB242" s="13">
        <v>0</v>
      </c>
      <c r="AC242" s="14">
        <f t="shared" si="30"/>
        <v>0</v>
      </c>
      <c r="AD242" s="21">
        <v>0.98446920338857</v>
      </c>
      <c r="AE242" s="13">
        <f t="shared" si="31"/>
        <v>25.774086873852</v>
      </c>
      <c r="AF242" s="22">
        <f>RANK(AE242,AE$3:AE$298)</f>
        <v>295</v>
      </c>
      <c r="AG242" s="3" t="e">
        <f>#REF!-AF242</f>
        <v>#REF!</v>
      </c>
    </row>
    <row r="243" spans="1:33">
      <c r="A243" s="9" t="s">
        <v>278</v>
      </c>
      <c r="B243" s="9">
        <v>60</v>
      </c>
      <c r="C243" s="9">
        <v>60</v>
      </c>
      <c r="D243" s="9">
        <v>20</v>
      </c>
      <c r="E243" s="9">
        <v>20</v>
      </c>
      <c r="F243" s="13">
        <f t="shared" si="24"/>
        <v>40</v>
      </c>
      <c r="G243" s="14">
        <f t="shared" si="25"/>
        <v>41.321895488064</v>
      </c>
      <c r="H243" s="9">
        <v>20</v>
      </c>
      <c r="I243" s="9">
        <v>40</v>
      </c>
      <c r="J243" s="9">
        <v>40</v>
      </c>
      <c r="K243" s="9">
        <v>70</v>
      </c>
      <c r="L243" s="9">
        <v>30</v>
      </c>
      <c r="M243" s="14">
        <f t="shared" si="26"/>
        <v>40</v>
      </c>
      <c r="N243" s="9">
        <v>20</v>
      </c>
      <c r="O243" s="9">
        <v>25</v>
      </c>
      <c r="P243" s="9">
        <v>0</v>
      </c>
      <c r="Q243" s="14">
        <f t="shared" si="27"/>
        <v>15</v>
      </c>
      <c r="R243" s="9">
        <v>100</v>
      </c>
      <c r="S243" s="9">
        <v>67.3731084253115</v>
      </c>
      <c r="T243" s="9">
        <v>40.8684053131324</v>
      </c>
      <c r="U243" s="9">
        <v>7.63022534842198</v>
      </c>
      <c r="V243" s="9">
        <v>13.9924833195054</v>
      </c>
      <c r="W243" s="9">
        <v>22.5791237914755</v>
      </c>
      <c r="X243" s="9">
        <v>78.3852054895088</v>
      </c>
      <c r="Y243" s="19">
        <f t="shared" si="28"/>
        <v>47.2612216696222</v>
      </c>
      <c r="Z243" s="6">
        <f t="shared" si="29"/>
        <v>48.8230815617589</v>
      </c>
      <c r="AA243" s="9">
        <v>25</v>
      </c>
      <c r="AB243" s="9">
        <v>25</v>
      </c>
      <c r="AC243" s="14">
        <f t="shared" si="30"/>
        <v>25</v>
      </c>
      <c r="AD243" s="17">
        <v>1.0330473872016</v>
      </c>
      <c r="AE243" s="9">
        <f t="shared" si="31"/>
        <v>36.9113035661405</v>
      </c>
      <c r="AF243" s="18">
        <f>RANK(AE243,AE$3:AE$298)</f>
        <v>287</v>
      </c>
      <c r="AG243" s="20" t="e">
        <f>#REF!-AF243</f>
        <v>#REF!</v>
      </c>
    </row>
    <row r="244" spans="1:33">
      <c r="A244" s="9" t="s">
        <v>279</v>
      </c>
      <c r="B244" s="9">
        <v>40</v>
      </c>
      <c r="C244" s="9">
        <v>60</v>
      </c>
      <c r="D244" s="9">
        <v>20</v>
      </c>
      <c r="E244" s="9">
        <v>60</v>
      </c>
      <c r="F244" s="13">
        <f t="shared" si="24"/>
        <v>45</v>
      </c>
      <c r="G244" s="14">
        <f t="shared" si="25"/>
        <v>45.6424873501806</v>
      </c>
      <c r="H244" s="9">
        <v>20</v>
      </c>
      <c r="I244" s="9">
        <v>20</v>
      </c>
      <c r="J244" s="9">
        <v>70</v>
      </c>
      <c r="K244" s="9">
        <v>100</v>
      </c>
      <c r="L244" s="9">
        <v>30</v>
      </c>
      <c r="M244" s="14">
        <f t="shared" si="26"/>
        <v>48</v>
      </c>
      <c r="N244" s="9">
        <v>70</v>
      </c>
      <c r="O244" s="9">
        <v>50</v>
      </c>
      <c r="P244" s="9">
        <v>0</v>
      </c>
      <c r="Q244" s="14">
        <f t="shared" si="27"/>
        <v>40</v>
      </c>
      <c r="R244" s="9">
        <v>76.1525043608273</v>
      </c>
      <c r="S244" s="9">
        <v>76.675817180078</v>
      </c>
      <c r="T244" s="9">
        <v>64.1033365587448</v>
      </c>
      <c r="U244" s="9">
        <v>9.18484804113417</v>
      </c>
      <c r="V244" s="9">
        <v>18.7252350305146</v>
      </c>
      <c r="W244" s="9">
        <v>31.1815670331665</v>
      </c>
      <c r="X244" s="9">
        <v>53.0917482379767</v>
      </c>
      <c r="Y244" s="19">
        <f t="shared" si="28"/>
        <v>47.0164366346346</v>
      </c>
      <c r="Z244" s="6">
        <f t="shared" si="29"/>
        <v>47.6877136521528</v>
      </c>
      <c r="AA244" s="9">
        <v>25</v>
      </c>
      <c r="AB244" s="9">
        <v>25</v>
      </c>
      <c r="AC244" s="14">
        <f t="shared" si="30"/>
        <v>25</v>
      </c>
      <c r="AD244" s="17">
        <v>1.01427749667068</v>
      </c>
      <c r="AE244" s="9">
        <f t="shared" si="31"/>
        <v>42.784811565682</v>
      </c>
      <c r="AF244" s="18">
        <f>RANK(AE244,AE$3:AE$298)</f>
        <v>260</v>
      </c>
      <c r="AG244" s="20" t="e">
        <f>#REF!-AF244</f>
        <v>#REF!</v>
      </c>
    </row>
    <row r="245" spans="1:33">
      <c r="A245" s="9" t="s">
        <v>280</v>
      </c>
      <c r="B245" s="9">
        <v>60</v>
      </c>
      <c r="C245" s="9">
        <v>60</v>
      </c>
      <c r="D245" s="9">
        <v>40</v>
      </c>
      <c r="E245" s="9">
        <v>60</v>
      </c>
      <c r="F245" s="13">
        <f t="shared" si="24"/>
        <v>55</v>
      </c>
      <c r="G245" s="14">
        <f t="shared" si="25"/>
        <v>55.8711638913324</v>
      </c>
      <c r="H245" s="9">
        <v>80</v>
      </c>
      <c r="I245" s="9">
        <v>60</v>
      </c>
      <c r="J245" s="9">
        <v>70</v>
      </c>
      <c r="K245" s="9">
        <v>70</v>
      </c>
      <c r="L245" s="9">
        <v>70</v>
      </c>
      <c r="M245" s="14">
        <f t="shared" si="26"/>
        <v>70</v>
      </c>
      <c r="N245" s="9">
        <v>70</v>
      </c>
      <c r="O245" s="9">
        <v>75</v>
      </c>
      <c r="P245" s="9">
        <v>0</v>
      </c>
      <c r="Q245" s="14">
        <f t="shared" si="27"/>
        <v>48.3333333333333</v>
      </c>
      <c r="R245" s="9">
        <v>54.6502690238278</v>
      </c>
      <c r="S245" s="9">
        <v>93.6441120309048</v>
      </c>
      <c r="T245" s="9">
        <v>81.4642683321519</v>
      </c>
      <c r="U245" s="9">
        <v>6.39567203362112</v>
      </c>
      <c r="V245" s="9">
        <v>5.35006715157559</v>
      </c>
      <c r="W245" s="9">
        <v>31.9422299305052</v>
      </c>
      <c r="X245" s="9">
        <v>54.9213897538639</v>
      </c>
      <c r="Y245" s="19">
        <f t="shared" si="28"/>
        <v>46.9097154652072</v>
      </c>
      <c r="Z245" s="6">
        <f t="shared" si="29"/>
        <v>47.652734560952</v>
      </c>
      <c r="AA245" s="9">
        <v>50</v>
      </c>
      <c r="AB245" s="9">
        <v>50</v>
      </c>
      <c r="AC245" s="14">
        <f t="shared" si="30"/>
        <v>50</v>
      </c>
      <c r="AD245" s="17">
        <v>1.01583934347877</v>
      </c>
      <c r="AE245" s="9">
        <f t="shared" si="31"/>
        <v>54.2200531465521</v>
      </c>
      <c r="AF245" s="18">
        <f>RANK(AE245,AE$3:AE$298)</f>
        <v>150</v>
      </c>
      <c r="AG245" s="20" t="e">
        <f>#REF!-AF245</f>
        <v>#REF!</v>
      </c>
    </row>
    <row r="246" spans="1:33">
      <c r="A246" s="9" t="s">
        <v>281</v>
      </c>
      <c r="B246" s="9">
        <v>100</v>
      </c>
      <c r="C246" s="9">
        <v>80</v>
      </c>
      <c r="D246" s="9">
        <v>60</v>
      </c>
      <c r="E246" s="9">
        <v>40</v>
      </c>
      <c r="F246" s="13">
        <f t="shared" si="24"/>
        <v>70</v>
      </c>
      <c r="G246" s="14">
        <f t="shared" si="25"/>
        <v>72.1505080739359</v>
      </c>
      <c r="H246" s="9">
        <v>40</v>
      </c>
      <c r="I246" s="9">
        <v>40</v>
      </c>
      <c r="J246" s="9">
        <v>70</v>
      </c>
      <c r="K246" s="9">
        <v>100</v>
      </c>
      <c r="L246" s="9">
        <v>30</v>
      </c>
      <c r="M246" s="14">
        <f t="shared" si="26"/>
        <v>56</v>
      </c>
      <c r="N246" s="9">
        <v>70</v>
      </c>
      <c r="O246" s="9">
        <v>75</v>
      </c>
      <c r="P246" s="9">
        <v>0</v>
      </c>
      <c r="Q246" s="14">
        <f t="shared" si="27"/>
        <v>48.3333333333333</v>
      </c>
      <c r="R246" s="9">
        <v>100</v>
      </c>
      <c r="S246" s="9">
        <v>42.7199672118515</v>
      </c>
      <c r="T246" s="9">
        <v>25.3349400421892</v>
      </c>
      <c r="U246" s="9">
        <v>5.72695565477065</v>
      </c>
      <c r="V246" s="9">
        <v>23.869530368568</v>
      </c>
      <c r="W246" s="9">
        <v>35.1817160841665</v>
      </c>
      <c r="X246" s="9">
        <v>95.5270601958097</v>
      </c>
      <c r="Y246" s="19">
        <f t="shared" si="28"/>
        <v>46.9085956510508</v>
      </c>
      <c r="Z246" s="6">
        <f t="shared" si="29"/>
        <v>48.3497001322591</v>
      </c>
      <c r="AA246" s="9">
        <v>50</v>
      </c>
      <c r="AB246" s="9">
        <v>25</v>
      </c>
      <c r="AC246" s="14">
        <f t="shared" si="30"/>
        <v>37.5</v>
      </c>
      <c r="AD246" s="17">
        <v>1.03072154391337</v>
      </c>
      <c r="AE246" s="9">
        <f t="shared" si="31"/>
        <v>53.0100116544649</v>
      </c>
      <c r="AF246" s="18">
        <f>RANK(AE246,AE$3:AE$298)</f>
        <v>162</v>
      </c>
      <c r="AG246" s="20" t="e">
        <f>#REF!-AF246</f>
        <v>#REF!</v>
      </c>
    </row>
    <row r="247" spans="1:33">
      <c r="A247" s="9" t="s">
        <v>282</v>
      </c>
      <c r="B247" s="9">
        <v>80</v>
      </c>
      <c r="C247" s="9">
        <v>60</v>
      </c>
      <c r="D247" s="9">
        <v>40</v>
      </c>
      <c r="E247" s="9">
        <v>60</v>
      </c>
      <c r="F247" s="13">
        <f t="shared" si="24"/>
        <v>60</v>
      </c>
      <c r="G247" s="14">
        <f t="shared" si="25"/>
        <v>59.5439793710813</v>
      </c>
      <c r="H247" s="9">
        <v>60</v>
      </c>
      <c r="I247" s="9">
        <v>100</v>
      </c>
      <c r="J247" s="9">
        <v>70</v>
      </c>
      <c r="K247" s="9">
        <v>100</v>
      </c>
      <c r="L247" s="9">
        <v>70</v>
      </c>
      <c r="M247" s="14">
        <f t="shared" si="26"/>
        <v>80</v>
      </c>
      <c r="N247" s="9">
        <v>50</v>
      </c>
      <c r="O247" s="9">
        <v>75</v>
      </c>
      <c r="P247" s="9">
        <v>0</v>
      </c>
      <c r="Q247" s="14">
        <f t="shared" si="27"/>
        <v>41.6666666666667</v>
      </c>
      <c r="R247" s="9">
        <v>55.7509157509158</v>
      </c>
      <c r="S247" s="9">
        <v>74.2297633253051</v>
      </c>
      <c r="T247" s="9">
        <v>62.6674700210946</v>
      </c>
      <c r="U247" s="9">
        <v>6.76146560837693</v>
      </c>
      <c r="V247" s="9">
        <v>20.5085907477064</v>
      </c>
      <c r="W247" s="9">
        <v>36.7379594099864</v>
      </c>
      <c r="X247" s="9">
        <v>71.1018896793634</v>
      </c>
      <c r="Y247" s="19">
        <f t="shared" si="28"/>
        <v>46.8225792203927</v>
      </c>
      <c r="Z247" s="6">
        <f t="shared" si="29"/>
        <v>46.466711519998</v>
      </c>
      <c r="AA247" s="9">
        <v>50</v>
      </c>
      <c r="AB247" s="9">
        <v>25</v>
      </c>
      <c r="AC247" s="14">
        <f t="shared" si="30"/>
        <v>37.5</v>
      </c>
      <c r="AD247" s="17">
        <v>0.992399656184689</v>
      </c>
      <c r="AE247" s="9">
        <f t="shared" si="31"/>
        <v>53.7238093302157</v>
      </c>
      <c r="AF247" s="18">
        <f>RANK(AE247,AE$3:AE$298)</f>
        <v>156</v>
      </c>
      <c r="AG247" s="20" t="e">
        <f>#REF!-AF247</f>
        <v>#REF!</v>
      </c>
    </row>
    <row r="248" spans="1:33">
      <c r="A248" s="9" t="s">
        <v>283</v>
      </c>
      <c r="B248" s="9">
        <v>100</v>
      </c>
      <c r="C248" s="9">
        <v>60</v>
      </c>
      <c r="D248" s="9">
        <v>40</v>
      </c>
      <c r="E248" s="9">
        <v>60</v>
      </c>
      <c r="F248" s="13">
        <f t="shared" si="24"/>
        <v>65</v>
      </c>
      <c r="G248" s="14">
        <f t="shared" si="25"/>
        <v>66.242903977003</v>
      </c>
      <c r="H248" s="9">
        <v>60</v>
      </c>
      <c r="I248" s="9">
        <v>60</v>
      </c>
      <c r="J248" s="9">
        <v>100</v>
      </c>
      <c r="K248" s="9">
        <v>100</v>
      </c>
      <c r="L248" s="9">
        <v>30</v>
      </c>
      <c r="M248" s="14">
        <f t="shared" si="26"/>
        <v>70</v>
      </c>
      <c r="N248" s="9">
        <v>40</v>
      </c>
      <c r="O248" s="9">
        <v>50</v>
      </c>
      <c r="P248" s="9">
        <v>0</v>
      </c>
      <c r="Q248" s="14">
        <f t="shared" si="27"/>
        <v>30</v>
      </c>
      <c r="R248" s="9">
        <v>45.2799121844127</v>
      </c>
      <c r="S248" s="9">
        <v>79.9308022309177</v>
      </c>
      <c r="T248" s="9">
        <v>73.632269035878</v>
      </c>
      <c r="U248" s="9">
        <v>6.80147428061585</v>
      </c>
      <c r="V248" s="9">
        <v>23.869530368568</v>
      </c>
      <c r="W248" s="9">
        <v>30.9841323361288</v>
      </c>
      <c r="X248" s="9">
        <v>66.7993840157467</v>
      </c>
      <c r="Y248" s="19">
        <f t="shared" si="28"/>
        <v>46.756786350324</v>
      </c>
      <c r="Z248" s="6">
        <f t="shared" si="29"/>
        <v>47.6508508996578</v>
      </c>
      <c r="AA248" s="9">
        <v>50</v>
      </c>
      <c r="AB248" s="9">
        <v>25</v>
      </c>
      <c r="AC248" s="14">
        <f t="shared" si="30"/>
        <v>37.5</v>
      </c>
      <c r="AD248" s="17">
        <v>1.0191215996462</v>
      </c>
      <c r="AE248" s="9">
        <f t="shared" si="31"/>
        <v>51.6688360652979</v>
      </c>
      <c r="AF248" s="18">
        <f>RANK(AE248,AE$3:AE$298)</f>
        <v>172</v>
      </c>
      <c r="AG248" s="20" t="e">
        <f>#REF!-AF248</f>
        <v>#REF!</v>
      </c>
    </row>
    <row r="249" spans="1:33">
      <c r="A249" s="9" t="s">
        <v>284</v>
      </c>
      <c r="B249" s="9">
        <v>100</v>
      </c>
      <c r="C249" s="9">
        <v>80</v>
      </c>
      <c r="D249" s="9">
        <v>20</v>
      </c>
      <c r="E249" s="9">
        <v>60</v>
      </c>
      <c r="F249" s="13">
        <f t="shared" si="24"/>
        <v>65</v>
      </c>
      <c r="G249" s="14">
        <f t="shared" si="25"/>
        <v>69.4224145318398</v>
      </c>
      <c r="H249" s="9">
        <v>20</v>
      </c>
      <c r="I249" s="9">
        <v>20</v>
      </c>
      <c r="J249" s="9">
        <v>70</v>
      </c>
      <c r="K249" s="9">
        <v>100</v>
      </c>
      <c r="L249" s="9">
        <v>70</v>
      </c>
      <c r="M249" s="14">
        <f t="shared" si="26"/>
        <v>56</v>
      </c>
      <c r="N249" s="9">
        <v>30</v>
      </c>
      <c r="O249" s="9">
        <v>25</v>
      </c>
      <c r="P249" s="9">
        <v>0</v>
      </c>
      <c r="Q249" s="14">
        <f t="shared" si="27"/>
        <v>18.3333333333333</v>
      </c>
      <c r="R249" s="9">
        <v>51.7238035203414</v>
      </c>
      <c r="S249" s="9">
        <v>24.4804947672056</v>
      </c>
      <c r="T249" s="9">
        <v>45.3065382476875</v>
      </c>
      <c r="U249" s="9">
        <v>40.2430087477447</v>
      </c>
      <c r="V249" s="9">
        <v>52.060268821101</v>
      </c>
      <c r="W249" s="9">
        <v>17.5961582262248</v>
      </c>
      <c r="X249" s="9">
        <v>92.6377356896991</v>
      </c>
      <c r="Y249" s="19">
        <f t="shared" si="28"/>
        <v>46.2925725742863</v>
      </c>
      <c r="Z249" s="6">
        <f t="shared" si="29"/>
        <v>49.4421871230367</v>
      </c>
      <c r="AA249" s="9">
        <v>25</v>
      </c>
      <c r="AB249" s="9">
        <v>25</v>
      </c>
      <c r="AC249" s="14">
        <f t="shared" si="30"/>
        <v>25</v>
      </c>
      <c r="AD249" s="17">
        <v>1.06803714664369</v>
      </c>
      <c r="AE249" s="9">
        <f t="shared" si="31"/>
        <v>46.417139043279</v>
      </c>
      <c r="AF249" s="18">
        <f>RANK(AE249,AE$3:AE$298)</f>
        <v>233</v>
      </c>
      <c r="AG249" s="20" t="e">
        <f>#REF!-AF249</f>
        <v>#REF!</v>
      </c>
    </row>
    <row r="250" spans="1:33">
      <c r="A250" s="9" t="s">
        <v>285</v>
      </c>
      <c r="B250" s="9">
        <v>80</v>
      </c>
      <c r="C250" s="9">
        <v>60</v>
      </c>
      <c r="D250" s="9">
        <v>20</v>
      </c>
      <c r="E250" s="9">
        <v>60</v>
      </c>
      <c r="F250" s="13">
        <f t="shared" si="24"/>
        <v>55</v>
      </c>
      <c r="G250" s="14">
        <f t="shared" si="25"/>
        <v>60.384722368322</v>
      </c>
      <c r="H250" s="9">
        <v>20</v>
      </c>
      <c r="I250" s="9">
        <v>20</v>
      </c>
      <c r="J250" s="9">
        <v>20</v>
      </c>
      <c r="K250" s="9">
        <v>20</v>
      </c>
      <c r="L250" s="9">
        <v>20</v>
      </c>
      <c r="M250" s="14">
        <f t="shared" si="26"/>
        <v>20</v>
      </c>
      <c r="N250" s="9">
        <v>20</v>
      </c>
      <c r="O250" s="9">
        <v>25</v>
      </c>
      <c r="P250" s="9">
        <v>0</v>
      </c>
      <c r="Q250" s="14">
        <f t="shared" si="27"/>
        <v>15</v>
      </c>
      <c r="R250" s="9">
        <v>100</v>
      </c>
      <c r="S250" s="9">
        <v>99.8651781339889</v>
      </c>
      <c r="T250" s="9">
        <v>98.8252001055589</v>
      </c>
      <c r="U250" s="9">
        <v>0</v>
      </c>
      <c r="V250" s="9">
        <v>11.1116779301955</v>
      </c>
      <c r="W250" s="9">
        <v>9.43116091068341</v>
      </c>
      <c r="X250" s="9">
        <v>0</v>
      </c>
      <c r="Y250" s="19">
        <f t="shared" si="28"/>
        <v>45.6047452972038</v>
      </c>
      <c r="Z250" s="6">
        <f t="shared" si="29"/>
        <v>50.0696342445398</v>
      </c>
      <c r="AA250" s="9">
        <v>25</v>
      </c>
      <c r="AB250" s="9">
        <v>25</v>
      </c>
      <c r="AC250" s="14">
        <f t="shared" si="30"/>
        <v>25</v>
      </c>
      <c r="AD250" s="17">
        <v>1.0979040430604</v>
      </c>
      <c r="AE250" s="9">
        <f t="shared" si="31"/>
        <v>37.0978347470263</v>
      </c>
      <c r="AF250" s="18">
        <f>RANK(AE250,AE$3:AE$298)</f>
        <v>285</v>
      </c>
      <c r="AG250" s="20" t="e">
        <f>#REF!-AF250</f>
        <v>#REF!</v>
      </c>
    </row>
    <row r="251" spans="1:33">
      <c r="A251" s="9" t="s">
        <v>286</v>
      </c>
      <c r="B251" s="9">
        <v>80</v>
      </c>
      <c r="C251" s="9">
        <v>40</v>
      </c>
      <c r="D251" s="9">
        <v>40</v>
      </c>
      <c r="E251" s="9">
        <v>40</v>
      </c>
      <c r="F251" s="13">
        <f t="shared" si="24"/>
        <v>50</v>
      </c>
      <c r="G251" s="14">
        <f t="shared" si="25"/>
        <v>49.7397369227159</v>
      </c>
      <c r="H251" s="9">
        <v>80</v>
      </c>
      <c r="I251" s="9">
        <v>40</v>
      </c>
      <c r="J251" s="9">
        <v>70</v>
      </c>
      <c r="K251" s="9">
        <v>100</v>
      </c>
      <c r="L251" s="9">
        <v>70</v>
      </c>
      <c r="M251" s="14">
        <f t="shared" si="26"/>
        <v>72</v>
      </c>
      <c r="N251" s="9">
        <v>70</v>
      </c>
      <c r="O251" s="9">
        <v>75</v>
      </c>
      <c r="P251" s="9">
        <v>0</v>
      </c>
      <c r="Q251" s="14">
        <f t="shared" si="27"/>
        <v>48.3333333333333</v>
      </c>
      <c r="R251" s="9">
        <v>64.9138410227904</v>
      </c>
      <c r="S251" s="9">
        <v>14.4073753495184</v>
      </c>
      <c r="T251" s="9">
        <v>43.7401383884328</v>
      </c>
      <c r="U251" s="9">
        <v>14.9575278927493</v>
      </c>
      <c r="V251" s="9">
        <v>58.576376249302</v>
      </c>
      <c r="W251" s="9">
        <v>27.6442531146436</v>
      </c>
      <c r="X251" s="9">
        <v>93.9605527376088</v>
      </c>
      <c r="Y251" s="19">
        <f t="shared" si="28"/>
        <v>45.4571521078636</v>
      </c>
      <c r="Z251" s="6">
        <f t="shared" si="29"/>
        <v>45.2205357420203</v>
      </c>
      <c r="AA251" s="9">
        <v>25</v>
      </c>
      <c r="AB251" s="9">
        <v>75</v>
      </c>
      <c r="AC251" s="14">
        <f t="shared" si="30"/>
        <v>50</v>
      </c>
      <c r="AD251" s="17">
        <v>0.994794738454318</v>
      </c>
      <c r="AE251" s="9">
        <f t="shared" si="31"/>
        <v>52.6641081071493</v>
      </c>
      <c r="AF251" s="18">
        <f>RANK(AE251,AE$3:AE$298)</f>
        <v>167</v>
      </c>
      <c r="AG251" s="20" t="e">
        <f>#REF!-AF251</f>
        <v>#REF!</v>
      </c>
    </row>
    <row r="252" spans="1:33">
      <c r="A252" s="9" t="s">
        <v>287</v>
      </c>
      <c r="B252" s="9">
        <v>100</v>
      </c>
      <c r="C252" s="9">
        <v>60</v>
      </c>
      <c r="D252" s="9">
        <v>20</v>
      </c>
      <c r="E252" s="9">
        <v>60</v>
      </c>
      <c r="F252" s="13">
        <f t="shared" si="24"/>
        <v>60</v>
      </c>
      <c r="G252" s="14">
        <f t="shared" si="25"/>
        <v>60.939659404401</v>
      </c>
      <c r="H252" s="9">
        <v>20</v>
      </c>
      <c r="I252" s="9">
        <v>60</v>
      </c>
      <c r="J252" s="9">
        <v>40</v>
      </c>
      <c r="K252" s="9">
        <v>40</v>
      </c>
      <c r="L252" s="9">
        <v>70</v>
      </c>
      <c r="M252" s="14">
        <f t="shared" si="26"/>
        <v>46</v>
      </c>
      <c r="N252" s="9">
        <v>70</v>
      </c>
      <c r="O252" s="9">
        <v>50</v>
      </c>
      <c r="P252" s="9">
        <v>0</v>
      </c>
      <c r="Q252" s="14">
        <f t="shared" si="27"/>
        <v>40</v>
      </c>
      <c r="R252" s="9">
        <v>45.7460906440498</v>
      </c>
      <c r="S252" s="9">
        <v>76.8876801123812</v>
      </c>
      <c r="T252" s="9">
        <v>59.9262702673987</v>
      </c>
      <c r="U252" s="9">
        <v>9.69352973102897</v>
      </c>
      <c r="V252" s="9">
        <v>15.2957048051456</v>
      </c>
      <c r="W252" s="9">
        <v>35.4163863743953</v>
      </c>
      <c r="X252" s="9">
        <v>75.2273776574683</v>
      </c>
      <c r="Y252" s="19">
        <f t="shared" si="28"/>
        <v>45.456148513124</v>
      </c>
      <c r="Z252" s="6">
        <f t="shared" si="29"/>
        <v>46.1680368037607</v>
      </c>
      <c r="AA252" s="9">
        <v>75</v>
      </c>
      <c r="AB252" s="9">
        <v>25</v>
      </c>
      <c r="AC252" s="14">
        <f t="shared" si="30"/>
        <v>50</v>
      </c>
      <c r="AD252" s="17">
        <v>1.01566099007335</v>
      </c>
      <c r="AE252" s="9">
        <f t="shared" si="31"/>
        <v>48.7383429220084</v>
      </c>
      <c r="AF252" s="18">
        <f>RANK(AE252,AE$3:AE$298)</f>
        <v>211</v>
      </c>
      <c r="AG252" s="20" t="e">
        <f>#REF!-AF252</f>
        <v>#REF!</v>
      </c>
    </row>
    <row r="253" spans="1:33">
      <c r="A253" s="9" t="s">
        <v>288</v>
      </c>
      <c r="B253" s="9">
        <v>100</v>
      </c>
      <c r="C253" s="9">
        <v>40</v>
      </c>
      <c r="D253" s="9">
        <v>20</v>
      </c>
      <c r="E253" s="9">
        <v>60</v>
      </c>
      <c r="F253" s="13">
        <f t="shared" si="24"/>
        <v>55</v>
      </c>
      <c r="G253" s="14">
        <f t="shared" si="25"/>
        <v>55.377052101547</v>
      </c>
      <c r="H253" s="9">
        <v>20</v>
      </c>
      <c r="I253" s="9">
        <v>80</v>
      </c>
      <c r="J253" s="9">
        <v>70</v>
      </c>
      <c r="K253" s="9">
        <v>70</v>
      </c>
      <c r="L253" s="9">
        <v>30</v>
      </c>
      <c r="M253" s="14">
        <f t="shared" si="26"/>
        <v>54</v>
      </c>
      <c r="N253" s="9">
        <v>20</v>
      </c>
      <c r="O253" s="9">
        <v>75</v>
      </c>
      <c r="P253" s="9">
        <v>0</v>
      </c>
      <c r="Q253" s="14">
        <f t="shared" si="27"/>
        <v>31.6666666666667</v>
      </c>
      <c r="R253" s="9">
        <v>0</v>
      </c>
      <c r="S253" s="9">
        <v>94.3952624272524</v>
      </c>
      <c r="T253" s="9">
        <v>88.7741343420075</v>
      </c>
      <c r="U253" s="9">
        <v>3.72080651821926</v>
      </c>
      <c r="V253" s="9">
        <v>12.9636242518947</v>
      </c>
      <c r="W253" s="9">
        <v>50.1865953886873</v>
      </c>
      <c r="X253" s="9">
        <v>67.8481394861388</v>
      </c>
      <c r="Y253" s="19">
        <f t="shared" si="28"/>
        <v>45.4126517734571</v>
      </c>
      <c r="Z253" s="6">
        <f t="shared" si="29"/>
        <v>45.7239778786936</v>
      </c>
      <c r="AA253" s="9">
        <v>50</v>
      </c>
      <c r="AB253" s="9">
        <v>50</v>
      </c>
      <c r="AC253" s="14">
        <f t="shared" si="30"/>
        <v>50</v>
      </c>
      <c r="AD253" s="17">
        <v>1.0068554927554</v>
      </c>
      <c r="AE253" s="9">
        <f t="shared" si="31"/>
        <v>47.8426037839175</v>
      </c>
      <c r="AF253" s="18">
        <f>RANK(AE253,AE$3:AE$298)</f>
        <v>216</v>
      </c>
      <c r="AG253" s="20" t="e">
        <f>#REF!-AF253</f>
        <v>#REF!</v>
      </c>
    </row>
    <row r="254" spans="1:33">
      <c r="A254" s="9" t="s">
        <v>289</v>
      </c>
      <c r="B254" s="9">
        <v>100</v>
      </c>
      <c r="C254" s="9">
        <v>60</v>
      </c>
      <c r="D254" s="9">
        <v>20</v>
      </c>
      <c r="E254" s="9">
        <v>60</v>
      </c>
      <c r="F254" s="13">
        <f t="shared" si="24"/>
        <v>60</v>
      </c>
      <c r="G254" s="14">
        <f t="shared" si="25"/>
        <v>62.206904859891</v>
      </c>
      <c r="H254" s="9">
        <v>20</v>
      </c>
      <c r="I254" s="9">
        <v>20</v>
      </c>
      <c r="J254" s="9">
        <v>40</v>
      </c>
      <c r="K254" s="9">
        <v>60</v>
      </c>
      <c r="L254" s="9">
        <v>30</v>
      </c>
      <c r="M254" s="14">
        <f t="shared" si="26"/>
        <v>34</v>
      </c>
      <c r="N254" s="9">
        <v>70</v>
      </c>
      <c r="O254" s="9">
        <v>50</v>
      </c>
      <c r="P254" s="9">
        <v>0</v>
      </c>
      <c r="Q254" s="14">
        <f t="shared" si="27"/>
        <v>40</v>
      </c>
      <c r="R254" s="9">
        <v>49.1562329885683</v>
      </c>
      <c r="S254" s="9">
        <v>66.1019308314924</v>
      </c>
      <c r="T254" s="9">
        <v>59.2736036593759</v>
      </c>
      <c r="U254" s="9">
        <v>4.02372932231391</v>
      </c>
      <c r="V254" s="9">
        <v>26.9561075714001</v>
      </c>
      <c r="W254" s="9">
        <v>34.2131953873868</v>
      </c>
      <c r="X254" s="9">
        <v>73.3433726823674</v>
      </c>
      <c r="Y254" s="19">
        <f t="shared" si="28"/>
        <v>44.7240246347007</v>
      </c>
      <c r="Z254" s="6">
        <f t="shared" si="29"/>
        <v>46.3690524233708</v>
      </c>
      <c r="AA254" s="9">
        <v>25</v>
      </c>
      <c r="AB254" s="9">
        <v>25</v>
      </c>
      <c r="AC254" s="14">
        <f t="shared" si="30"/>
        <v>25</v>
      </c>
      <c r="AD254" s="17">
        <v>1.03678174766485</v>
      </c>
      <c r="AE254" s="9">
        <f t="shared" si="31"/>
        <v>42.9020966989894</v>
      </c>
      <c r="AF254" s="18">
        <f>RANK(AE254,AE$3:AE$298)</f>
        <v>258</v>
      </c>
      <c r="AG254" s="20" t="e">
        <f>#REF!-AF254</f>
        <v>#REF!</v>
      </c>
    </row>
    <row r="255" spans="1:33">
      <c r="A255" s="9" t="s">
        <v>290</v>
      </c>
      <c r="B255" s="9">
        <v>80</v>
      </c>
      <c r="C255" s="9">
        <v>60</v>
      </c>
      <c r="D255" s="9">
        <v>40</v>
      </c>
      <c r="E255" s="9">
        <v>80</v>
      </c>
      <c r="F255" s="13">
        <f t="shared" si="24"/>
        <v>65</v>
      </c>
      <c r="G255" s="14">
        <f t="shared" si="25"/>
        <v>66.4442516091061</v>
      </c>
      <c r="H255" s="9">
        <v>20</v>
      </c>
      <c r="I255" s="9">
        <v>40</v>
      </c>
      <c r="J255" s="9">
        <v>100</v>
      </c>
      <c r="K255" s="9">
        <v>100</v>
      </c>
      <c r="L255" s="9">
        <v>70</v>
      </c>
      <c r="M255" s="14">
        <f t="shared" si="26"/>
        <v>66</v>
      </c>
      <c r="N255" s="9">
        <v>70</v>
      </c>
      <c r="O255" s="9">
        <v>50</v>
      </c>
      <c r="P255" s="9">
        <v>50</v>
      </c>
      <c r="Q255" s="14">
        <f t="shared" si="27"/>
        <v>56.6666666666667</v>
      </c>
      <c r="R255" s="9">
        <v>65.7407407407407</v>
      </c>
      <c r="S255" s="9">
        <v>67.4886700247496</v>
      </c>
      <c r="T255" s="9">
        <v>51.8332043279158</v>
      </c>
      <c r="U255" s="9">
        <v>7.88742395567216</v>
      </c>
      <c r="V255" s="9">
        <v>19.6855034936179</v>
      </c>
      <c r="W255" s="9">
        <v>35.4843170883493</v>
      </c>
      <c r="X255" s="9">
        <v>64.9216721742398</v>
      </c>
      <c r="Y255" s="19">
        <f t="shared" si="28"/>
        <v>44.7202188293265</v>
      </c>
      <c r="Z255" s="6">
        <f t="shared" si="29"/>
        <v>45.7138687986162</v>
      </c>
      <c r="AA255" s="9">
        <v>50</v>
      </c>
      <c r="AB255" s="9">
        <v>25</v>
      </c>
      <c r="AC255" s="14">
        <f t="shared" si="30"/>
        <v>37.5</v>
      </c>
      <c r="AD255" s="17">
        <v>1.02221925552471</v>
      </c>
      <c r="AE255" s="9">
        <f t="shared" si="31"/>
        <v>54.3280109614061</v>
      </c>
      <c r="AF255" s="18">
        <f>RANK(AE255,AE$3:AE$298)</f>
        <v>147</v>
      </c>
      <c r="AG255" s="20" t="e">
        <f>#REF!-AF255</f>
        <v>#REF!</v>
      </c>
    </row>
    <row r="256" spans="1:33">
      <c r="A256" s="9" t="s">
        <v>291</v>
      </c>
      <c r="B256" s="9">
        <v>80</v>
      </c>
      <c r="C256" s="9">
        <v>60</v>
      </c>
      <c r="D256" s="9">
        <v>60</v>
      </c>
      <c r="E256" s="9">
        <v>60</v>
      </c>
      <c r="F256" s="13">
        <f t="shared" si="24"/>
        <v>65</v>
      </c>
      <c r="G256" s="14">
        <f t="shared" si="25"/>
        <v>66.5067411763768</v>
      </c>
      <c r="H256" s="9">
        <v>20</v>
      </c>
      <c r="I256" s="9">
        <v>20</v>
      </c>
      <c r="J256" s="9">
        <v>100</v>
      </c>
      <c r="K256" s="9">
        <v>70</v>
      </c>
      <c r="L256" s="9">
        <v>30</v>
      </c>
      <c r="M256" s="14">
        <f t="shared" si="26"/>
        <v>48</v>
      </c>
      <c r="N256" s="9">
        <v>40</v>
      </c>
      <c r="O256" s="9">
        <v>50</v>
      </c>
      <c r="P256" s="9">
        <v>0</v>
      </c>
      <c r="Q256" s="14">
        <f t="shared" si="27"/>
        <v>30</v>
      </c>
      <c r="R256" s="9">
        <v>96.2574282463017</v>
      </c>
      <c r="S256" s="9">
        <v>67.6812726904797</v>
      </c>
      <c r="T256" s="9">
        <v>35.5165391273452</v>
      </c>
      <c r="U256" s="9">
        <v>8.42468326859475</v>
      </c>
      <c r="V256" s="9">
        <v>11.5918121617471</v>
      </c>
      <c r="W256" s="9">
        <v>29.9916741290379</v>
      </c>
      <c r="X256" s="9">
        <v>63.2262112671688</v>
      </c>
      <c r="Y256" s="19">
        <f t="shared" si="28"/>
        <v>44.669945841525</v>
      </c>
      <c r="Z256" s="6">
        <f t="shared" si="29"/>
        <v>45.7054234837704</v>
      </c>
      <c r="AA256" s="9">
        <v>50</v>
      </c>
      <c r="AB256" s="9">
        <v>25</v>
      </c>
      <c r="AC256" s="14">
        <f t="shared" si="30"/>
        <v>37.5</v>
      </c>
      <c r="AD256" s="17">
        <v>1.02318063348272</v>
      </c>
      <c r="AE256" s="9">
        <f t="shared" si="31"/>
        <v>46.7379752804065</v>
      </c>
      <c r="AF256" s="18">
        <f>RANK(AE256,AE$3:AE$298)</f>
        <v>229</v>
      </c>
      <c r="AG256" s="20" t="e">
        <f>#REF!-AF256</f>
        <v>#REF!</v>
      </c>
    </row>
    <row r="257" spans="1:33">
      <c r="A257" s="9" t="s">
        <v>292</v>
      </c>
      <c r="B257" s="9">
        <v>100</v>
      </c>
      <c r="C257" s="9">
        <v>80</v>
      </c>
      <c r="D257" s="9">
        <v>60</v>
      </c>
      <c r="E257" s="9">
        <v>60</v>
      </c>
      <c r="F257" s="13">
        <f t="shared" si="24"/>
        <v>75</v>
      </c>
      <c r="G257" s="14">
        <f t="shared" si="25"/>
        <v>73.6419759092236</v>
      </c>
      <c r="H257" s="9">
        <v>20</v>
      </c>
      <c r="I257" s="9">
        <v>20</v>
      </c>
      <c r="J257" s="9">
        <v>70</v>
      </c>
      <c r="K257" s="9">
        <v>100</v>
      </c>
      <c r="L257" s="9">
        <v>30</v>
      </c>
      <c r="M257" s="14">
        <f t="shared" si="26"/>
        <v>48</v>
      </c>
      <c r="N257" s="9">
        <v>40</v>
      </c>
      <c r="O257" s="9">
        <v>25</v>
      </c>
      <c r="P257" s="9">
        <v>0</v>
      </c>
      <c r="Q257" s="14">
        <f t="shared" si="27"/>
        <v>21.6666666666667</v>
      </c>
      <c r="R257" s="9">
        <v>38.3475971033575</v>
      </c>
      <c r="S257" s="9">
        <v>70.6280934761511</v>
      </c>
      <c r="T257" s="9">
        <v>62.6674700210946</v>
      </c>
      <c r="U257" s="9">
        <v>8.66473530202826</v>
      </c>
      <c r="V257" s="9">
        <v>24.8297988316713</v>
      </c>
      <c r="W257" s="9">
        <v>39.7868748313022</v>
      </c>
      <c r="X257" s="9">
        <v>67.6565545038836</v>
      </c>
      <c r="Y257" s="19">
        <f t="shared" si="28"/>
        <v>44.6544462956412</v>
      </c>
      <c r="Z257" s="6">
        <f t="shared" si="29"/>
        <v>43.8458887779111</v>
      </c>
      <c r="AA257" s="9">
        <v>75</v>
      </c>
      <c r="AB257" s="9">
        <v>25</v>
      </c>
      <c r="AC257" s="14">
        <f t="shared" si="30"/>
        <v>50</v>
      </c>
      <c r="AD257" s="17">
        <v>0.981893012122982</v>
      </c>
      <c r="AE257" s="9">
        <f t="shared" si="31"/>
        <v>48.2321618152181</v>
      </c>
      <c r="AF257" s="18">
        <f>RANK(AE257,AE$3:AE$298)</f>
        <v>215</v>
      </c>
      <c r="AG257" s="20" t="e">
        <f>#REF!-AF257</f>
        <v>#REF!</v>
      </c>
    </row>
    <row r="258" spans="1:33">
      <c r="A258" s="9" t="s">
        <v>293</v>
      </c>
      <c r="B258" s="9">
        <v>80</v>
      </c>
      <c r="C258" s="9">
        <v>40</v>
      </c>
      <c r="D258" s="9">
        <v>40</v>
      </c>
      <c r="E258" s="9">
        <v>60</v>
      </c>
      <c r="F258" s="13">
        <f t="shared" si="24"/>
        <v>55</v>
      </c>
      <c r="G258" s="14">
        <f t="shared" si="25"/>
        <v>56.685043641908</v>
      </c>
      <c r="H258" s="9">
        <v>20</v>
      </c>
      <c r="I258" s="9">
        <v>40</v>
      </c>
      <c r="J258" s="9">
        <v>70</v>
      </c>
      <c r="K258" s="9">
        <v>70</v>
      </c>
      <c r="L258" s="9">
        <v>70</v>
      </c>
      <c r="M258" s="14">
        <f t="shared" si="26"/>
        <v>54</v>
      </c>
      <c r="N258" s="9">
        <v>70</v>
      </c>
      <c r="O258" s="9">
        <v>25</v>
      </c>
      <c r="P258" s="9">
        <v>0</v>
      </c>
      <c r="Q258" s="14">
        <f t="shared" si="27"/>
        <v>31.6666666666667</v>
      </c>
      <c r="R258" s="9">
        <v>10.0263852242744</v>
      </c>
      <c r="S258" s="9">
        <v>95.8783029533747</v>
      </c>
      <c r="T258" s="9">
        <v>91.906934060517</v>
      </c>
      <c r="U258" s="9">
        <v>5.20684291566474</v>
      </c>
      <c r="V258" s="9">
        <v>14.2668457375349</v>
      </c>
      <c r="W258" s="9">
        <v>26.7047993160666</v>
      </c>
      <c r="X258" s="9">
        <v>67.8418990267817</v>
      </c>
      <c r="Y258" s="19">
        <f t="shared" si="28"/>
        <v>44.547429890602</v>
      </c>
      <c r="Z258" s="6">
        <f t="shared" si="29"/>
        <v>45.912236499702</v>
      </c>
      <c r="AA258" s="9">
        <v>50</v>
      </c>
      <c r="AB258" s="9">
        <v>25</v>
      </c>
      <c r="AC258" s="14">
        <f t="shared" si="30"/>
        <v>37.5</v>
      </c>
      <c r="AD258" s="17">
        <v>1.0306371571256</v>
      </c>
      <c r="AE258" s="9">
        <f t="shared" si="31"/>
        <v>46.2856796782922</v>
      </c>
      <c r="AF258" s="18">
        <f>RANK(AE258,AE$3:AE$298)</f>
        <v>234</v>
      </c>
      <c r="AG258" s="20" t="e">
        <f>#REF!-AF258</f>
        <v>#REF!</v>
      </c>
    </row>
    <row r="259" spans="1:33">
      <c r="A259" s="9" t="s">
        <v>294</v>
      </c>
      <c r="B259" s="9">
        <v>80</v>
      </c>
      <c r="C259" s="9">
        <v>60</v>
      </c>
      <c r="D259" s="9">
        <v>40</v>
      </c>
      <c r="E259" s="9">
        <v>40</v>
      </c>
      <c r="F259" s="13">
        <f t="shared" ref="F259:F298" si="32">AVERAGE(B259:E259)</f>
        <v>55</v>
      </c>
      <c r="G259" s="14">
        <f t="shared" ref="G259:G298" si="33">F259*AD259</f>
        <v>54.5153050103914</v>
      </c>
      <c r="H259" s="9">
        <v>60</v>
      </c>
      <c r="I259" s="9">
        <v>80</v>
      </c>
      <c r="J259" s="9">
        <v>40</v>
      </c>
      <c r="K259" s="9">
        <v>20</v>
      </c>
      <c r="L259" s="9">
        <v>70</v>
      </c>
      <c r="M259" s="14">
        <f t="shared" ref="M259:M298" si="34">AVERAGE(H259:L259)</f>
        <v>54</v>
      </c>
      <c r="N259" s="9">
        <v>30</v>
      </c>
      <c r="O259" s="9">
        <v>25</v>
      </c>
      <c r="P259" s="9">
        <v>0</v>
      </c>
      <c r="Q259" s="14">
        <f t="shared" ref="Q259:Q298" si="35">AVERAGE(N259:P259)</f>
        <v>18.3333333333333</v>
      </c>
      <c r="R259" s="9">
        <v>52.4428399518652</v>
      </c>
      <c r="S259" s="9">
        <v>83.6672939460827</v>
      </c>
      <c r="T259" s="9">
        <v>61.1010701618398</v>
      </c>
      <c r="U259" s="9">
        <v>10.5737205202851</v>
      </c>
      <c r="V259" s="9">
        <v>8.09369133187077</v>
      </c>
      <c r="W259" s="9">
        <v>50.4223681610482</v>
      </c>
      <c r="X259" s="9">
        <v>43.8828989406571</v>
      </c>
      <c r="Y259" s="19">
        <f t="shared" ref="Y259:Y298" si="36">AVERAGE(R259:X259)</f>
        <v>44.3119832876641</v>
      </c>
      <c r="Z259" s="6">
        <f t="shared" ref="Z259:Z298" si="37">Y259*AD259</f>
        <v>43.9214779007705</v>
      </c>
      <c r="AA259" s="9">
        <v>25</v>
      </c>
      <c r="AB259" s="9">
        <v>25</v>
      </c>
      <c r="AC259" s="14">
        <f t="shared" ref="AC259:AC298" si="38">AVERAGE(AA259:AB259)</f>
        <v>25</v>
      </c>
      <c r="AD259" s="17">
        <v>0.991187363825298</v>
      </c>
      <c r="AE259" s="9">
        <f t="shared" ref="AE259:AE298" si="39">G259*0.2+M259*0.2+Q259*0.15+Z259*0.3+AC259*0.15</f>
        <v>41.3795043723094</v>
      </c>
      <c r="AF259" s="18">
        <f>RANK(AE259,AE$3:AE$298)</f>
        <v>268</v>
      </c>
      <c r="AG259" s="20" t="e">
        <f>#REF!-AF259</f>
        <v>#REF!</v>
      </c>
    </row>
    <row r="260" spans="1:33">
      <c r="A260" s="9" t="s">
        <v>295</v>
      </c>
      <c r="B260" s="9">
        <v>100</v>
      </c>
      <c r="C260" s="9">
        <v>60</v>
      </c>
      <c r="D260" s="9">
        <v>80</v>
      </c>
      <c r="E260" s="9">
        <v>40</v>
      </c>
      <c r="F260" s="13">
        <f t="shared" si="32"/>
        <v>70</v>
      </c>
      <c r="G260" s="14">
        <f t="shared" si="33"/>
        <v>69.4994874572177</v>
      </c>
      <c r="H260" s="9">
        <v>40</v>
      </c>
      <c r="I260" s="9">
        <v>60</v>
      </c>
      <c r="J260" s="9">
        <v>70</v>
      </c>
      <c r="K260" s="9">
        <v>70</v>
      </c>
      <c r="L260" s="9">
        <v>30</v>
      </c>
      <c r="M260" s="14">
        <f t="shared" si="34"/>
        <v>54</v>
      </c>
      <c r="N260" s="9">
        <v>70</v>
      </c>
      <c r="O260" s="9">
        <v>75</v>
      </c>
      <c r="P260" s="9">
        <v>0</v>
      </c>
      <c r="Q260" s="14">
        <f t="shared" si="35"/>
        <v>48.3333333333333</v>
      </c>
      <c r="R260" s="9">
        <v>51.1646586345381</v>
      </c>
      <c r="S260" s="9">
        <v>72.8045035989019</v>
      </c>
      <c r="T260" s="9">
        <v>57.446137156912</v>
      </c>
      <c r="U260" s="9">
        <v>8.6304421543949</v>
      </c>
      <c r="V260" s="9">
        <v>18.1079195899482</v>
      </c>
      <c r="W260" s="9">
        <v>33.968512826763</v>
      </c>
      <c r="X260" s="9">
        <v>67.1987118603114</v>
      </c>
      <c r="Y260" s="19">
        <f t="shared" si="36"/>
        <v>44.1886979745385</v>
      </c>
      <c r="Z260" s="6">
        <f t="shared" si="37"/>
        <v>43.8727408661745</v>
      </c>
      <c r="AA260" s="9">
        <v>50</v>
      </c>
      <c r="AB260" s="9">
        <v>25</v>
      </c>
      <c r="AC260" s="14">
        <f t="shared" si="38"/>
        <v>37.5</v>
      </c>
      <c r="AD260" s="17">
        <v>0.992849820817395</v>
      </c>
      <c r="AE260" s="9">
        <f t="shared" si="39"/>
        <v>50.7367197512959</v>
      </c>
      <c r="AF260" s="18">
        <f>RANK(AE260,AE$3:AE$298)</f>
        <v>190</v>
      </c>
      <c r="AG260" s="20" t="e">
        <f>#REF!-AF260</f>
        <v>#REF!</v>
      </c>
    </row>
    <row r="261" spans="1:33">
      <c r="A261" s="9" t="s">
        <v>296</v>
      </c>
      <c r="B261" s="9">
        <v>100</v>
      </c>
      <c r="C261" s="9">
        <v>40</v>
      </c>
      <c r="D261" s="9">
        <v>40</v>
      </c>
      <c r="E261" s="9">
        <v>60</v>
      </c>
      <c r="F261" s="13">
        <f t="shared" si="32"/>
        <v>60</v>
      </c>
      <c r="G261" s="14">
        <f t="shared" si="33"/>
        <v>59.9219921237432</v>
      </c>
      <c r="H261" s="9">
        <v>40</v>
      </c>
      <c r="I261" s="9">
        <v>60</v>
      </c>
      <c r="J261" s="9">
        <v>40</v>
      </c>
      <c r="K261" s="9">
        <v>100</v>
      </c>
      <c r="L261" s="9">
        <v>70</v>
      </c>
      <c r="M261" s="14">
        <f t="shared" si="34"/>
        <v>62</v>
      </c>
      <c r="N261" s="9">
        <v>70</v>
      </c>
      <c r="O261" s="9">
        <v>25</v>
      </c>
      <c r="P261" s="9">
        <v>0</v>
      </c>
      <c r="Q261" s="14">
        <f t="shared" si="35"/>
        <v>31.6666666666667</v>
      </c>
      <c r="R261" s="9">
        <v>100</v>
      </c>
      <c r="S261" s="9">
        <v>30.0081912736611</v>
      </c>
      <c r="T261" s="9">
        <v>25.4654733637938</v>
      </c>
      <c r="U261" s="9">
        <v>13.3628965277982</v>
      </c>
      <c r="V261" s="9">
        <v>31.7574498869167</v>
      </c>
      <c r="W261" s="9">
        <v>31.0172259593133</v>
      </c>
      <c r="X261" s="9">
        <v>77.119441128171</v>
      </c>
      <c r="Y261" s="19">
        <f t="shared" si="36"/>
        <v>44.1043825913792</v>
      </c>
      <c r="Z261" s="6">
        <f t="shared" si="37"/>
        <v>44.0470411043863</v>
      </c>
      <c r="AA261" s="9">
        <v>75</v>
      </c>
      <c r="AB261" s="9">
        <v>25</v>
      </c>
      <c r="AC261" s="14">
        <f t="shared" si="38"/>
        <v>50</v>
      </c>
      <c r="AD261" s="17">
        <v>0.998699868729053</v>
      </c>
      <c r="AE261" s="9">
        <f t="shared" si="39"/>
        <v>49.8485107560645</v>
      </c>
      <c r="AF261" s="18">
        <f>RANK(AE261,AE$3:AE$298)</f>
        <v>200</v>
      </c>
      <c r="AG261" s="20" t="e">
        <f>#REF!-AF261</f>
        <v>#REF!</v>
      </c>
    </row>
    <row r="262" spans="1:33">
      <c r="A262" s="9" t="s">
        <v>297</v>
      </c>
      <c r="B262" s="9">
        <v>60</v>
      </c>
      <c r="C262" s="9">
        <v>20</v>
      </c>
      <c r="D262" s="9">
        <v>40</v>
      </c>
      <c r="E262" s="9">
        <v>40</v>
      </c>
      <c r="F262" s="13">
        <f t="shared" si="32"/>
        <v>40</v>
      </c>
      <c r="G262" s="14">
        <f t="shared" si="33"/>
        <v>39.6039745840009</v>
      </c>
      <c r="H262" s="9">
        <v>100</v>
      </c>
      <c r="I262" s="9">
        <v>80</v>
      </c>
      <c r="J262" s="9">
        <v>70</v>
      </c>
      <c r="K262" s="9">
        <v>100</v>
      </c>
      <c r="L262" s="9">
        <v>70</v>
      </c>
      <c r="M262" s="14">
        <f t="shared" si="34"/>
        <v>84</v>
      </c>
      <c r="N262" s="9">
        <v>40</v>
      </c>
      <c r="O262" s="9">
        <v>50</v>
      </c>
      <c r="P262" s="9">
        <v>0</v>
      </c>
      <c r="Q262" s="14">
        <f t="shared" si="35"/>
        <v>30</v>
      </c>
      <c r="R262" s="9">
        <v>63.0798845043311</v>
      </c>
      <c r="S262" s="9">
        <v>65.2544791022797</v>
      </c>
      <c r="T262" s="9">
        <v>47.1340047501514</v>
      </c>
      <c r="U262" s="9">
        <v>8.93336495848955</v>
      </c>
      <c r="V262" s="9">
        <v>18.8624162395293</v>
      </c>
      <c r="W262" s="9">
        <v>33.3585076963254</v>
      </c>
      <c r="X262" s="9">
        <v>70.3474484324778</v>
      </c>
      <c r="Y262" s="19">
        <f t="shared" si="36"/>
        <v>43.852872240512</v>
      </c>
      <c r="Z262" s="6">
        <f t="shared" si="37"/>
        <v>43.418700941217</v>
      </c>
      <c r="AA262" s="9">
        <v>75</v>
      </c>
      <c r="AB262" s="9">
        <v>25</v>
      </c>
      <c r="AC262" s="14">
        <f t="shared" si="38"/>
        <v>50</v>
      </c>
      <c r="AD262" s="17">
        <v>0.990099364600023</v>
      </c>
      <c r="AE262" s="9">
        <f t="shared" si="39"/>
        <v>49.7464051991653</v>
      </c>
      <c r="AF262" s="18">
        <f>RANK(AE262,AE$3:AE$298)</f>
        <v>203</v>
      </c>
      <c r="AG262" s="20" t="e">
        <f>#REF!-AF262</f>
        <v>#REF!</v>
      </c>
    </row>
    <row r="263" spans="1:33">
      <c r="A263" s="9" t="s">
        <v>298</v>
      </c>
      <c r="B263" s="9">
        <v>80</v>
      </c>
      <c r="C263" s="9">
        <v>40</v>
      </c>
      <c r="D263" s="9">
        <v>60</v>
      </c>
      <c r="E263" s="9">
        <v>60</v>
      </c>
      <c r="F263" s="13">
        <f t="shared" si="32"/>
        <v>60</v>
      </c>
      <c r="G263" s="14">
        <f t="shared" si="33"/>
        <v>58.7839494891795</v>
      </c>
      <c r="H263" s="9">
        <v>20</v>
      </c>
      <c r="I263" s="9">
        <v>20</v>
      </c>
      <c r="J263" s="9">
        <v>20</v>
      </c>
      <c r="K263" s="9">
        <v>20</v>
      </c>
      <c r="L263" s="9">
        <v>70</v>
      </c>
      <c r="M263" s="14">
        <f t="shared" si="34"/>
        <v>30</v>
      </c>
      <c r="N263" s="9">
        <v>70</v>
      </c>
      <c r="O263" s="9">
        <v>25</v>
      </c>
      <c r="P263" s="9">
        <v>0</v>
      </c>
      <c r="Q263" s="14">
        <f t="shared" si="35"/>
        <v>31.6666666666667</v>
      </c>
      <c r="R263" s="9">
        <v>59.0846047156727</v>
      </c>
      <c r="S263" s="9">
        <v>53.7175794250434</v>
      </c>
      <c r="T263" s="9">
        <v>39.6936054186913</v>
      </c>
      <c r="U263" s="9">
        <v>8.96765810612291</v>
      </c>
      <c r="V263" s="9">
        <v>23.869530368568</v>
      </c>
      <c r="W263" s="9">
        <v>33.9239166566854</v>
      </c>
      <c r="X263" s="9">
        <v>86.3505538000634</v>
      </c>
      <c r="Y263" s="19">
        <f t="shared" si="36"/>
        <v>43.6582069272639</v>
      </c>
      <c r="Z263" s="6">
        <f t="shared" si="37"/>
        <v>42.7733638466738</v>
      </c>
      <c r="AA263" s="9">
        <v>25</v>
      </c>
      <c r="AB263" s="9">
        <v>25</v>
      </c>
      <c r="AC263" s="14">
        <f t="shared" si="38"/>
        <v>25</v>
      </c>
      <c r="AD263" s="17">
        <v>0.979732491486325</v>
      </c>
      <c r="AE263" s="9">
        <f t="shared" si="39"/>
        <v>39.088799051838</v>
      </c>
      <c r="AF263" s="18">
        <f>RANK(AE263,AE$3:AE$298)</f>
        <v>277</v>
      </c>
      <c r="AG263" s="20" t="e">
        <f>#REF!-AF263</f>
        <v>#REF!</v>
      </c>
    </row>
    <row r="264" spans="1:33">
      <c r="A264" s="9" t="s">
        <v>299</v>
      </c>
      <c r="B264" s="9">
        <v>60</v>
      </c>
      <c r="C264" s="9">
        <v>60</v>
      </c>
      <c r="D264" s="9">
        <v>60</v>
      </c>
      <c r="E264" s="9">
        <v>60</v>
      </c>
      <c r="F264" s="13">
        <f t="shared" si="32"/>
        <v>60</v>
      </c>
      <c r="G264" s="14">
        <f t="shared" si="33"/>
        <v>60.587904324483</v>
      </c>
      <c r="H264" s="9">
        <v>80</v>
      </c>
      <c r="I264" s="9">
        <v>60</v>
      </c>
      <c r="J264" s="9">
        <v>40</v>
      </c>
      <c r="K264" s="9">
        <v>40</v>
      </c>
      <c r="L264" s="9">
        <v>70</v>
      </c>
      <c r="M264" s="14">
        <f t="shared" si="34"/>
        <v>58</v>
      </c>
      <c r="N264" s="9">
        <v>40</v>
      </c>
      <c r="O264" s="9">
        <v>75</v>
      </c>
      <c r="P264" s="9">
        <v>0</v>
      </c>
      <c r="Q264" s="14">
        <f t="shared" si="35"/>
        <v>38.3333333333333</v>
      </c>
      <c r="R264" s="9">
        <v>52.5826446280992</v>
      </c>
      <c r="S264" s="9">
        <v>84.8999510067557</v>
      </c>
      <c r="T264" s="9">
        <v>64.4949365235585</v>
      </c>
      <c r="U264" s="9">
        <v>1.97185598891804</v>
      </c>
      <c r="V264" s="9">
        <v>8.43664435440767</v>
      </c>
      <c r="W264" s="9">
        <v>31.9023506303083</v>
      </c>
      <c r="X264" s="9">
        <v>60.9931015329184</v>
      </c>
      <c r="Y264" s="19">
        <f t="shared" si="36"/>
        <v>43.6116406664237</v>
      </c>
      <c r="Z264" s="6">
        <f t="shared" si="37"/>
        <v>44.0389652021835</v>
      </c>
      <c r="AA264" s="9">
        <v>50</v>
      </c>
      <c r="AB264" s="9">
        <v>25</v>
      </c>
      <c r="AC264" s="14">
        <f t="shared" si="38"/>
        <v>37.5</v>
      </c>
      <c r="AD264" s="17">
        <v>1.00979840540805</v>
      </c>
      <c r="AE264" s="9">
        <f t="shared" si="39"/>
        <v>48.3042704255516</v>
      </c>
      <c r="AF264" s="18">
        <f>RANK(AE264,AE$3:AE$298)</f>
        <v>214</v>
      </c>
      <c r="AG264" s="20" t="e">
        <f>#REF!-AF264</f>
        <v>#REF!</v>
      </c>
    </row>
    <row r="265" spans="1:33">
      <c r="A265" s="9" t="s">
        <v>300</v>
      </c>
      <c r="B265" s="9">
        <v>100</v>
      </c>
      <c r="C265" s="9">
        <v>60</v>
      </c>
      <c r="D265" s="9">
        <v>20</v>
      </c>
      <c r="E265" s="9">
        <v>60</v>
      </c>
      <c r="F265" s="13">
        <f t="shared" si="32"/>
        <v>60</v>
      </c>
      <c r="G265" s="14">
        <f t="shared" si="33"/>
        <v>60.7746967199304</v>
      </c>
      <c r="H265" s="9">
        <v>100</v>
      </c>
      <c r="I265" s="9">
        <v>100</v>
      </c>
      <c r="J265" s="9">
        <v>100</v>
      </c>
      <c r="K265" s="9">
        <v>100</v>
      </c>
      <c r="L265" s="9">
        <v>70</v>
      </c>
      <c r="M265" s="14">
        <f t="shared" si="34"/>
        <v>94</v>
      </c>
      <c r="N265" s="9">
        <v>70</v>
      </c>
      <c r="O265" s="9">
        <v>50</v>
      </c>
      <c r="P265" s="9">
        <v>0</v>
      </c>
      <c r="Q265" s="14">
        <f t="shared" si="35"/>
        <v>40</v>
      </c>
      <c r="R265" s="9">
        <v>77.1248688352571</v>
      </c>
      <c r="S265" s="9">
        <v>70.9555180078924</v>
      </c>
      <c r="T265" s="9">
        <v>39.171472132273</v>
      </c>
      <c r="U265" s="9">
        <v>1.86897654601797</v>
      </c>
      <c r="V265" s="9">
        <v>10.5629530941364</v>
      </c>
      <c r="W265" s="9">
        <v>36.5345850880223</v>
      </c>
      <c r="X265" s="9">
        <v>65.8928710055819</v>
      </c>
      <c r="Y265" s="19">
        <f t="shared" si="36"/>
        <v>43.1587492441687</v>
      </c>
      <c r="Z265" s="6">
        <f t="shared" si="37"/>
        <v>43.7159982687647</v>
      </c>
      <c r="AA265" s="9">
        <v>50</v>
      </c>
      <c r="AB265" s="9">
        <v>25</v>
      </c>
      <c r="AC265" s="14">
        <f t="shared" si="38"/>
        <v>37.5</v>
      </c>
      <c r="AD265" s="17">
        <v>1.01291161199884</v>
      </c>
      <c r="AE265" s="9">
        <f t="shared" si="39"/>
        <v>55.6947388246155</v>
      </c>
      <c r="AF265" s="18">
        <f>RANK(AE265,AE$3:AE$298)</f>
        <v>129</v>
      </c>
      <c r="AG265" s="20" t="e">
        <f>#REF!-AF265</f>
        <v>#REF!</v>
      </c>
    </row>
    <row r="266" spans="1:33">
      <c r="A266" s="9" t="s">
        <v>301</v>
      </c>
      <c r="B266" s="9">
        <v>80</v>
      </c>
      <c r="C266" s="9">
        <v>60</v>
      </c>
      <c r="D266" s="9">
        <v>60</v>
      </c>
      <c r="E266" s="9">
        <v>40</v>
      </c>
      <c r="F266" s="13">
        <f t="shared" si="32"/>
        <v>60</v>
      </c>
      <c r="G266" s="14">
        <f t="shared" si="33"/>
        <v>59.2152889454755</v>
      </c>
      <c r="H266" s="9">
        <v>80</v>
      </c>
      <c r="I266" s="9">
        <v>80</v>
      </c>
      <c r="J266" s="9">
        <v>70</v>
      </c>
      <c r="K266" s="9">
        <v>70</v>
      </c>
      <c r="L266" s="9">
        <v>70</v>
      </c>
      <c r="M266" s="14">
        <f t="shared" si="34"/>
        <v>74</v>
      </c>
      <c r="N266" s="9">
        <v>70</v>
      </c>
      <c r="O266" s="9">
        <v>25</v>
      </c>
      <c r="P266" s="9">
        <v>0</v>
      </c>
      <c r="Q266" s="14">
        <f t="shared" si="35"/>
        <v>31.6666666666667</v>
      </c>
      <c r="R266" s="9">
        <v>26.3427109974425</v>
      </c>
      <c r="S266" s="9">
        <v>61.1327820556544</v>
      </c>
      <c r="T266" s="9">
        <v>60.8400035186307</v>
      </c>
      <c r="U266" s="9">
        <v>10.4937031758073</v>
      </c>
      <c r="V266" s="9">
        <v>34.3638928581971</v>
      </c>
      <c r="W266" s="9">
        <v>33.7263835237091</v>
      </c>
      <c r="X266" s="9">
        <v>74.6774395414326</v>
      </c>
      <c r="Y266" s="19">
        <f t="shared" si="36"/>
        <v>43.0824165244105</v>
      </c>
      <c r="Z266" s="6">
        <f t="shared" si="37"/>
        <v>42.518962382705</v>
      </c>
      <c r="AA266" s="9">
        <v>50</v>
      </c>
      <c r="AB266" s="9">
        <v>25</v>
      </c>
      <c r="AC266" s="14">
        <f t="shared" si="38"/>
        <v>37.5</v>
      </c>
      <c r="AD266" s="17">
        <v>0.986921482424592</v>
      </c>
      <c r="AE266" s="9">
        <f t="shared" si="39"/>
        <v>49.7737465039066</v>
      </c>
      <c r="AF266" s="18">
        <f>RANK(AE266,AE$3:AE$298)</f>
        <v>202</v>
      </c>
      <c r="AG266" s="20" t="e">
        <f>#REF!-AF266</f>
        <v>#REF!</v>
      </c>
    </row>
    <row r="267" spans="1:33">
      <c r="A267" s="9" t="s">
        <v>302</v>
      </c>
      <c r="B267" s="9">
        <v>80</v>
      </c>
      <c r="C267" s="9">
        <v>60</v>
      </c>
      <c r="D267" s="9">
        <v>60</v>
      </c>
      <c r="E267" s="9">
        <v>60</v>
      </c>
      <c r="F267" s="13">
        <f t="shared" si="32"/>
        <v>65</v>
      </c>
      <c r="G267" s="14">
        <f t="shared" si="33"/>
        <v>65.8848179525698</v>
      </c>
      <c r="H267" s="9">
        <v>100</v>
      </c>
      <c r="I267" s="9">
        <v>40</v>
      </c>
      <c r="J267" s="9">
        <v>90</v>
      </c>
      <c r="K267" s="9">
        <v>100</v>
      </c>
      <c r="L267" s="9">
        <v>70</v>
      </c>
      <c r="M267" s="14">
        <f t="shared" si="34"/>
        <v>80</v>
      </c>
      <c r="N267" s="9">
        <v>70</v>
      </c>
      <c r="O267" s="9">
        <v>50</v>
      </c>
      <c r="P267" s="9">
        <v>50</v>
      </c>
      <c r="Q267" s="14">
        <f t="shared" si="35"/>
        <v>56.6666666666667</v>
      </c>
      <c r="R267" s="9">
        <v>65.6794907279269</v>
      </c>
      <c r="S267" s="9">
        <v>29.5266846093357</v>
      </c>
      <c r="T267" s="9">
        <v>37.4745389514137</v>
      </c>
      <c r="U267" s="9">
        <v>4.76674752103665</v>
      </c>
      <c r="V267" s="9">
        <v>40.4684566593539</v>
      </c>
      <c r="W267" s="9">
        <v>24.5738261919486</v>
      </c>
      <c r="X267" s="9">
        <v>97.6096263151425</v>
      </c>
      <c r="Y267" s="19">
        <f t="shared" si="36"/>
        <v>42.8713387108797</v>
      </c>
      <c r="Z267" s="6">
        <f t="shared" si="37"/>
        <v>43.4549284053734</v>
      </c>
      <c r="AA267" s="9">
        <v>25</v>
      </c>
      <c r="AB267" s="9">
        <v>25</v>
      </c>
      <c r="AC267" s="14">
        <f t="shared" si="38"/>
        <v>25</v>
      </c>
      <c r="AD267" s="17">
        <v>1.01361258388569</v>
      </c>
      <c r="AE267" s="9">
        <f t="shared" si="39"/>
        <v>54.463442112126</v>
      </c>
      <c r="AF267" s="18">
        <f>RANK(AE267,AE$3:AE$298)</f>
        <v>144</v>
      </c>
      <c r="AG267" s="20" t="e">
        <f>#REF!-AF267</f>
        <v>#REF!</v>
      </c>
    </row>
    <row r="268" spans="1:33">
      <c r="A268" s="9" t="s">
        <v>303</v>
      </c>
      <c r="B268" s="9">
        <v>100</v>
      </c>
      <c r="C268" s="9">
        <v>40</v>
      </c>
      <c r="D268" s="9">
        <v>20</v>
      </c>
      <c r="E268" s="9">
        <v>60</v>
      </c>
      <c r="F268" s="13">
        <f t="shared" si="32"/>
        <v>55</v>
      </c>
      <c r="G268" s="14">
        <f t="shared" si="33"/>
        <v>59.2968268394574</v>
      </c>
      <c r="H268" s="9">
        <v>80</v>
      </c>
      <c r="I268" s="9">
        <v>80</v>
      </c>
      <c r="J268" s="9">
        <v>40</v>
      </c>
      <c r="K268" s="9">
        <v>100</v>
      </c>
      <c r="L268" s="9">
        <v>70</v>
      </c>
      <c r="M268" s="14">
        <f t="shared" si="34"/>
        <v>74</v>
      </c>
      <c r="N268" s="9">
        <v>40</v>
      </c>
      <c r="O268" s="9">
        <v>25</v>
      </c>
      <c r="P268" s="9">
        <v>0</v>
      </c>
      <c r="Q268" s="14">
        <f t="shared" si="35"/>
        <v>21.6666666666667</v>
      </c>
      <c r="R268" s="9">
        <v>44.0935390549662</v>
      </c>
      <c r="S268" s="9">
        <v>61.6335489865528</v>
      </c>
      <c r="T268" s="9">
        <v>51.3110710414975</v>
      </c>
      <c r="U268" s="9">
        <v>8.8133389417728</v>
      </c>
      <c r="V268" s="9">
        <v>24.8983894361787</v>
      </c>
      <c r="W268" s="9">
        <v>15.4863875850054</v>
      </c>
      <c r="X268" s="9">
        <v>93.1073948461822</v>
      </c>
      <c r="Y268" s="19">
        <f t="shared" si="36"/>
        <v>42.7633814131651</v>
      </c>
      <c r="Z268" s="6">
        <f t="shared" si="37"/>
        <v>46.1042331404749</v>
      </c>
      <c r="AA268" s="9">
        <v>50</v>
      </c>
      <c r="AB268" s="9">
        <v>25</v>
      </c>
      <c r="AC268" s="14">
        <f t="shared" si="38"/>
        <v>37.5</v>
      </c>
      <c r="AD268" s="17">
        <v>1.07812412435377</v>
      </c>
      <c r="AE268" s="9">
        <f t="shared" si="39"/>
        <v>49.3656353100339</v>
      </c>
      <c r="AF268" s="18">
        <f>RANK(AE268,AE$3:AE$298)</f>
        <v>208</v>
      </c>
      <c r="AG268" s="20" t="e">
        <f>#REF!-AF268</f>
        <v>#REF!</v>
      </c>
    </row>
    <row r="269" spans="1:33">
      <c r="A269" s="9" t="s">
        <v>304</v>
      </c>
      <c r="B269" s="9">
        <v>80</v>
      </c>
      <c r="C269" s="9">
        <v>40</v>
      </c>
      <c r="D269" s="9">
        <v>20</v>
      </c>
      <c r="E269" s="9">
        <v>40</v>
      </c>
      <c r="F269" s="13">
        <f t="shared" si="32"/>
        <v>45</v>
      </c>
      <c r="G269" s="14">
        <f t="shared" si="33"/>
        <v>45.1694943943992</v>
      </c>
      <c r="H269" s="9">
        <v>60</v>
      </c>
      <c r="I269" s="9">
        <v>60</v>
      </c>
      <c r="J269" s="9">
        <v>80</v>
      </c>
      <c r="K269" s="9">
        <v>100</v>
      </c>
      <c r="L269" s="9">
        <v>70</v>
      </c>
      <c r="M269" s="14">
        <f t="shared" si="34"/>
        <v>74</v>
      </c>
      <c r="N269" s="9">
        <v>70</v>
      </c>
      <c r="O269" s="9">
        <v>25</v>
      </c>
      <c r="P269" s="9">
        <v>0</v>
      </c>
      <c r="Q269" s="14">
        <f t="shared" si="35"/>
        <v>31.6666666666667</v>
      </c>
      <c r="R269" s="9">
        <v>73.1662870159453</v>
      </c>
      <c r="S269" s="9">
        <v>71.2444220064876</v>
      </c>
      <c r="T269" s="9">
        <v>31.6005394792083</v>
      </c>
      <c r="U269" s="9">
        <v>2.04044228418475</v>
      </c>
      <c r="V269" s="9">
        <v>7.88791951834863</v>
      </c>
      <c r="W269" s="9">
        <v>65.1201432947482</v>
      </c>
      <c r="X269" s="9">
        <v>43.7928879801275</v>
      </c>
      <c r="Y269" s="19">
        <f t="shared" si="36"/>
        <v>42.1218059398643</v>
      </c>
      <c r="Z269" s="6">
        <f t="shared" si="37"/>
        <v>42.2804594951705</v>
      </c>
      <c r="AA269" s="9">
        <v>75</v>
      </c>
      <c r="AB269" s="9">
        <v>50</v>
      </c>
      <c r="AC269" s="14">
        <f t="shared" si="38"/>
        <v>62.5</v>
      </c>
      <c r="AD269" s="17">
        <v>1.00376654209776</v>
      </c>
      <c r="AE269" s="9">
        <f t="shared" si="39"/>
        <v>50.643036727431</v>
      </c>
      <c r="AF269" s="18">
        <f>RANK(AE269,AE$3:AE$298)</f>
        <v>193</v>
      </c>
      <c r="AG269" s="20" t="e">
        <f>#REF!-AF269</f>
        <v>#REF!</v>
      </c>
    </row>
    <row r="270" spans="1:33">
      <c r="A270" s="9" t="s">
        <v>305</v>
      </c>
      <c r="B270" s="9">
        <v>80</v>
      </c>
      <c r="C270" s="9">
        <v>20</v>
      </c>
      <c r="D270" s="9">
        <v>20</v>
      </c>
      <c r="E270" s="9">
        <v>60</v>
      </c>
      <c r="F270" s="13">
        <f t="shared" si="32"/>
        <v>45</v>
      </c>
      <c r="G270" s="14">
        <f t="shared" si="33"/>
        <v>47.615167630683</v>
      </c>
      <c r="H270" s="9">
        <v>20</v>
      </c>
      <c r="I270" s="9">
        <v>20</v>
      </c>
      <c r="J270" s="9">
        <v>70</v>
      </c>
      <c r="K270" s="9">
        <v>40</v>
      </c>
      <c r="L270" s="9">
        <v>40</v>
      </c>
      <c r="M270" s="14">
        <f t="shared" si="34"/>
        <v>38</v>
      </c>
      <c r="N270" s="9">
        <v>20</v>
      </c>
      <c r="O270" s="9">
        <v>25</v>
      </c>
      <c r="P270" s="9">
        <v>0</v>
      </c>
      <c r="Q270" s="14">
        <f t="shared" si="35"/>
        <v>15</v>
      </c>
      <c r="R270" s="9">
        <v>0</v>
      </c>
      <c r="S270" s="9">
        <v>89.9268805823128</v>
      </c>
      <c r="T270" s="9">
        <v>81.0726683673382</v>
      </c>
      <c r="U270" s="9">
        <v>1.08023415045075</v>
      </c>
      <c r="V270" s="9">
        <v>13.8553021104906</v>
      </c>
      <c r="W270" s="9">
        <v>100</v>
      </c>
      <c r="X270" s="9">
        <v>8.24893283149505</v>
      </c>
      <c r="Y270" s="19">
        <f t="shared" si="36"/>
        <v>42.0262882917268</v>
      </c>
      <c r="Z270" s="6">
        <f t="shared" si="37"/>
        <v>44.4686391534662</v>
      </c>
      <c r="AA270" s="9">
        <v>25</v>
      </c>
      <c r="AB270" s="9">
        <v>25</v>
      </c>
      <c r="AC270" s="14">
        <f t="shared" si="38"/>
        <v>25</v>
      </c>
      <c r="AD270" s="17">
        <v>1.0581148362374</v>
      </c>
      <c r="AE270" s="9">
        <f t="shared" si="39"/>
        <v>36.4636252721765</v>
      </c>
      <c r="AF270" s="18">
        <f>RANK(AE270,AE$3:AE$298)</f>
        <v>289</v>
      </c>
      <c r="AG270" s="20" t="e">
        <f>#REF!-AF270</f>
        <v>#REF!</v>
      </c>
    </row>
    <row r="271" spans="1:33">
      <c r="A271" s="9" t="s">
        <v>306</v>
      </c>
      <c r="B271" s="9">
        <v>100</v>
      </c>
      <c r="C271" s="9">
        <v>40</v>
      </c>
      <c r="D271" s="9">
        <v>60</v>
      </c>
      <c r="E271" s="9">
        <v>60</v>
      </c>
      <c r="F271" s="13">
        <f t="shared" si="32"/>
        <v>65</v>
      </c>
      <c r="G271" s="14">
        <f t="shared" si="33"/>
        <v>67.3616831655099</v>
      </c>
      <c r="H271" s="9">
        <v>60</v>
      </c>
      <c r="I271" s="9">
        <v>20</v>
      </c>
      <c r="J271" s="9">
        <v>70</v>
      </c>
      <c r="K271" s="9">
        <v>40</v>
      </c>
      <c r="L271" s="9">
        <v>70</v>
      </c>
      <c r="M271" s="14">
        <f t="shared" si="34"/>
        <v>52</v>
      </c>
      <c r="N271" s="9">
        <v>40</v>
      </c>
      <c r="O271" s="9">
        <v>50</v>
      </c>
      <c r="P271" s="9">
        <v>0</v>
      </c>
      <c r="Q271" s="14">
        <f t="shared" si="35"/>
        <v>30</v>
      </c>
      <c r="R271" s="9">
        <v>82.625348189415</v>
      </c>
      <c r="S271" s="9">
        <v>57.9548380711068</v>
      </c>
      <c r="T271" s="9">
        <v>34.994405840927</v>
      </c>
      <c r="U271" s="9">
        <v>6.68716378850466</v>
      </c>
      <c r="V271" s="9">
        <v>18.3136914034703</v>
      </c>
      <c r="W271" s="9">
        <v>24.3023645201316</v>
      </c>
      <c r="X271" s="9">
        <v>68.9298039720569</v>
      </c>
      <c r="Y271" s="19">
        <f t="shared" si="36"/>
        <v>41.9725165408017</v>
      </c>
      <c r="Z271" s="6">
        <f t="shared" si="37"/>
        <v>43.4975286289325</v>
      </c>
      <c r="AA271" s="9">
        <v>25</v>
      </c>
      <c r="AB271" s="9">
        <v>25</v>
      </c>
      <c r="AC271" s="14">
        <f t="shared" si="38"/>
        <v>25</v>
      </c>
      <c r="AD271" s="17">
        <v>1.03633358716169</v>
      </c>
      <c r="AE271" s="9">
        <f t="shared" si="39"/>
        <v>45.1715952217817</v>
      </c>
      <c r="AF271" s="18">
        <f>RANK(AE271,AE$3:AE$298)</f>
        <v>244</v>
      </c>
      <c r="AG271" s="20" t="e">
        <f>#REF!-AF271</f>
        <v>#REF!</v>
      </c>
    </row>
    <row r="272" spans="1:33">
      <c r="A272" s="9" t="s">
        <v>307</v>
      </c>
      <c r="B272" s="9">
        <v>80</v>
      </c>
      <c r="C272" s="9">
        <v>60</v>
      </c>
      <c r="D272" s="9">
        <v>20</v>
      </c>
      <c r="E272" s="9">
        <v>60</v>
      </c>
      <c r="F272" s="13">
        <f t="shared" si="32"/>
        <v>55</v>
      </c>
      <c r="G272" s="14">
        <f t="shared" si="33"/>
        <v>53.7280468869067</v>
      </c>
      <c r="H272" s="9">
        <v>40</v>
      </c>
      <c r="I272" s="9">
        <v>80</v>
      </c>
      <c r="J272" s="9">
        <v>70</v>
      </c>
      <c r="K272" s="9">
        <v>100</v>
      </c>
      <c r="L272" s="9">
        <v>70</v>
      </c>
      <c r="M272" s="14">
        <f t="shared" si="34"/>
        <v>72</v>
      </c>
      <c r="N272" s="9">
        <v>20</v>
      </c>
      <c r="O272" s="9">
        <v>75</v>
      </c>
      <c r="P272" s="9">
        <v>0</v>
      </c>
      <c r="Q272" s="14">
        <f t="shared" si="35"/>
        <v>31.6666666666667</v>
      </c>
      <c r="R272" s="9">
        <v>70.2598652550529</v>
      </c>
      <c r="S272" s="9">
        <v>72.7082022660368</v>
      </c>
      <c r="T272" s="9">
        <v>26.7708065798394</v>
      </c>
      <c r="U272" s="9">
        <v>1.74895052930122</v>
      </c>
      <c r="V272" s="9">
        <v>5.69302017411249</v>
      </c>
      <c r="W272" s="9">
        <v>60.0278470166453</v>
      </c>
      <c r="X272" s="9">
        <v>55.8080719346674</v>
      </c>
      <c r="Y272" s="19">
        <f t="shared" si="36"/>
        <v>41.8595376793794</v>
      </c>
      <c r="Z272" s="6">
        <f t="shared" si="37"/>
        <v>40.8914764200351</v>
      </c>
      <c r="AA272" s="9">
        <v>50</v>
      </c>
      <c r="AB272" s="9">
        <v>25</v>
      </c>
      <c r="AC272" s="14">
        <f t="shared" si="38"/>
        <v>37.5</v>
      </c>
      <c r="AD272" s="17">
        <v>0.97687357976194</v>
      </c>
      <c r="AE272" s="9">
        <f t="shared" si="39"/>
        <v>47.7880523033919</v>
      </c>
      <c r="AF272" s="18">
        <f>RANK(AE272,AE$3:AE$298)</f>
        <v>217</v>
      </c>
      <c r="AG272" s="20" t="e">
        <f>#REF!-AF272</f>
        <v>#REF!</v>
      </c>
    </row>
    <row r="273" spans="1:33">
      <c r="A273" s="9" t="s">
        <v>308</v>
      </c>
      <c r="B273" s="9">
        <v>80</v>
      </c>
      <c r="C273" s="9">
        <v>40</v>
      </c>
      <c r="D273" s="9">
        <v>40</v>
      </c>
      <c r="E273" s="9">
        <v>60</v>
      </c>
      <c r="F273" s="13">
        <f t="shared" si="32"/>
        <v>55</v>
      </c>
      <c r="G273" s="14">
        <f t="shared" si="33"/>
        <v>55.3148936497289</v>
      </c>
      <c r="H273" s="9">
        <v>60</v>
      </c>
      <c r="I273" s="9">
        <v>60</v>
      </c>
      <c r="J273" s="9">
        <v>70</v>
      </c>
      <c r="K273" s="9">
        <v>20</v>
      </c>
      <c r="L273" s="9">
        <v>70</v>
      </c>
      <c r="M273" s="14">
        <f t="shared" si="34"/>
        <v>56</v>
      </c>
      <c r="N273" s="9">
        <v>70</v>
      </c>
      <c r="O273" s="9">
        <v>50</v>
      </c>
      <c r="P273" s="9">
        <v>0</v>
      </c>
      <c r="Q273" s="14">
        <f t="shared" si="35"/>
        <v>40</v>
      </c>
      <c r="R273" s="9">
        <v>65.3735632183908</v>
      </c>
      <c r="S273" s="9">
        <v>75.6550230517082</v>
      </c>
      <c r="T273" s="9">
        <v>44.7844049612693</v>
      </c>
      <c r="U273" s="9">
        <v>4.03516037152503</v>
      </c>
      <c r="V273" s="9">
        <v>8.91677858595932</v>
      </c>
      <c r="W273" s="9">
        <v>44.6608473452602</v>
      </c>
      <c r="X273" s="9">
        <v>47.586002801953</v>
      </c>
      <c r="Y273" s="19">
        <f t="shared" si="36"/>
        <v>41.5731114765808</v>
      </c>
      <c r="Z273" s="6">
        <f t="shared" si="37"/>
        <v>41.8111316366435</v>
      </c>
      <c r="AA273" s="9">
        <v>25</v>
      </c>
      <c r="AB273" s="9">
        <v>50</v>
      </c>
      <c r="AC273" s="14">
        <f t="shared" si="38"/>
        <v>37.5</v>
      </c>
      <c r="AD273" s="17">
        <v>1.00572533908598</v>
      </c>
      <c r="AE273" s="9">
        <f t="shared" si="39"/>
        <v>46.4313182209388</v>
      </c>
      <c r="AF273" s="18">
        <f>RANK(AE273,AE$3:AE$298)</f>
        <v>232</v>
      </c>
      <c r="AG273" s="20" t="e">
        <f>#REF!-AF273</f>
        <v>#REF!</v>
      </c>
    </row>
    <row r="274" spans="1:33">
      <c r="A274" s="9" t="s">
        <v>309</v>
      </c>
      <c r="B274" s="9">
        <v>80</v>
      </c>
      <c r="C274" s="9">
        <v>60</v>
      </c>
      <c r="D274" s="9">
        <v>40</v>
      </c>
      <c r="E274" s="9">
        <v>40</v>
      </c>
      <c r="F274" s="13">
        <f t="shared" si="32"/>
        <v>55</v>
      </c>
      <c r="G274" s="14">
        <f t="shared" si="33"/>
        <v>59.5395112845847</v>
      </c>
      <c r="H274" s="9">
        <v>80</v>
      </c>
      <c r="I274" s="9">
        <v>80</v>
      </c>
      <c r="J274" s="9">
        <v>100</v>
      </c>
      <c r="K274" s="9">
        <v>100</v>
      </c>
      <c r="L274" s="9">
        <v>70</v>
      </c>
      <c r="M274" s="14">
        <f t="shared" si="34"/>
        <v>86</v>
      </c>
      <c r="N274" s="9">
        <v>40</v>
      </c>
      <c r="O274" s="9">
        <v>50</v>
      </c>
      <c r="P274" s="9">
        <v>0</v>
      </c>
      <c r="Q274" s="14">
        <f t="shared" si="35"/>
        <v>30</v>
      </c>
      <c r="R274" s="9">
        <v>12.9846708746619</v>
      </c>
      <c r="S274" s="9">
        <v>64.3877671064941</v>
      </c>
      <c r="T274" s="9">
        <v>62.6674700210946</v>
      </c>
      <c r="U274" s="9">
        <v>7.17869890458278</v>
      </c>
      <c r="V274" s="9">
        <v>32.5805371410052</v>
      </c>
      <c r="W274" s="9">
        <v>15.0810591195036</v>
      </c>
      <c r="X274" s="9">
        <v>94.6642670031866</v>
      </c>
      <c r="Y274" s="19">
        <f t="shared" si="36"/>
        <v>41.363495738647</v>
      </c>
      <c r="Z274" s="6">
        <f t="shared" si="37"/>
        <v>44.777496750928</v>
      </c>
      <c r="AA274" s="9">
        <v>25</v>
      </c>
      <c r="AB274" s="9">
        <v>25</v>
      </c>
      <c r="AC274" s="14">
        <f t="shared" si="38"/>
        <v>25</v>
      </c>
      <c r="AD274" s="17">
        <v>1.08253656881063</v>
      </c>
      <c r="AE274" s="9">
        <f t="shared" si="39"/>
        <v>50.7911512821953</v>
      </c>
      <c r="AF274" s="18">
        <f>RANK(AE274,AE$3:AE$298)</f>
        <v>189</v>
      </c>
      <c r="AG274" s="20" t="e">
        <f>#REF!-AF274</f>
        <v>#REF!</v>
      </c>
    </row>
    <row r="275" spans="1:33">
      <c r="A275" s="9" t="s">
        <v>310</v>
      </c>
      <c r="B275" s="9">
        <v>60</v>
      </c>
      <c r="C275" s="9">
        <v>40</v>
      </c>
      <c r="D275" s="9">
        <v>20</v>
      </c>
      <c r="E275" s="9">
        <v>60</v>
      </c>
      <c r="F275" s="13">
        <f t="shared" si="32"/>
        <v>45</v>
      </c>
      <c r="G275" s="14">
        <f t="shared" si="33"/>
        <v>49.405681937718</v>
      </c>
      <c r="H275" s="9">
        <v>20</v>
      </c>
      <c r="I275" s="9">
        <v>60</v>
      </c>
      <c r="J275" s="9">
        <v>40</v>
      </c>
      <c r="K275" s="9">
        <v>20</v>
      </c>
      <c r="L275" s="9">
        <v>70</v>
      </c>
      <c r="M275" s="14">
        <f t="shared" si="34"/>
        <v>42</v>
      </c>
      <c r="N275" s="9">
        <v>40</v>
      </c>
      <c r="O275" s="9">
        <v>25</v>
      </c>
      <c r="P275" s="9">
        <v>0</v>
      </c>
      <c r="Q275" s="14">
        <f t="shared" si="35"/>
        <v>21.6666666666667</v>
      </c>
      <c r="R275" s="9">
        <v>69.5652173913043</v>
      </c>
      <c r="S275" s="9">
        <v>94.2797008278143</v>
      </c>
      <c r="T275" s="9">
        <v>93.4733339197718</v>
      </c>
      <c r="U275" s="9">
        <v>0.257198607250179</v>
      </c>
      <c r="V275" s="9">
        <v>29.6997317516953</v>
      </c>
      <c r="W275" s="9">
        <v>0</v>
      </c>
      <c r="X275" s="9">
        <v>0</v>
      </c>
      <c r="Y275" s="19">
        <f t="shared" si="36"/>
        <v>41.0393117854051</v>
      </c>
      <c r="Z275" s="6">
        <f t="shared" si="37"/>
        <v>45.0572263336126</v>
      </c>
      <c r="AA275" s="9">
        <v>25</v>
      </c>
      <c r="AB275" s="9">
        <v>25</v>
      </c>
      <c r="AC275" s="14">
        <f t="shared" si="38"/>
        <v>25</v>
      </c>
      <c r="AD275" s="17">
        <v>1.0979040430604</v>
      </c>
      <c r="AE275" s="9">
        <f t="shared" si="39"/>
        <v>38.7983042876274</v>
      </c>
      <c r="AF275" s="18">
        <f>RANK(AE275,AE$3:AE$298)</f>
        <v>278</v>
      </c>
      <c r="AG275" s="20" t="e">
        <f>#REF!-AF275</f>
        <v>#REF!</v>
      </c>
    </row>
    <row r="276" spans="1:33">
      <c r="A276" s="9" t="s">
        <v>311</v>
      </c>
      <c r="B276" s="9">
        <v>100</v>
      </c>
      <c r="C276" s="9">
        <v>40</v>
      </c>
      <c r="D276" s="9">
        <v>20</v>
      </c>
      <c r="E276" s="9">
        <v>60</v>
      </c>
      <c r="F276" s="13">
        <f t="shared" si="32"/>
        <v>55</v>
      </c>
      <c r="G276" s="14">
        <f t="shared" si="33"/>
        <v>60.384722368322</v>
      </c>
      <c r="H276" s="9">
        <v>100</v>
      </c>
      <c r="I276" s="9">
        <v>60</v>
      </c>
      <c r="J276" s="9">
        <v>100</v>
      </c>
      <c r="K276" s="9">
        <v>100</v>
      </c>
      <c r="L276" s="9">
        <v>70</v>
      </c>
      <c r="M276" s="14">
        <f t="shared" si="34"/>
        <v>86</v>
      </c>
      <c r="N276" s="9">
        <v>70</v>
      </c>
      <c r="O276" s="9">
        <v>50</v>
      </c>
      <c r="P276" s="9">
        <v>25</v>
      </c>
      <c r="Q276" s="14">
        <f t="shared" si="35"/>
        <v>48.3333333333333</v>
      </c>
      <c r="R276" s="9">
        <v>40.3338798628708</v>
      </c>
      <c r="S276" s="9">
        <v>0</v>
      </c>
      <c r="T276" s="9">
        <v>21.5494737156568</v>
      </c>
      <c r="U276" s="9">
        <v>19.2270247731023</v>
      </c>
      <c r="V276" s="9">
        <v>100</v>
      </c>
      <c r="W276" s="9">
        <v>11.9978611652151</v>
      </c>
      <c r="X276" s="9">
        <v>87.0778349211285</v>
      </c>
      <c r="Y276" s="19">
        <f t="shared" si="36"/>
        <v>40.0265820625676</v>
      </c>
      <c r="Z276" s="6">
        <f t="shared" si="37"/>
        <v>43.9453462763819</v>
      </c>
      <c r="AA276" s="9">
        <v>25</v>
      </c>
      <c r="AB276" s="9">
        <v>0</v>
      </c>
      <c r="AC276" s="14">
        <f t="shared" si="38"/>
        <v>12.5</v>
      </c>
      <c r="AD276" s="17">
        <v>1.0979040430604</v>
      </c>
      <c r="AE276" s="9">
        <f t="shared" si="39"/>
        <v>51.585548356579</v>
      </c>
      <c r="AF276" s="18">
        <f>RANK(AE276,AE$3:AE$298)</f>
        <v>174</v>
      </c>
      <c r="AG276" s="20" t="e">
        <f>#REF!-AF276</f>
        <v>#REF!</v>
      </c>
    </row>
    <row r="277" spans="1:33">
      <c r="A277" s="9" t="s">
        <v>312</v>
      </c>
      <c r="B277" s="9">
        <v>100</v>
      </c>
      <c r="C277" s="9">
        <v>40</v>
      </c>
      <c r="D277" s="9">
        <v>60</v>
      </c>
      <c r="E277" s="9">
        <v>60</v>
      </c>
      <c r="F277" s="13">
        <f t="shared" si="32"/>
        <v>65</v>
      </c>
      <c r="G277" s="14">
        <f t="shared" si="33"/>
        <v>69.5166692368194</v>
      </c>
      <c r="H277" s="9">
        <v>20</v>
      </c>
      <c r="I277" s="9">
        <v>40</v>
      </c>
      <c r="J277" s="9">
        <v>80</v>
      </c>
      <c r="K277" s="9">
        <v>100</v>
      </c>
      <c r="L277" s="9">
        <v>70</v>
      </c>
      <c r="M277" s="14">
        <f t="shared" si="34"/>
        <v>62</v>
      </c>
      <c r="N277" s="9">
        <v>40</v>
      </c>
      <c r="O277" s="9">
        <v>50</v>
      </c>
      <c r="P277" s="9">
        <v>25</v>
      </c>
      <c r="Q277" s="14">
        <f t="shared" si="35"/>
        <v>38.3333333333333</v>
      </c>
      <c r="R277" s="9">
        <v>86.0309747950197</v>
      </c>
      <c r="S277" s="9">
        <v>50.4433341076307</v>
      </c>
      <c r="T277" s="9">
        <v>21.810540358866</v>
      </c>
      <c r="U277" s="9">
        <v>2.58341712171291</v>
      </c>
      <c r="V277" s="9">
        <v>17.6963759629039</v>
      </c>
      <c r="W277" s="9">
        <v>19.9095644079742</v>
      </c>
      <c r="X277" s="9">
        <v>80.9929318221225</v>
      </c>
      <c r="Y277" s="19">
        <f t="shared" si="36"/>
        <v>39.9238769394614</v>
      </c>
      <c r="Z277" s="6">
        <f t="shared" si="37"/>
        <v>42.6980761208003</v>
      </c>
      <c r="AA277" s="9">
        <v>50</v>
      </c>
      <c r="AB277" s="9">
        <v>25</v>
      </c>
      <c r="AC277" s="14">
        <f t="shared" si="38"/>
        <v>37.5</v>
      </c>
      <c r="AD277" s="17">
        <v>1.06948721902799</v>
      </c>
      <c r="AE277" s="9">
        <f t="shared" si="39"/>
        <v>50.487756683604</v>
      </c>
      <c r="AF277" s="18">
        <f>RANK(AE277,AE$3:AE$298)</f>
        <v>194</v>
      </c>
      <c r="AG277" s="20" t="e">
        <f>#REF!-AF277</f>
        <v>#REF!</v>
      </c>
    </row>
    <row r="278" spans="1:33">
      <c r="A278" s="9" t="s">
        <v>313</v>
      </c>
      <c r="B278" s="9">
        <v>100</v>
      </c>
      <c r="C278" s="9">
        <v>20</v>
      </c>
      <c r="D278" s="9">
        <v>40</v>
      </c>
      <c r="E278" s="9">
        <v>60</v>
      </c>
      <c r="F278" s="13">
        <f t="shared" si="32"/>
        <v>55</v>
      </c>
      <c r="G278" s="14">
        <f t="shared" si="33"/>
        <v>56.0441539932378</v>
      </c>
      <c r="H278" s="9">
        <v>40</v>
      </c>
      <c r="I278" s="9">
        <v>80</v>
      </c>
      <c r="J278" s="9">
        <v>80</v>
      </c>
      <c r="K278" s="9">
        <v>80</v>
      </c>
      <c r="L278" s="9">
        <v>70</v>
      </c>
      <c r="M278" s="14">
        <f t="shared" si="34"/>
        <v>70</v>
      </c>
      <c r="N278" s="9">
        <v>70</v>
      </c>
      <c r="O278" s="9">
        <v>50</v>
      </c>
      <c r="P278" s="9">
        <v>0</v>
      </c>
      <c r="Q278" s="14">
        <f t="shared" si="35"/>
        <v>40</v>
      </c>
      <c r="R278" s="9">
        <v>94.7304582210243</v>
      </c>
      <c r="S278" s="9">
        <v>48.4210061174641</v>
      </c>
      <c r="T278" s="9">
        <v>20.7662737860294</v>
      </c>
      <c r="U278" s="9">
        <v>6.32708573835441</v>
      </c>
      <c r="V278" s="9">
        <v>18.4508726124851</v>
      </c>
      <c r="W278" s="9">
        <v>38.4769803827728</v>
      </c>
      <c r="X278" s="9">
        <v>50.5860606284681</v>
      </c>
      <c r="Y278" s="19">
        <f t="shared" si="36"/>
        <v>39.6798196409426</v>
      </c>
      <c r="Z278" s="6">
        <f t="shared" si="37"/>
        <v>40.4331258614707</v>
      </c>
      <c r="AA278" s="9">
        <v>50</v>
      </c>
      <c r="AB278" s="9">
        <v>50</v>
      </c>
      <c r="AC278" s="14">
        <f t="shared" si="38"/>
        <v>50</v>
      </c>
      <c r="AD278" s="17">
        <v>1.01898461805887</v>
      </c>
      <c r="AE278" s="9">
        <f t="shared" si="39"/>
        <v>50.8387685570888</v>
      </c>
      <c r="AF278" s="18">
        <f>RANK(AE278,AE$3:AE$298)</f>
        <v>188</v>
      </c>
      <c r="AG278" s="20" t="e">
        <f>#REF!-AF278</f>
        <v>#REF!</v>
      </c>
    </row>
    <row r="279" spans="1:33">
      <c r="A279" s="9" t="s">
        <v>314</v>
      </c>
      <c r="B279" s="9">
        <v>100</v>
      </c>
      <c r="C279" s="9">
        <v>60</v>
      </c>
      <c r="D279" s="9">
        <v>60</v>
      </c>
      <c r="E279" s="9">
        <v>60</v>
      </c>
      <c r="F279" s="13">
        <f t="shared" si="32"/>
        <v>70</v>
      </c>
      <c r="G279" s="14">
        <f t="shared" si="33"/>
        <v>68.9094314144772</v>
      </c>
      <c r="H279" s="9">
        <v>40</v>
      </c>
      <c r="I279" s="9">
        <v>60</v>
      </c>
      <c r="J279" s="9">
        <v>100</v>
      </c>
      <c r="K279" s="9">
        <v>100</v>
      </c>
      <c r="L279" s="9">
        <v>70</v>
      </c>
      <c r="M279" s="14">
        <f t="shared" si="34"/>
        <v>74</v>
      </c>
      <c r="N279" s="9">
        <v>40</v>
      </c>
      <c r="O279" s="9">
        <v>50</v>
      </c>
      <c r="P279" s="9">
        <v>25</v>
      </c>
      <c r="Q279" s="14">
        <f t="shared" si="35"/>
        <v>38.3333333333333</v>
      </c>
      <c r="R279" s="9">
        <v>81.5057712486883</v>
      </c>
      <c r="S279" s="9">
        <v>9.49600737339945</v>
      </c>
      <c r="T279" s="9">
        <v>10.5846747008734</v>
      </c>
      <c r="U279" s="9">
        <v>10.2536511423738</v>
      </c>
      <c r="V279" s="9">
        <v>35.1183895077783</v>
      </c>
      <c r="W279" s="9">
        <v>30.4325172633814</v>
      </c>
      <c r="X279" s="9">
        <v>97.0038424763259</v>
      </c>
      <c r="Y279" s="19">
        <f t="shared" si="36"/>
        <v>39.1992648161172</v>
      </c>
      <c r="Z279" s="6">
        <f t="shared" si="37"/>
        <v>38.5885578620594</v>
      </c>
      <c r="AA279" s="9">
        <v>50</v>
      </c>
      <c r="AB279" s="9">
        <v>25</v>
      </c>
      <c r="AC279" s="14">
        <f t="shared" si="38"/>
        <v>37.5</v>
      </c>
      <c r="AD279" s="17">
        <v>0.984420448778245</v>
      </c>
      <c r="AE279" s="9">
        <f t="shared" si="39"/>
        <v>51.5334536415132</v>
      </c>
      <c r="AF279" s="18">
        <f>RANK(AE279,AE$3:AE$298)</f>
        <v>178</v>
      </c>
      <c r="AG279" s="20" t="e">
        <f>#REF!-AF279</f>
        <v>#REF!</v>
      </c>
    </row>
    <row r="280" spans="1:33">
      <c r="A280" s="9" t="s">
        <v>315</v>
      </c>
      <c r="B280" s="9">
        <v>80</v>
      </c>
      <c r="C280" s="9">
        <v>60</v>
      </c>
      <c r="D280" s="9">
        <v>40</v>
      </c>
      <c r="E280" s="9">
        <v>40</v>
      </c>
      <c r="F280" s="13">
        <f t="shared" si="32"/>
        <v>55</v>
      </c>
      <c r="G280" s="14">
        <f t="shared" si="33"/>
        <v>54.9600446343256</v>
      </c>
      <c r="H280" s="9">
        <v>20</v>
      </c>
      <c r="I280" s="9">
        <v>60</v>
      </c>
      <c r="J280" s="9">
        <v>70</v>
      </c>
      <c r="K280" s="9">
        <v>100</v>
      </c>
      <c r="L280" s="9">
        <v>30</v>
      </c>
      <c r="M280" s="14">
        <f t="shared" si="34"/>
        <v>56</v>
      </c>
      <c r="N280" s="9">
        <v>40</v>
      </c>
      <c r="O280" s="9">
        <v>75</v>
      </c>
      <c r="P280" s="9">
        <v>0</v>
      </c>
      <c r="Q280" s="14">
        <f t="shared" si="35"/>
        <v>38.3333333333333</v>
      </c>
      <c r="R280" s="9">
        <v>2.83048211508554</v>
      </c>
      <c r="S280" s="9">
        <v>83.6287734129367</v>
      </c>
      <c r="T280" s="9">
        <v>63.0590699859083</v>
      </c>
      <c r="U280" s="9">
        <v>11.6025149492859</v>
      </c>
      <c r="V280" s="9">
        <v>9.19114100398884</v>
      </c>
      <c r="W280" s="9">
        <v>34.6189040290843</v>
      </c>
      <c r="X280" s="9">
        <v>65.115232566087</v>
      </c>
      <c r="Y280" s="19">
        <f t="shared" si="36"/>
        <v>38.5780168660538</v>
      </c>
      <c r="Z280" s="6">
        <f t="shared" si="37"/>
        <v>38.549991433856</v>
      </c>
      <c r="AA280" s="9">
        <v>25</v>
      </c>
      <c r="AB280" s="9">
        <v>25</v>
      </c>
      <c r="AC280" s="14">
        <f t="shared" si="38"/>
        <v>25</v>
      </c>
      <c r="AD280" s="17">
        <v>0.99927353880592</v>
      </c>
      <c r="AE280" s="9">
        <f t="shared" si="39"/>
        <v>43.2570063570219</v>
      </c>
      <c r="AF280" s="18">
        <f>RANK(AE280,AE$3:AE$298)</f>
        <v>256</v>
      </c>
      <c r="AG280" s="20" t="e">
        <f>#REF!-AF280</f>
        <v>#REF!</v>
      </c>
    </row>
    <row r="281" spans="1:33">
      <c r="A281" s="9" t="s">
        <v>316</v>
      </c>
      <c r="B281" s="9">
        <v>100</v>
      </c>
      <c r="C281" s="9">
        <v>20</v>
      </c>
      <c r="D281" s="9">
        <v>20</v>
      </c>
      <c r="E281" s="9">
        <v>40</v>
      </c>
      <c r="F281" s="13">
        <f t="shared" si="32"/>
        <v>45</v>
      </c>
      <c r="G281" s="14">
        <f t="shared" si="33"/>
        <v>46.6265707554398</v>
      </c>
      <c r="H281" s="9">
        <v>40</v>
      </c>
      <c r="I281" s="9">
        <v>60</v>
      </c>
      <c r="J281" s="9">
        <v>70</v>
      </c>
      <c r="K281" s="9">
        <v>100</v>
      </c>
      <c r="L281" s="9">
        <v>70</v>
      </c>
      <c r="M281" s="14">
        <f t="shared" si="34"/>
        <v>68</v>
      </c>
      <c r="N281" s="9">
        <v>70</v>
      </c>
      <c r="O281" s="9">
        <v>75</v>
      </c>
      <c r="P281" s="9">
        <v>0</v>
      </c>
      <c r="Q281" s="14">
        <f t="shared" si="35"/>
        <v>48.3333333333333</v>
      </c>
      <c r="R281" s="9">
        <v>100</v>
      </c>
      <c r="S281" s="9">
        <v>5.23948846076299</v>
      </c>
      <c r="T281" s="9">
        <v>10.8457413440826</v>
      </c>
      <c r="U281" s="9">
        <v>2.12617515326815</v>
      </c>
      <c r="V281" s="9">
        <v>37.4504700610292</v>
      </c>
      <c r="W281" s="9">
        <v>21.2316832368713</v>
      </c>
      <c r="X281" s="9">
        <v>88.079010236017</v>
      </c>
      <c r="Y281" s="19">
        <f t="shared" si="36"/>
        <v>37.8532240702902</v>
      </c>
      <c r="Z281" s="6">
        <f t="shared" si="37"/>
        <v>39.2214673429978</v>
      </c>
      <c r="AA281" s="9">
        <v>50</v>
      </c>
      <c r="AB281" s="9">
        <v>75</v>
      </c>
      <c r="AC281" s="14">
        <f t="shared" si="38"/>
        <v>62.5</v>
      </c>
      <c r="AD281" s="17">
        <v>1.03614601678755</v>
      </c>
      <c r="AE281" s="9">
        <f t="shared" si="39"/>
        <v>51.3167543539873</v>
      </c>
      <c r="AF281" s="18">
        <f>RANK(AE281,AE$3:AE$298)</f>
        <v>182</v>
      </c>
      <c r="AG281" s="20" t="e">
        <f>#REF!-AF281</f>
        <v>#REF!</v>
      </c>
    </row>
    <row r="282" spans="1:33">
      <c r="A282" s="9" t="s">
        <v>317</v>
      </c>
      <c r="B282" s="9">
        <v>100</v>
      </c>
      <c r="C282" s="9">
        <v>80</v>
      </c>
      <c r="D282" s="9">
        <v>20</v>
      </c>
      <c r="E282" s="9">
        <v>60</v>
      </c>
      <c r="F282" s="13">
        <f t="shared" si="32"/>
        <v>65</v>
      </c>
      <c r="G282" s="14">
        <f t="shared" si="33"/>
        <v>65.5259163138307</v>
      </c>
      <c r="H282" s="9">
        <v>20</v>
      </c>
      <c r="I282" s="9">
        <v>60</v>
      </c>
      <c r="J282" s="9">
        <v>70</v>
      </c>
      <c r="K282" s="9">
        <v>40</v>
      </c>
      <c r="L282" s="9">
        <v>70</v>
      </c>
      <c r="M282" s="14">
        <f t="shared" si="34"/>
        <v>52</v>
      </c>
      <c r="N282" s="9">
        <v>70</v>
      </c>
      <c r="O282" s="9">
        <v>25</v>
      </c>
      <c r="P282" s="9">
        <v>0</v>
      </c>
      <c r="Q282" s="14">
        <f t="shared" si="35"/>
        <v>31.6666666666667</v>
      </c>
      <c r="R282" s="9">
        <v>43.1456702852815</v>
      </c>
      <c r="S282" s="9">
        <v>49.4032797126879</v>
      </c>
      <c r="T282" s="9">
        <v>39.4325387754821</v>
      </c>
      <c r="U282" s="9">
        <v>6.60714644402682</v>
      </c>
      <c r="V282" s="9">
        <v>27.0246981759075</v>
      </c>
      <c r="W282" s="9">
        <v>27.6978283259301</v>
      </c>
      <c r="X282" s="9">
        <v>68.553936300294</v>
      </c>
      <c r="Y282" s="19">
        <f t="shared" si="36"/>
        <v>37.4092997170871</v>
      </c>
      <c r="Z282" s="6">
        <f t="shared" si="37"/>
        <v>37.711979117244</v>
      </c>
      <c r="AA282" s="9">
        <v>50</v>
      </c>
      <c r="AB282" s="9">
        <v>25</v>
      </c>
      <c r="AC282" s="14">
        <f t="shared" si="38"/>
        <v>37.5</v>
      </c>
      <c r="AD282" s="17">
        <v>1.00809102021278</v>
      </c>
      <c r="AE282" s="9">
        <f t="shared" si="39"/>
        <v>45.1937769979394</v>
      </c>
      <c r="AF282" s="18">
        <f>RANK(AE282,AE$3:AE$298)</f>
        <v>243</v>
      </c>
      <c r="AG282" s="20" t="e">
        <f>#REF!-AF282</f>
        <v>#REF!</v>
      </c>
    </row>
    <row r="283" spans="1:33">
      <c r="A283" s="9" t="s">
        <v>318</v>
      </c>
      <c r="B283" s="9">
        <v>100</v>
      </c>
      <c r="C283" s="9">
        <v>20</v>
      </c>
      <c r="D283" s="9">
        <v>40</v>
      </c>
      <c r="E283" s="9">
        <v>60</v>
      </c>
      <c r="F283" s="13">
        <f t="shared" si="32"/>
        <v>55</v>
      </c>
      <c r="G283" s="14">
        <f t="shared" si="33"/>
        <v>60.1007246897679</v>
      </c>
      <c r="H283" s="9">
        <v>80</v>
      </c>
      <c r="I283" s="9">
        <v>100</v>
      </c>
      <c r="J283" s="9">
        <v>100</v>
      </c>
      <c r="K283" s="9">
        <v>60</v>
      </c>
      <c r="L283" s="9">
        <v>70</v>
      </c>
      <c r="M283" s="14">
        <f t="shared" si="34"/>
        <v>82</v>
      </c>
      <c r="N283" s="9">
        <v>70</v>
      </c>
      <c r="O283" s="9">
        <v>75</v>
      </c>
      <c r="P283" s="9">
        <v>75</v>
      </c>
      <c r="Q283" s="14">
        <f t="shared" si="35"/>
        <v>73.3333333333333</v>
      </c>
      <c r="R283" s="9">
        <v>100</v>
      </c>
      <c r="S283" s="9">
        <v>0</v>
      </c>
      <c r="T283" s="9">
        <v>0</v>
      </c>
      <c r="U283" s="9">
        <v>0.640138755822668</v>
      </c>
      <c r="V283" s="9">
        <v>49.7967788723574</v>
      </c>
      <c r="W283" s="9">
        <v>13.6633439201166</v>
      </c>
      <c r="X283" s="9">
        <v>96.5647367937215</v>
      </c>
      <c r="Y283" s="19">
        <f t="shared" si="36"/>
        <v>37.2378569060026</v>
      </c>
      <c r="Z283" s="6">
        <f t="shared" si="37"/>
        <v>40.6913124717206</v>
      </c>
      <c r="AA283" s="9">
        <v>50</v>
      </c>
      <c r="AB283" s="9">
        <v>75</v>
      </c>
      <c r="AC283" s="14">
        <f t="shared" si="38"/>
        <v>62.5</v>
      </c>
      <c r="AD283" s="17">
        <v>1.09274044890487</v>
      </c>
      <c r="AE283" s="9">
        <f t="shared" si="39"/>
        <v>61.0025386794698</v>
      </c>
      <c r="AF283" s="18">
        <f>RANK(AE283,AE$3:AE$298)</f>
        <v>86</v>
      </c>
      <c r="AG283" s="20" t="e">
        <f>#REF!-AF283</f>
        <v>#REF!</v>
      </c>
    </row>
    <row r="284" spans="1:33">
      <c r="A284" s="9" t="s">
        <v>319</v>
      </c>
      <c r="B284" s="9">
        <v>100</v>
      </c>
      <c r="C284" s="9">
        <v>20</v>
      </c>
      <c r="D284" s="9">
        <v>20</v>
      </c>
      <c r="E284" s="9">
        <v>60</v>
      </c>
      <c r="F284" s="13">
        <f t="shared" si="32"/>
        <v>50</v>
      </c>
      <c r="G284" s="14">
        <f t="shared" si="33"/>
        <v>52.086830708483</v>
      </c>
      <c r="H284" s="9">
        <v>40</v>
      </c>
      <c r="I284" s="9">
        <v>80</v>
      </c>
      <c r="J284" s="9">
        <v>40</v>
      </c>
      <c r="K284" s="9">
        <v>100</v>
      </c>
      <c r="L284" s="9">
        <v>70</v>
      </c>
      <c r="M284" s="14">
        <f t="shared" si="34"/>
        <v>66</v>
      </c>
      <c r="N284" s="9">
        <v>70</v>
      </c>
      <c r="O284" s="9">
        <v>100</v>
      </c>
      <c r="P284" s="9">
        <v>0</v>
      </c>
      <c r="Q284" s="14">
        <f t="shared" si="35"/>
        <v>56.6666666666667</v>
      </c>
      <c r="R284" s="9">
        <v>100</v>
      </c>
      <c r="S284" s="9">
        <v>28.8140547461342</v>
      </c>
      <c r="T284" s="9">
        <v>0</v>
      </c>
      <c r="U284" s="9">
        <v>0.205758885800143</v>
      </c>
      <c r="V284" s="9">
        <v>8.50523495891505</v>
      </c>
      <c r="W284" s="9">
        <v>25.6604591466684</v>
      </c>
      <c r="X284" s="9">
        <v>91.0793794528552</v>
      </c>
      <c r="Y284" s="19">
        <f t="shared" si="36"/>
        <v>36.3235553129104</v>
      </c>
      <c r="Z284" s="6">
        <f t="shared" si="37"/>
        <v>37.8395775262757</v>
      </c>
      <c r="AA284" s="9">
        <v>50</v>
      </c>
      <c r="AB284" s="9">
        <v>25</v>
      </c>
      <c r="AC284" s="14">
        <f t="shared" si="38"/>
        <v>37.5</v>
      </c>
      <c r="AD284" s="17">
        <v>1.04173661416966</v>
      </c>
      <c r="AE284" s="9">
        <f t="shared" si="39"/>
        <v>49.0942393995793</v>
      </c>
      <c r="AF284" s="18">
        <f>RANK(AE284,AE$3:AE$298)</f>
        <v>209</v>
      </c>
      <c r="AG284" s="20" t="e">
        <f>#REF!-AF284</f>
        <v>#REF!</v>
      </c>
    </row>
    <row r="285" spans="1:33">
      <c r="A285" s="9" t="s">
        <v>320</v>
      </c>
      <c r="B285" s="9">
        <v>100</v>
      </c>
      <c r="C285" s="9">
        <v>40</v>
      </c>
      <c r="D285" s="9">
        <v>20</v>
      </c>
      <c r="E285" s="9">
        <v>60</v>
      </c>
      <c r="F285" s="13">
        <f t="shared" si="32"/>
        <v>55</v>
      </c>
      <c r="G285" s="14">
        <f t="shared" si="33"/>
        <v>56.7968072866925</v>
      </c>
      <c r="H285" s="9">
        <v>20</v>
      </c>
      <c r="I285" s="9">
        <v>20</v>
      </c>
      <c r="J285" s="9">
        <v>40</v>
      </c>
      <c r="K285" s="9">
        <v>30</v>
      </c>
      <c r="L285" s="9">
        <v>70</v>
      </c>
      <c r="M285" s="14">
        <f t="shared" si="34"/>
        <v>36</v>
      </c>
      <c r="N285" s="9">
        <v>40</v>
      </c>
      <c r="O285" s="9">
        <v>25</v>
      </c>
      <c r="P285" s="9">
        <v>0</v>
      </c>
      <c r="Q285" s="14">
        <f t="shared" si="35"/>
        <v>21.6666666666667</v>
      </c>
      <c r="R285" s="9">
        <v>55.3691275167785</v>
      </c>
      <c r="S285" s="9">
        <v>54.1220450230767</v>
      </c>
      <c r="T285" s="9">
        <v>24.0296068261436</v>
      </c>
      <c r="U285" s="9">
        <v>1.54319164350107</v>
      </c>
      <c r="V285" s="9">
        <v>16.3245638727563</v>
      </c>
      <c r="W285" s="9">
        <v>26.6492182606627</v>
      </c>
      <c r="X285" s="9">
        <v>73.169177392401</v>
      </c>
      <c r="Y285" s="19">
        <f t="shared" si="36"/>
        <v>35.8867043621886</v>
      </c>
      <c r="Z285" s="6">
        <f t="shared" si="37"/>
        <v>37.059095123886</v>
      </c>
      <c r="AA285" s="9">
        <v>25</v>
      </c>
      <c r="AB285" s="9">
        <v>25</v>
      </c>
      <c r="AC285" s="14">
        <f t="shared" si="38"/>
        <v>25</v>
      </c>
      <c r="AD285" s="17">
        <v>1.03266922339441</v>
      </c>
      <c r="AE285" s="9">
        <f t="shared" si="39"/>
        <v>36.6770899945043</v>
      </c>
      <c r="AF285" s="18">
        <f>RANK(AE285,AE$3:AE$298)</f>
        <v>288</v>
      </c>
      <c r="AG285" s="20" t="e">
        <f>#REF!-AF285</f>
        <v>#REF!</v>
      </c>
    </row>
    <row r="286" spans="1:33">
      <c r="A286" s="9" t="s">
        <v>321</v>
      </c>
      <c r="B286" s="9">
        <v>80</v>
      </c>
      <c r="C286" s="9">
        <v>40</v>
      </c>
      <c r="D286" s="9">
        <v>60</v>
      </c>
      <c r="E286" s="9">
        <v>40</v>
      </c>
      <c r="F286" s="13">
        <f t="shared" si="32"/>
        <v>55</v>
      </c>
      <c r="G286" s="14">
        <f t="shared" si="33"/>
        <v>60.384722368322</v>
      </c>
      <c r="H286" s="9">
        <v>100</v>
      </c>
      <c r="I286" s="9">
        <v>20</v>
      </c>
      <c r="J286" s="9">
        <v>40</v>
      </c>
      <c r="K286" s="9">
        <v>70</v>
      </c>
      <c r="L286" s="9">
        <v>70</v>
      </c>
      <c r="M286" s="14">
        <f t="shared" si="34"/>
        <v>60</v>
      </c>
      <c r="N286" s="9">
        <v>40</v>
      </c>
      <c r="O286" s="9">
        <v>25</v>
      </c>
      <c r="P286" s="9">
        <v>25</v>
      </c>
      <c r="Q286" s="14">
        <f t="shared" si="35"/>
        <v>30</v>
      </c>
      <c r="R286" s="9">
        <v>90.3169398907104</v>
      </c>
      <c r="S286" s="9">
        <v>0</v>
      </c>
      <c r="T286" s="9">
        <v>0</v>
      </c>
      <c r="U286" s="9">
        <v>2.2462011699849</v>
      </c>
      <c r="V286" s="9">
        <v>57.4103359726765</v>
      </c>
      <c r="W286" s="9">
        <v>9.38345016499238</v>
      </c>
      <c r="X286" s="9">
        <v>90.8744592229503</v>
      </c>
      <c r="Y286" s="19">
        <f t="shared" si="36"/>
        <v>35.7473409173306</v>
      </c>
      <c r="Z286" s="6">
        <f t="shared" si="37"/>
        <v>39.2471501217958</v>
      </c>
      <c r="AA286" s="9">
        <v>100</v>
      </c>
      <c r="AB286" s="9">
        <v>25</v>
      </c>
      <c r="AC286" s="14">
        <f t="shared" si="38"/>
        <v>62.5</v>
      </c>
      <c r="AD286" s="17">
        <v>1.0979040430604</v>
      </c>
      <c r="AE286" s="9">
        <f t="shared" si="39"/>
        <v>49.7260895102031</v>
      </c>
      <c r="AF286" s="18">
        <f>RANK(AE286,AE$3:AE$298)</f>
        <v>204</v>
      </c>
      <c r="AG286" s="20" t="e">
        <f>#REF!-AF286</f>
        <v>#REF!</v>
      </c>
    </row>
    <row r="287" spans="1:33">
      <c r="A287" s="9" t="s">
        <v>322</v>
      </c>
      <c r="B287" s="9">
        <v>60</v>
      </c>
      <c r="C287" s="9">
        <v>60</v>
      </c>
      <c r="D287" s="9">
        <v>20</v>
      </c>
      <c r="E287" s="9">
        <v>40</v>
      </c>
      <c r="F287" s="13">
        <f t="shared" si="32"/>
        <v>45</v>
      </c>
      <c r="G287" s="14">
        <f t="shared" si="33"/>
        <v>49.405681937718</v>
      </c>
      <c r="H287" s="9">
        <v>40</v>
      </c>
      <c r="I287" s="9">
        <v>40</v>
      </c>
      <c r="J287" s="9">
        <v>40</v>
      </c>
      <c r="K287" s="9">
        <v>40</v>
      </c>
      <c r="L287" s="9">
        <v>70</v>
      </c>
      <c r="M287" s="14">
        <f t="shared" si="34"/>
        <v>46</v>
      </c>
      <c r="N287" s="9">
        <v>70</v>
      </c>
      <c r="O287" s="9">
        <v>50</v>
      </c>
      <c r="P287" s="9">
        <v>0</v>
      </c>
      <c r="Q287" s="14">
        <f t="shared" si="35"/>
        <v>40</v>
      </c>
      <c r="R287" s="9">
        <v>0</v>
      </c>
      <c r="S287" s="9">
        <v>100</v>
      </c>
      <c r="T287" s="9">
        <v>100</v>
      </c>
      <c r="U287" s="9">
        <v>0.12002601671675</v>
      </c>
      <c r="V287" s="9">
        <v>42.9377184216195</v>
      </c>
      <c r="W287" s="9">
        <v>2.65901292022097</v>
      </c>
      <c r="X287" s="9">
        <v>0</v>
      </c>
      <c r="Y287" s="19">
        <f t="shared" si="36"/>
        <v>35.1023939083653</v>
      </c>
      <c r="Z287" s="6">
        <f t="shared" si="37"/>
        <v>38.539060193093</v>
      </c>
      <c r="AA287" s="9">
        <v>25</v>
      </c>
      <c r="AB287" s="9">
        <v>25</v>
      </c>
      <c r="AC287" s="14">
        <f t="shared" si="38"/>
        <v>25</v>
      </c>
      <c r="AD287" s="17">
        <v>1.0979040430604</v>
      </c>
      <c r="AE287" s="9">
        <f t="shared" si="39"/>
        <v>40.3928544454715</v>
      </c>
      <c r="AF287" s="18">
        <f>RANK(AE287,AE$3:AE$298)</f>
        <v>274</v>
      </c>
      <c r="AG287" s="20" t="e">
        <f>#REF!-AF287</f>
        <v>#REF!</v>
      </c>
    </row>
    <row r="288" spans="1:33">
      <c r="A288" s="9" t="s">
        <v>323</v>
      </c>
      <c r="B288" s="9">
        <v>100</v>
      </c>
      <c r="C288" s="9">
        <v>60</v>
      </c>
      <c r="D288" s="9">
        <v>60</v>
      </c>
      <c r="E288" s="9">
        <v>60</v>
      </c>
      <c r="F288" s="13">
        <f t="shared" si="32"/>
        <v>70</v>
      </c>
      <c r="G288" s="14">
        <f t="shared" si="33"/>
        <v>72.4440652505682</v>
      </c>
      <c r="H288" s="9">
        <v>40</v>
      </c>
      <c r="I288" s="9">
        <v>20</v>
      </c>
      <c r="J288" s="9">
        <v>20</v>
      </c>
      <c r="K288" s="9">
        <v>70</v>
      </c>
      <c r="L288" s="9">
        <v>30</v>
      </c>
      <c r="M288" s="14">
        <f t="shared" si="34"/>
        <v>36</v>
      </c>
      <c r="N288" s="9">
        <v>20</v>
      </c>
      <c r="O288" s="9">
        <v>25</v>
      </c>
      <c r="P288" s="9">
        <v>0</v>
      </c>
      <c r="Q288" s="14">
        <f t="shared" si="35"/>
        <v>15</v>
      </c>
      <c r="R288" s="9">
        <v>74.4461134059332</v>
      </c>
      <c r="S288" s="9">
        <v>25.3086862298453</v>
      </c>
      <c r="T288" s="9" t="s">
        <v>324</v>
      </c>
      <c r="U288" s="9">
        <v>3.75509966585261</v>
      </c>
      <c r="V288" s="9">
        <v>21.2630873972876</v>
      </c>
      <c r="W288" s="9">
        <v>27.3083001597865</v>
      </c>
      <c r="X288" s="9">
        <v>57.6507878843305</v>
      </c>
      <c r="Y288" s="19">
        <f t="shared" si="36"/>
        <v>34.955345790506</v>
      </c>
      <c r="Z288" s="6">
        <f t="shared" si="37"/>
        <v>36.175819304337</v>
      </c>
      <c r="AA288" s="9">
        <v>25</v>
      </c>
      <c r="AB288" s="9">
        <v>25</v>
      </c>
      <c r="AC288" s="14">
        <f t="shared" si="38"/>
        <v>25</v>
      </c>
      <c r="AD288" s="17">
        <v>1.03491521786526</v>
      </c>
      <c r="AE288" s="9">
        <f t="shared" si="39"/>
        <v>38.5415588414147</v>
      </c>
      <c r="AF288" s="18">
        <f>RANK(AE288,AE$3:AE$298)</f>
        <v>280</v>
      </c>
      <c r="AG288" s="20" t="e">
        <f>#REF!-AF288</f>
        <v>#REF!</v>
      </c>
    </row>
    <row r="289" spans="1:33">
      <c r="A289" s="9" t="s">
        <v>325</v>
      </c>
      <c r="B289" s="9">
        <v>80</v>
      </c>
      <c r="C289" s="9">
        <v>40</v>
      </c>
      <c r="D289" s="9">
        <v>40</v>
      </c>
      <c r="E289" s="9">
        <v>60</v>
      </c>
      <c r="F289" s="13">
        <f t="shared" si="32"/>
        <v>55</v>
      </c>
      <c r="G289" s="14">
        <f t="shared" si="33"/>
        <v>57.7644839474323</v>
      </c>
      <c r="H289" s="9">
        <v>20</v>
      </c>
      <c r="I289" s="9">
        <v>60</v>
      </c>
      <c r="J289" s="9">
        <v>20</v>
      </c>
      <c r="K289" s="9">
        <v>40</v>
      </c>
      <c r="L289" s="9">
        <v>70</v>
      </c>
      <c r="M289" s="14">
        <f t="shared" si="34"/>
        <v>42</v>
      </c>
      <c r="N289" s="9">
        <v>40</v>
      </c>
      <c r="O289" s="9">
        <v>50</v>
      </c>
      <c r="P289" s="9">
        <v>0</v>
      </c>
      <c r="Q289" s="14">
        <f t="shared" si="35"/>
        <v>30</v>
      </c>
      <c r="R289" s="9">
        <v>52.3600439077936</v>
      </c>
      <c r="S289" s="9">
        <v>42.6621864121324</v>
      </c>
      <c r="T289" s="9">
        <v>0</v>
      </c>
      <c r="U289" s="9">
        <v>0.960208133734002</v>
      </c>
      <c r="V289" s="9">
        <v>13.9924833195054</v>
      </c>
      <c r="W289" s="9">
        <v>33.7981211604253</v>
      </c>
      <c r="X289" s="9">
        <v>99.62852140417</v>
      </c>
      <c r="Y289" s="19">
        <f t="shared" si="36"/>
        <v>34.7716520482515</v>
      </c>
      <c r="Z289" s="6">
        <f t="shared" si="37"/>
        <v>36.5193915739442</v>
      </c>
      <c r="AA289" s="9">
        <v>25</v>
      </c>
      <c r="AB289" s="9">
        <v>25</v>
      </c>
      <c r="AC289" s="14">
        <f t="shared" si="38"/>
        <v>25</v>
      </c>
      <c r="AD289" s="17">
        <v>1.05026334449877</v>
      </c>
      <c r="AE289" s="9">
        <f t="shared" si="39"/>
        <v>39.1587142616697</v>
      </c>
      <c r="AF289" s="18">
        <f>RANK(AE289,AE$3:AE$298)</f>
        <v>276</v>
      </c>
      <c r="AG289" s="20" t="e">
        <f>#REF!-AF289</f>
        <v>#REF!</v>
      </c>
    </row>
    <row r="290" spans="1:33">
      <c r="A290" s="9" t="s">
        <v>326</v>
      </c>
      <c r="B290" s="9">
        <v>100</v>
      </c>
      <c r="C290" s="9">
        <v>40</v>
      </c>
      <c r="D290" s="9">
        <v>20</v>
      </c>
      <c r="E290" s="9">
        <v>80</v>
      </c>
      <c r="F290" s="13">
        <f t="shared" si="32"/>
        <v>60</v>
      </c>
      <c r="G290" s="14">
        <f t="shared" si="33"/>
        <v>64.5152718464496</v>
      </c>
      <c r="H290" s="9">
        <v>20</v>
      </c>
      <c r="I290" s="9">
        <v>20</v>
      </c>
      <c r="J290" s="9">
        <v>40</v>
      </c>
      <c r="K290" s="9">
        <v>40</v>
      </c>
      <c r="L290" s="9">
        <v>30</v>
      </c>
      <c r="M290" s="14">
        <f t="shared" si="34"/>
        <v>30</v>
      </c>
      <c r="N290" s="9">
        <v>20</v>
      </c>
      <c r="O290" s="9">
        <v>25</v>
      </c>
      <c r="P290" s="9">
        <v>0</v>
      </c>
      <c r="Q290" s="14">
        <f t="shared" si="35"/>
        <v>15</v>
      </c>
      <c r="R290" s="9">
        <v>17.3165895571712</v>
      </c>
      <c r="S290" s="9">
        <v>49.9040466435863</v>
      </c>
      <c r="T290" s="9">
        <v>51.4416043631021</v>
      </c>
      <c r="U290" s="9">
        <v>3.21784035293002</v>
      </c>
      <c r="V290" s="9">
        <v>36.0786579708816</v>
      </c>
      <c r="W290" s="9">
        <v>19.6351366065208</v>
      </c>
      <c r="X290" s="9">
        <v>62.9816368505553</v>
      </c>
      <c r="Y290" s="19">
        <f t="shared" si="36"/>
        <v>34.3679303349639</v>
      </c>
      <c r="Z290" s="6">
        <f t="shared" si="37"/>
        <v>36.9542728060006</v>
      </c>
      <c r="AA290" s="9">
        <v>50</v>
      </c>
      <c r="AB290" s="9">
        <v>25</v>
      </c>
      <c r="AC290" s="14">
        <f t="shared" si="38"/>
        <v>37.5</v>
      </c>
      <c r="AD290" s="17">
        <v>1.07525453077416</v>
      </c>
      <c r="AE290" s="9">
        <f t="shared" si="39"/>
        <v>37.8643362110901</v>
      </c>
      <c r="AF290" s="18">
        <f>RANK(AE290,AE$3:AE$298)</f>
        <v>283</v>
      </c>
      <c r="AG290" s="20" t="e">
        <f>#REF!-AF290</f>
        <v>#REF!</v>
      </c>
    </row>
    <row r="291" spans="1:33">
      <c r="A291" s="9" t="s">
        <v>327</v>
      </c>
      <c r="B291" s="9">
        <v>100</v>
      </c>
      <c r="C291" s="9">
        <v>40</v>
      </c>
      <c r="D291" s="9">
        <v>40</v>
      </c>
      <c r="E291" s="9">
        <v>40</v>
      </c>
      <c r="F291" s="13">
        <f t="shared" si="32"/>
        <v>55</v>
      </c>
      <c r="G291" s="14">
        <f t="shared" si="33"/>
        <v>58.2937798789406</v>
      </c>
      <c r="H291" s="9">
        <v>20</v>
      </c>
      <c r="I291" s="9">
        <v>20</v>
      </c>
      <c r="J291" s="9">
        <v>40</v>
      </c>
      <c r="K291" s="9">
        <v>70</v>
      </c>
      <c r="L291" s="9">
        <v>70</v>
      </c>
      <c r="M291" s="14">
        <f t="shared" si="34"/>
        <v>44</v>
      </c>
      <c r="N291" s="9">
        <v>70</v>
      </c>
      <c r="O291" s="9">
        <v>25</v>
      </c>
      <c r="P291" s="9">
        <v>0</v>
      </c>
      <c r="Q291" s="14">
        <f t="shared" si="35"/>
        <v>31.6666666666667</v>
      </c>
      <c r="R291" s="9">
        <v>0.894959962317476</v>
      </c>
      <c r="S291" s="9">
        <v>77.9855153070431</v>
      </c>
      <c r="T291" s="9">
        <v>59.2736036593759</v>
      </c>
      <c r="U291" s="9">
        <v>6.6528706408713</v>
      </c>
      <c r="V291" s="9">
        <v>13.5809396924611</v>
      </c>
      <c r="W291" s="9">
        <v>24.0388179372092</v>
      </c>
      <c r="X291" s="9">
        <v>57.832015002704</v>
      </c>
      <c r="Y291" s="19">
        <f t="shared" si="36"/>
        <v>34.3226746002832</v>
      </c>
      <c r="Z291" s="6">
        <f t="shared" si="37"/>
        <v>36.3781534182802</v>
      </c>
      <c r="AA291" s="9">
        <v>50</v>
      </c>
      <c r="AB291" s="9">
        <v>25</v>
      </c>
      <c r="AC291" s="14">
        <f t="shared" si="38"/>
        <v>37.5</v>
      </c>
      <c r="AD291" s="17">
        <v>1.05988690688983</v>
      </c>
      <c r="AE291" s="9">
        <f t="shared" si="39"/>
        <v>41.7472020012722</v>
      </c>
      <c r="AF291" s="18">
        <f>RANK(AE291,AE$3:AE$298)</f>
        <v>265</v>
      </c>
      <c r="AG291" s="20" t="e">
        <f>#REF!-AF291</f>
        <v>#REF!</v>
      </c>
    </row>
    <row r="292" spans="1:33">
      <c r="A292" s="9" t="s">
        <v>328</v>
      </c>
      <c r="B292" s="9">
        <v>60</v>
      </c>
      <c r="C292" s="9">
        <v>40</v>
      </c>
      <c r="D292" s="9">
        <v>60</v>
      </c>
      <c r="E292" s="9">
        <v>40</v>
      </c>
      <c r="F292" s="13">
        <f t="shared" si="32"/>
        <v>50</v>
      </c>
      <c r="G292" s="14">
        <f t="shared" si="33"/>
        <v>54.89520215302</v>
      </c>
      <c r="H292" s="9">
        <v>80</v>
      </c>
      <c r="I292" s="9">
        <v>80</v>
      </c>
      <c r="J292" s="9">
        <v>40</v>
      </c>
      <c r="K292" s="9">
        <v>40</v>
      </c>
      <c r="L292" s="9">
        <v>70</v>
      </c>
      <c r="M292" s="14">
        <f t="shared" si="34"/>
        <v>62</v>
      </c>
      <c r="N292" s="9">
        <v>70</v>
      </c>
      <c r="O292" s="9">
        <v>75</v>
      </c>
      <c r="P292" s="9">
        <v>0</v>
      </c>
      <c r="Q292" s="14">
        <f t="shared" si="35"/>
        <v>48.3333333333333</v>
      </c>
      <c r="R292" s="9">
        <v>25.7142857142857</v>
      </c>
      <c r="S292" s="9">
        <v>97.6887680112381</v>
      </c>
      <c r="T292" s="9">
        <v>94.3870671710037</v>
      </c>
      <c r="U292" s="9">
        <v>0.474388542261441</v>
      </c>
      <c r="V292" s="9">
        <v>10.7687249076586</v>
      </c>
      <c r="W292" s="9">
        <v>5.84417798262961</v>
      </c>
      <c r="X292" s="9">
        <v>0</v>
      </c>
      <c r="Y292" s="19">
        <f t="shared" si="36"/>
        <v>33.553916047011</v>
      </c>
      <c r="Z292" s="6">
        <f t="shared" si="37"/>
        <v>36.8389800885226</v>
      </c>
      <c r="AA292" s="9">
        <v>25</v>
      </c>
      <c r="AB292" s="9">
        <v>25</v>
      </c>
      <c r="AC292" s="14">
        <f t="shared" si="38"/>
        <v>25</v>
      </c>
      <c r="AD292" s="17">
        <v>1.0979040430604</v>
      </c>
      <c r="AE292" s="9">
        <f t="shared" si="39"/>
        <v>45.4307344571608</v>
      </c>
      <c r="AF292" s="18">
        <f>RANK(AE292,AE$3:AE$298)</f>
        <v>239</v>
      </c>
      <c r="AG292" s="20" t="e">
        <f>#REF!-AF292</f>
        <v>#REF!</v>
      </c>
    </row>
    <row r="293" spans="1:33">
      <c r="A293" s="9" t="s">
        <v>329</v>
      </c>
      <c r="B293" s="9">
        <v>80</v>
      </c>
      <c r="C293" s="9">
        <v>40</v>
      </c>
      <c r="D293" s="9">
        <v>20</v>
      </c>
      <c r="E293" s="9">
        <v>20</v>
      </c>
      <c r="F293" s="13">
        <f t="shared" si="32"/>
        <v>40</v>
      </c>
      <c r="G293" s="14">
        <f t="shared" si="33"/>
        <v>43.916161722416</v>
      </c>
      <c r="H293" s="9">
        <v>60</v>
      </c>
      <c r="I293" s="9">
        <v>80</v>
      </c>
      <c r="J293" s="9">
        <v>40</v>
      </c>
      <c r="K293" s="9">
        <v>40</v>
      </c>
      <c r="L293" s="9">
        <v>30</v>
      </c>
      <c r="M293" s="14">
        <f t="shared" si="34"/>
        <v>50</v>
      </c>
      <c r="N293" s="9">
        <v>70</v>
      </c>
      <c r="O293" s="9">
        <v>25</v>
      </c>
      <c r="P293" s="9">
        <v>0</v>
      </c>
      <c r="Q293" s="14">
        <f t="shared" si="35"/>
        <v>31.6666666666667</v>
      </c>
      <c r="R293" s="9">
        <v>0</v>
      </c>
      <c r="S293" s="9">
        <v>97.9198912101143</v>
      </c>
      <c r="T293" s="9">
        <v>95.8229337086539</v>
      </c>
      <c r="U293" s="9">
        <v>0.874475264650609</v>
      </c>
      <c r="V293" s="9">
        <v>15.7072484321899</v>
      </c>
      <c r="W293" s="9">
        <v>9.09192701816723</v>
      </c>
      <c r="X293" s="9">
        <v>0</v>
      </c>
      <c r="Y293" s="19">
        <f t="shared" si="36"/>
        <v>31.3452108048251</v>
      </c>
      <c r="Z293" s="6">
        <f t="shared" si="37"/>
        <v>34.414033673198</v>
      </c>
      <c r="AA293" s="9">
        <v>25</v>
      </c>
      <c r="AB293" s="9">
        <v>25</v>
      </c>
      <c r="AC293" s="14">
        <f t="shared" si="38"/>
        <v>25</v>
      </c>
      <c r="AD293" s="17">
        <v>1.0979040430604</v>
      </c>
      <c r="AE293" s="9">
        <f t="shared" si="39"/>
        <v>37.6074424464426</v>
      </c>
      <c r="AF293" s="18">
        <f>RANK(AE293,AE$3:AE$298)</f>
        <v>284</v>
      </c>
      <c r="AG293" s="20" t="e">
        <f>#REF!-AF293</f>
        <v>#REF!</v>
      </c>
    </row>
    <row r="294" ht="15" customHeight="1" spans="1:33">
      <c r="A294" s="9" t="s">
        <v>330</v>
      </c>
      <c r="B294" s="9">
        <v>100</v>
      </c>
      <c r="C294" s="9">
        <v>40</v>
      </c>
      <c r="D294" s="9">
        <v>20</v>
      </c>
      <c r="E294" s="9">
        <v>60</v>
      </c>
      <c r="F294" s="13">
        <f t="shared" si="32"/>
        <v>55</v>
      </c>
      <c r="G294" s="14">
        <f t="shared" si="33"/>
        <v>52.9296755059057</v>
      </c>
      <c r="H294" s="9">
        <v>40</v>
      </c>
      <c r="I294" s="9">
        <v>80</v>
      </c>
      <c r="J294" s="9">
        <v>70</v>
      </c>
      <c r="K294" s="9">
        <v>100</v>
      </c>
      <c r="L294" s="9">
        <v>70</v>
      </c>
      <c r="M294" s="14">
        <f t="shared" si="34"/>
        <v>72</v>
      </c>
      <c r="N294" s="9">
        <v>70</v>
      </c>
      <c r="O294" s="9">
        <v>75</v>
      </c>
      <c r="P294" s="9">
        <v>0</v>
      </c>
      <c r="Q294" s="14">
        <f t="shared" si="35"/>
        <v>48.3333333333333</v>
      </c>
      <c r="R294" s="9">
        <v>0</v>
      </c>
      <c r="S294" s="9">
        <v>54.7768940865592</v>
      </c>
      <c r="T294" s="9">
        <v>22.0716070020751</v>
      </c>
      <c r="U294" s="9">
        <v>5.1554031942147</v>
      </c>
      <c r="V294" s="9">
        <v>15.2271142006382</v>
      </c>
      <c r="W294" s="9">
        <v>60.5202582432001</v>
      </c>
      <c r="X294" s="9">
        <v>54.8500232323409</v>
      </c>
      <c r="Y294" s="19">
        <f t="shared" si="36"/>
        <v>30.3716142798612</v>
      </c>
      <c r="Z294" s="6">
        <f t="shared" si="37"/>
        <v>29.2283579713379</v>
      </c>
      <c r="AA294" s="9">
        <v>75</v>
      </c>
      <c r="AB294" s="9">
        <v>25</v>
      </c>
      <c r="AC294" s="14">
        <f t="shared" si="38"/>
        <v>50</v>
      </c>
      <c r="AD294" s="17">
        <v>0.962357736471012</v>
      </c>
      <c r="AE294" s="9">
        <f t="shared" si="39"/>
        <v>48.5044424925825</v>
      </c>
      <c r="AF294" s="18">
        <f>RANK(AE294,AE$3:AE$298)</f>
        <v>213</v>
      </c>
      <c r="AG294" s="20" t="e">
        <f>#REF!-AF294</f>
        <v>#REF!</v>
      </c>
    </row>
    <row r="295" spans="1:33">
      <c r="A295" s="9" t="s">
        <v>331</v>
      </c>
      <c r="B295" s="9">
        <v>80</v>
      </c>
      <c r="C295" s="9">
        <v>80</v>
      </c>
      <c r="D295" s="9">
        <v>40</v>
      </c>
      <c r="E295" s="9">
        <v>40</v>
      </c>
      <c r="F295" s="13">
        <f t="shared" si="32"/>
        <v>60</v>
      </c>
      <c r="G295" s="14">
        <f t="shared" si="33"/>
        <v>65.874242583624</v>
      </c>
      <c r="H295" s="9">
        <v>40</v>
      </c>
      <c r="I295" s="9">
        <v>20</v>
      </c>
      <c r="J295" s="9">
        <v>70</v>
      </c>
      <c r="K295" s="9">
        <v>40</v>
      </c>
      <c r="L295" s="9">
        <v>70</v>
      </c>
      <c r="M295" s="14">
        <f t="shared" si="34"/>
        <v>48</v>
      </c>
      <c r="N295" s="9">
        <v>70</v>
      </c>
      <c r="O295" s="9">
        <v>75</v>
      </c>
      <c r="P295" s="9">
        <v>0</v>
      </c>
      <c r="Q295" s="14">
        <f t="shared" si="35"/>
        <v>48.3333333333333</v>
      </c>
      <c r="R295" s="9">
        <v>73.3333333333333</v>
      </c>
      <c r="S295" s="9">
        <v>52.7930866295386</v>
      </c>
      <c r="T295" s="9">
        <v>40.2157387051095</v>
      </c>
      <c r="U295" s="9">
        <v>1.16025149492859</v>
      </c>
      <c r="V295" s="9">
        <v>24.8983894361787</v>
      </c>
      <c r="W295" s="9">
        <v>8.57423930197675</v>
      </c>
      <c r="X295" s="9">
        <v>0</v>
      </c>
      <c r="Y295" s="19">
        <f t="shared" si="36"/>
        <v>28.7107198430093</v>
      </c>
      <c r="Z295" s="6">
        <f t="shared" si="37"/>
        <v>31.5216153948144</v>
      </c>
      <c r="AA295" s="9">
        <v>75</v>
      </c>
      <c r="AB295" s="9">
        <v>75</v>
      </c>
      <c r="AC295" s="14">
        <f t="shared" si="38"/>
        <v>75</v>
      </c>
      <c r="AD295" s="17">
        <v>1.0979040430604</v>
      </c>
      <c r="AE295" s="9">
        <f t="shared" si="39"/>
        <v>50.7313331351691</v>
      </c>
      <c r="AF295" s="18">
        <f>RANK(AE295,AE$3:AE$298)</f>
        <v>191</v>
      </c>
      <c r="AG295" s="20" t="e">
        <f>#REF!-AF295</f>
        <v>#REF!</v>
      </c>
    </row>
    <row r="296" spans="1:33">
      <c r="A296" s="9" t="s">
        <v>332</v>
      </c>
      <c r="B296" s="9">
        <v>80</v>
      </c>
      <c r="C296" s="9">
        <v>40</v>
      </c>
      <c r="D296" s="9">
        <v>40</v>
      </c>
      <c r="E296" s="9">
        <v>60</v>
      </c>
      <c r="F296" s="13">
        <f t="shared" si="32"/>
        <v>55</v>
      </c>
      <c r="G296" s="14">
        <f t="shared" si="33"/>
        <v>60.384722368322</v>
      </c>
      <c r="H296" s="9">
        <v>60</v>
      </c>
      <c r="I296" s="9">
        <v>100</v>
      </c>
      <c r="J296" s="9">
        <v>100</v>
      </c>
      <c r="K296" s="9">
        <v>100</v>
      </c>
      <c r="L296" s="9">
        <v>70</v>
      </c>
      <c r="M296" s="14">
        <f t="shared" si="34"/>
        <v>86</v>
      </c>
      <c r="N296" s="9">
        <v>40</v>
      </c>
      <c r="O296" s="9">
        <v>50</v>
      </c>
      <c r="P296" s="9">
        <v>0</v>
      </c>
      <c r="Q296" s="14">
        <f t="shared" si="35"/>
        <v>30</v>
      </c>
      <c r="R296" s="9">
        <v>0</v>
      </c>
      <c r="S296" s="9">
        <v>51.6567309017307</v>
      </c>
      <c r="T296" s="9">
        <v>27.0318732230485</v>
      </c>
      <c r="U296" s="9">
        <v>7.81883766040544</v>
      </c>
      <c r="V296" s="9">
        <v>19.0681880530515</v>
      </c>
      <c r="W296" s="9">
        <v>11.1660479847387</v>
      </c>
      <c r="X296" s="9">
        <v>81.297680420003</v>
      </c>
      <c r="Y296" s="19">
        <f t="shared" si="36"/>
        <v>28.291336891854</v>
      </c>
      <c r="Z296" s="6">
        <f t="shared" si="37"/>
        <v>31.0611731571503</v>
      </c>
      <c r="AA296" s="9">
        <v>50</v>
      </c>
      <c r="AB296" s="9">
        <v>25</v>
      </c>
      <c r="AC296" s="14">
        <f t="shared" si="38"/>
        <v>37.5</v>
      </c>
      <c r="AD296" s="17">
        <v>1.0979040430604</v>
      </c>
      <c r="AE296" s="9">
        <f t="shared" si="39"/>
        <v>48.7202964208095</v>
      </c>
      <c r="AF296" s="18">
        <f>RANK(AE296,AE$3:AE$298)</f>
        <v>212</v>
      </c>
      <c r="AG296" s="20" t="e">
        <f>#REF!-AF296</f>
        <v>#REF!</v>
      </c>
    </row>
    <row r="297" spans="1:33">
      <c r="A297" s="9" t="s">
        <v>333</v>
      </c>
      <c r="B297" s="9">
        <v>100</v>
      </c>
      <c r="C297" s="9">
        <v>40</v>
      </c>
      <c r="D297" s="9">
        <v>20</v>
      </c>
      <c r="E297" s="9">
        <v>60</v>
      </c>
      <c r="F297" s="13">
        <f t="shared" si="32"/>
        <v>55</v>
      </c>
      <c r="G297" s="14">
        <f t="shared" si="33"/>
        <v>55.9078360455032</v>
      </c>
      <c r="H297" s="9">
        <v>60</v>
      </c>
      <c r="I297" s="9">
        <v>60</v>
      </c>
      <c r="J297" s="9">
        <v>70</v>
      </c>
      <c r="K297" s="9">
        <v>100</v>
      </c>
      <c r="L297" s="9">
        <v>70</v>
      </c>
      <c r="M297" s="14">
        <f t="shared" si="34"/>
        <v>72</v>
      </c>
      <c r="N297" s="9">
        <v>40</v>
      </c>
      <c r="O297" s="9">
        <v>25</v>
      </c>
      <c r="P297" s="9">
        <v>0</v>
      </c>
      <c r="Q297" s="14">
        <f t="shared" si="35"/>
        <v>21.6666666666667</v>
      </c>
      <c r="R297" s="9">
        <v>26.8450455748309</v>
      </c>
      <c r="S297" s="9">
        <v>15.2548270787311</v>
      </c>
      <c r="T297" s="9">
        <v>5.75494180150455</v>
      </c>
      <c r="U297" s="9">
        <v>3.6579357475581</v>
      </c>
      <c r="V297" s="9">
        <v>29.9055035652174</v>
      </c>
      <c r="W297" s="9">
        <v>24.613047282242</v>
      </c>
      <c r="X297" s="9">
        <v>78.6729164407687</v>
      </c>
      <c r="Y297" s="19">
        <f t="shared" si="36"/>
        <v>26.3863167844075</v>
      </c>
      <c r="Z297" s="6">
        <f t="shared" si="37"/>
        <v>26.8218522295885</v>
      </c>
      <c r="AA297" s="9">
        <v>50</v>
      </c>
      <c r="AB297" s="9">
        <v>25</v>
      </c>
      <c r="AC297" s="14">
        <f t="shared" si="38"/>
        <v>37.5</v>
      </c>
      <c r="AD297" s="17">
        <v>1.01650610991824</v>
      </c>
      <c r="AE297" s="9">
        <f t="shared" si="39"/>
        <v>42.5031228779772</v>
      </c>
      <c r="AF297" s="18">
        <f>RANK(AE297,AE$3:AE$298)</f>
        <v>261</v>
      </c>
      <c r="AG297" s="20" t="e">
        <f>#REF!-AF297</f>
        <v>#REF!</v>
      </c>
    </row>
    <row r="298" spans="1:33">
      <c r="A298" s="9" t="s">
        <v>334</v>
      </c>
      <c r="B298" s="9">
        <v>100</v>
      </c>
      <c r="C298" s="9">
        <v>60</v>
      </c>
      <c r="D298" s="9">
        <v>40</v>
      </c>
      <c r="E298" s="9">
        <v>60</v>
      </c>
      <c r="F298" s="13">
        <f t="shared" si="32"/>
        <v>65</v>
      </c>
      <c r="G298" s="14">
        <f t="shared" si="33"/>
        <v>71.363762798926</v>
      </c>
      <c r="H298" s="9">
        <v>20</v>
      </c>
      <c r="I298" s="9">
        <v>20</v>
      </c>
      <c r="J298" s="9">
        <v>20</v>
      </c>
      <c r="K298" s="9">
        <v>20</v>
      </c>
      <c r="L298" s="9">
        <v>40</v>
      </c>
      <c r="M298" s="14">
        <f t="shared" si="34"/>
        <v>24</v>
      </c>
      <c r="N298" s="9">
        <v>20</v>
      </c>
      <c r="O298" s="9">
        <v>25</v>
      </c>
      <c r="P298" s="9">
        <v>0</v>
      </c>
      <c r="Q298" s="14">
        <f t="shared" si="35"/>
        <v>15</v>
      </c>
      <c r="R298" s="9">
        <v>15.1488869615496</v>
      </c>
      <c r="S298" s="9">
        <v>0</v>
      </c>
      <c r="T298" s="9">
        <v>0</v>
      </c>
      <c r="U298" s="9">
        <v>2.50339977723508</v>
      </c>
      <c r="V298" s="9">
        <v>49.9339600813722</v>
      </c>
      <c r="W298" s="9">
        <v>1.6533737031787</v>
      </c>
      <c r="X298" s="9">
        <v>53.3122382686984</v>
      </c>
      <c r="Y298" s="19">
        <f t="shared" si="36"/>
        <v>17.507408398862</v>
      </c>
      <c r="Z298" s="6">
        <f t="shared" si="37"/>
        <v>19.2214544646202</v>
      </c>
      <c r="AA298" s="9">
        <v>25</v>
      </c>
      <c r="AB298" s="9">
        <v>25</v>
      </c>
      <c r="AC298" s="14">
        <f t="shared" si="38"/>
        <v>25</v>
      </c>
      <c r="AD298" s="17">
        <v>1.0979040430604</v>
      </c>
      <c r="AE298" s="9">
        <f t="shared" si="39"/>
        <v>30.8391888991713</v>
      </c>
      <c r="AF298" s="18">
        <f>RANK(AE298,AE$3:AE$298)</f>
        <v>292</v>
      </c>
      <c r="AG298" s="20" t="e">
        <f>#REF!-AF298</f>
        <v>#REF!</v>
      </c>
    </row>
  </sheetData>
  <autoFilter ref="A2:AF298">
    <sortState ref="A2:AF298">
      <sortCondition ref="Y2:Y298" descending="1"/>
    </sortState>
    <extLst/>
  </autoFilter>
  <mergeCells count="5">
    <mergeCell ref="B1:G1"/>
    <mergeCell ref="H1:M1"/>
    <mergeCell ref="N1:Q1"/>
    <mergeCell ref="R1:Z1"/>
    <mergeCell ref="AA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总得分9.14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廖世菊</cp:lastModifiedBy>
  <dcterms:created xsi:type="dcterms:W3CDTF">2022-08-30T08:25:00Z</dcterms:created>
  <dcterms:modified xsi:type="dcterms:W3CDTF">2023-09-14T08:52:12Z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EEED452FBA6343209CEEE642E8D83C36_13</vt:lpwstr>
  </property>
</Properties>
</file>