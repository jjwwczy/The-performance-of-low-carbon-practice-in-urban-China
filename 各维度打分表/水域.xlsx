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得分变量数据" sheetId="4" r:id="rId1"/>
    <sheet name="修正系数" sheetId="5" r:id="rId2"/>
  </sheets>
  <calcPr calcId="144525"/>
</workbook>
</file>

<file path=xl/sharedStrings.xml><?xml version="1.0" encoding="utf-8"?>
<sst xmlns="http://schemas.openxmlformats.org/spreadsheetml/2006/main" count="1015" uniqueCount="329">
  <si>
    <t>P（0.2）</t>
  </si>
  <si>
    <t>I（0.2）</t>
  </si>
  <si>
    <t>C（0.1）</t>
  </si>
  <si>
    <t>O（0.4）</t>
  </si>
  <si>
    <t>F（0.1）</t>
  </si>
  <si>
    <t>城市</t>
  </si>
  <si>
    <t>类别（按人口分）</t>
  </si>
  <si>
    <t>P1</t>
  </si>
  <si>
    <t>P2</t>
  </si>
  <si>
    <t>P（修正前）</t>
  </si>
  <si>
    <t>P（修正后）</t>
  </si>
  <si>
    <t>I1</t>
  </si>
  <si>
    <t>I2</t>
  </si>
  <si>
    <t>I3</t>
  </si>
  <si>
    <t>I4</t>
  </si>
  <si>
    <t>I</t>
  </si>
  <si>
    <t>C1</t>
  </si>
  <si>
    <t>C2</t>
  </si>
  <si>
    <t>C3</t>
  </si>
  <si>
    <t>C4</t>
  </si>
  <si>
    <t>C</t>
  </si>
  <si>
    <t>O1</t>
  </si>
  <si>
    <t>O2</t>
  </si>
  <si>
    <t>O（修正前）</t>
  </si>
  <si>
    <t>O（修正后）</t>
  </si>
  <si>
    <t>F1</t>
  </si>
  <si>
    <t>F2</t>
  </si>
  <si>
    <t>F</t>
  </si>
  <si>
    <t>总得分（权重不同）</t>
  </si>
  <si>
    <t>总得分（权重相同）</t>
  </si>
  <si>
    <t>重庆市</t>
  </si>
  <si>
    <t>成都市</t>
  </si>
  <si>
    <t/>
  </si>
  <si>
    <t>上海市</t>
  </si>
  <si>
    <t>北京市</t>
  </si>
  <si>
    <t>天津市</t>
  </si>
  <si>
    <t>广州市</t>
  </si>
  <si>
    <t>西安市</t>
  </si>
  <si>
    <t>哈尔滨市</t>
  </si>
  <si>
    <t>武汉市</t>
  </si>
  <si>
    <t>郑州市</t>
  </si>
  <si>
    <t>青岛市</t>
  </si>
  <si>
    <t>杭州市</t>
  </si>
  <si>
    <t>济南市</t>
  </si>
  <si>
    <t>沈阳市</t>
  </si>
  <si>
    <t>长沙市</t>
  </si>
  <si>
    <t>南京市</t>
  </si>
  <si>
    <t>深圳市</t>
  </si>
  <si>
    <t>大连市</t>
  </si>
  <si>
    <t>昆明市</t>
  </si>
  <si>
    <t>佛山市</t>
  </si>
  <si>
    <t>东莞市</t>
  </si>
  <si>
    <t>保定市</t>
  </si>
  <si>
    <t>临沂市</t>
  </si>
  <si>
    <t>邯郸市</t>
  </si>
  <si>
    <t>石家庄市</t>
  </si>
  <si>
    <t>徐州市</t>
  </si>
  <si>
    <t>赣州市</t>
  </si>
  <si>
    <t>潍坊市</t>
  </si>
  <si>
    <t>济宁市</t>
  </si>
  <si>
    <t>湛江市</t>
  </si>
  <si>
    <t>长春市</t>
  </si>
  <si>
    <t>温州市</t>
  </si>
  <si>
    <t>遵义市</t>
  </si>
  <si>
    <t>盐城市</t>
  </si>
  <si>
    <t>南宁市</t>
  </si>
  <si>
    <t>邢台市</t>
  </si>
  <si>
    <t>合肥市</t>
  </si>
  <si>
    <t>上饶市</t>
  </si>
  <si>
    <t>衡阳市</t>
  </si>
  <si>
    <t>泉州市</t>
  </si>
  <si>
    <t>苏州市</t>
  </si>
  <si>
    <t>南通市</t>
  </si>
  <si>
    <t>洛阳市</t>
  </si>
  <si>
    <t>唐山市</t>
  </si>
  <si>
    <t>福州市</t>
  </si>
  <si>
    <t>南充市</t>
  </si>
  <si>
    <t>新乡市</t>
  </si>
  <si>
    <t>烟台市</t>
  </si>
  <si>
    <t>聊城市</t>
  </si>
  <si>
    <t>宁波市</t>
  </si>
  <si>
    <t>台州市</t>
  </si>
  <si>
    <t>襄阳市</t>
  </si>
  <si>
    <t>汕头市</t>
  </si>
  <si>
    <t>泰安市</t>
  </si>
  <si>
    <t>开封市</t>
  </si>
  <si>
    <t>岳阳市</t>
  </si>
  <si>
    <t>淮安市</t>
  </si>
  <si>
    <t>宜宾市</t>
  </si>
  <si>
    <t>桂林市</t>
  </si>
  <si>
    <t>南昌市</t>
  </si>
  <si>
    <t>连云港市</t>
  </si>
  <si>
    <t>绵阳市</t>
  </si>
  <si>
    <t>齐齐哈尔市</t>
  </si>
  <si>
    <t>无锡市</t>
  </si>
  <si>
    <t>张家口市</t>
  </si>
  <si>
    <t>咸阳市</t>
  </si>
  <si>
    <t>赤峰市</t>
  </si>
  <si>
    <t>扬州市</t>
  </si>
  <si>
    <t>绍兴市</t>
  </si>
  <si>
    <t>贵阳市</t>
  </si>
  <si>
    <t>淄博市</t>
  </si>
  <si>
    <t>枣庄市</t>
  </si>
  <si>
    <t>惠州市</t>
  </si>
  <si>
    <t>江门市</t>
  </si>
  <si>
    <t>吉林市</t>
  </si>
  <si>
    <t>株洲市</t>
  </si>
  <si>
    <t>柳州市</t>
  </si>
  <si>
    <t>太原市</t>
  </si>
  <si>
    <t>淮南市</t>
  </si>
  <si>
    <t>常州市</t>
  </si>
  <si>
    <t>芜湖市</t>
  </si>
  <si>
    <t>宜昌市</t>
  </si>
  <si>
    <t>莆田市</t>
  </si>
  <si>
    <t>十堰市</t>
  </si>
  <si>
    <t>长治市</t>
  </si>
  <si>
    <t>兰州市</t>
  </si>
  <si>
    <t>鞍山市</t>
  </si>
  <si>
    <t>大同市</t>
  </si>
  <si>
    <t>秦皇岛市</t>
  </si>
  <si>
    <t>锦州市</t>
  </si>
  <si>
    <t>厦门市</t>
  </si>
  <si>
    <t>大庆市</t>
  </si>
  <si>
    <t>呼和浩特市</t>
  </si>
  <si>
    <t>包头市</t>
  </si>
  <si>
    <t>海口市</t>
  </si>
  <si>
    <t>西宁市</t>
  </si>
  <si>
    <t>银川市</t>
  </si>
  <si>
    <t>抚顺市</t>
  </si>
  <si>
    <t>中山市</t>
  </si>
  <si>
    <t>珠海市</t>
  </si>
  <si>
    <t>乌鲁木齐市</t>
  </si>
  <si>
    <t>周口市</t>
  </si>
  <si>
    <t>南阳市</t>
  </si>
  <si>
    <t>阜阳市</t>
  </si>
  <si>
    <t>菏泽市</t>
  </si>
  <si>
    <t>商丘市</t>
  </si>
  <si>
    <t>毕节市</t>
  </si>
  <si>
    <t>信阳市</t>
  </si>
  <si>
    <t>茂名市</t>
  </si>
  <si>
    <t>邵阳市</t>
  </si>
  <si>
    <t>沧州市</t>
  </si>
  <si>
    <t>玉林市</t>
  </si>
  <si>
    <t>揭阳市</t>
  </si>
  <si>
    <t>曲靖市</t>
  </si>
  <si>
    <t>亳州市</t>
  </si>
  <si>
    <t>宿州市</t>
  </si>
  <si>
    <t>达州市</t>
  </si>
  <si>
    <t>永州市</t>
  </si>
  <si>
    <t>安阳市</t>
  </si>
  <si>
    <t>荆州市</t>
  </si>
  <si>
    <t>宜春市</t>
  </si>
  <si>
    <t>德州市</t>
  </si>
  <si>
    <t>常德市</t>
  </si>
  <si>
    <t>宿迁市</t>
  </si>
  <si>
    <t>六安市</t>
  </si>
  <si>
    <t>平顶山市</t>
  </si>
  <si>
    <t>贵港市</t>
  </si>
  <si>
    <t>梅州市</t>
  </si>
  <si>
    <t>郴州市</t>
  </si>
  <si>
    <t>安庆市</t>
  </si>
  <si>
    <t>漳州市</t>
  </si>
  <si>
    <t>九江市</t>
  </si>
  <si>
    <t>怀化市</t>
  </si>
  <si>
    <t>运城市</t>
  </si>
  <si>
    <t>许昌市</t>
  </si>
  <si>
    <t>泸州市</t>
  </si>
  <si>
    <t>孝感市</t>
  </si>
  <si>
    <t>金华市</t>
  </si>
  <si>
    <t>廊坊市</t>
  </si>
  <si>
    <t>泰州市</t>
  </si>
  <si>
    <t>益阳市</t>
  </si>
  <si>
    <t>衡水市</t>
  </si>
  <si>
    <t>肇庆市</t>
  </si>
  <si>
    <t>清远市</t>
  </si>
  <si>
    <t>娄底市</t>
  </si>
  <si>
    <t>濮阳市</t>
  </si>
  <si>
    <t>抚州市</t>
  </si>
  <si>
    <t>临汾市</t>
  </si>
  <si>
    <t>钦州市</t>
  </si>
  <si>
    <t>内江市</t>
  </si>
  <si>
    <t>滨州市</t>
  </si>
  <si>
    <t>蚌埠市</t>
  </si>
  <si>
    <t>榆林市</t>
  </si>
  <si>
    <t>德阳市</t>
  </si>
  <si>
    <t>汉中市</t>
  </si>
  <si>
    <t>承德市</t>
  </si>
  <si>
    <t>宝鸡市</t>
  </si>
  <si>
    <t>嘉兴市</t>
  </si>
  <si>
    <t>焦作市</t>
  </si>
  <si>
    <t>河源市</t>
  </si>
  <si>
    <t>天水市</t>
  </si>
  <si>
    <t>六盘水市</t>
  </si>
  <si>
    <t>遂宁市</t>
  </si>
  <si>
    <t>梧州市</t>
  </si>
  <si>
    <t>乐山市</t>
  </si>
  <si>
    <t>眉山市</t>
  </si>
  <si>
    <t>韶关市</t>
  </si>
  <si>
    <t>晋中市</t>
  </si>
  <si>
    <t>朝阳市</t>
  </si>
  <si>
    <t>龙岩市</t>
  </si>
  <si>
    <t>自贡市</t>
  </si>
  <si>
    <t>日照市</t>
  </si>
  <si>
    <t>安顺市</t>
  </si>
  <si>
    <t>阳江市</t>
  </si>
  <si>
    <t>荆门市</t>
  </si>
  <si>
    <t>湘潭市</t>
  </si>
  <si>
    <t>潮州市</t>
  </si>
  <si>
    <t>黄石市</t>
  </si>
  <si>
    <t>葫芦岛市</t>
  </si>
  <si>
    <t>湖州市</t>
  </si>
  <si>
    <t>镇江市</t>
  </si>
  <si>
    <t>漯河市</t>
  </si>
  <si>
    <t>衢州市</t>
  </si>
  <si>
    <t>威海市</t>
  </si>
  <si>
    <t>牡丹江市</t>
  </si>
  <si>
    <t>丹东市</t>
  </si>
  <si>
    <t>营口市</t>
  </si>
  <si>
    <t>佳木斯市</t>
  </si>
  <si>
    <t>马鞍山市</t>
  </si>
  <si>
    <t>晋城市</t>
  </si>
  <si>
    <t>玉溪市</t>
  </si>
  <si>
    <t>淮北市</t>
  </si>
  <si>
    <t>萍乡市</t>
  </si>
  <si>
    <t>东营市</t>
  </si>
  <si>
    <t>北海市</t>
  </si>
  <si>
    <t>阜新市</t>
  </si>
  <si>
    <t>辽阳市</t>
  </si>
  <si>
    <t>景德镇市</t>
  </si>
  <si>
    <t>鹤壁市</t>
  </si>
  <si>
    <t>铜陵市</t>
  </si>
  <si>
    <t>鄂尔多斯市</t>
  </si>
  <si>
    <t>鸡西市</t>
  </si>
  <si>
    <t>本溪市</t>
  </si>
  <si>
    <t>阳泉市</t>
  </si>
  <si>
    <t>盘锦市</t>
  </si>
  <si>
    <t>新余市</t>
  </si>
  <si>
    <t>攀枝花市</t>
  </si>
  <si>
    <t>鹤岗市</t>
  </si>
  <si>
    <t>舟山市</t>
  </si>
  <si>
    <t>三亚市</t>
  </si>
  <si>
    <t>拉萨市</t>
  </si>
  <si>
    <t>乌海市</t>
  </si>
  <si>
    <t>驻马店市</t>
  </si>
  <si>
    <t>黄冈市</t>
  </si>
  <si>
    <t>昭通市</t>
  </si>
  <si>
    <t>吉安市</t>
  </si>
  <si>
    <t>渭南市</t>
  </si>
  <si>
    <t>绥化市</t>
  </si>
  <si>
    <t>滁州市</t>
  </si>
  <si>
    <t>广安市</t>
  </si>
  <si>
    <t>铜仁市</t>
  </si>
  <si>
    <t>河池市</t>
  </si>
  <si>
    <t>百色市</t>
  </si>
  <si>
    <t>吕梁市</t>
  </si>
  <si>
    <t>巴中市</t>
  </si>
  <si>
    <t>宁德市</t>
  </si>
  <si>
    <t>汕尾市</t>
  </si>
  <si>
    <t>资阳市</t>
  </si>
  <si>
    <t>通辽市</t>
  </si>
  <si>
    <t>南平市</t>
  </si>
  <si>
    <t>忻州市</t>
  </si>
  <si>
    <t>咸宁市</t>
  </si>
  <si>
    <t>定西市</t>
  </si>
  <si>
    <t>云浮市</t>
  </si>
  <si>
    <t>安康市</t>
  </si>
  <si>
    <t>广元市</t>
  </si>
  <si>
    <t>三明市</t>
  </si>
  <si>
    <t>陇南市</t>
  </si>
  <si>
    <t>铁岭市</t>
  </si>
  <si>
    <t>宣城市</t>
  </si>
  <si>
    <t>松原市</t>
  </si>
  <si>
    <t>丽水市</t>
  </si>
  <si>
    <t>庆阳市</t>
  </si>
  <si>
    <t>来宾市</t>
  </si>
  <si>
    <t>保山市</t>
  </si>
  <si>
    <t>乌兰察布市</t>
  </si>
  <si>
    <t>普洱市</t>
  </si>
  <si>
    <t>崇左市</t>
  </si>
  <si>
    <t>呼伦贝尔市</t>
  </si>
  <si>
    <t>贺州市</t>
  </si>
  <si>
    <t>商洛市</t>
  </si>
  <si>
    <t>随州市</t>
  </si>
  <si>
    <t>临沧市</t>
  </si>
  <si>
    <t>延安市</t>
  </si>
  <si>
    <t>平凉市</t>
  </si>
  <si>
    <t>三门峡市</t>
  </si>
  <si>
    <t>通化市</t>
  </si>
  <si>
    <t>四平市</t>
  </si>
  <si>
    <t>武威市</t>
  </si>
  <si>
    <t>白城市</t>
  </si>
  <si>
    <t>白银市</t>
  </si>
  <si>
    <t>海东市</t>
  </si>
  <si>
    <t>巴彦淖尔市</t>
  </si>
  <si>
    <t>张家界市</t>
  </si>
  <si>
    <t>朔州市</t>
  </si>
  <si>
    <t>池州市</t>
  </si>
  <si>
    <t>黑河市</t>
  </si>
  <si>
    <t>雅安市</t>
  </si>
  <si>
    <t>黄山市</t>
  </si>
  <si>
    <t>固原市</t>
  </si>
  <si>
    <t>吴忠市</t>
  </si>
  <si>
    <t>双鸭山市</t>
  </si>
  <si>
    <t>张掖市</t>
  </si>
  <si>
    <t>鹰潭市</t>
  </si>
  <si>
    <t>丽江市</t>
  </si>
  <si>
    <t>中卫市</t>
  </si>
  <si>
    <t>辽源市</t>
  </si>
  <si>
    <t>白山市</t>
  </si>
  <si>
    <t>鄂州市</t>
  </si>
  <si>
    <t>伊春市</t>
  </si>
  <si>
    <t>儋州市</t>
  </si>
  <si>
    <t>防城港市</t>
  </si>
  <si>
    <t>酒泉市</t>
  </si>
  <si>
    <t>日喀则市</t>
  </si>
  <si>
    <t>昌都市</t>
  </si>
  <si>
    <t>铜川市</t>
  </si>
  <si>
    <t>七台河市</t>
  </si>
  <si>
    <t>石嘴山市</t>
  </si>
  <si>
    <t>金昌市</t>
  </si>
  <si>
    <t>山南市</t>
  </si>
  <si>
    <t>克拉玛依市</t>
  </si>
  <si>
    <t>林芝市</t>
  </si>
  <si>
    <t>嘉峪关市</t>
  </si>
  <si>
    <t>三沙市</t>
  </si>
  <si>
    <t>那曲市</t>
  </si>
  <si>
    <t>吐鲁番市</t>
  </si>
  <si>
    <t>哈密市</t>
  </si>
  <si>
    <t>修正系数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</si>
</sst>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0" fontId="0" fillId="0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ill="1" applyBorder="1">
      <alignment vertical="center"/>
    </xf>
    <xf numFmtId="17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77" fontId="1" fillId="3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top"/>
    </xf>
    <xf numFmtId="0" fontId="0" fillId="0" borderId="1" xfId="0" applyNumberFormat="1" applyFill="1" applyBorder="1" applyAlignment="1"/>
    <xf numFmtId="0" fontId="0" fillId="0" borderId="1" xfId="0" applyFill="1" applyBorder="1" applyAlignment="1"/>
    <xf numFmtId="176" fontId="0" fillId="4" borderId="1" xfId="0" applyNumberFormat="1" applyFill="1" applyBorder="1">
      <alignment vertical="center"/>
    </xf>
    <xf numFmtId="0" fontId="0" fillId="0" borderId="1" xfId="0" applyNumberFormat="1" applyFont="1" applyFill="1" applyBorder="1" applyAlignment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176" fontId="0" fillId="0" borderId="1" xfId="0" applyNumberFormat="1" applyBorder="1">
      <alignment vertical="center"/>
    </xf>
    <xf numFmtId="176" fontId="0" fillId="0" borderId="1" xfId="0" applyNumberFormat="1" applyFill="1" applyBorder="1">
      <alignment vertical="center"/>
    </xf>
    <xf numFmtId="176" fontId="0" fillId="5" borderId="1" xfId="0" applyNumberFormat="1" applyFill="1" applyBorder="1">
      <alignment vertical="center"/>
    </xf>
    <xf numFmtId="0" fontId="0" fillId="0" borderId="1" xfId="0" applyNumberFormat="1" applyBorder="1">
      <alignment vertical="center"/>
    </xf>
    <xf numFmtId="0" fontId="1" fillId="3" borderId="1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9"/>
  <sheetViews>
    <sheetView tabSelected="1" workbookViewId="0">
      <selection activeCell="AB10" sqref="AB10"/>
    </sheetView>
  </sheetViews>
  <sheetFormatPr defaultColWidth="9" defaultRowHeight="13.5"/>
  <cols>
    <col min="1" max="1" width="7.875" style="4" customWidth="1"/>
    <col min="2" max="2" width="7.125" style="4" customWidth="1"/>
    <col min="3" max="4" width="9" style="5" customWidth="1"/>
    <col min="5" max="5" width="12.25" style="6" customWidth="1"/>
    <col min="6" max="6" width="12.25" style="7" customWidth="1"/>
    <col min="7" max="10" width="8.5" style="8" customWidth="1"/>
    <col min="11" max="11" width="9" style="9" customWidth="1"/>
    <col min="12" max="15" width="7.375" style="8" customWidth="1"/>
    <col min="16" max="16" width="9" style="9" customWidth="1"/>
    <col min="17" max="18" width="9" style="4" customWidth="1"/>
    <col min="19" max="19" width="11.75" style="6" customWidth="1"/>
    <col min="20" max="20" width="11.5" style="7" customWidth="1"/>
    <col min="21" max="21" width="7.75" style="8" customWidth="1"/>
    <col min="22" max="22" width="6.75" style="4" customWidth="1"/>
    <col min="23" max="23" width="6" style="7" customWidth="1"/>
    <col min="24" max="24" width="11.75" style="10" customWidth="1"/>
    <col min="25" max="25" width="12.625" style="4"/>
    <col min="26" max="16378" width="9" style="4"/>
    <col min="16382" max="16384" width="9" style="4"/>
  </cols>
  <sheetData>
    <row r="1" s="2" customFormat="1" spans="3:23">
      <c r="C1" s="11" t="s">
        <v>0</v>
      </c>
      <c r="D1" s="11"/>
      <c r="E1" s="11"/>
      <c r="F1" s="11"/>
      <c r="G1" s="12" t="s">
        <v>1</v>
      </c>
      <c r="H1" s="12"/>
      <c r="I1" s="12"/>
      <c r="J1" s="12"/>
      <c r="K1" s="20"/>
      <c r="L1" s="12" t="s">
        <v>2</v>
      </c>
      <c r="M1" s="12"/>
      <c r="N1" s="12"/>
      <c r="O1" s="12"/>
      <c r="P1" s="20"/>
      <c r="Q1" s="22" t="s">
        <v>3</v>
      </c>
      <c r="R1" s="22"/>
      <c r="S1" s="22"/>
      <c r="T1" s="22"/>
      <c r="U1" s="12" t="s">
        <v>4</v>
      </c>
      <c r="V1" s="12"/>
      <c r="W1" s="20"/>
    </row>
    <row r="2" spans="1:26">
      <c r="A2" s="3" t="s">
        <v>5</v>
      </c>
      <c r="B2" s="3" t="s">
        <v>6</v>
      </c>
      <c r="C2" s="13" t="s">
        <v>7</v>
      </c>
      <c r="D2" s="13" t="s">
        <v>8</v>
      </c>
      <c r="E2" s="13" t="s">
        <v>9</v>
      </c>
      <c r="F2" s="14" t="s">
        <v>10</v>
      </c>
      <c r="G2" s="15" t="s">
        <v>11</v>
      </c>
      <c r="H2" s="15" t="s">
        <v>12</v>
      </c>
      <c r="I2" s="15" t="s">
        <v>13</v>
      </c>
      <c r="J2" s="15" t="s">
        <v>14</v>
      </c>
      <c r="K2" s="21" t="s">
        <v>15</v>
      </c>
      <c r="L2" s="15" t="s">
        <v>16</v>
      </c>
      <c r="M2" s="15" t="s">
        <v>17</v>
      </c>
      <c r="N2" s="15" t="s">
        <v>18</v>
      </c>
      <c r="O2" s="15" t="s">
        <v>19</v>
      </c>
      <c r="P2" s="21" t="s">
        <v>20</v>
      </c>
      <c r="Q2" s="23" t="s">
        <v>21</v>
      </c>
      <c r="R2" s="23" t="s">
        <v>22</v>
      </c>
      <c r="S2" s="23" t="s">
        <v>23</v>
      </c>
      <c r="T2" s="24" t="s">
        <v>24</v>
      </c>
      <c r="U2" s="15" t="s">
        <v>25</v>
      </c>
      <c r="V2" s="23" t="s">
        <v>26</v>
      </c>
      <c r="W2" s="24" t="s">
        <v>27</v>
      </c>
      <c r="X2" s="25" t="s">
        <v>28</v>
      </c>
      <c r="Y2" s="30" t="s">
        <v>29</v>
      </c>
      <c r="Z2" s="3"/>
    </row>
    <row r="3" s="3" customFormat="1" spans="1:25">
      <c r="A3" s="8" t="s">
        <v>30</v>
      </c>
      <c r="B3" s="8">
        <v>1</v>
      </c>
      <c r="C3" s="16">
        <v>50</v>
      </c>
      <c r="D3" s="17">
        <v>25</v>
      </c>
      <c r="E3" s="6">
        <f t="shared" ref="E3:E66" si="0">SUM(C3:D3)/2</f>
        <v>37.5</v>
      </c>
      <c r="F3" s="18">
        <v>37.670374541571</v>
      </c>
      <c r="G3" s="19">
        <v>80</v>
      </c>
      <c r="H3" s="19">
        <v>60</v>
      </c>
      <c r="I3" s="19">
        <v>100</v>
      </c>
      <c r="J3" s="19">
        <v>75</v>
      </c>
      <c r="K3" s="9">
        <f t="shared" ref="K3:K66" si="1">SUM(G3:J3)/4</f>
        <v>78.75</v>
      </c>
      <c r="L3" s="19">
        <v>60</v>
      </c>
      <c r="M3" s="19">
        <v>60</v>
      </c>
      <c r="N3" s="19">
        <v>40</v>
      </c>
      <c r="O3" s="19">
        <v>50</v>
      </c>
      <c r="P3" s="9">
        <f t="shared" ref="P3:P66" si="2">SUM(L3:O3)/4</f>
        <v>52.5</v>
      </c>
      <c r="Q3" s="26">
        <v>33.6417239602892</v>
      </c>
      <c r="R3" s="26">
        <v>71.6867891350146</v>
      </c>
      <c r="S3" s="27">
        <f t="shared" ref="S3:S66" si="3">(Q3+R3)/2</f>
        <v>52.6642565476519</v>
      </c>
      <c r="T3" s="18">
        <v>52.9035271760915</v>
      </c>
      <c r="U3" s="19">
        <v>20</v>
      </c>
      <c r="V3" s="19">
        <v>75</v>
      </c>
      <c r="W3" s="7">
        <f t="shared" ref="W3:W66" si="4">SUM(U3:V3)/2</f>
        <v>47.5</v>
      </c>
      <c r="X3" s="28">
        <f t="shared" ref="X3:X66" si="5">0.2*F3+0.2*K3+0.1*P3+0.4*T3+0.1*W3</f>
        <v>54.4454857787508</v>
      </c>
      <c r="Y3" s="26">
        <f t="shared" ref="Y3:Y66" si="6">(F3+K3+P3+T3+W3)*0.2</f>
        <v>53.8647803435325</v>
      </c>
    </row>
    <row r="4" spans="1:25">
      <c r="A4" s="8" t="s">
        <v>31</v>
      </c>
      <c r="B4" s="8">
        <v>1</v>
      </c>
      <c r="C4" s="16">
        <v>50</v>
      </c>
      <c r="D4" s="16">
        <v>100</v>
      </c>
      <c r="E4" s="6">
        <f t="shared" si="0"/>
        <v>75</v>
      </c>
      <c r="F4" s="18">
        <v>76.0507489723943</v>
      </c>
      <c r="G4" s="19">
        <v>100</v>
      </c>
      <c r="H4" s="19">
        <v>30</v>
      </c>
      <c r="I4" s="19">
        <v>50</v>
      </c>
      <c r="J4" s="19">
        <v>50</v>
      </c>
      <c r="K4" s="9">
        <f t="shared" si="1"/>
        <v>57.5</v>
      </c>
      <c r="L4" s="19">
        <v>80</v>
      </c>
      <c r="M4" s="8" t="s">
        <v>32</v>
      </c>
      <c r="N4" s="19">
        <v>70</v>
      </c>
      <c r="O4" s="19">
        <v>50</v>
      </c>
      <c r="P4" s="9">
        <f t="shared" si="2"/>
        <v>50</v>
      </c>
      <c r="Q4" s="26">
        <v>15.2746442663085</v>
      </c>
      <c r="R4" s="26">
        <v>46.7438849843243</v>
      </c>
      <c r="S4" s="27">
        <f t="shared" si="3"/>
        <v>31.0092646253164</v>
      </c>
      <c r="T4" s="18">
        <v>31.4437039978464</v>
      </c>
      <c r="U4" s="19">
        <v>20</v>
      </c>
      <c r="V4" s="19">
        <v>25</v>
      </c>
      <c r="W4" s="7">
        <f t="shared" si="4"/>
        <v>22.5</v>
      </c>
      <c r="X4" s="28">
        <f t="shared" si="5"/>
        <v>46.5376313936174</v>
      </c>
      <c r="Y4" s="26">
        <f t="shared" si="6"/>
        <v>47.4988905940481</v>
      </c>
    </row>
    <row r="5" spans="1:25">
      <c r="A5" s="8" t="s">
        <v>33</v>
      </c>
      <c r="B5" s="8">
        <v>1</v>
      </c>
      <c r="C5" s="16">
        <v>100</v>
      </c>
      <c r="D5" s="16">
        <v>50</v>
      </c>
      <c r="E5" s="6">
        <f t="shared" si="0"/>
        <v>75</v>
      </c>
      <c r="F5" s="18">
        <v>68.9114471497984</v>
      </c>
      <c r="G5" s="19">
        <v>100</v>
      </c>
      <c r="H5" s="19">
        <v>70</v>
      </c>
      <c r="I5" s="19">
        <v>100</v>
      </c>
      <c r="J5" s="19">
        <v>100</v>
      </c>
      <c r="K5" s="9">
        <f t="shared" si="1"/>
        <v>92.5</v>
      </c>
      <c r="L5" s="19">
        <v>100</v>
      </c>
      <c r="M5" s="19">
        <v>40</v>
      </c>
      <c r="N5" s="19">
        <v>100</v>
      </c>
      <c r="O5" s="19">
        <v>100</v>
      </c>
      <c r="P5" s="9">
        <f t="shared" si="2"/>
        <v>85</v>
      </c>
      <c r="Q5" s="26">
        <v>34.2142062235285</v>
      </c>
      <c r="R5" s="26">
        <v>74.9740067456296</v>
      </c>
      <c r="S5" s="27">
        <f t="shared" si="3"/>
        <v>54.5941064845791</v>
      </c>
      <c r="T5" s="18">
        <v>50.1621184493672</v>
      </c>
      <c r="U5" s="19">
        <v>80</v>
      </c>
      <c r="V5" s="19">
        <v>100</v>
      </c>
      <c r="W5" s="7">
        <f t="shared" si="4"/>
        <v>90</v>
      </c>
      <c r="X5" s="28">
        <f t="shared" si="5"/>
        <v>69.8471368097066</v>
      </c>
      <c r="Y5" s="26">
        <f t="shared" si="6"/>
        <v>77.3147131198331</v>
      </c>
    </row>
    <row r="6" spans="1:25">
      <c r="A6" s="8" t="s">
        <v>34</v>
      </c>
      <c r="B6" s="8">
        <v>1</v>
      </c>
      <c r="C6" s="16">
        <v>100</v>
      </c>
      <c r="D6" s="16">
        <v>75</v>
      </c>
      <c r="E6" s="6">
        <f t="shared" si="0"/>
        <v>87.5</v>
      </c>
      <c r="F6" s="18">
        <v>84.8719583458654</v>
      </c>
      <c r="G6" s="19">
        <v>100</v>
      </c>
      <c r="H6" s="19">
        <v>70</v>
      </c>
      <c r="I6" s="19">
        <v>100</v>
      </c>
      <c r="J6" s="19">
        <v>75</v>
      </c>
      <c r="K6" s="9">
        <f t="shared" si="1"/>
        <v>86.25</v>
      </c>
      <c r="L6" s="19">
        <v>100</v>
      </c>
      <c r="M6" s="19">
        <v>100</v>
      </c>
      <c r="N6" s="19">
        <v>70</v>
      </c>
      <c r="O6" s="19">
        <v>75</v>
      </c>
      <c r="P6" s="9">
        <f t="shared" si="2"/>
        <v>86.25</v>
      </c>
      <c r="Q6" s="26">
        <v>20.5752712973364</v>
      </c>
      <c r="R6" s="26">
        <v>56.9549634492563</v>
      </c>
      <c r="S6" s="27">
        <f t="shared" si="3"/>
        <v>38.7651173732963</v>
      </c>
      <c r="T6" s="18">
        <v>37.6008163083313</v>
      </c>
      <c r="U6" s="19">
        <v>100</v>
      </c>
      <c r="V6" s="19">
        <v>75</v>
      </c>
      <c r="W6" s="7">
        <f t="shared" si="4"/>
        <v>87.5</v>
      </c>
      <c r="X6" s="28">
        <f t="shared" si="5"/>
        <v>66.6397181925056</v>
      </c>
      <c r="Y6" s="26">
        <f t="shared" si="6"/>
        <v>76.4945549308394</v>
      </c>
    </row>
    <row r="7" spans="1:25">
      <c r="A7" s="8" t="s">
        <v>35</v>
      </c>
      <c r="B7" s="8">
        <v>1</v>
      </c>
      <c r="C7" s="16">
        <v>75</v>
      </c>
      <c r="D7" s="16">
        <v>50</v>
      </c>
      <c r="E7" s="6">
        <f t="shared" si="0"/>
        <v>62.5</v>
      </c>
      <c r="F7" s="18">
        <v>57.4262059581654</v>
      </c>
      <c r="G7" s="19">
        <v>100</v>
      </c>
      <c r="H7" s="19">
        <v>70</v>
      </c>
      <c r="I7" s="19">
        <v>75</v>
      </c>
      <c r="J7" s="19">
        <v>50</v>
      </c>
      <c r="K7" s="9">
        <f t="shared" si="1"/>
        <v>73.75</v>
      </c>
      <c r="L7" s="19">
        <v>80</v>
      </c>
      <c r="M7" s="19">
        <v>40</v>
      </c>
      <c r="N7" s="19">
        <v>70</v>
      </c>
      <c r="O7" s="19">
        <v>75</v>
      </c>
      <c r="P7" s="9">
        <f t="shared" si="2"/>
        <v>66.25</v>
      </c>
      <c r="Q7" s="26">
        <v>43.0172244356358</v>
      </c>
      <c r="R7" s="26">
        <v>77.7095713482083</v>
      </c>
      <c r="S7" s="27">
        <f t="shared" si="3"/>
        <v>60.3633978919221</v>
      </c>
      <c r="T7" s="18">
        <v>55.4630547148192</v>
      </c>
      <c r="U7" s="19">
        <v>60</v>
      </c>
      <c r="V7" s="19">
        <v>50</v>
      </c>
      <c r="W7" s="7">
        <f t="shared" si="4"/>
        <v>55</v>
      </c>
      <c r="X7" s="28">
        <f t="shared" si="5"/>
        <v>60.5454630775608</v>
      </c>
      <c r="Y7" s="26">
        <f t="shared" si="6"/>
        <v>61.5778521345969</v>
      </c>
    </row>
    <row r="8" spans="1:25">
      <c r="A8" s="8" t="s">
        <v>36</v>
      </c>
      <c r="B8" s="8">
        <v>1</v>
      </c>
      <c r="C8" s="16">
        <v>75</v>
      </c>
      <c r="D8" s="17">
        <v>75</v>
      </c>
      <c r="E8" s="6">
        <f t="shared" si="0"/>
        <v>75</v>
      </c>
      <c r="F8" s="18">
        <v>68.9114471497984</v>
      </c>
      <c r="G8" s="19">
        <v>100</v>
      </c>
      <c r="H8" s="19">
        <v>30</v>
      </c>
      <c r="I8" s="19">
        <v>100</v>
      </c>
      <c r="J8" s="19">
        <v>100</v>
      </c>
      <c r="K8" s="9">
        <f t="shared" si="1"/>
        <v>82.5</v>
      </c>
      <c r="L8" s="19">
        <v>100</v>
      </c>
      <c r="M8" s="19">
        <v>30</v>
      </c>
      <c r="N8" s="19">
        <v>40</v>
      </c>
      <c r="O8" s="19">
        <v>25</v>
      </c>
      <c r="P8" s="9">
        <f t="shared" si="2"/>
        <v>48.75</v>
      </c>
      <c r="Q8" s="26">
        <v>22.9548689450975</v>
      </c>
      <c r="R8" s="26">
        <v>57.4949030255557</v>
      </c>
      <c r="S8" s="27">
        <f t="shared" si="3"/>
        <v>40.2248859853266</v>
      </c>
      <c r="T8" s="18">
        <v>36.9594013957934</v>
      </c>
      <c r="U8" s="19">
        <v>80</v>
      </c>
      <c r="V8" s="19">
        <v>100</v>
      </c>
      <c r="W8" s="7">
        <f t="shared" si="4"/>
        <v>90</v>
      </c>
      <c r="X8" s="28">
        <f t="shared" si="5"/>
        <v>58.941049988277</v>
      </c>
      <c r="Y8" s="26">
        <f t="shared" si="6"/>
        <v>65.4241697091184</v>
      </c>
    </row>
    <row r="9" spans="1:25">
      <c r="A9" s="8" t="s">
        <v>37</v>
      </c>
      <c r="B9" s="8">
        <v>1</v>
      </c>
      <c r="C9" s="16">
        <v>25</v>
      </c>
      <c r="D9" s="17">
        <v>25</v>
      </c>
      <c r="E9" s="6">
        <f t="shared" si="0"/>
        <v>25</v>
      </c>
      <c r="F9" s="18">
        <v>26.1848344239035</v>
      </c>
      <c r="G9" s="19">
        <v>100</v>
      </c>
      <c r="H9" s="19">
        <v>100</v>
      </c>
      <c r="I9" s="19">
        <v>100</v>
      </c>
      <c r="J9" s="19">
        <v>100</v>
      </c>
      <c r="K9" s="9">
        <f t="shared" si="1"/>
        <v>100</v>
      </c>
      <c r="L9" s="19">
        <v>100</v>
      </c>
      <c r="M9" s="19">
        <v>100</v>
      </c>
      <c r="N9" s="19">
        <v>100</v>
      </c>
      <c r="O9" s="19">
        <v>75</v>
      </c>
      <c r="P9" s="9">
        <f t="shared" si="2"/>
        <v>93.75</v>
      </c>
      <c r="Q9" s="26">
        <v>10.5426921855827</v>
      </c>
      <c r="R9" s="26">
        <v>36.2022712105614</v>
      </c>
      <c r="S9" s="27">
        <f t="shared" si="3"/>
        <v>23.372481698072</v>
      </c>
      <c r="T9" s="18">
        <v>24.4801825335892</v>
      </c>
      <c r="U9" s="19">
        <v>100</v>
      </c>
      <c r="V9" s="19">
        <v>75</v>
      </c>
      <c r="W9" s="7">
        <f t="shared" si="4"/>
        <v>87.5</v>
      </c>
      <c r="X9" s="28">
        <f t="shared" si="5"/>
        <v>53.1540398982164</v>
      </c>
      <c r="Y9" s="26">
        <f t="shared" si="6"/>
        <v>66.3830033914985</v>
      </c>
    </row>
    <row r="10" spans="1:25">
      <c r="A10" s="8" t="s">
        <v>38</v>
      </c>
      <c r="B10" s="8">
        <v>1</v>
      </c>
      <c r="C10" s="16">
        <v>75</v>
      </c>
      <c r="D10" s="16">
        <v>25</v>
      </c>
      <c r="E10" s="6">
        <f t="shared" si="0"/>
        <v>50</v>
      </c>
      <c r="F10" s="18">
        <v>46.8657896411791</v>
      </c>
      <c r="G10" s="19">
        <v>100</v>
      </c>
      <c r="H10" s="19">
        <v>100</v>
      </c>
      <c r="I10" s="19">
        <v>100</v>
      </c>
      <c r="J10" s="19">
        <v>75</v>
      </c>
      <c r="K10" s="9">
        <f t="shared" si="1"/>
        <v>93.75</v>
      </c>
      <c r="L10" s="19">
        <v>100</v>
      </c>
      <c r="M10" s="19">
        <v>30</v>
      </c>
      <c r="N10" s="19">
        <v>70</v>
      </c>
      <c r="O10" s="19">
        <v>50</v>
      </c>
      <c r="P10" s="9">
        <f t="shared" si="2"/>
        <v>62.5</v>
      </c>
      <c r="Q10" s="26">
        <v>51.8456924427449</v>
      </c>
      <c r="R10" s="26">
        <v>79.2871971901556</v>
      </c>
      <c r="S10" s="27">
        <f t="shared" si="3"/>
        <v>65.5664448164503</v>
      </c>
      <c r="T10" s="18">
        <v>61.4564642057548</v>
      </c>
      <c r="U10" s="19">
        <v>100</v>
      </c>
      <c r="V10" s="19">
        <v>50</v>
      </c>
      <c r="W10" s="7">
        <f t="shared" si="4"/>
        <v>75</v>
      </c>
      <c r="X10" s="28">
        <f t="shared" si="5"/>
        <v>66.4557436105377</v>
      </c>
      <c r="Y10" s="26">
        <f t="shared" si="6"/>
        <v>67.9144507693868</v>
      </c>
    </row>
    <row r="11" spans="1:25">
      <c r="A11" s="8" t="s">
        <v>39</v>
      </c>
      <c r="B11" s="8">
        <v>1</v>
      </c>
      <c r="C11" s="16">
        <v>100</v>
      </c>
      <c r="D11" s="16">
        <v>100</v>
      </c>
      <c r="E11" s="6">
        <f t="shared" si="0"/>
        <v>100</v>
      </c>
      <c r="F11" s="18">
        <v>91.8819295330646</v>
      </c>
      <c r="G11" s="19">
        <v>100</v>
      </c>
      <c r="H11" s="19">
        <v>100</v>
      </c>
      <c r="I11" s="19">
        <v>100</v>
      </c>
      <c r="J11" s="19">
        <v>100</v>
      </c>
      <c r="K11" s="9">
        <f t="shared" si="1"/>
        <v>100</v>
      </c>
      <c r="L11" s="19">
        <v>80</v>
      </c>
      <c r="M11" s="19">
        <v>100</v>
      </c>
      <c r="N11" s="19">
        <v>70</v>
      </c>
      <c r="O11" s="19">
        <v>100</v>
      </c>
      <c r="P11" s="9">
        <f t="shared" si="2"/>
        <v>87.5</v>
      </c>
      <c r="Q11" s="26">
        <v>40.0354125142279</v>
      </c>
      <c r="R11" s="26">
        <v>72.8515622406033</v>
      </c>
      <c r="S11" s="27">
        <f t="shared" si="3"/>
        <v>56.4434873774156</v>
      </c>
      <c r="T11" s="18">
        <v>51.8613652981212</v>
      </c>
      <c r="U11" s="19">
        <v>100</v>
      </c>
      <c r="V11" s="19">
        <v>100</v>
      </c>
      <c r="W11" s="7">
        <f t="shared" si="4"/>
        <v>100</v>
      </c>
      <c r="X11" s="28">
        <f t="shared" si="5"/>
        <v>77.8709320258614</v>
      </c>
      <c r="Y11" s="26">
        <f t="shared" si="6"/>
        <v>86.2486589662372</v>
      </c>
    </row>
    <row r="12" spans="1:25">
      <c r="A12" s="8" t="s">
        <v>40</v>
      </c>
      <c r="B12" s="8">
        <v>1</v>
      </c>
      <c r="C12" s="16">
        <v>50</v>
      </c>
      <c r="D12" s="16">
        <v>25</v>
      </c>
      <c r="E12" s="6">
        <f t="shared" si="0"/>
        <v>37.5</v>
      </c>
      <c r="F12" s="18">
        <v>37.0349358447263</v>
      </c>
      <c r="G12" s="19">
        <v>60</v>
      </c>
      <c r="H12" s="19">
        <v>100</v>
      </c>
      <c r="I12" s="19">
        <v>100</v>
      </c>
      <c r="J12" s="19">
        <v>75</v>
      </c>
      <c r="K12" s="9">
        <f t="shared" si="1"/>
        <v>83.75</v>
      </c>
      <c r="L12" s="19">
        <v>100</v>
      </c>
      <c r="M12" s="8" t="s">
        <v>32</v>
      </c>
      <c r="N12" s="19">
        <v>40</v>
      </c>
      <c r="O12" s="19">
        <v>50</v>
      </c>
      <c r="P12" s="9">
        <f t="shared" si="2"/>
        <v>47.5</v>
      </c>
      <c r="Q12" s="26">
        <v>22.3856134163512</v>
      </c>
      <c r="R12" s="26">
        <v>43.2230703651667</v>
      </c>
      <c r="S12" s="27">
        <f t="shared" si="3"/>
        <v>32.804341890759</v>
      </c>
      <c r="T12" s="18">
        <v>32.397511929406</v>
      </c>
      <c r="U12" s="19">
        <v>20</v>
      </c>
      <c r="V12" s="19">
        <v>25</v>
      </c>
      <c r="W12" s="7">
        <f t="shared" si="4"/>
        <v>22.5</v>
      </c>
      <c r="X12" s="28">
        <f t="shared" si="5"/>
        <v>44.1159919407077</v>
      </c>
      <c r="Y12" s="26">
        <f t="shared" si="6"/>
        <v>44.6364895548265</v>
      </c>
    </row>
    <row r="13" spans="1:25">
      <c r="A13" s="8" t="s">
        <v>41</v>
      </c>
      <c r="B13" s="8">
        <v>1</v>
      </c>
      <c r="C13" s="16">
        <v>50</v>
      </c>
      <c r="D13" s="17">
        <v>25</v>
      </c>
      <c r="E13" s="6">
        <f t="shared" si="0"/>
        <v>37.5</v>
      </c>
      <c r="F13" s="18">
        <v>36.0935946938232</v>
      </c>
      <c r="G13" s="19">
        <v>100</v>
      </c>
      <c r="H13" s="19">
        <v>100</v>
      </c>
      <c r="I13" s="19">
        <v>100</v>
      </c>
      <c r="J13" s="19">
        <v>75</v>
      </c>
      <c r="K13" s="9">
        <f t="shared" si="1"/>
        <v>93.75</v>
      </c>
      <c r="L13" s="19">
        <v>100</v>
      </c>
      <c r="M13" s="19">
        <v>100</v>
      </c>
      <c r="N13" s="19">
        <v>40</v>
      </c>
      <c r="O13" s="19">
        <v>75</v>
      </c>
      <c r="P13" s="9">
        <f t="shared" si="2"/>
        <v>78.75</v>
      </c>
      <c r="Q13" s="26">
        <v>29.5806154568153</v>
      </c>
      <c r="R13" s="26">
        <v>53.4897993162106</v>
      </c>
      <c r="S13" s="27">
        <f t="shared" si="3"/>
        <v>41.5352073865129</v>
      </c>
      <c r="T13" s="18">
        <v>39.9774650915384</v>
      </c>
      <c r="U13" s="19">
        <v>60</v>
      </c>
      <c r="V13" s="19">
        <v>75</v>
      </c>
      <c r="W13" s="7">
        <f t="shared" si="4"/>
        <v>67.5</v>
      </c>
      <c r="X13" s="28">
        <f t="shared" si="5"/>
        <v>56.58470497538</v>
      </c>
      <c r="Y13" s="26">
        <f t="shared" si="6"/>
        <v>63.2142119570723</v>
      </c>
    </row>
    <row r="14" spans="1:25">
      <c r="A14" s="8" t="s">
        <v>42</v>
      </c>
      <c r="B14" s="8">
        <v>1</v>
      </c>
      <c r="C14" s="16">
        <v>100</v>
      </c>
      <c r="D14" s="16">
        <v>100</v>
      </c>
      <c r="E14" s="6">
        <f t="shared" si="0"/>
        <v>100</v>
      </c>
      <c r="F14" s="18">
        <v>92.318592305661</v>
      </c>
      <c r="G14" s="19">
        <v>100</v>
      </c>
      <c r="H14" s="19">
        <v>100</v>
      </c>
      <c r="I14" s="19">
        <v>100</v>
      </c>
      <c r="J14" s="19">
        <v>75</v>
      </c>
      <c r="K14" s="9">
        <f t="shared" si="1"/>
        <v>93.75</v>
      </c>
      <c r="L14" s="19">
        <v>100</v>
      </c>
      <c r="M14" s="19">
        <v>70</v>
      </c>
      <c r="N14" s="19">
        <v>40</v>
      </c>
      <c r="O14" s="19">
        <v>100</v>
      </c>
      <c r="P14" s="9">
        <f t="shared" si="2"/>
        <v>77.5</v>
      </c>
      <c r="Q14" s="26">
        <v>36.5518823457067</v>
      </c>
      <c r="R14" s="26">
        <v>66.9102184833775</v>
      </c>
      <c r="S14" s="27">
        <f t="shared" si="3"/>
        <v>51.7310504145421</v>
      </c>
      <c r="T14" s="18">
        <v>47.7573775276371</v>
      </c>
      <c r="U14" s="19">
        <v>100</v>
      </c>
      <c r="V14" s="19">
        <v>50</v>
      </c>
      <c r="W14" s="7">
        <f t="shared" si="4"/>
        <v>75</v>
      </c>
      <c r="X14" s="28">
        <f t="shared" si="5"/>
        <v>71.566669472187</v>
      </c>
      <c r="Y14" s="26">
        <f t="shared" si="6"/>
        <v>77.2651939666596</v>
      </c>
    </row>
    <row r="15" spans="1:25">
      <c r="A15" s="8" t="s">
        <v>43</v>
      </c>
      <c r="B15" s="8">
        <v>1</v>
      </c>
      <c r="C15" s="16">
        <v>100</v>
      </c>
      <c r="D15" s="16">
        <v>50</v>
      </c>
      <c r="E15" s="6">
        <f t="shared" si="0"/>
        <v>75</v>
      </c>
      <c r="F15" s="18">
        <v>73.7051502605766</v>
      </c>
      <c r="G15" s="19">
        <v>80</v>
      </c>
      <c r="H15" s="19">
        <v>30</v>
      </c>
      <c r="I15" s="19">
        <v>100</v>
      </c>
      <c r="J15" s="19">
        <v>100</v>
      </c>
      <c r="K15" s="9">
        <f t="shared" si="1"/>
        <v>77.5</v>
      </c>
      <c r="L15" s="19">
        <v>100</v>
      </c>
      <c r="M15" s="19">
        <v>100</v>
      </c>
      <c r="N15" s="19">
        <v>70</v>
      </c>
      <c r="O15" s="19">
        <v>100</v>
      </c>
      <c r="P15" s="9">
        <f t="shared" si="2"/>
        <v>92.5</v>
      </c>
      <c r="Q15" s="26">
        <v>25.4370921525373</v>
      </c>
      <c r="R15" s="26">
        <v>48.1808955840898</v>
      </c>
      <c r="S15" s="27">
        <f t="shared" si="3"/>
        <v>36.8089938683136</v>
      </c>
      <c r="T15" s="18">
        <v>36.1734989867292</v>
      </c>
      <c r="U15" s="19">
        <v>100</v>
      </c>
      <c r="V15" s="19">
        <v>75</v>
      </c>
      <c r="W15" s="7">
        <f t="shared" si="4"/>
        <v>87.5</v>
      </c>
      <c r="X15" s="28">
        <f t="shared" si="5"/>
        <v>62.710429646807</v>
      </c>
      <c r="Y15" s="26">
        <f t="shared" si="6"/>
        <v>73.4757298494612</v>
      </c>
    </row>
    <row r="16" spans="1:25">
      <c r="A16" s="8" t="s">
        <v>44</v>
      </c>
      <c r="B16" s="8">
        <v>1</v>
      </c>
      <c r="C16" s="16">
        <v>50</v>
      </c>
      <c r="D16" s="16">
        <v>100</v>
      </c>
      <c r="E16" s="6">
        <f t="shared" si="0"/>
        <v>75</v>
      </c>
      <c r="F16" s="18">
        <v>71.5144292509951</v>
      </c>
      <c r="G16" s="19">
        <v>100</v>
      </c>
      <c r="H16" s="19">
        <v>100</v>
      </c>
      <c r="I16" s="19">
        <v>100</v>
      </c>
      <c r="J16" s="19">
        <v>75</v>
      </c>
      <c r="K16" s="9">
        <f t="shared" si="1"/>
        <v>93.75</v>
      </c>
      <c r="L16" s="19">
        <v>80</v>
      </c>
      <c r="M16" s="19">
        <v>100</v>
      </c>
      <c r="N16" s="19">
        <v>100</v>
      </c>
      <c r="O16" s="19">
        <v>75</v>
      </c>
      <c r="P16" s="9">
        <f t="shared" si="2"/>
        <v>88.75</v>
      </c>
      <c r="Q16" s="26">
        <v>30.7432886663236</v>
      </c>
      <c r="R16" s="26">
        <v>57.0529998878152</v>
      </c>
      <c r="S16" s="27">
        <f t="shared" si="3"/>
        <v>43.8981442770694</v>
      </c>
      <c r="T16" s="18">
        <v>41.858009775366</v>
      </c>
      <c r="U16" s="19">
        <v>100</v>
      </c>
      <c r="V16" s="19">
        <v>100</v>
      </c>
      <c r="W16" s="7">
        <f t="shared" si="4"/>
        <v>100</v>
      </c>
      <c r="X16" s="28">
        <f t="shared" si="5"/>
        <v>68.6710897603454</v>
      </c>
      <c r="Y16" s="26">
        <f t="shared" si="6"/>
        <v>79.1744878052722</v>
      </c>
    </row>
    <row r="17" spans="1:25">
      <c r="A17" s="8" t="s">
        <v>45</v>
      </c>
      <c r="B17" s="8">
        <v>1</v>
      </c>
      <c r="C17" s="16">
        <v>75</v>
      </c>
      <c r="D17" s="16">
        <v>100</v>
      </c>
      <c r="E17" s="6">
        <f t="shared" si="0"/>
        <v>87.5</v>
      </c>
      <c r="F17" s="18">
        <v>87.9012324645438</v>
      </c>
      <c r="G17" s="19">
        <v>100</v>
      </c>
      <c r="H17" s="19">
        <v>100</v>
      </c>
      <c r="I17" s="19">
        <v>100</v>
      </c>
      <c r="J17" s="19">
        <v>50</v>
      </c>
      <c r="K17" s="9">
        <f t="shared" si="1"/>
        <v>87.5</v>
      </c>
      <c r="L17" s="19">
        <v>100</v>
      </c>
      <c r="M17" s="19">
        <v>70</v>
      </c>
      <c r="N17" s="19">
        <v>70</v>
      </c>
      <c r="O17" s="19">
        <v>75</v>
      </c>
      <c r="P17" s="9">
        <f t="shared" si="2"/>
        <v>78.75</v>
      </c>
      <c r="Q17" s="26">
        <v>24.204882234774</v>
      </c>
      <c r="R17" s="26">
        <v>45.917815638071</v>
      </c>
      <c r="S17" s="27">
        <f t="shared" si="3"/>
        <v>35.0613489364225</v>
      </c>
      <c r="T17" s="18">
        <v>35.2221232386395</v>
      </c>
      <c r="U17" s="19">
        <v>40</v>
      </c>
      <c r="V17" s="19">
        <v>75</v>
      </c>
      <c r="W17" s="7">
        <f t="shared" si="4"/>
        <v>57.5</v>
      </c>
      <c r="X17" s="28">
        <f t="shared" si="5"/>
        <v>62.7940957883646</v>
      </c>
      <c r="Y17" s="26">
        <f t="shared" si="6"/>
        <v>69.3746711406366</v>
      </c>
    </row>
    <row r="18" spans="1:25">
      <c r="A18" s="8" t="s">
        <v>46</v>
      </c>
      <c r="B18" s="8">
        <v>1</v>
      </c>
      <c r="C18" s="16">
        <v>75</v>
      </c>
      <c r="D18" s="16">
        <v>25</v>
      </c>
      <c r="E18" s="6">
        <f t="shared" si="0"/>
        <v>50</v>
      </c>
      <c r="F18" s="18">
        <v>45.9409647665323</v>
      </c>
      <c r="G18" s="19">
        <v>100</v>
      </c>
      <c r="H18" s="19">
        <v>100</v>
      </c>
      <c r="I18" s="19">
        <v>100</v>
      </c>
      <c r="J18" s="19">
        <v>75</v>
      </c>
      <c r="K18" s="9">
        <f t="shared" si="1"/>
        <v>93.75</v>
      </c>
      <c r="L18" s="19">
        <v>100</v>
      </c>
      <c r="M18" s="19">
        <v>60</v>
      </c>
      <c r="N18" s="19">
        <v>70</v>
      </c>
      <c r="O18" s="19">
        <v>75</v>
      </c>
      <c r="P18" s="9">
        <f t="shared" si="2"/>
        <v>76.25</v>
      </c>
      <c r="Q18" s="26">
        <v>32.9068851057821</v>
      </c>
      <c r="R18" s="26">
        <v>61.1762468664818</v>
      </c>
      <c r="S18" s="27">
        <f t="shared" si="3"/>
        <v>47.0415659861319</v>
      </c>
      <c r="T18" s="18">
        <v>43.2226985106278</v>
      </c>
      <c r="U18" s="19">
        <v>60</v>
      </c>
      <c r="V18" s="19">
        <v>100</v>
      </c>
      <c r="W18" s="7">
        <f t="shared" si="4"/>
        <v>80</v>
      </c>
      <c r="X18" s="28">
        <f t="shared" si="5"/>
        <v>60.8522723575576</v>
      </c>
      <c r="Y18" s="26">
        <f t="shared" si="6"/>
        <v>67.832732655432</v>
      </c>
    </row>
    <row r="19" spans="1:25">
      <c r="A19" s="8" t="s">
        <v>47</v>
      </c>
      <c r="B19" s="8">
        <v>1</v>
      </c>
      <c r="C19" s="16">
        <v>75</v>
      </c>
      <c r="D19" s="16">
        <v>25</v>
      </c>
      <c r="E19" s="6">
        <f t="shared" si="0"/>
        <v>50</v>
      </c>
      <c r="F19" s="18">
        <v>47.8111123609654</v>
      </c>
      <c r="G19" s="19">
        <v>100</v>
      </c>
      <c r="H19" s="8" t="s">
        <v>32</v>
      </c>
      <c r="I19" s="19">
        <v>75</v>
      </c>
      <c r="J19" s="19">
        <v>100</v>
      </c>
      <c r="K19" s="9">
        <f t="shared" si="1"/>
        <v>68.75</v>
      </c>
      <c r="L19" s="19">
        <v>80</v>
      </c>
      <c r="M19" s="19">
        <v>30</v>
      </c>
      <c r="N19" s="19">
        <v>70</v>
      </c>
      <c r="O19" s="19">
        <v>75</v>
      </c>
      <c r="P19" s="9">
        <f t="shared" si="2"/>
        <v>63.75</v>
      </c>
      <c r="Q19" s="29">
        <v>0</v>
      </c>
      <c r="R19" s="26">
        <v>31.7949810249105</v>
      </c>
      <c r="S19" s="27">
        <f t="shared" si="3"/>
        <v>15.8974905124553</v>
      </c>
      <c r="T19" s="18">
        <v>15.2015341029676</v>
      </c>
      <c r="U19" s="19">
        <v>40</v>
      </c>
      <c r="V19" s="19">
        <v>100</v>
      </c>
      <c r="W19" s="7">
        <f t="shared" si="4"/>
        <v>70</v>
      </c>
      <c r="X19" s="28">
        <f t="shared" si="5"/>
        <v>42.7678361133801</v>
      </c>
      <c r="Y19" s="26">
        <f t="shared" si="6"/>
        <v>53.1025292927866</v>
      </c>
    </row>
    <row r="20" spans="1:25">
      <c r="A20" s="8" t="s">
        <v>48</v>
      </c>
      <c r="B20" s="8">
        <v>1</v>
      </c>
      <c r="C20" s="16">
        <v>75</v>
      </c>
      <c r="D20" s="17">
        <v>50</v>
      </c>
      <c r="E20" s="6">
        <f t="shared" si="0"/>
        <v>62.5</v>
      </c>
      <c r="F20" s="18">
        <v>57.4262059581654</v>
      </c>
      <c r="G20" s="19">
        <v>100</v>
      </c>
      <c r="H20" s="19">
        <v>60</v>
      </c>
      <c r="I20" s="19">
        <v>50</v>
      </c>
      <c r="J20" s="19">
        <v>25</v>
      </c>
      <c r="K20" s="9">
        <f t="shared" si="1"/>
        <v>58.75</v>
      </c>
      <c r="L20" s="19">
        <v>20</v>
      </c>
      <c r="M20" s="8" t="s">
        <v>32</v>
      </c>
      <c r="N20" s="8" t="s">
        <v>32</v>
      </c>
      <c r="O20" s="19">
        <v>25</v>
      </c>
      <c r="P20" s="9">
        <f t="shared" si="2"/>
        <v>11.25</v>
      </c>
      <c r="Q20" s="26">
        <v>47.0549155496517</v>
      </c>
      <c r="R20" s="26">
        <v>72.7626569643347</v>
      </c>
      <c r="S20" s="27">
        <f t="shared" si="3"/>
        <v>59.9087862569932</v>
      </c>
      <c r="T20" s="18">
        <v>55.0453487727648</v>
      </c>
      <c r="U20" s="8" t="s">
        <v>32</v>
      </c>
      <c r="V20" s="19">
        <v>50</v>
      </c>
      <c r="W20" s="7">
        <f t="shared" si="4"/>
        <v>25</v>
      </c>
      <c r="X20" s="28">
        <f t="shared" si="5"/>
        <v>48.878380700739</v>
      </c>
      <c r="Y20" s="26">
        <f t="shared" si="6"/>
        <v>41.494310946186</v>
      </c>
    </row>
    <row r="21" spans="1:25">
      <c r="A21" s="8" t="s">
        <v>49</v>
      </c>
      <c r="B21" s="8">
        <v>1</v>
      </c>
      <c r="C21" s="16">
        <v>50</v>
      </c>
      <c r="D21" s="16">
        <v>25</v>
      </c>
      <c r="E21" s="6">
        <f t="shared" si="0"/>
        <v>37.5</v>
      </c>
      <c r="F21" s="18">
        <v>36.5649076133137</v>
      </c>
      <c r="G21" s="19">
        <v>100</v>
      </c>
      <c r="H21" s="19">
        <v>100</v>
      </c>
      <c r="I21" s="19">
        <v>100</v>
      </c>
      <c r="J21" s="19">
        <v>75</v>
      </c>
      <c r="K21" s="9">
        <f t="shared" si="1"/>
        <v>93.75</v>
      </c>
      <c r="L21" s="19">
        <v>100</v>
      </c>
      <c r="M21" s="19">
        <v>100</v>
      </c>
      <c r="N21" s="19">
        <v>100</v>
      </c>
      <c r="O21" s="19">
        <v>100</v>
      </c>
      <c r="P21" s="9">
        <f t="shared" si="2"/>
        <v>100</v>
      </c>
      <c r="Q21" s="26">
        <v>35.5897015580256</v>
      </c>
      <c r="R21" s="26">
        <v>59.2078912626017</v>
      </c>
      <c r="S21" s="27">
        <f t="shared" si="3"/>
        <v>47.3987964103136</v>
      </c>
      <c r="T21" s="18">
        <v>46.2168696460102</v>
      </c>
      <c r="U21" s="19">
        <v>100</v>
      </c>
      <c r="V21" s="19">
        <v>75</v>
      </c>
      <c r="W21" s="7">
        <f t="shared" si="4"/>
        <v>87.5</v>
      </c>
      <c r="X21" s="28">
        <f t="shared" si="5"/>
        <v>63.2997293810668</v>
      </c>
      <c r="Y21" s="26">
        <f t="shared" si="6"/>
        <v>72.8063554518648</v>
      </c>
    </row>
    <row r="22" spans="1:25">
      <c r="A22" s="8" t="s">
        <v>50</v>
      </c>
      <c r="B22" s="8">
        <v>1</v>
      </c>
      <c r="C22" s="16">
        <v>100</v>
      </c>
      <c r="D22" s="16">
        <v>100</v>
      </c>
      <c r="E22" s="6">
        <f t="shared" si="0"/>
        <v>100</v>
      </c>
      <c r="F22" s="18">
        <v>91.8819295330646</v>
      </c>
      <c r="G22" s="19">
        <v>20</v>
      </c>
      <c r="H22" s="19">
        <v>70</v>
      </c>
      <c r="I22" s="19">
        <v>25</v>
      </c>
      <c r="J22" s="19">
        <v>25</v>
      </c>
      <c r="K22" s="9">
        <f t="shared" si="1"/>
        <v>35</v>
      </c>
      <c r="L22" s="19">
        <v>80</v>
      </c>
      <c r="M22" s="19">
        <v>70</v>
      </c>
      <c r="N22" s="19">
        <v>70</v>
      </c>
      <c r="O22" s="19">
        <v>50</v>
      </c>
      <c r="P22" s="9">
        <f t="shared" si="2"/>
        <v>67.5</v>
      </c>
      <c r="Q22" s="26">
        <v>26.4427561841775</v>
      </c>
      <c r="R22" s="26">
        <v>54.353137551584</v>
      </c>
      <c r="S22" s="27">
        <f t="shared" si="3"/>
        <v>40.3979468678807</v>
      </c>
      <c r="T22" s="18">
        <v>37.118413073951</v>
      </c>
      <c r="U22" s="19">
        <v>40</v>
      </c>
      <c r="V22" s="19">
        <v>50</v>
      </c>
      <c r="W22" s="7">
        <f t="shared" si="4"/>
        <v>45</v>
      </c>
      <c r="X22" s="28">
        <f t="shared" si="5"/>
        <v>51.4737511361933</v>
      </c>
      <c r="Y22" s="26">
        <f t="shared" si="6"/>
        <v>55.3000685214031</v>
      </c>
    </row>
    <row r="23" spans="1:25">
      <c r="A23" s="8" t="s">
        <v>51</v>
      </c>
      <c r="B23" s="8">
        <v>1</v>
      </c>
      <c r="C23" s="16">
        <v>25</v>
      </c>
      <c r="D23" s="16">
        <v>100</v>
      </c>
      <c r="E23" s="6">
        <f t="shared" si="0"/>
        <v>62.5</v>
      </c>
      <c r="F23" s="18">
        <v>57.4262059581654</v>
      </c>
      <c r="G23" s="19">
        <v>40</v>
      </c>
      <c r="H23" s="19">
        <v>70</v>
      </c>
      <c r="I23" s="19">
        <v>75</v>
      </c>
      <c r="J23" s="19">
        <v>50</v>
      </c>
      <c r="K23" s="9">
        <f t="shared" si="1"/>
        <v>58.75</v>
      </c>
      <c r="L23" s="19">
        <v>20</v>
      </c>
      <c r="M23" s="19">
        <v>40</v>
      </c>
      <c r="N23" s="19">
        <v>40</v>
      </c>
      <c r="O23" s="19">
        <v>25</v>
      </c>
      <c r="P23" s="9">
        <f t="shared" si="2"/>
        <v>31.25</v>
      </c>
      <c r="Q23" s="26">
        <v>20.4788091277935</v>
      </c>
      <c r="R23" s="26">
        <v>48.6239658709809</v>
      </c>
      <c r="S23" s="27">
        <f t="shared" si="3"/>
        <v>34.5513874993872</v>
      </c>
      <c r="T23" s="18">
        <v>31.746481514883</v>
      </c>
      <c r="U23" s="19">
        <v>20</v>
      </c>
      <c r="V23" s="19">
        <v>100</v>
      </c>
      <c r="W23" s="7">
        <f t="shared" si="4"/>
        <v>60</v>
      </c>
      <c r="X23" s="28">
        <f t="shared" si="5"/>
        <v>45.0588337975863</v>
      </c>
      <c r="Y23" s="26">
        <f t="shared" si="6"/>
        <v>47.8345374946097</v>
      </c>
    </row>
    <row r="24" spans="1:25">
      <c r="A24" s="8" t="s">
        <v>52</v>
      </c>
      <c r="B24" s="8">
        <v>2</v>
      </c>
      <c r="C24" s="16">
        <v>25</v>
      </c>
      <c r="D24" s="16">
        <v>25</v>
      </c>
      <c r="E24" s="6">
        <f t="shared" si="0"/>
        <v>25</v>
      </c>
      <c r="F24" s="18">
        <v>26.594559149495</v>
      </c>
      <c r="G24" s="19">
        <v>60</v>
      </c>
      <c r="H24" s="19">
        <v>40</v>
      </c>
      <c r="I24" s="19">
        <v>50</v>
      </c>
      <c r="J24" s="19">
        <v>50</v>
      </c>
      <c r="K24" s="9">
        <f t="shared" si="1"/>
        <v>50</v>
      </c>
      <c r="L24" s="19">
        <v>80</v>
      </c>
      <c r="M24" s="19">
        <v>70</v>
      </c>
      <c r="N24" s="8" t="s">
        <v>32</v>
      </c>
      <c r="O24" s="19">
        <v>25</v>
      </c>
      <c r="P24" s="9">
        <f t="shared" si="2"/>
        <v>43.75</v>
      </c>
      <c r="Q24" s="26">
        <v>34.2410572955463</v>
      </c>
      <c r="R24" s="26">
        <v>43.8411013003076</v>
      </c>
      <c r="S24" s="27">
        <f t="shared" si="3"/>
        <v>39.041079297927</v>
      </c>
      <c r="T24" s="18">
        <v>41.5312117059537</v>
      </c>
      <c r="U24" s="8" t="s">
        <v>32</v>
      </c>
      <c r="V24" s="8" t="s">
        <v>32</v>
      </c>
      <c r="W24" s="7">
        <f t="shared" si="4"/>
        <v>0</v>
      </c>
      <c r="X24" s="28">
        <f t="shared" si="5"/>
        <v>36.3063965122805</v>
      </c>
      <c r="Y24" s="26">
        <f t="shared" si="6"/>
        <v>32.3751541710897</v>
      </c>
    </row>
    <row r="25" spans="1:25">
      <c r="A25" s="8" t="s">
        <v>53</v>
      </c>
      <c r="B25" s="8">
        <v>2</v>
      </c>
      <c r="C25" s="16">
        <v>50</v>
      </c>
      <c r="D25" s="16">
        <v>50</v>
      </c>
      <c r="E25" s="6">
        <f t="shared" si="0"/>
        <v>50</v>
      </c>
      <c r="F25" s="18">
        <v>49.0121790735374</v>
      </c>
      <c r="G25" s="19">
        <v>100</v>
      </c>
      <c r="H25" s="19">
        <v>100</v>
      </c>
      <c r="I25" s="19">
        <v>75</v>
      </c>
      <c r="J25" s="19">
        <v>100</v>
      </c>
      <c r="K25" s="9">
        <f t="shared" si="1"/>
        <v>93.75</v>
      </c>
      <c r="L25" s="19">
        <v>80</v>
      </c>
      <c r="M25" s="19">
        <v>60</v>
      </c>
      <c r="N25" s="19">
        <v>40</v>
      </c>
      <c r="O25" s="19">
        <v>100</v>
      </c>
      <c r="P25" s="9">
        <f t="shared" si="2"/>
        <v>70</v>
      </c>
      <c r="Q25" s="26">
        <v>41.015888121355</v>
      </c>
      <c r="R25" s="26">
        <v>55.5348988278704</v>
      </c>
      <c r="S25" s="27">
        <f t="shared" si="3"/>
        <v>48.2753934746127</v>
      </c>
      <c r="T25" s="18">
        <v>47.321644596464</v>
      </c>
      <c r="U25" s="19">
        <v>100</v>
      </c>
      <c r="V25" s="19">
        <v>100</v>
      </c>
      <c r="W25" s="7">
        <f t="shared" si="4"/>
        <v>100</v>
      </c>
      <c r="X25" s="28">
        <f t="shared" si="5"/>
        <v>64.4810936532931</v>
      </c>
      <c r="Y25" s="26">
        <f t="shared" si="6"/>
        <v>72.0167647340003</v>
      </c>
    </row>
    <row r="26" spans="1:25">
      <c r="A26" s="8" t="s">
        <v>54</v>
      </c>
      <c r="B26" s="8">
        <v>2</v>
      </c>
      <c r="C26" s="16">
        <v>50</v>
      </c>
      <c r="D26" s="17">
        <v>25</v>
      </c>
      <c r="E26" s="6">
        <f t="shared" si="0"/>
        <v>37.5</v>
      </c>
      <c r="F26" s="18">
        <v>40.6743492789349</v>
      </c>
      <c r="G26" s="19">
        <v>60</v>
      </c>
      <c r="H26" s="19">
        <v>60</v>
      </c>
      <c r="I26" s="19">
        <v>75</v>
      </c>
      <c r="J26" s="19">
        <v>25</v>
      </c>
      <c r="K26" s="9">
        <f t="shared" si="1"/>
        <v>55</v>
      </c>
      <c r="L26" s="19">
        <v>80</v>
      </c>
      <c r="M26" s="19">
        <v>60</v>
      </c>
      <c r="N26" s="19">
        <v>70</v>
      </c>
      <c r="O26" s="19">
        <v>75</v>
      </c>
      <c r="P26" s="9">
        <f t="shared" si="2"/>
        <v>71.25</v>
      </c>
      <c r="Q26" s="26">
        <v>24.1305983380481</v>
      </c>
      <c r="R26" s="26">
        <v>31.8978107360635</v>
      </c>
      <c r="S26" s="27">
        <f t="shared" si="3"/>
        <v>28.0142045370558</v>
      </c>
      <c r="T26" s="18">
        <v>30.3855877363128</v>
      </c>
      <c r="U26" s="19">
        <v>40</v>
      </c>
      <c r="V26" s="19">
        <v>75</v>
      </c>
      <c r="W26" s="7">
        <f t="shared" si="4"/>
        <v>57.5</v>
      </c>
      <c r="X26" s="28">
        <f t="shared" si="5"/>
        <v>44.1641049503121</v>
      </c>
      <c r="Y26" s="26">
        <f t="shared" si="6"/>
        <v>50.9619874030495</v>
      </c>
    </row>
    <row r="27" spans="1:25">
      <c r="A27" s="8" t="s">
        <v>55</v>
      </c>
      <c r="B27" s="8">
        <v>2</v>
      </c>
      <c r="C27" s="16">
        <v>50</v>
      </c>
      <c r="D27" s="16">
        <v>25</v>
      </c>
      <c r="E27" s="6">
        <f t="shared" si="0"/>
        <v>37.5</v>
      </c>
      <c r="F27" s="18">
        <v>38.6681690982472</v>
      </c>
      <c r="G27" s="19">
        <v>100</v>
      </c>
      <c r="H27" s="19">
        <v>40</v>
      </c>
      <c r="I27" s="19">
        <v>75</v>
      </c>
      <c r="J27" s="19">
        <v>50</v>
      </c>
      <c r="K27" s="9">
        <f t="shared" si="1"/>
        <v>66.25</v>
      </c>
      <c r="L27" s="19">
        <v>100</v>
      </c>
      <c r="M27" s="19">
        <v>70</v>
      </c>
      <c r="N27" s="19">
        <v>40</v>
      </c>
      <c r="O27" s="19">
        <v>25</v>
      </c>
      <c r="P27" s="9">
        <f t="shared" si="2"/>
        <v>58.75</v>
      </c>
      <c r="Q27" s="26">
        <v>24.969400156349</v>
      </c>
      <c r="R27" s="26">
        <v>43.8439662650725</v>
      </c>
      <c r="S27" s="27">
        <f t="shared" si="3"/>
        <v>34.4066832107108</v>
      </c>
      <c r="T27" s="18">
        <v>35.4784918533757</v>
      </c>
      <c r="U27" s="19">
        <v>20</v>
      </c>
      <c r="V27" s="19">
        <v>50</v>
      </c>
      <c r="W27" s="7">
        <f t="shared" si="4"/>
        <v>35</v>
      </c>
      <c r="X27" s="28">
        <f t="shared" si="5"/>
        <v>44.5500305609997</v>
      </c>
      <c r="Y27" s="26">
        <f t="shared" si="6"/>
        <v>46.8293321903246</v>
      </c>
    </row>
    <row r="28" spans="1:25">
      <c r="A28" s="8" t="s">
        <v>56</v>
      </c>
      <c r="B28" s="8">
        <v>2</v>
      </c>
      <c r="C28" s="16">
        <v>100</v>
      </c>
      <c r="D28" s="16">
        <v>100</v>
      </c>
      <c r="E28" s="6">
        <f t="shared" si="0"/>
        <v>100</v>
      </c>
      <c r="F28" s="18">
        <v>96.4160100507286</v>
      </c>
      <c r="G28" s="8" t="s">
        <v>32</v>
      </c>
      <c r="H28" s="19">
        <v>40</v>
      </c>
      <c r="I28" s="19">
        <v>50</v>
      </c>
      <c r="J28" s="19">
        <v>50</v>
      </c>
      <c r="K28" s="9">
        <f t="shared" si="1"/>
        <v>35</v>
      </c>
      <c r="L28" s="19">
        <v>20</v>
      </c>
      <c r="M28" s="19">
        <v>30</v>
      </c>
      <c r="N28" s="19">
        <v>40</v>
      </c>
      <c r="O28" s="19">
        <v>50</v>
      </c>
      <c r="P28" s="9">
        <f t="shared" si="2"/>
        <v>35</v>
      </c>
      <c r="Q28" s="26">
        <v>41.2006016084059</v>
      </c>
      <c r="R28" s="26">
        <v>53.3338585537954</v>
      </c>
      <c r="S28" s="27">
        <f t="shared" si="3"/>
        <v>47.2672300811006</v>
      </c>
      <c r="T28" s="18">
        <v>45.573177305695</v>
      </c>
      <c r="U28" s="8" t="s">
        <v>32</v>
      </c>
      <c r="V28" s="19">
        <v>50</v>
      </c>
      <c r="W28" s="7">
        <f t="shared" si="4"/>
        <v>25</v>
      </c>
      <c r="X28" s="28">
        <f t="shared" si="5"/>
        <v>50.5124729324237</v>
      </c>
      <c r="Y28" s="26">
        <f t="shared" si="6"/>
        <v>47.3978374712847</v>
      </c>
    </row>
    <row r="29" spans="1:25">
      <c r="A29" s="8" t="s">
        <v>57</v>
      </c>
      <c r="B29" s="8">
        <v>2</v>
      </c>
      <c r="C29" s="16">
        <v>75</v>
      </c>
      <c r="D29" s="16">
        <v>25</v>
      </c>
      <c r="E29" s="6">
        <f t="shared" si="0"/>
        <v>50</v>
      </c>
      <c r="F29" s="18">
        <v>53.531420144785</v>
      </c>
      <c r="G29" s="19">
        <v>100</v>
      </c>
      <c r="H29" s="19">
        <v>70</v>
      </c>
      <c r="I29" s="19">
        <v>75</v>
      </c>
      <c r="J29" s="19">
        <v>25</v>
      </c>
      <c r="K29" s="9">
        <f t="shared" si="1"/>
        <v>67.5</v>
      </c>
      <c r="L29" s="19">
        <v>100</v>
      </c>
      <c r="M29" s="19">
        <v>100</v>
      </c>
      <c r="N29" s="19">
        <v>70</v>
      </c>
      <c r="O29" s="19">
        <v>75</v>
      </c>
      <c r="P29" s="9">
        <f t="shared" si="2"/>
        <v>86.25</v>
      </c>
      <c r="Q29" s="26">
        <v>41.2120804039538</v>
      </c>
      <c r="R29" s="26">
        <v>50.3493469898326</v>
      </c>
      <c r="S29" s="27">
        <f t="shared" si="3"/>
        <v>45.7807136968932</v>
      </c>
      <c r="T29" s="18">
        <v>49.0141323887301</v>
      </c>
      <c r="U29" s="19">
        <v>60</v>
      </c>
      <c r="V29" s="19">
        <v>50</v>
      </c>
      <c r="W29" s="7">
        <f t="shared" si="4"/>
        <v>55</v>
      </c>
      <c r="X29" s="28">
        <f t="shared" si="5"/>
        <v>57.936936984449</v>
      </c>
      <c r="Y29" s="26">
        <f t="shared" si="6"/>
        <v>62.259110506703</v>
      </c>
    </row>
    <row r="30" spans="1:25">
      <c r="A30" s="8" t="s">
        <v>58</v>
      </c>
      <c r="B30" s="8">
        <v>2</v>
      </c>
      <c r="C30" s="16">
        <v>75</v>
      </c>
      <c r="D30" s="17">
        <v>25</v>
      </c>
      <c r="E30" s="6">
        <f t="shared" si="0"/>
        <v>50</v>
      </c>
      <c r="F30" s="18">
        <v>45.9409647665323</v>
      </c>
      <c r="G30" s="19">
        <v>100</v>
      </c>
      <c r="H30" s="19">
        <v>100</v>
      </c>
      <c r="I30" s="19">
        <v>75</v>
      </c>
      <c r="J30" s="19">
        <v>100</v>
      </c>
      <c r="K30" s="9">
        <f t="shared" si="1"/>
        <v>93.75</v>
      </c>
      <c r="L30" s="19">
        <v>100</v>
      </c>
      <c r="M30" s="19">
        <v>100</v>
      </c>
      <c r="N30" s="19">
        <v>70</v>
      </c>
      <c r="O30" s="19">
        <v>75</v>
      </c>
      <c r="P30" s="9">
        <f t="shared" si="2"/>
        <v>86.25</v>
      </c>
      <c r="Q30" s="26">
        <v>56.307131313105</v>
      </c>
      <c r="R30" s="26">
        <v>70.3167639394026</v>
      </c>
      <c r="S30" s="27">
        <f t="shared" si="3"/>
        <v>63.3119476262538</v>
      </c>
      <c r="T30" s="18">
        <v>58.1722391039653</v>
      </c>
      <c r="U30" s="19">
        <v>100</v>
      </c>
      <c r="V30" s="19">
        <v>100</v>
      </c>
      <c r="W30" s="7">
        <f t="shared" si="4"/>
        <v>100</v>
      </c>
      <c r="X30" s="28">
        <f t="shared" si="5"/>
        <v>69.8320885948926</v>
      </c>
      <c r="Y30" s="26">
        <f t="shared" si="6"/>
        <v>76.8226407740995</v>
      </c>
    </row>
    <row r="31" spans="1:25">
      <c r="A31" s="8" t="s">
        <v>59</v>
      </c>
      <c r="B31" s="8">
        <v>2</v>
      </c>
      <c r="C31" s="16">
        <v>75</v>
      </c>
      <c r="D31" s="16">
        <v>75</v>
      </c>
      <c r="E31" s="6">
        <f t="shared" si="0"/>
        <v>75</v>
      </c>
      <c r="F31" s="18">
        <v>68.9114471497984</v>
      </c>
      <c r="G31" s="19">
        <v>100</v>
      </c>
      <c r="H31" s="19">
        <v>100</v>
      </c>
      <c r="I31" s="19">
        <v>75</v>
      </c>
      <c r="J31" s="19">
        <v>50</v>
      </c>
      <c r="K31" s="9">
        <f t="shared" si="1"/>
        <v>81.25</v>
      </c>
      <c r="L31" s="19">
        <v>100</v>
      </c>
      <c r="M31" s="19">
        <v>100</v>
      </c>
      <c r="N31" s="19">
        <v>100</v>
      </c>
      <c r="O31" s="19">
        <v>75</v>
      </c>
      <c r="P31" s="9">
        <f t="shared" si="2"/>
        <v>93.75</v>
      </c>
      <c r="Q31" s="26">
        <v>60.2505470378898</v>
      </c>
      <c r="R31" s="26">
        <v>70.3461730078695</v>
      </c>
      <c r="S31" s="27">
        <f t="shared" si="3"/>
        <v>65.2983600228797</v>
      </c>
      <c r="T31" s="18">
        <v>59.9973931424691</v>
      </c>
      <c r="U31" s="19">
        <v>100</v>
      </c>
      <c r="V31" s="19">
        <v>100</v>
      </c>
      <c r="W31" s="7">
        <f t="shared" si="4"/>
        <v>100</v>
      </c>
      <c r="X31" s="28">
        <f t="shared" si="5"/>
        <v>73.4062466869473</v>
      </c>
      <c r="Y31" s="26">
        <f t="shared" si="6"/>
        <v>80.7817680584535</v>
      </c>
    </row>
    <row r="32" spans="1:25">
      <c r="A32" s="8" t="s">
        <v>60</v>
      </c>
      <c r="B32" s="8">
        <v>2</v>
      </c>
      <c r="C32" s="16">
        <v>100</v>
      </c>
      <c r="D32" s="16">
        <v>75</v>
      </c>
      <c r="E32" s="6">
        <f t="shared" si="0"/>
        <v>87.5</v>
      </c>
      <c r="F32" s="18">
        <v>83.427680747888</v>
      </c>
      <c r="G32" s="19">
        <v>40</v>
      </c>
      <c r="H32" s="8" t="s">
        <v>32</v>
      </c>
      <c r="I32" s="19">
        <v>25</v>
      </c>
      <c r="J32" s="19">
        <v>25</v>
      </c>
      <c r="K32" s="9">
        <f t="shared" si="1"/>
        <v>22.5</v>
      </c>
      <c r="L32" s="19">
        <v>20</v>
      </c>
      <c r="M32" s="8" t="s">
        <v>32</v>
      </c>
      <c r="N32" s="19">
        <v>30</v>
      </c>
      <c r="O32" s="19">
        <v>25</v>
      </c>
      <c r="P32" s="9">
        <f t="shared" si="2"/>
        <v>18.75</v>
      </c>
      <c r="Q32" s="26">
        <v>50.2279393331316</v>
      </c>
      <c r="R32" s="26">
        <v>57.476109845985</v>
      </c>
      <c r="S32" s="27">
        <f t="shared" si="3"/>
        <v>53.8520245895583</v>
      </c>
      <c r="T32" s="18">
        <v>51.3457087438295</v>
      </c>
      <c r="U32" s="8" t="s">
        <v>32</v>
      </c>
      <c r="V32" s="19">
        <v>50</v>
      </c>
      <c r="W32" s="7">
        <f t="shared" si="4"/>
        <v>25</v>
      </c>
      <c r="X32" s="28">
        <f t="shared" si="5"/>
        <v>46.0988196471094</v>
      </c>
      <c r="Y32" s="26">
        <f t="shared" si="6"/>
        <v>40.2046778983435</v>
      </c>
    </row>
    <row r="33" spans="1:25">
      <c r="A33" s="8" t="s">
        <v>61</v>
      </c>
      <c r="B33" s="8">
        <v>2</v>
      </c>
      <c r="C33" s="16">
        <v>75</v>
      </c>
      <c r="D33" s="16">
        <v>50</v>
      </c>
      <c r="E33" s="6">
        <f t="shared" si="0"/>
        <v>62.5</v>
      </c>
      <c r="F33" s="18">
        <v>59.5493635704571</v>
      </c>
      <c r="G33" s="19">
        <v>100</v>
      </c>
      <c r="H33" s="19">
        <v>100</v>
      </c>
      <c r="I33" s="19">
        <v>75</v>
      </c>
      <c r="J33" s="19">
        <v>75</v>
      </c>
      <c r="K33" s="9">
        <f t="shared" si="1"/>
        <v>87.5</v>
      </c>
      <c r="L33" s="19">
        <v>40</v>
      </c>
      <c r="M33" s="19">
        <v>60</v>
      </c>
      <c r="N33" s="19">
        <v>70</v>
      </c>
      <c r="O33" s="19">
        <v>75</v>
      </c>
      <c r="P33" s="9">
        <f t="shared" si="2"/>
        <v>61.25</v>
      </c>
      <c r="Q33" s="26">
        <v>45.8997683495376</v>
      </c>
      <c r="R33" s="26">
        <v>65.8060315865936</v>
      </c>
      <c r="S33" s="27">
        <f t="shared" si="3"/>
        <v>55.8528999680656</v>
      </c>
      <c r="T33" s="18">
        <v>53.2160743466033</v>
      </c>
      <c r="U33" s="19">
        <v>60</v>
      </c>
      <c r="V33" s="19">
        <v>25</v>
      </c>
      <c r="W33" s="7">
        <f t="shared" si="4"/>
        <v>42.5</v>
      </c>
      <c r="X33" s="28">
        <f t="shared" si="5"/>
        <v>61.0713024527327</v>
      </c>
      <c r="Y33" s="26">
        <f t="shared" si="6"/>
        <v>60.8030875834121</v>
      </c>
    </row>
    <row r="34" spans="1:25">
      <c r="A34" s="8" t="s">
        <v>62</v>
      </c>
      <c r="B34" s="8">
        <v>2</v>
      </c>
      <c r="C34" s="16">
        <v>50</v>
      </c>
      <c r="D34" s="16">
        <v>50</v>
      </c>
      <c r="E34" s="6">
        <f t="shared" si="0"/>
        <v>50</v>
      </c>
      <c r="F34" s="18">
        <v>48.5825174483824</v>
      </c>
      <c r="G34" s="19">
        <v>80</v>
      </c>
      <c r="H34" s="19">
        <v>30</v>
      </c>
      <c r="I34" s="19">
        <v>100</v>
      </c>
      <c r="J34" s="19">
        <v>75</v>
      </c>
      <c r="K34" s="9">
        <f t="shared" si="1"/>
        <v>71.25</v>
      </c>
      <c r="L34" s="19">
        <v>100</v>
      </c>
      <c r="M34" s="8" t="s">
        <v>32</v>
      </c>
      <c r="N34" s="19">
        <v>70</v>
      </c>
      <c r="O34" s="19">
        <v>100</v>
      </c>
      <c r="P34" s="9">
        <f t="shared" si="2"/>
        <v>67.5</v>
      </c>
      <c r="Q34" s="26">
        <v>38.6646837917665</v>
      </c>
      <c r="R34" s="26">
        <v>52.2193745493577</v>
      </c>
      <c r="S34" s="27">
        <f t="shared" si="3"/>
        <v>45.4420291705621</v>
      </c>
      <c r="T34" s="18">
        <v>44.1537635013747</v>
      </c>
      <c r="U34" s="19">
        <v>80</v>
      </c>
      <c r="V34" s="19">
        <v>75</v>
      </c>
      <c r="W34" s="7">
        <f t="shared" si="4"/>
        <v>77.5</v>
      </c>
      <c r="X34" s="28">
        <f t="shared" si="5"/>
        <v>56.1280088902264</v>
      </c>
      <c r="Y34" s="26">
        <f t="shared" si="6"/>
        <v>61.7972561899514</v>
      </c>
    </row>
    <row r="35" spans="1:25">
      <c r="A35" s="8" t="s">
        <v>63</v>
      </c>
      <c r="B35" s="8">
        <v>2</v>
      </c>
      <c r="C35" s="16">
        <v>100</v>
      </c>
      <c r="D35" s="16">
        <v>75</v>
      </c>
      <c r="E35" s="6">
        <f t="shared" si="0"/>
        <v>87.5</v>
      </c>
      <c r="F35" s="18">
        <v>94.9068149841814</v>
      </c>
      <c r="G35" s="19">
        <v>60</v>
      </c>
      <c r="H35" s="8" t="s">
        <v>32</v>
      </c>
      <c r="I35" s="19">
        <v>75</v>
      </c>
      <c r="J35" s="19">
        <v>50</v>
      </c>
      <c r="K35" s="9">
        <f t="shared" si="1"/>
        <v>46.25</v>
      </c>
      <c r="L35" s="19">
        <v>80</v>
      </c>
      <c r="M35" s="19">
        <v>60</v>
      </c>
      <c r="N35" s="19">
        <v>70</v>
      </c>
      <c r="O35" s="19">
        <v>75</v>
      </c>
      <c r="P35" s="9">
        <f t="shared" si="2"/>
        <v>71.25</v>
      </c>
      <c r="Q35" s="26">
        <v>31.3380330189487</v>
      </c>
      <c r="R35" s="26">
        <v>36.9183238055015</v>
      </c>
      <c r="S35" s="27">
        <f t="shared" si="3"/>
        <v>34.1281784122251</v>
      </c>
      <c r="T35" s="18">
        <v>37.0171053064706</v>
      </c>
      <c r="U35" s="19">
        <v>40</v>
      </c>
      <c r="V35" s="19">
        <v>25</v>
      </c>
      <c r="W35" s="7">
        <f t="shared" si="4"/>
        <v>32.5</v>
      </c>
      <c r="X35" s="28">
        <f t="shared" si="5"/>
        <v>53.4132051194245</v>
      </c>
      <c r="Y35" s="26">
        <f t="shared" si="6"/>
        <v>56.3847840581304</v>
      </c>
    </row>
    <row r="36" spans="1:25">
      <c r="A36" s="8" t="s">
        <v>64</v>
      </c>
      <c r="B36" s="8">
        <v>2</v>
      </c>
      <c r="C36" s="16">
        <v>100</v>
      </c>
      <c r="D36" s="16">
        <v>75</v>
      </c>
      <c r="E36" s="6">
        <f t="shared" si="0"/>
        <v>87.5</v>
      </c>
      <c r="F36" s="18">
        <v>80.3966883414315</v>
      </c>
      <c r="G36" s="19">
        <v>100</v>
      </c>
      <c r="H36" s="19">
        <v>60</v>
      </c>
      <c r="I36" s="19">
        <v>75</v>
      </c>
      <c r="J36" s="19">
        <v>75</v>
      </c>
      <c r="K36" s="9">
        <f t="shared" si="1"/>
        <v>77.5</v>
      </c>
      <c r="L36" s="19">
        <v>80</v>
      </c>
      <c r="M36" s="8" t="s">
        <v>32</v>
      </c>
      <c r="N36" s="19">
        <v>70</v>
      </c>
      <c r="O36" s="19">
        <v>100</v>
      </c>
      <c r="P36" s="9">
        <f t="shared" si="2"/>
        <v>62.5</v>
      </c>
      <c r="Q36" s="26">
        <v>58.7192058514817</v>
      </c>
      <c r="R36" s="26">
        <v>69.0230558175961</v>
      </c>
      <c r="S36" s="27">
        <f t="shared" si="3"/>
        <v>63.8711308345389</v>
      </c>
      <c r="T36" s="18">
        <v>58.6860274253626</v>
      </c>
      <c r="U36" s="19">
        <v>80</v>
      </c>
      <c r="V36" s="19">
        <v>100</v>
      </c>
      <c r="W36" s="7">
        <f t="shared" si="4"/>
        <v>90</v>
      </c>
      <c r="X36" s="28">
        <f t="shared" si="5"/>
        <v>70.3037486384313</v>
      </c>
      <c r="Y36" s="26">
        <f t="shared" si="6"/>
        <v>73.8165431533588</v>
      </c>
    </row>
    <row r="37" spans="1:25">
      <c r="A37" s="8" t="s">
        <v>65</v>
      </c>
      <c r="B37" s="8">
        <v>2</v>
      </c>
      <c r="C37" s="16">
        <v>50</v>
      </c>
      <c r="D37" s="16">
        <v>25</v>
      </c>
      <c r="E37" s="6">
        <f t="shared" si="0"/>
        <v>37.5</v>
      </c>
      <c r="F37" s="18">
        <v>37.7946101897704</v>
      </c>
      <c r="G37" s="19">
        <v>80</v>
      </c>
      <c r="H37" s="8" t="s">
        <v>32</v>
      </c>
      <c r="I37" s="19">
        <v>75</v>
      </c>
      <c r="J37" s="19">
        <v>25</v>
      </c>
      <c r="K37" s="9">
        <f t="shared" si="1"/>
        <v>45</v>
      </c>
      <c r="L37" s="19">
        <v>80</v>
      </c>
      <c r="M37" s="8" t="s">
        <v>32</v>
      </c>
      <c r="N37" s="19">
        <v>30</v>
      </c>
      <c r="O37" s="19">
        <v>25</v>
      </c>
      <c r="P37" s="9">
        <f t="shared" si="2"/>
        <v>33.75</v>
      </c>
      <c r="Q37" s="26">
        <v>32.6875622378542</v>
      </c>
      <c r="R37" s="26">
        <v>53.6171286695733</v>
      </c>
      <c r="S37" s="27">
        <f t="shared" si="3"/>
        <v>43.1523454537137</v>
      </c>
      <c r="T37" s="18">
        <v>43.4913620052646</v>
      </c>
      <c r="U37" s="19">
        <v>20</v>
      </c>
      <c r="V37" s="19">
        <v>50</v>
      </c>
      <c r="W37" s="7">
        <f t="shared" si="4"/>
        <v>35</v>
      </c>
      <c r="X37" s="28">
        <f t="shared" si="5"/>
        <v>40.8304668400599</v>
      </c>
      <c r="Y37" s="26">
        <f t="shared" si="6"/>
        <v>39.007194439007</v>
      </c>
    </row>
    <row r="38" spans="1:25">
      <c r="A38" s="8" t="s">
        <v>66</v>
      </c>
      <c r="B38" s="8">
        <v>2</v>
      </c>
      <c r="C38" s="16">
        <v>25</v>
      </c>
      <c r="D38" s="17">
        <v>25</v>
      </c>
      <c r="E38" s="6">
        <f t="shared" si="0"/>
        <v>25</v>
      </c>
      <c r="F38" s="18">
        <v>27.1162328526233</v>
      </c>
      <c r="G38" s="19">
        <v>100</v>
      </c>
      <c r="H38" s="19">
        <v>40</v>
      </c>
      <c r="I38" s="19">
        <v>75</v>
      </c>
      <c r="J38" s="19">
        <v>25</v>
      </c>
      <c r="K38" s="9">
        <f t="shared" si="1"/>
        <v>60</v>
      </c>
      <c r="L38" s="19">
        <v>100</v>
      </c>
      <c r="M38" s="19">
        <v>60</v>
      </c>
      <c r="N38" s="19">
        <v>40</v>
      </c>
      <c r="O38" s="19">
        <v>25</v>
      </c>
      <c r="P38" s="9">
        <f t="shared" si="2"/>
        <v>56.25</v>
      </c>
      <c r="Q38" s="26">
        <v>23.1237912856561</v>
      </c>
      <c r="R38" s="26">
        <v>23.9938863371088</v>
      </c>
      <c r="S38" s="27">
        <f t="shared" si="3"/>
        <v>23.5588388113824</v>
      </c>
      <c r="T38" s="18">
        <v>25.5530783578746</v>
      </c>
      <c r="U38" s="19">
        <v>60</v>
      </c>
      <c r="V38" s="19">
        <v>100</v>
      </c>
      <c r="W38" s="7">
        <f t="shared" si="4"/>
        <v>80</v>
      </c>
      <c r="X38" s="28">
        <f t="shared" si="5"/>
        <v>41.2694779136745</v>
      </c>
      <c r="Y38" s="26">
        <f t="shared" si="6"/>
        <v>49.7838622420996</v>
      </c>
    </row>
    <row r="39" spans="1:25">
      <c r="A39" s="8" t="s">
        <v>67</v>
      </c>
      <c r="B39" s="8">
        <v>2</v>
      </c>
      <c r="C39" s="16">
        <v>100</v>
      </c>
      <c r="D39" s="16">
        <v>50</v>
      </c>
      <c r="E39" s="6">
        <f t="shared" si="0"/>
        <v>75</v>
      </c>
      <c r="F39" s="18">
        <v>68.9114471497984</v>
      </c>
      <c r="G39" s="19">
        <v>80</v>
      </c>
      <c r="H39" s="19">
        <v>40</v>
      </c>
      <c r="I39" s="19">
        <v>100</v>
      </c>
      <c r="J39" s="19">
        <v>75</v>
      </c>
      <c r="K39" s="9">
        <f t="shared" si="1"/>
        <v>73.75</v>
      </c>
      <c r="L39" s="19">
        <v>60</v>
      </c>
      <c r="M39" s="19">
        <v>30</v>
      </c>
      <c r="N39" s="19">
        <v>100</v>
      </c>
      <c r="O39" s="19">
        <v>25</v>
      </c>
      <c r="P39" s="9">
        <f t="shared" si="2"/>
        <v>53.75</v>
      </c>
      <c r="Q39" s="26">
        <v>50.3921930784575</v>
      </c>
      <c r="R39" s="26">
        <v>72.5445086428014</v>
      </c>
      <c r="S39" s="27">
        <f t="shared" si="3"/>
        <v>61.4683508606295</v>
      </c>
      <c r="T39" s="18">
        <v>56.4783068229005</v>
      </c>
      <c r="U39" s="19">
        <v>40</v>
      </c>
      <c r="V39" s="19">
        <v>75</v>
      </c>
      <c r="W39" s="7">
        <f t="shared" si="4"/>
        <v>57.5</v>
      </c>
      <c r="X39" s="28">
        <f t="shared" si="5"/>
        <v>62.2486121591199</v>
      </c>
      <c r="Y39" s="26">
        <f t="shared" si="6"/>
        <v>62.0779507945398</v>
      </c>
    </row>
    <row r="40" spans="1:25">
      <c r="A40" s="8" t="s">
        <v>68</v>
      </c>
      <c r="B40" s="8">
        <v>2</v>
      </c>
      <c r="C40" s="16">
        <v>50</v>
      </c>
      <c r="D40" s="17">
        <v>0</v>
      </c>
      <c r="E40" s="6">
        <f t="shared" si="0"/>
        <v>25</v>
      </c>
      <c r="F40" s="18">
        <v>23.8500591068844</v>
      </c>
      <c r="G40" s="19">
        <v>20</v>
      </c>
      <c r="H40" s="19">
        <v>60</v>
      </c>
      <c r="I40" s="19">
        <v>75</v>
      </c>
      <c r="J40" s="19">
        <v>75</v>
      </c>
      <c r="K40" s="9">
        <f t="shared" si="1"/>
        <v>57.5</v>
      </c>
      <c r="L40" s="19">
        <v>60</v>
      </c>
      <c r="M40" s="19">
        <v>60</v>
      </c>
      <c r="N40" s="19">
        <v>60</v>
      </c>
      <c r="O40" s="19">
        <v>50</v>
      </c>
      <c r="P40" s="9">
        <f t="shared" si="2"/>
        <v>57.5</v>
      </c>
      <c r="Q40" s="26">
        <v>56.3541773839463</v>
      </c>
      <c r="R40" s="26">
        <v>64.5149854580787</v>
      </c>
      <c r="S40" s="27">
        <f t="shared" si="3"/>
        <v>60.4345814210125</v>
      </c>
      <c r="T40" s="18">
        <v>57.6547335596386</v>
      </c>
      <c r="U40" s="19">
        <v>20</v>
      </c>
      <c r="V40" s="19">
        <v>75</v>
      </c>
      <c r="W40" s="7">
        <f t="shared" si="4"/>
        <v>47.5</v>
      </c>
      <c r="X40" s="28">
        <f t="shared" si="5"/>
        <v>49.8319052452323</v>
      </c>
      <c r="Y40" s="26">
        <f t="shared" si="6"/>
        <v>48.8009585333046</v>
      </c>
    </row>
    <row r="41" spans="1:25">
      <c r="A41" s="8" t="s">
        <v>69</v>
      </c>
      <c r="B41" s="8">
        <v>2</v>
      </c>
      <c r="C41" s="16">
        <v>75</v>
      </c>
      <c r="D41" s="16">
        <v>75</v>
      </c>
      <c r="E41" s="6">
        <f t="shared" si="0"/>
        <v>75</v>
      </c>
      <c r="F41" s="18">
        <v>74.7900156836707</v>
      </c>
      <c r="G41" s="19">
        <v>100</v>
      </c>
      <c r="H41" s="19">
        <v>70</v>
      </c>
      <c r="I41" s="19">
        <v>75</v>
      </c>
      <c r="J41" s="19">
        <v>25</v>
      </c>
      <c r="K41" s="9">
        <f t="shared" si="1"/>
        <v>67.5</v>
      </c>
      <c r="L41" s="19">
        <v>100</v>
      </c>
      <c r="M41" s="19">
        <v>70</v>
      </c>
      <c r="N41" s="19">
        <v>40</v>
      </c>
      <c r="O41" s="19">
        <v>50</v>
      </c>
      <c r="P41" s="9">
        <f t="shared" si="2"/>
        <v>65</v>
      </c>
      <c r="Q41" s="26">
        <v>46.6624542122117</v>
      </c>
      <c r="R41" s="26">
        <v>50.730649161557</v>
      </c>
      <c r="S41" s="27">
        <f t="shared" si="3"/>
        <v>48.6965516868844</v>
      </c>
      <c r="T41" s="18">
        <v>48.5602115253702</v>
      </c>
      <c r="U41" s="19">
        <v>40</v>
      </c>
      <c r="V41" s="19">
        <v>50</v>
      </c>
      <c r="W41" s="7">
        <f t="shared" si="4"/>
        <v>45</v>
      </c>
      <c r="X41" s="28">
        <f t="shared" si="5"/>
        <v>58.8820877468822</v>
      </c>
      <c r="Y41" s="26">
        <f t="shared" si="6"/>
        <v>60.1700454418082</v>
      </c>
    </row>
    <row r="42" spans="1:25">
      <c r="A42" s="8" t="s">
        <v>70</v>
      </c>
      <c r="B42" s="8">
        <v>2</v>
      </c>
      <c r="C42" s="16">
        <v>50</v>
      </c>
      <c r="D42" s="16">
        <v>50</v>
      </c>
      <c r="E42" s="6">
        <f t="shared" si="0"/>
        <v>50</v>
      </c>
      <c r="F42" s="18">
        <v>51.263216378713</v>
      </c>
      <c r="G42" s="19">
        <v>80</v>
      </c>
      <c r="H42" s="19">
        <v>100</v>
      </c>
      <c r="I42" s="19">
        <v>100</v>
      </c>
      <c r="J42" s="19">
        <v>50</v>
      </c>
      <c r="K42" s="9">
        <f t="shared" si="1"/>
        <v>82.5</v>
      </c>
      <c r="L42" s="19">
        <v>80</v>
      </c>
      <c r="M42" s="19">
        <v>100</v>
      </c>
      <c r="N42" s="19">
        <v>40</v>
      </c>
      <c r="O42" s="19">
        <v>75</v>
      </c>
      <c r="P42" s="9">
        <f t="shared" si="2"/>
        <v>73.75</v>
      </c>
      <c r="Q42" s="26">
        <v>35.7662694559908</v>
      </c>
      <c r="R42" s="26">
        <v>41.2154947117073</v>
      </c>
      <c r="S42" s="27">
        <f t="shared" si="3"/>
        <v>38.490882083849</v>
      </c>
      <c r="T42" s="18">
        <v>39.4633283374376</v>
      </c>
      <c r="U42" s="19">
        <v>80</v>
      </c>
      <c r="V42" s="19">
        <v>75</v>
      </c>
      <c r="W42" s="7">
        <f t="shared" si="4"/>
        <v>77.5</v>
      </c>
      <c r="X42" s="28">
        <f t="shared" si="5"/>
        <v>57.6629746107176</v>
      </c>
      <c r="Y42" s="26">
        <f t="shared" si="6"/>
        <v>64.8953089432301</v>
      </c>
    </row>
    <row r="43" spans="1:25">
      <c r="A43" s="8" t="s">
        <v>71</v>
      </c>
      <c r="B43" s="8">
        <v>2</v>
      </c>
      <c r="C43" s="16">
        <v>75</v>
      </c>
      <c r="D43" s="17">
        <v>75</v>
      </c>
      <c r="E43" s="6">
        <f t="shared" si="0"/>
        <v>75</v>
      </c>
      <c r="F43" s="18">
        <v>68.9114471497984</v>
      </c>
      <c r="G43" s="19">
        <v>80</v>
      </c>
      <c r="H43" s="8" t="s">
        <v>32</v>
      </c>
      <c r="I43" s="19">
        <v>100</v>
      </c>
      <c r="J43" s="19">
        <v>75</v>
      </c>
      <c r="K43" s="9">
        <f t="shared" si="1"/>
        <v>63.75</v>
      </c>
      <c r="L43" s="19">
        <v>80</v>
      </c>
      <c r="M43" s="19">
        <v>30</v>
      </c>
      <c r="N43" s="19">
        <v>100</v>
      </c>
      <c r="O43" s="19">
        <v>75</v>
      </c>
      <c r="P43" s="9">
        <f t="shared" si="2"/>
        <v>71.25</v>
      </c>
      <c r="Q43" s="26">
        <v>60.4385476606777</v>
      </c>
      <c r="R43" s="26">
        <v>85.4436419586798</v>
      </c>
      <c r="S43" s="27">
        <f t="shared" si="3"/>
        <v>72.9410948096788</v>
      </c>
      <c r="T43" s="18">
        <v>67.0196853336749</v>
      </c>
      <c r="U43" s="19">
        <v>40</v>
      </c>
      <c r="V43" s="19">
        <v>100</v>
      </c>
      <c r="W43" s="7">
        <f t="shared" si="4"/>
        <v>70</v>
      </c>
      <c r="X43" s="28">
        <f t="shared" si="5"/>
        <v>67.4651635634296</v>
      </c>
      <c r="Y43" s="26">
        <f t="shared" si="6"/>
        <v>68.1862264966947</v>
      </c>
    </row>
    <row r="44" spans="1:25">
      <c r="A44" s="8" t="s">
        <v>72</v>
      </c>
      <c r="B44" s="8">
        <v>2</v>
      </c>
      <c r="C44" s="16">
        <v>50</v>
      </c>
      <c r="D44" s="16">
        <v>50</v>
      </c>
      <c r="E44" s="6">
        <f t="shared" si="0"/>
        <v>50</v>
      </c>
      <c r="F44" s="18">
        <v>45.9409647665323</v>
      </c>
      <c r="G44" s="19">
        <v>20</v>
      </c>
      <c r="H44" s="8" t="s">
        <v>32</v>
      </c>
      <c r="I44" s="8" t="s">
        <v>32</v>
      </c>
      <c r="J44" s="19">
        <v>25</v>
      </c>
      <c r="K44" s="9">
        <f t="shared" si="1"/>
        <v>11.25</v>
      </c>
      <c r="L44" s="19">
        <v>40</v>
      </c>
      <c r="M44" s="8" t="s">
        <v>32</v>
      </c>
      <c r="N44" s="8" t="s">
        <v>32</v>
      </c>
      <c r="O44" s="8" t="s">
        <v>32</v>
      </c>
      <c r="P44" s="9">
        <f t="shared" si="2"/>
        <v>10</v>
      </c>
      <c r="Q44" s="26">
        <v>52.8287639109455</v>
      </c>
      <c r="R44" s="26">
        <v>63.9516245126468</v>
      </c>
      <c r="S44" s="27">
        <f t="shared" si="3"/>
        <v>58.3901942117962</v>
      </c>
      <c r="T44" s="18">
        <v>53.6500370999021</v>
      </c>
      <c r="U44" s="8" t="s">
        <v>32</v>
      </c>
      <c r="V44" s="8" t="s">
        <v>32</v>
      </c>
      <c r="W44" s="7">
        <f t="shared" si="4"/>
        <v>0</v>
      </c>
      <c r="X44" s="28">
        <f t="shared" si="5"/>
        <v>33.8982077932673</v>
      </c>
      <c r="Y44" s="26">
        <f t="shared" si="6"/>
        <v>24.1682003732869</v>
      </c>
    </row>
    <row r="45" spans="1:25">
      <c r="A45" s="8" t="s">
        <v>73</v>
      </c>
      <c r="B45" s="8">
        <v>2</v>
      </c>
      <c r="C45" s="16">
        <v>75</v>
      </c>
      <c r="D45" s="16">
        <v>50</v>
      </c>
      <c r="E45" s="6">
        <f t="shared" si="0"/>
        <v>62.5</v>
      </c>
      <c r="F45" s="18">
        <v>63.0773143410163</v>
      </c>
      <c r="G45" s="19">
        <v>80</v>
      </c>
      <c r="H45" s="19">
        <v>60</v>
      </c>
      <c r="I45" s="19">
        <v>75</v>
      </c>
      <c r="J45" s="19">
        <v>50</v>
      </c>
      <c r="K45" s="9">
        <f t="shared" si="1"/>
        <v>66.25</v>
      </c>
      <c r="L45" s="19">
        <v>40</v>
      </c>
      <c r="M45" s="8" t="s">
        <v>32</v>
      </c>
      <c r="N45" s="19">
        <v>30</v>
      </c>
      <c r="O45" s="19">
        <v>50</v>
      </c>
      <c r="P45" s="9">
        <f t="shared" si="2"/>
        <v>30</v>
      </c>
      <c r="Q45" s="26">
        <v>37.4889376079959</v>
      </c>
      <c r="R45" s="26">
        <v>48.4286026744907</v>
      </c>
      <c r="S45" s="27">
        <f t="shared" si="3"/>
        <v>42.9587701412433</v>
      </c>
      <c r="T45" s="18">
        <v>43.3555815664426</v>
      </c>
      <c r="U45" s="19">
        <v>60</v>
      </c>
      <c r="V45" s="19">
        <v>50</v>
      </c>
      <c r="W45" s="7">
        <f t="shared" si="4"/>
        <v>55</v>
      </c>
      <c r="X45" s="28">
        <f t="shared" si="5"/>
        <v>51.7076954947803</v>
      </c>
      <c r="Y45" s="26">
        <f t="shared" si="6"/>
        <v>51.5365791814918</v>
      </c>
    </row>
    <row r="46" spans="1:25">
      <c r="A46" s="8" t="s">
        <v>74</v>
      </c>
      <c r="B46" s="8">
        <v>2</v>
      </c>
      <c r="C46" s="16">
        <v>50</v>
      </c>
      <c r="D46" s="17">
        <v>25</v>
      </c>
      <c r="E46" s="6">
        <f t="shared" si="0"/>
        <v>37.5</v>
      </c>
      <c r="F46" s="18">
        <v>34.4557235748992</v>
      </c>
      <c r="G46" s="19">
        <v>80</v>
      </c>
      <c r="H46" s="19">
        <v>60</v>
      </c>
      <c r="I46" s="19">
        <v>50</v>
      </c>
      <c r="J46" s="19">
        <v>25</v>
      </c>
      <c r="K46" s="9">
        <f t="shared" si="1"/>
        <v>53.75</v>
      </c>
      <c r="L46" s="19">
        <v>40</v>
      </c>
      <c r="M46" s="19">
        <v>30</v>
      </c>
      <c r="N46" s="19">
        <v>30</v>
      </c>
      <c r="O46" s="8" t="s">
        <v>32</v>
      </c>
      <c r="P46" s="9">
        <f t="shared" si="2"/>
        <v>25</v>
      </c>
      <c r="Q46" s="26">
        <v>57.0955263517562</v>
      </c>
      <c r="R46" s="26">
        <v>73.1002511105998</v>
      </c>
      <c r="S46" s="27">
        <f t="shared" si="3"/>
        <v>65.097888731178</v>
      </c>
      <c r="T46" s="18">
        <v>59.8131962514938</v>
      </c>
      <c r="U46" s="8" t="s">
        <v>32</v>
      </c>
      <c r="V46" s="19">
        <v>50</v>
      </c>
      <c r="W46" s="7">
        <f t="shared" si="4"/>
        <v>25</v>
      </c>
      <c r="X46" s="28">
        <f t="shared" si="5"/>
        <v>46.5664232155774</v>
      </c>
      <c r="Y46" s="26">
        <f t="shared" si="6"/>
        <v>39.6037839652786</v>
      </c>
    </row>
    <row r="47" spans="1:25">
      <c r="A47" s="8" t="s">
        <v>75</v>
      </c>
      <c r="B47" s="8">
        <v>2</v>
      </c>
      <c r="C47" s="16">
        <v>75</v>
      </c>
      <c r="D47" s="17">
        <v>25</v>
      </c>
      <c r="E47" s="6">
        <f t="shared" si="0"/>
        <v>50</v>
      </c>
      <c r="F47" s="18">
        <v>48.6135533726094</v>
      </c>
      <c r="G47" s="19">
        <v>60</v>
      </c>
      <c r="H47" s="19">
        <v>30</v>
      </c>
      <c r="I47" s="19">
        <v>75</v>
      </c>
      <c r="J47" s="19">
        <v>25</v>
      </c>
      <c r="K47" s="9">
        <f t="shared" si="1"/>
        <v>47.5</v>
      </c>
      <c r="L47" s="19">
        <v>100</v>
      </c>
      <c r="M47" s="8" t="s">
        <v>32</v>
      </c>
      <c r="N47" s="19">
        <v>70</v>
      </c>
      <c r="O47" s="8" t="s">
        <v>32</v>
      </c>
      <c r="P47" s="9">
        <f t="shared" si="2"/>
        <v>42.5</v>
      </c>
      <c r="Q47" s="26">
        <v>34.4109360195864</v>
      </c>
      <c r="R47" s="26">
        <v>52.3081658453707</v>
      </c>
      <c r="S47" s="27">
        <f t="shared" si="3"/>
        <v>43.3595509324785</v>
      </c>
      <c r="T47" s="18">
        <v>42.1572368693684</v>
      </c>
      <c r="U47" s="8" t="s">
        <v>32</v>
      </c>
      <c r="V47" s="19">
        <v>25</v>
      </c>
      <c r="W47" s="7">
        <f t="shared" si="4"/>
        <v>12.5</v>
      </c>
      <c r="X47" s="28">
        <f t="shared" si="5"/>
        <v>41.5856054222692</v>
      </c>
      <c r="Y47" s="26">
        <f t="shared" si="6"/>
        <v>38.6541580483956</v>
      </c>
    </row>
    <row r="48" spans="1:25">
      <c r="A48" s="8" t="s">
        <v>76</v>
      </c>
      <c r="B48" s="8">
        <v>2</v>
      </c>
      <c r="C48" s="16">
        <v>25</v>
      </c>
      <c r="D48" s="16">
        <v>25</v>
      </c>
      <c r="E48" s="6">
        <f t="shared" si="0"/>
        <v>25</v>
      </c>
      <c r="F48" s="18">
        <v>24.4865498067348</v>
      </c>
      <c r="G48" s="19">
        <v>20</v>
      </c>
      <c r="H48" s="8" t="s">
        <v>32</v>
      </c>
      <c r="I48" s="19">
        <v>75</v>
      </c>
      <c r="J48" s="19">
        <v>25</v>
      </c>
      <c r="K48" s="9">
        <f t="shared" si="1"/>
        <v>30</v>
      </c>
      <c r="L48" s="19">
        <v>40</v>
      </c>
      <c r="M48" s="8" t="s">
        <v>32</v>
      </c>
      <c r="N48" s="19">
        <v>70</v>
      </c>
      <c r="O48" s="19">
        <v>25</v>
      </c>
      <c r="P48" s="9">
        <f t="shared" si="2"/>
        <v>33.75</v>
      </c>
      <c r="Q48" s="26">
        <v>45.617944422213</v>
      </c>
      <c r="R48" s="26">
        <v>51.4750739138853</v>
      </c>
      <c r="S48" s="27">
        <f t="shared" si="3"/>
        <v>48.5465091680492</v>
      </c>
      <c r="T48" s="18">
        <v>47.5494605874617</v>
      </c>
      <c r="U48" s="8" t="s">
        <v>32</v>
      </c>
      <c r="V48" s="8" t="s">
        <v>32</v>
      </c>
      <c r="W48" s="7">
        <f t="shared" si="4"/>
        <v>0</v>
      </c>
      <c r="X48" s="28">
        <f t="shared" si="5"/>
        <v>33.2920941963317</v>
      </c>
      <c r="Y48" s="26">
        <f t="shared" si="6"/>
        <v>27.1572020788393</v>
      </c>
    </row>
    <row r="49" spans="1:25">
      <c r="A49" s="8" t="s">
        <v>77</v>
      </c>
      <c r="B49" s="8">
        <v>2</v>
      </c>
      <c r="C49" s="16">
        <v>50</v>
      </c>
      <c r="D49" s="16">
        <v>75</v>
      </c>
      <c r="E49" s="6">
        <f t="shared" si="0"/>
        <v>62.5</v>
      </c>
      <c r="F49" s="18">
        <v>63.4263253316894</v>
      </c>
      <c r="G49" s="19">
        <v>100</v>
      </c>
      <c r="H49" s="8" t="s">
        <v>32</v>
      </c>
      <c r="I49" s="19">
        <v>75</v>
      </c>
      <c r="J49" s="19">
        <v>75</v>
      </c>
      <c r="K49" s="9">
        <f t="shared" si="1"/>
        <v>62.5</v>
      </c>
      <c r="L49" s="19">
        <v>80</v>
      </c>
      <c r="M49" s="19">
        <v>100</v>
      </c>
      <c r="N49" s="19">
        <v>100</v>
      </c>
      <c r="O49" s="19">
        <v>100</v>
      </c>
      <c r="P49" s="9">
        <f t="shared" si="2"/>
        <v>95</v>
      </c>
      <c r="Q49" s="26">
        <v>36.5544199026105</v>
      </c>
      <c r="R49" s="26">
        <v>39.3317732961113</v>
      </c>
      <c r="S49" s="27">
        <f t="shared" si="3"/>
        <v>37.9430965993609</v>
      </c>
      <c r="T49" s="18">
        <v>38.5054590240445</v>
      </c>
      <c r="U49" s="19">
        <v>100</v>
      </c>
      <c r="V49" s="19">
        <v>50</v>
      </c>
      <c r="W49" s="7">
        <f t="shared" si="4"/>
        <v>75</v>
      </c>
      <c r="X49" s="28">
        <f t="shared" si="5"/>
        <v>57.5874486759557</v>
      </c>
      <c r="Y49" s="26">
        <f t="shared" si="6"/>
        <v>66.8863568711468</v>
      </c>
    </row>
    <row r="50" spans="1:25">
      <c r="A50" s="8" t="s">
        <v>78</v>
      </c>
      <c r="B50" s="8">
        <v>2</v>
      </c>
      <c r="C50" s="16">
        <v>75</v>
      </c>
      <c r="D50" s="16">
        <v>75</v>
      </c>
      <c r="E50" s="6">
        <f t="shared" si="0"/>
        <v>75</v>
      </c>
      <c r="F50" s="18">
        <v>71.7633139649882</v>
      </c>
      <c r="G50" s="19">
        <v>100</v>
      </c>
      <c r="H50" s="19">
        <v>40</v>
      </c>
      <c r="I50" s="19">
        <v>75</v>
      </c>
      <c r="J50" s="19">
        <v>50</v>
      </c>
      <c r="K50" s="9">
        <f t="shared" si="1"/>
        <v>66.25</v>
      </c>
      <c r="L50" s="19">
        <v>100</v>
      </c>
      <c r="M50" s="19">
        <v>100</v>
      </c>
      <c r="N50" s="19">
        <v>70</v>
      </c>
      <c r="O50" s="19">
        <v>100</v>
      </c>
      <c r="P50" s="9">
        <f t="shared" si="2"/>
        <v>92.5</v>
      </c>
      <c r="Q50" s="26">
        <v>44.7760204588606</v>
      </c>
      <c r="R50" s="26">
        <v>57.3681188613239</v>
      </c>
      <c r="S50" s="27">
        <f t="shared" si="3"/>
        <v>51.0720696600922</v>
      </c>
      <c r="T50" s="18">
        <v>48.8680129314526</v>
      </c>
      <c r="U50" s="19">
        <v>80</v>
      </c>
      <c r="V50" s="19">
        <v>50</v>
      </c>
      <c r="W50" s="7">
        <f t="shared" si="4"/>
        <v>65</v>
      </c>
      <c r="X50" s="28">
        <f t="shared" si="5"/>
        <v>62.8998679655787</v>
      </c>
      <c r="Y50" s="26">
        <f t="shared" si="6"/>
        <v>68.8762653792882</v>
      </c>
    </row>
    <row r="51" spans="1:25">
      <c r="A51" s="8" t="s">
        <v>79</v>
      </c>
      <c r="B51" s="8">
        <v>2</v>
      </c>
      <c r="C51" s="16">
        <v>100</v>
      </c>
      <c r="D51" s="16">
        <v>75</v>
      </c>
      <c r="E51" s="6">
        <f t="shared" si="0"/>
        <v>87.5</v>
      </c>
      <c r="F51" s="18">
        <v>93.355554682544</v>
      </c>
      <c r="G51" s="19">
        <v>60</v>
      </c>
      <c r="H51" s="8" t="s">
        <v>32</v>
      </c>
      <c r="I51" s="19">
        <v>75</v>
      </c>
      <c r="J51" s="19">
        <v>25</v>
      </c>
      <c r="K51" s="9">
        <f t="shared" si="1"/>
        <v>40</v>
      </c>
      <c r="L51" s="8" t="s">
        <v>32</v>
      </c>
      <c r="M51" s="8" t="s">
        <v>32</v>
      </c>
      <c r="N51" s="19">
        <v>30</v>
      </c>
      <c r="O51" s="19">
        <v>25</v>
      </c>
      <c r="P51" s="9">
        <f t="shared" si="2"/>
        <v>13.75</v>
      </c>
      <c r="Q51" s="26">
        <v>29.6712284088048</v>
      </c>
      <c r="R51" s="26">
        <v>30.9631410074695</v>
      </c>
      <c r="S51" s="27">
        <f t="shared" si="3"/>
        <v>30.3171847081371</v>
      </c>
      <c r="T51" s="18">
        <v>32.3460296553289</v>
      </c>
      <c r="U51" s="19">
        <v>40</v>
      </c>
      <c r="V51" s="8" t="s">
        <v>32</v>
      </c>
      <c r="W51" s="7">
        <f t="shared" si="4"/>
        <v>20</v>
      </c>
      <c r="X51" s="28">
        <f t="shared" si="5"/>
        <v>42.9845227986404</v>
      </c>
      <c r="Y51" s="26">
        <f t="shared" si="6"/>
        <v>39.8903168675746</v>
      </c>
    </row>
    <row r="52" spans="1:25">
      <c r="A52" s="8" t="s">
        <v>80</v>
      </c>
      <c r="B52" s="8">
        <v>2</v>
      </c>
      <c r="C52" s="16">
        <v>50</v>
      </c>
      <c r="D52" s="17">
        <v>100</v>
      </c>
      <c r="E52" s="6">
        <f t="shared" si="0"/>
        <v>75</v>
      </c>
      <c r="F52" s="18">
        <v>68.9114471497984</v>
      </c>
      <c r="G52" s="19">
        <v>100</v>
      </c>
      <c r="H52" s="19">
        <v>70</v>
      </c>
      <c r="I52" s="19">
        <v>100</v>
      </c>
      <c r="J52" s="19">
        <v>75</v>
      </c>
      <c r="K52" s="9">
        <f t="shared" si="1"/>
        <v>86.25</v>
      </c>
      <c r="L52" s="19">
        <v>100</v>
      </c>
      <c r="M52" s="19">
        <v>60</v>
      </c>
      <c r="N52" s="19">
        <v>70</v>
      </c>
      <c r="O52" s="19">
        <v>75</v>
      </c>
      <c r="P52" s="9">
        <f t="shared" si="2"/>
        <v>76.25</v>
      </c>
      <c r="Q52" s="26">
        <v>43.6798219043239</v>
      </c>
      <c r="R52" s="26">
        <v>63.8071095131998</v>
      </c>
      <c r="S52" s="27">
        <f t="shared" si="3"/>
        <v>53.7434657087619</v>
      </c>
      <c r="T52" s="18">
        <v>49.3805332911513</v>
      </c>
      <c r="U52" s="19">
        <v>80</v>
      </c>
      <c r="V52" s="19">
        <v>75</v>
      </c>
      <c r="W52" s="7">
        <f t="shared" si="4"/>
        <v>77.5</v>
      </c>
      <c r="X52" s="28">
        <f t="shared" si="5"/>
        <v>66.1595027464202</v>
      </c>
      <c r="Y52" s="26">
        <f t="shared" si="6"/>
        <v>71.65839608819</v>
      </c>
    </row>
    <row r="53" spans="1:25">
      <c r="A53" s="8" t="s">
        <v>81</v>
      </c>
      <c r="B53" s="8">
        <v>2</v>
      </c>
      <c r="C53" s="16">
        <v>100</v>
      </c>
      <c r="D53" s="16">
        <v>25</v>
      </c>
      <c r="E53" s="6">
        <f t="shared" si="0"/>
        <v>62.5</v>
      </c>
      <c r="F53" s="18">
        <v>59.9016719295031</v>
      </c>
      <c r="G53" s="19">
        <v>100</v>
      </c>
      <c r="H53" s="19">
        <v>70</v>
      </c>
      <c r="I53" s="19">
        <v>50</v>
      </c>
      <c r="J53" s="19">
        <v>100</v>
      </c>
      <c r="K53" s="9">
        <f t="shared" si="1"/>
        <v>80</v>
      </c>
      <c r="L53" s="19">
        <v>100</v>
      </c>
      <c r="M53" s="19">
        <v>40</v>
      </c>
      <c r="N53" s="19">
        <v>40</v>
      </c>
      <c r="O53" s="19">
        <v>100</v>
      </c>
      <c r="P53" s="9">
        <f t="shared" si="2"/>
        <v>70</v>
      </c>
      <c r="Q53" s="26">
        <v>44.7186283225476</v>
      </c>
      <c r="R53" s="26">
        <v>51.9060585039776</v>
      </c>
      <c r="S53" s="27">
        <f t="shared" si="3"/>
        <v>48.3123434132626</v>
      </c>
      <c r="T53" s="18">
        <v>46.3038423245879</v>
      </c>
      <c r="U53" s="19">
        <v>40</v>
      </c>
      <c r="V53" s="19">
        <v>75</v>
      </c>
      <c r="W53" s="7">
        <f t="shared" si="4"/>
        <v>57.5</v>
      </c>
      <c r="X53" s="28">
        <f t="shared" si="5"/>
        <v>59.2518713157358</v>
      </c>
      <c r="Y53" s="26">
        <f t="shared" si="6"/>
        <v>62.7411028508182</v>
      </c>
    </row>
    <row r="54" spans="1:25">
      <c r="A54" s="8" t="s">
        <v>82</v>
      </c>
      <c r="B54" s="8">
        <v>2</v>
      </c>
      <c r="C54" s="16">
        <v>50</v>
      </c>
      <c r="D54" s="16">
        <v>25</v>
      </c>
      <c r="E54" s="6">
        <f t="shared" si="0"/>
        <v>37.5</v>
      </c>
      <c r="F54" s="18">
        <v>36.4977973734217</v>
      </c>
      <c r="G54" s="19">
        <v>60</v>
      </c>
      <c r="H54" s="19">
        <v>30</v>
      </c>
      <c r="I54" s="19">
        <v>100</v>
      </c>
      <c r="J54" s="8" t="s">
        <v>32</v>
      </c>
      <c r="K54" s="9">
        <f t="shared" si="1"/>
        <v>47.5</v>
      </c>
      <c r="L54" s="19">
        <v>60</v>
      </c>
      <c r="M54" s="19">
        <v>70</v>
      </c>
      <c r="N54" s="19">
        <v>70</v>
      </c>
      <c r="O54" s="8" t="s">
        <v>32</v>
      </c>
      <c r="P54" s="9">
        <f t="shared" si="2"/>
        <v>50</v>
      </c>
      <c r="Q54" s="26">
        <v>49.3181182138988</v>
      </c>
      <c r="R54" s="26">
        <v>58.6643589972853</v>
      </c>
      <c r="S54" s="27">
        <f t="shared" si="3"/>
        <v>53.991238605592</v>
      </c>
      <c r="T54" s="18">
        <v>52.548300975119</v>
      </c>
      <c r="U54" s="8" t="s">
        <v>32</v>
      </c>
      <c r="V54" s="8" t="s">
        <v>32</v>
      </c>
      <c r="W54" s="7">
        <f t="shared" si="4"/>
        <v>0</v>
      </c>
      <c r="X54" s="28">
        <f t="shared" si="5"/>
        <v>42.8188798647319</v>
      </c>
      <c r="Y54" s="26">
        <f t="shared" si="6"/>
        <v>37.3092196697081</v>
      </c>
    </row>
    <row r="55" spans="1:25">
      <c r="A55" s="8" t="s">
        <v>83</v>
      </c>
      <c r="B55" s="8">
        <v>2</v>
      </c>
      <c r="C55" s="16">
        <v>100</v>
      </c>
      <c r="D55" s="16">
        <v>75</v>
      </c>
      <c r="E55" s="6">
        <f t="shared" si="0"/>
        <v>87.5</v>
      </c>
      <c r="F55" s="18">
        <v>80.3966883414315</v>
      </c>
      <c r="G55" s="19">
        <v>100</v>
      </c>
      <c r="H55" s="19">
        <v>70</v>
      </c>
      <c r="I55" s="19">
        <v>75</v>
      </c>
      <c r="J55" s="19">
        <v>25</v>
      </c>
      <c r="K55" s="9">
        <f t="shared" si="1"/>
        <v>67.5</v>
      </c>
      <c r="L55" s="19">
        <v>40</v>
      </c>
      <c r="M55" s="19">
        <v>100</v>
      </c>
      <c r="N55" s="8" t="s">
        <v>32</v>
      </c>
      <c r="O55" s="19">
        <v>75</v>
      </c>
      <c r="P55" s="9">
        <f t="shared" si="2"/>
        <v>53.75</v>
      </c>
      <c r="Q55" s="26">
        <v>35.1019733810134</v>
      </c>
      <c r="R55" s="26">
        <v>48.7086106782861</v>
      </c>
      <c r="S55" s="27">
        <f t="shared" si="3"/>
        <v>41.9052920296497</v>
      </c>
      <c r="T55" s="18">
        <v>38.5033908933077</v>
      </c>
      <c r="U55" s="19">
        <v>60</v>
      </c>
      <c r="V55" s="19">
        <v>50</v>
      </c>
      <c r="W55" s="7">
        <f t="shared" si="4"/>
        <v>55</v>
      </c>
      <c r="X55" s="28">
        <f t="shared" si="5"/>
        <v>55.8556940256094</v>
      </c>
      <c r="Y55" s="26">
        <f t="shared" si="6"/>
        <v>59.0300158469478</v>
      </c>
    </row>
    <row r="56" spans="1:25">
      <c r="A56" s="8" t="s">
        <v>84</v>
      </c>
      <c r="B56" s="8">
        <v>2</v>
      </c>
      <c r="C56" s="16">
        <v>75</v>
      </c>
      <c r="D56" s="16">
        <v>50</v>
      </c>
      <c r="E56" s="6">
        <f t="shared" si="0"/>
        <v>62.5</v>
      </c>
      <c r="F56" s="18">
        <v>58.7065700505341</v>
      </c>
      <c r="G56" s="19">
        <v>100</v>
      </c>
      <c r="H56" s="19">
        <v>100</v>
      </c>
      <c r="I56" s="19">
        <v>100</v>
      </c>
      <c r="J56" s="19">
        <v>100</v>
      </c>
      <c r="K56" s="9">
        <f t="shared" si="1"/>
        <v>100</v>
      </c>
      <c r="L56" s="19">
        <v>100</v>
      </c>
      <c r="M56" s="19">
        <v>100</v>
      </c>
      <c r="N56" s="19">
        <v>70</v>
      </c>
      <c r="O56" s="19">
        <v>75</v>
      </c>
      <c r="P56" s="9">
        <f t="shared" si="2"/>
        <v>86.25</v>
      </c>
      <c r="Q56" s="26">
        <v>47.4738229398446</v>
      </c>
      <c r="R56" s="26">
        <v>53.3370102811401</v>
      </c>
      <c r="S56" s="27">
        <f t="shared" si="3"/>
        <v>50.4054166104924</v>
      </c>
      <c r="T56" s="18">
        <v>47.3460659387236</v>
      </c>
      <c r="U56" s="19">
        <v>80</v>
      </c>
      <c r="V56" s="19">
        <v>100</v>
      </c>
      <c r="W56" s="7">
        <f t="shared" si="4"/>
        <v>90</v>
      </c>
      <c r="X56" s="28">
        <f t="shared" si="5"/>
        <v>68.3047403855962</v>
      </c>
      <c r="Y56" s="26">
        <f t="shared" si="6"/>
        <v>76.4605271978515</v>
      </c>
    </row>
    <row r="57" spans="1:25">
      <c r="A57" s="8" t="s">
        <v>85</v>
      </c>
      <c r="B57" s="8">
        <v>2</v>
      </c>
      <c r="C57" s="16">
        <v>75</v>
      </c>
      <c r="D57" s="17">
        <v>50</v>
      </c>
      <c r="E57" s="6">
        <f t="shared" si="0"/>
        <v>62.5</v>
      </c>
      <c r="F57" s="18">
        <v>65.6979560046912</v>
      </c>
      <c r="G57" s="19">
        <v>60</v>
      </c>
      <c r="H57" s="19">
        <v>40</v>
      </c>
      <c r="I57" s="19">
        <v>50</v>
      </c>
      <c r="J57" s="19">
        <v>50</v>
      </c>
      <c r="K57" s="9">
        <f t="shared" si="1"/>
        <v>50</v>
      </c>
      <c r="L57" s="19">
        <v>40</v>
      </c>
      <c r="M57" s="19">
        <v>70</v>
      </c>
      <c r="N57" s="19">
        <v>100</v>
      </c>
      <c r="O57" s="19">
        <v>25</v>
      </c>
      <c r="P57" s="9">
        <f t="shared" si="2"/>
        <v>58.75</v>
      </c>
      <c r="Q57" s="26">
        <v>28.0723860167347</v>
      </c>
      <c r="R57" s="26">
        <v>29.1597207745482</v>
      </c>
      <c r="S57" s="27">
        <f t="shared" si="3"/>
        <v>28.6160533956414</v>
      </c>
      <c r="T57" s="18">
        <v>30.080259472236</v>
      </c>
      <c r="U57" s="19">
        <v>20</v>
      </c>
      <c r="V57" s="19">
        <v>75</v>
      </c>
      <c r="W57" s="7">
        <f t="shared" si="4"/>
        <v>47.5</v>
      </c>
      <c r="X57" s="28">
        <f t="shared" si="5"/>
        <v>45.7966949898326</v>
      </c>
      <c r="Y57" s="26">
        <f t="shared" si="6"/>
        <v>50.4056430953854</v>
      </c>
    </row>
    <row r="58" spans="1:25">
      <c r="A58" s="8" t="s">
        <v>86</v>
      </c>
      <c r="B58" s="8">
        <v>2</v>
      </c>
      <c r="C58" s="16">
        <v>75</v>
      </c>
      <c r="D58" s="16">
        <v>75</v>
      </c>
      <c r="E58" s="6">
        <f t="shared" si="0"/>
        <v>75</v>
      </c>
      <c r="F58" s="18">
        <v>68.9114471497984</v>
      </c>
      <c r="G58" s="19">
        <v>100</v>
      </c>
      <c r="H58" s="19">
        <v>40</v>
      </c>
      <c r="I58" s="19">
        <v>100</v>
      </c>
      <c r="J58" s="19">
        <v>75</v>
      </c>
      <c r="K58" s="9">
        <f t="shared" si="1"/>
        <v>78.75</v>
      </c>
      <c r="L58" s="19">
        <v>60</v>
      </c>
      <c r="M58" s="19">
        <v>100</v>
      </c>
      <c r="N58" s="19">
        <v>40</v>
      </c>
      <c r="O58" s="19">
        <v>50</v>
      </c>
      <c r="P58" s="9">
        <f t="shared" si="2"/>
        <v>62.5</v>
      </c>
      <c r="Q58" s="26">
        <v>62.0403020171627</v>
      </c>
      <c r="R58" s="26">
        <v>69.8860023369491</v>
      </c>
      <c r="S58" s="27">
        <f t="shared" si="3"/>
        <v>65.9631521770559</v>
      </c>
      <c r="T58" s="18">
        <v>60.6082170011107</v>
      </c>
      <c r="U58" s="19">
        <v>40</v>
      </c>
      <c r="V58" s="19">
        <v>25</v>
      </c>
      <c r="W58" s="7">
        <f t="shared" si="4"/>
        <v>32.5</v>
      </c>
      <c r="X58" s="28">
        <f t="shared" si="5"/>
        <v>63.275576230404</v>
      </c>
      <c r="Y58" s="26">
        <f t="shared" si="6"/>
        <v>60.6539328301818</v>
      </c>
    </row>
    <row r="59" spans="1:25">
      <c r="A59" s="8" t="s">
        <v>87</v>
      </c>
      <c r="B59" s="8">
        <v>2</v>
      </c>
      <c r="C59" s="16">
        <v>50</v>
      </c>
      <c r="D59" s="16">
        <v>25</v>
      </c>
      <c r="E59" s="6">
        <f t="shared" si="0"/>
        <v>37.5</v>
      </c>
      <c r="F59" s="18">
        <v>34.4557235748992</v>
      </c>
      <c r="G59" s="19">
        <v>80</v>
      </c>
      <c r="H59" s="8" t="s">
        <v>32</v>
      </c>
      <c r="I59" s="19">
        <v>50</v>
      </c>
      <c r="J59" s="19">
        <v>50</v>
      </c>
      <c r="K59" s="9">
        <f t="shared" si="1"/>
        <v>45</v>
      </c>
      <c r="L59" s="8" t="s">
        <v>32</v>
      </c>
      <c r="M59" s="8" t="s">
        <v>32</v>
      </c>
      <c r="N59" s="8" t="s">
        <v>32</v>
      </c>
      <c r="O59" s="8" t="s">
        <v>32</v>
      </c>
      <c r="P59" s="9">
        <f t="shared" si="2"/>
        <v>0</v>
      </c>
      <c r="Q59" s="26">
        <v>65.4436081562711</v>
      </c>
      <c r="R59" s="26">
        <v>76.6558662769225</v>
      </c>
      <c r="S59" s="27">
        <f t="shared" si="3"/>
        <v>71.0497372165968</v>
      </c>
      <c r="T59" s="18">
        <v>65.281869482781</v>
      </c>
      <c r="U59" s="19">
        <v>20</v>
      </c>
      <c r="V59" s="19">
        <v>25</v>
      </c>
      <c r="W59" s="7">
        <f t="shared" si="4"/>
        <v>22.5</v>
      </c>
      <c r="X59" s="28">
        <f t="shared" si="5"/>
        <v>44.2538925080923</v>
      </c>
      <c r="Y59" s="26">
        <f t="shared" si="6"/>
        <v>33.4475186115361</v>
      </c>
    </row>
    <row r="60" spans="1:25">
      <c r="A60" s="8" t="s">
        <v>88</v>
      </c>
      <c r="B60" s="8">
        <v>2</v>
      </c>
      <c r="C60" s="16">
        <v>50</v>
      </c>
      <c r="D60" s="16">
        <v>75</v>
      </c>
      <c r="E60" s="6">
        <f t="shared" si="0"/>
        <v>62.5</v>
      </c>
      <c r="F60" s="18">
        <v>62.6988043249512</v>
      </c>
      <c r="G60" s="8" t="s">
        <v>32</v>
      </c>
      <c r="H60" s="19">
        <v>40</v>
      </c>
      <c r="I60" s="19">
        <v>25</v>
      </c>
      <c r="J60" s="19">
        <v>25</v>
      </c>
      <c r="K60" s="9">
        <f t="shared" si="1"/>
        <v>22.5</v>
      </c>
      <c r="L60" s="19">
        <v>40</v>
      </c>
      <c r="M60" s="8" t="s">
        <v>32</v>
      </c>
      <c r="N60" s="8" t="s">
        <v>32</v>
      </c>
      <c r="O60" s="19">
        <v>25</v>
      </c>
      <c r="P60" s="9">
        <f t="shared" si="2"/>
        <v>16.25</v>
      </c>
      <c r="Q60" s="26">
        <v>43.6166090011709</v>
      </c>
      <c r="R60" s="26">
        <v>47.7202430523742</v>
      </c>
      <c r="S60" s="27">
        <f t="shared" si="3"/>
        <v>45.6684260267725</v>
      </c>
      <c r="T60" s="18">
        <v>45.813691316498</v>
      </c>
      <c r="U60" s="8" t="s">
        <v>32</v>
      </c>
      <c r="V60" s="8" t="s">
        <v>32</v>
      </c>
      <c r="W60" s="7">
        <f t="shared" si="4"/>
        <v>0</v>
      </c>
      <c r="X60" s="28">
        <f t="shared" si="5"/>
        <v>36.9902373915894</v>
      </c>
      <c r="Y60" s="26">
        <f t="shared" si="6"/>
        <v>29.4524991282898</v>
      </c>
    </row>
    <row r="61" spans="1:25">
      <c r="A61" s="8" t="s">
        <v>89</v>
      </c>
      <c r="B61" s="8">
        <v>2</v>
      </c>
      <c r="C61" s="16">
        <v>50</v>
      </c>
      <c r="D61" s="16">
        <v>25</v>
      </c>
      <c r="E61" s="6">
        <f t="shared" si="0"/>
        <v>37.5</v>
      </c>
      <c r="F61" s="18">
        <v>40.6743492789349</v>
      </c>
      <c r="G61" s="19">
        <v>100</v>
      </c>
      <c r="H61" s="19">
        <v>30</v>
      </c>
      <c r="I61" s="19">
        <v>75</v>
      </c>
      <c r="J61" s="19">
        <v>75</v>
      </c>
      <c r="K61" s="9">
        <f t="shared" si="1"/>
        <v>70</v>
      </c>
      <c r="L61" s="19">
        <v>80</v>
      </c>
      <c r="M61" s="19">
        <v>60</v>
      </c>
      <c r="N61" s="19">
        <v>70</v>
      </c>
      <c r="O61" s="19">
        <v>75</v>
      </c>
      <c r="P61" s="9">
        <f t="shared" si="2"/>
        <v>71.25</v>
      </c>
      <c r="Q61" s="26">
        <v>36.9841718805721</v>
      </c>
      <c r="R61" s="26">
        <v>41.6623253056493</v>
      </c>
      <c r="S61" s="27">
        <f t="shared" si="3"/>
        <v>39.3232485931107</v>
      </c>
      <c r="T61" s="18">
        <v>42.6519346148952</v>
      </c>
      <c r="U61" s="19">
        <v>60</v>
      </c>
      <c r="V61" s="19">
        <v>75</v>
      </c>
      <c r="W61" s="7">
        <f t="shared" si="4"/>
        <v>67.5</v>
      </c>
      <c r="X61" s="28">
        <f t="shared" si="5"/>
        <v>53.0706437017451</v>
      </c>
      <c r="Y61" s="26">
        <f t="shared" si="6"/>
        <v>58.415256778766</v>
      </c>
    </row>
    <row r="62" spans="1:25">
      <c r="A62" s="8" t="s">
        <v>90</v>
      </c>
      <c r="B62" s="8">
        <v>2</v>
      </c>
      <c r="C62" s="16">
        <v>50</v>
      </c>
      <c r="D62" s="16">
        <v>25</v>
      </c>
      <c r="E62" s="6">
        <f t="shared" si="0"/>
        <v>37.5</v>
      </c>
      <c r="F62" s="18">
        <v>34.4557235748992</v>
      </c>
      <c r="G62" s="19">
        <v>80</v>
      </c>
      <c r="H62" s="19">
        <v>100</v>
      </c>
      <c r="I62" s="19">
        <v>100</v>
      </c>
      <c r="J62" s="19">
        <v>75</v>
      </c>
      <c r="K62" s="9">
        <f t="shared" si="1"/>
        <v>88.75</v>
      </c>
      <c r="L62" s="19">
        <v>100</v>
      </c>
      <c r="M62" s="19">
        <v>70</v>
      </c>
      <c r="N62" s="19">
        <v>100</v>
      </c>
      <c r="O62" s="19">
        <v>75</v>
      </c>
      <c r="P62" s="9">
        <f t="shared" si="2"/>
        <v>86.25</v>
      </c>
      <c r="Q62" s="26">
        <v>47.0981542033204</v>
      </c>
      <c r="R62" s="26">
        <v>66.9507817902362</v>
      </c>
      <c r="S62" s="27">
        <f t="shared" si="3"/>
        <v>57.0244679967783</v>
      </c>
      <c r="T62" s="18">
        <v>52.3951815014048</v>
      </c>
      <c r="U62" s="19">
        <v>60</v>
      </c>
      <c r="V62" s="19">
        <v>25</v>
      </c>
      <c r="W62" s="7">
        <f t="shared" si="4"/>
        <v>42.5</v>
      </c>
      <c r="X62" s="28">
        <f t="shared" si="5"/>
        <v>58.4742173155418</v>
      </c>
      <c r="Y62" s="26">
        <f t="shared" si="6"/>
        <v>60.8701810152608</v>
      </c>
    </row>
    <row r="63" spans="1:25">
      <c r="A63" s="8" t="s">
        <v>91</v>
      </c>
      <c r="B63" s="8">
        <v>2</v>
      </c>
      <c r="C63" s="16">
        <v>50</v>
      </c>
      <c r="D63" s="16">
        <v>75</v>
      </c>
      <c r="E63" s="6">
        <f t="shared" si="0"/>
        <v>62.5</v>
      </c>
      <c r="F63" s="18">
        <v>57.4262059581654</v>
      </c>
      <c r="G63" s="19">
        <v>60</v>
      </c>
      <c r="H63" s="19">
        <v>40</v>
      </c>
      <c r="I63" s="8" t="s">
        <v>32</v>
      </c>
      <c r="J63" s="8" t="s">
        <v>32</v>
      </c>
      <c r="K63" s="9">
        <f t="shared" si="1"/>
        <v>25</v>
      </c>
      <c r="L63" s="19">
        <v>40</v>
      </c>
      <c r="M63" s="19">
        <v>100</v>
      </c>
      <c r="N63" s="8" t="s">
        <v>32</v>
      </c>
      <c r="O63" s="19">
        <v>25</v>
      </c>
      <c r="P63" s="9">
        <f t="shared" si="2"/>
        <v>41.25</v>
      </c>
      <c r="Q63" s="26">
        <v>56.2921495886383</v>
      </c>
      <c r="R63" s="26">
        <v>62.3499030290463</v>
      </c>
      <c r="S63" s="27">
        <f t="shared" si="3"/>
        <v>59.3210263088423</v>
      </c>
      <c r="T63" s="18">
        <v>54.5053035913812</v>
      </c>
      <c r="U63" s="19">
        <v>80</v>
      </c>
      <c r="V63" s="19">
        <v>25</v>
      </c>
      <c r="W63" s="7">
        <f t="shared" si="4"/>
        <v>52.5</v>
      </c>
      <c r="X63" s="28">
        <f t="shared" si="5"/>
        <v>47.6623626281856</v>
      </c>
      <c r="Y63" s="26">
        <f t="shared" si="6"/>
        <v>46.1363019099093</v>
      </c>
    </row>
    <row r="64" spans="1:25">
      <c r="A64" s="8" t="s">
        <v>92</v>
      </c>
      <c r="B64" s="8">
        <v>2</v>
      </c>
      <c r="C64" s="16">
        <v>25</v>
      </c>
      <c r="D64" s="16">
        <v>25</v>
      </c>
      <c r="E64" s="6">
        <f t="shared" si="0"/>
        <v>25</v>
      </c>
      <c r="F64" s="18">
        <v>25.3858405481023</v>
      </c>
      <c r="G64" s="19">
        <v>80</v>
      </c>
      <c r="H64" s="19">
        <v>70</v>
      </c>
      <c r="I64" s="19">
        <v>75</v>
      </c>
      <c r="J64" s="19">
        <v>50</v>
      </c>
      <c r="K64" s="9">
        <f t="shared" si="1"/>
        <v>68.75</v>
      </c>
      <c r="L64" s="19">
        <v>80</v>
      </c>
      <c r="M64" s="19">
        <v>100</v>
      </c>
      <c r="N64" s="19">
        <v>70</v>
      </c>
      <c r="O64" s="19">
        <v>75</v>
      </c>
      <c r="P64" s="9">
        <f t="shared" si="2"/>
        <v>81.25</v>
      </c>
      <c r="Q64" s="26">
        <v>43.674042424888</v>
      </c>
      <c r="R64" s="26">
        <v>51.0659213357201</v>
      </c>
      <c r="S64" s="27">
        <f t="shared" si="3"/>
        <v>47.3699818803041</v>
      </c>
      <c r="T64" s="18">
        <v>48.1010722711957</v>
      </c>
      <c r="U64" s="19">
        <v>80</v>
      </c>
      <c r="V64" s="19">
        <v>50</v>
      </c>
      <c r="W64" s="7">
        <f t="shared" si="4"/>
        <v>65</v>
      </c>
      <c r="X64" s="28">
        <f t="shared" si="5"/>
        <v>52.6925970180987</v>
      </c>
      <c r="Y64" s="26">
        <f t="shared" si="6"/>
        <v>57.6973825638596</v>
      </c>
    </row>
    <row r="65" spans="1:25">
      <c r="A65" s="8" t="s">
        <v>93</v>
      </c>
      <c r="B65" s="8">
        <v>2</v>
      </c>
      <c r="C65" s="16">
        <v>50</v>
      </c>
      <c r="D65" s="16">
        <v>50</v>
      </c>
      <c r="E65" s="6">
        <f t="shared" si="0"/>
        <v>50</v>
      </c>
      <c r="F65" s="18">
        <v>48.1480220563</v>
      </c>
      <c r="G65" s="19">
        <v>40</v>
      </c>
      <c r="H65" s="19">
        <v>100</v>
      </c>
      <c r="I65" s="19">
        <v>50</v>
      </c>
      <c r="J65" s="19">
        <v>25</v>
      </c>
      <c r="K65" s="9">
        <f t="shared" si="1"/>
        <v>53.75</v>
      </c>
      <c r="L65" s="19">
        <v>40</v>
      </c>
      <c r="M65" s="8" t="s">
        <v>32</v>
      </c>
      <c r="N65" s="19">
        <v>30</v>
      </c>
      <c r="O65" s="19">
        <v>25</v>
      </c>
      <c r="P65" s="9">
        <f t="shared" si="2"/>
        <v>23.75</v>
      </c>
      <c r="Q65" s="26">
        <v>62.0083437774549</v>
      </c>
      <c r="R65" s="26">
        <v>71.5284284096595</v>
      </c>
      <c r="S65" s="27">
        <f t="shared" si="3"/>
        <v>66.7683860935572</v>
      </c>
      <c r="T65" s="18">
        <v>64.2953145259229</v>
      </c>
      <c r="U65" s="19">
        <v>40</v>
      </c>
      <c r="V65" s="19">
        <v>50</v>
      </c>
      <c r="W65" s="7">
        <f t="shared" si="4"/>
        <v>45</v>
      </c>
      <c r="X65" s="28">
        <f t="shared" si="5"/>
        <v>52.9727302216292</v>
      </c>
      <c r="Y65" s="26">
        <f t="shared" si="6"/>
        <v>46.9886673164446</v>
      </c>
    </row>
    <row r="66" spans="1:25">
      <c r="A66" s="8" t="s">
        <v>94</v>
      </c>
      <c r="B66" s="8">
        <v>2</v>
      </c>
      <c r="C66" s="16">
        <v>50</v>
      </c>
      <c r="D66" s="16">
        <v>50</v>
      </c>
      <c r="E66" s="6">
        <f t="shared" si="0"/>
        <v>50</v>
      </c>
      <c r="F66" s="18">
        <v>45.9409647665323</v>
      </c>
      <c r="G66" s="19">
        <v>80</v>
      </c>
      <c r="H66" s="8" t="s">
        <v>32</v>
      </c>
      <c r="I66" s="19">
        <v>100</v>
      </c>
      <c r="J66" s="19">
        <v>50</v>
      </c>
      <c r="K66" s="9">
        <f t="shared" si="1"/>
        <v>57.5</v>
      </c>
      <c r="L66" s="19">
        <v>60</v>
      </c>
      <c r="M66" s="19">
        <v>30</v>
      </c>
      <c r="N66" s="19">
        <v>70</v>
      </c>
      <c r="O66" s="19">
        <v>50</v>
      </c>
      <c r="P66" s="9">
        <f t="shared" si="2"/>
        <v>52.5</v>
      </c>
      <c r="Q66" s="26">
        <v>48.6204964289749</v>
      </c>
      <c r="R66" s="26">
        <v>69.6516901405775</v>
      </c>
      <c r="S66" s="27">
        <f t="shared" si="3"/>
        <v>59.1360932847762</v>
      </c>
      <c r="T66" s="18">
        <v>54.3353835605254</v>
      </c>
      <c r="U66" s="19">
        <v>40</v>
      </c>
      <c r="V66" s="19">
        <v>50</v>
      </c>
      <c r="W66" s="7">
        <f t="shared" si="4"/>
        <v>45</v>
      </c>
      <c r="X66" s="28">
        <f t="shared" si="5"/>
        <v>52.1723463775166</v>
      </c>
      <c r="Y66" s="26">
        <f t="shared" si="6"/>
        <v>51.0552696654115</v>
      </c>
    </row>
    <row r="67" spans="1:25">
      <c r="A67" s="8" t="s">
        <v>95</v>
      </c>
      <c r="B67" s="8">
        <v>2</v>
      </c>
      <c r="C67" s="17">
        <v>50</v>
      </c>
      <c r="D67" s="17">
        <v>25</v>
      </c>
      <c r="E67" s="6">
        <f t="shared" ref="E67:E130" si="7">SUM(C67:D67)/2</f>
        <v>37.5</v>
      </c>
      <c r="F67" s="18">
        <v>40.2280541557804</v>
      </c>
      <c r="G67" s="19">
        <v>100</v>
      </c>
      <c r="H67" s="19">
        <v>100</v>
      </c>
      <c r="I67" s="19">
        <v>75</v>
      </c>
      <c r="J67" s="19">
        <v>50</v>
      </c>
      <c r="K67" s="9">
        <f t="shared" ref="K67:K130" si="8">SUM(G67:J67)/4</f>
        <v>81.25</v>
      </c>
      <c r="L67" s="19">
        <v>100</v>
      </c>
      <c r="M67" s="19">
        <v>100</v>
      </c>
      <c r="N67" s="19">
        <v>100</v>
      </c>
      <c r="O67" s="19">
        <v>100</v>
      </c>
      <c r="P67" s="9">
        <f t="shared" ref="P67:P130" si="9">SUM(L67:O67)/4</f>
        <v>100</v>
      </c>
      <c r="Q67" s="26">
        <v>44.4716314050726</v>
      </c>
      <c r="R67" s="26">
        <v>48.9290607633878</v>
      </c>
      <c r="S67" s="27">
        <f t="shared" ref="S67:S130" si="10">(Q67+R67)/2</f>
        <v>46.7003460842302</v>
      </c>
      <c r="T67" s="18">
        <v>50.0977080365359</v>
      </c>
      <c r="U67" s="19">
        <v>80</v>
      </c>
      <c r="V67" s="19">
        <v>50</v>
      </c>
      <c r="W67" s="7">
        <f t="shared" ref="W67:W130" si="11">SUM(U67:V67)/2</f>
        <v>65</v>
      </c>
      <c r="X67" s="28">
        <f t="shared" ref="X67:X130" si="12">0.2*F67+0.2*K67+0.1*P67+0.4*T67+0.1*W67</f>
        <v>60.8346940457705</v>
      </c>
      <c r="Y67" s="26">
        <f t="shared" ref="Y67:Y130" si="13">(F67+K67+P67+T67+W67)*0.2</f>
        <v>67.3151524384633</v>
      </c>
    </row>
    <row r="68" spans="1:25">
      <c r="A68" s="8" t="s">
        <v>96</v>
      </c>
      <c r="B68" s="8">
        <v>2</v>
      </c>
      <c r="C68" s="16">
        <v>50</v>
      </c>
      <c r="D68" s="16">
        <v>25</v>
      </c>
      <c r="E68" s="6">
        <f t="shared" si="7"/>
        <v>37.5</v>
      </c>
      <c r="F68" s="18">
        <v>40.6743492789349</v>
      </c>
      <c r="G68" s="19">
        <v>60</v>
      </c>
      <c r="H68" s="19">
        <v>100</v>
      </c>
      <c r="I68" s="19">
        <v>100</v>
      </c>
      <c r="J68" s="19">
        <v>100</v>
      </c>
      <c r="K68" s="9">
        <f t="shared" si="8"/>
        <v>90</v>
      </c>
      <c r="L68" s="19">
        <v>100</v>
      </c>
      <c r="M68" s="19">
        <v>60</v>
      </c>
      <c r="N68" s="19">
        <v>100</v>
      </c>
      <c r="O68" s="19">
        <v>25</v>
      </c>
      <c r="P68" s="9">
        <f t="shared" si="9"/>
        <v>71.25</v>
      </c>
      <c r="Q68" s="26">
        <v>23.724378351001</v>
      </c>
      <c r="R68" s="26">
        <v>26.5993855713035</v>
      </c>
      <c r="S68" s="27">
        <f t="shared" si="10"/>
        <v>25.1618819611523</v>
      </c>
      <c r="T68" s="18">
        <v>27.291818010753</v>
      </c>
      <c r="U68" s="19">
        <v>80</v>
      </c>
      <c r="V68" s="19">
        <v>50</v>
      </c>
      <c r="W68" s="7">
        <f t="shared" si="11"/>
        <v>65</v>
      </c>
      <c r="X68" s="28">
        <f t="shared" si="12"/>
        <v>50.6765970600882</v>
      </c>
      <c r="Y68" s="26">
        <f t="shared" si="13"/>
        <v>58.8432334579376</v>
      </c>
    </row>
    <row r="69" spans="1:25">
      <c r="A69" s="8" t="s">
        <v>97</v>
      </c>
      <c r="B69" s="8">
        <v>2</v>
      </c>
      <c r="C69" s="16">
        <v>50</v>
      </c>
      <c r="D69" s="17">
        <v>25</v>
      </c>
      <c r="E69" s="6">
        <f t="shared" si="7"/>
        <v>37.5</v>
      </c>
      <c r="F69" s="18">
        <v>39.9597766841494</v>
      </c>
      <c r="G69" s="19">
        <v>60</v>
      </c>
      <c r="H69" s="19">
        <v>70</v>
      </c>
      <c r="I69" s="19">
        <v>75</v>
      </c>
      <c r="J69" s="19">
        <v>50</v>
      </c>
      <c r="K69" s="9">
        <f t="shared" si="8"/>
        <v>63.75</v>
      </c>
      <c r="L69" s="19">
        <v>100</v>
      </c>
      <c r="M69" s="19">
        <v>100</v>
      </c>
      <c r="N69" s="19">
        <v>40</v>
      </c>
      <c r="O69" s="19">
        <v>75</v>
      </c>
      <c r="P69" s="9">
        <f t="shared" si="9"/>
        <v>78.75</v>
      </c>
      <c r="Q69" s="26">
        <v>56.2212727239657</v>
      </c>
      <c r="R69" s="26">
        <v>62.152744202275</v>
      </c>
      <c r="S69" s="27">
        <f t="shared" si="10"/>
        <v>59.1870084631203</v>
      </c>
      <c r="T69" s="18">
        <v>63.0693237543773</v>
      </c>
      <c r="U69" s="19">
        <v>40</v>
      </c>
      <c r="V69" s="19">
        <v>75</v>
      </c>
      <c r="W69" s="7">
        <f t="shared" si="11"/>
        <v>57.5</v>
      </c>
      <c r="X69" s="28">
        <f t="shared" si="12"/>
        <v>59.5946848385808</v>
      </c>
      <c r="Y69" s="26">
        <f t="shared" si="13"/>
        <v>60.6058200877053</v>
      </c>
    </row>
    <row r="70" spans="1:25">
      <c r="A70" s="8" t="s">
        <v>98</v>
      </c>
      <c r="B70" s="8">
        <v>2</v>
      </c>
      <c r="C70" s="16">
        <v>100</v>
      </c>
      <c r="D70" s="16">
        <v>100</v>
      </c>
      <c r="E70" s="6">
        <f t="shared" si="7"/>
        <v>100</v>
      </c>
      <c r="F70" s="18">
        <v>91.8819295330646</v>
      </c>
      <c r="G70" s="19">
        <v>100</v>
      </c>
      <c r="H70" s="19">
        <v>70</v>
      </c>
      <c r="I70" s="19">
        <v>75</v>
      </c>
      <c r="J70" s="19">
        <v>100</v>
      </c>
      <c r="K70" s="9">
        <f t="shared" si="8"/>
        <v>86.25</v>
      </c>
      <c r="L70" s="19">
        <v>80</v>
      </c>
      <c r="M70" s="8" t="s">
        <v>32</v>
      </c>
      <c r="N70" s="19">
        <v>40</v>
      </c>
      <c r="O70" s="19">
        <v>75</v>
      </c>
      <c r="P70" s="9">
        <f t="shared" si="9"/>
        <v>48.75</v>
      </c>
      <c r="Q70" s="26">
        <v>56.5985343045067</v>
      </c>
      <c r="R70" s="26">
        <v>67.8698260716147</v>
      </c>
      <c r="S70" s="27">
        <f t="shared" si="10"/>
        <v>62.2341801880607</v>
      </c>
      <c r="T70" s="18">
        <v>57.1819655858744</v>
      </c>
      <c r="U70" s="19">
        <v>20</v>
      </c>
      <c r="V70" s="19">
        <v>75</v>
      </c>
      <c r="W70" s="7">
        <f t="shared" si="11"/>
        <v>47.5</v>
      </c>
      <c r="X70" s="28">
        <f t="shared" si="12"/>
        <v>68.1241721409627</v>
      </c>
      <c r="Y70" s="26">
        <f t="shared" si="13"/>
        <v>66.3127790237878</v>
      </c>
    </row>
    <row r="71" spans="1:25">
      <c r="A71" s="8" t="s">
        <v>99</v>
      </c>
      <c r="B71" s="8">
        <v>2</v>
      </c>
      <c r="C71" s="16">
        <v>50</v>
      </c>
      <c r="D71" s="16">
        <v>50</v>
      </c>
      <c r="E71" s="6">
        <f t="shared" si="7"/>
        <v>50</v>
      </c>
      <c r="F71" s="18">
        <v>47.1984958834885</v>
      </c>
      <c r="G71" s="19">
        <v>60</v>
      </c>
      <c r="H71" s="19">
        <v>60</v>
      </c>
      <c r="I71" s="19">
        <v>100</v>
      </c>
      <c r="J71" s="19">
        <v>75</v>
      </c>
      <c r="K71" s="9">
        <f t="shared" si="8"/>
        <v>73.75</v>
      </c>
      <c r="L71" s="19">
        <v>80</v>
      </c>
      <c r="M71" s="19">
        <v>60</v>
      </c>
      <c r="N71" s="19">
        <v>70</v>
      </c>
      <c r="O71" s="19">
        <v>100</v>
      </c>
      <c r="P71" s="9">
        <f t="shared" si="9"/>
        <v>77.5</v>
      </c>
      <c r="Q71" s="26">
        <v>40.4840404678377</v>
      </c>
      <c r="R71" s="26">
        <v>53.1674211135191</v>
      </c>
      <c r="S71" s="27">
        <f t="shared" si="10"/>
        <v>46.8257307906784</v>
      </c>
      <c r="T71" s="18">
        <v>44.2020812393035</v>
      </c>
      <c r="U71" s="19">
        <v>40</v>
      </c>
      <c r="V71" s="19">
        <v>50</v>
      </c>
      <c r="W71" s="7">
        <f t="shared" si="11"/>
        <v>45</v>
      </c>
      <c r="X71" s="28">
        <f t="shared" si="12"/>
        <v>54.1205316724191</v>
      </c>
      <c r="Y71" s="26">
        <f t="shared" si="13"/>
        <v>57.5301154245584</v>
      </c>
    </row>
    <row r="72" spans="1:25">
      <c r="A72" s="8" t="s">
        <v>100</v>
      </c>
      <c r="B72" s="8">
        <v>2</v>
      </c>
      <c r="C72" s="16">
        <v>50</v>
      </c>
      <c r="D72" s="17">
        <v>25</v>
      </c>
      <c r="E72" s="6">
        <f t="shared" si="7"/>
        <v>37.5</v>
      </c>
      <c r="F72" s="18">
        <v>37.7539820580499</v>
      </c>
      <c r="G72" s="19">
        <v>100</v>
      </c>
      <c r="H72" s="19">
        <v>100</v>
      </c>
      <c r="I72" s="19">
        <v>100</v>
      </c>
      <c r="J72" s="19">
        <v>75</v>
      </c>
      <c r="K72" s="9">
        <f t="shared" si="8"/>
        <v>93.75</v>
      </c>
      <c r="L72" s="19">
        <v>100</v>
      </c>
      <c r="M72" s="19">
        <v>100</v>
      </c>
      <c r="N72" s="19">
        <v>70</v>
      </c>
      <c r="O72" s="19">
        <v>100</v>
      </c>
      <c r="P72" s="9">
        <f t="shared" si="9"/>
        <v>92.5</v>
      </c>
      <c r="Q72" s="26">
        <v>23.7100407962463</v>
      </c>
      <c r="R72" s="26">
        <v>40.3952743098039</v>
      </c>
      <c r="S72" s="27">
        <f t="shared" si="10"/>
        <v>32.0526575530251</v>
      </c>
      <c r="T72" s="18">
        <v>32.2697455511927</v>
      </c>
      <c r="U72" s="19">
        <v>100</v>
      </c>
      <c r="V72" s="19">
        <v>100</v>
      </c>
      <c r="W72" s="7">
        <f t="shared" si="11"/>
        <v>100</v>
      </c>
      <c r="X72" s="28">
        <f t="shared" si="12"/>
        <v>58.4586946320871</v>
      </c>
      <c r="Y72" s="26">
        <f t="shared" si="13"/>
        <v>71.2547455218485</v>
      </c>
    </row>
    <row r="73" spans="1:25">
      <c r="A73" s="8" t="s">
        <v>101</v>
      </c>
      <c r="B73" s="8">
        <v>2</v>
      </c>
      <c r="C73" s="16">
        <v>50</v>
      </c>
      <c r="D73" s="16">
        <v>50</v>
      </c>
      <c r="E73" s="6">
        <f t="shared" si="7"/>
        <v>50</v>
      </c>
      <c r="F73" s="18">
        <v>51.543079386879</v>
      </c>
      <c r="G73" s="8" t="s">
        <v>32</v>
      </c>
      <c r="H73" s="8" t="s">
        <v>32</v>
      </c>
      <c r="I73" s="19">
        <v>50</v>
      </c>
      <c r="J73" s="19">
        <v>50</v>
      </c>
      <c r="K73" s="9">
        <f t="shared" si="8"/>
        <v>25</v>
      </c>
      <c r="L73" s="19">
        <v>60</v>
      </c>
      <c r="M73" s="19">
        <v>60</v>
      </c>
      <c r="N73" s="19">
        <v>70</v>
      </c>
      <c r="O73" s="19">
        <v>50</v>
      </c>
      <c r="P73" s="9">
        <f t="shared" si="9"/>
        <v>60</v>
      </c>
      <c r="Q73" s="26">
        <v>21.9758587188356</v>
      </c>
      <c r="R73" s="26">
        <v>32.0813538074087</v>
      </c>
      <c r="S73" s="27">
        <f t="shared" si="10"/>
        <v>27.0286062631222</v>
      </c>
      <c r="T73" s="18">
        <v>27.862751966736</v>
      </c>
      <c r="U73" s="19">
        <v>80</v>
      </c>
      <c r="V73" s="19">
        <v>25</v>
      </c>
      <c r="W73" s="7">
        <f t="shared" si="11"/>
        <v>52.5</v>
      </c>
      <c r="X73" s="28">
        <f t="shared" si="12"/>
        <v>37.7037166640702</v>
      </c>
      <c r="Y73" s="26">
        <f t="shared" si="13"/>
        <v>43.381166270723</v>
      </c>
    </row>
    <row r="74" spans="1:25">
      <c r="A74" s="8" t="s">
        <v>102</v>
      </c>
      <c r="B74" s="8">
        <v>2</v>
      </c>
      <c r="C74" s="16">
        <v>50</v>
      </c>
      <c r="D74" s="16">
        <v>25</v>
      </c>
      <c r="E74" s="6">
        <f t="shared" si="7"/>
        <v>37.5</v>
      </c>
      <c r="F74" s="18">
        <v>37.9493873955949</v>
      </c>
      <c r="G74" s="19">
        <v>100</v>
      </c>
      <c r="H74" s="19">
        <v>60</v>
      </c>
      <c r="I74" s="19">
        <v>75</v>
      </c>
      <c r="J74" s="19">
        <v>75</v>
      </c>
      <c r="K74" s="9">
        <f t="shared" si="8"/>
        <v>77.5</v>
      </c>
      <c r="L74" s="19">
        <v>100</v>
      </c>
      <c r="M74" s="19">
        <v>60</v>
      </c>
      <c r="N74" s="19">
        <v>40</v>
      </c>
      <c r="O74" s="19">
        <v>100</v>
      </c>
      <c r="P74" s="9">
        <f t="shared" si="9"/>
        <v>75</v>
      </c>
      <c r="Q74" s="26">
        <v>30.6259149239214</v>
      </c>
      <c r="R74" s="26">
        <v>31.930812310277</v>
      </c>
      <c r="S74" s="27">
        <f t="shared" si="10"/>
        <v>31.2783636170992</v>
      </c>
      <c r="T74" s="18">
        <v>31.6531930134821</v>
      </c>
      <c r="U74" s="19">
        <v>80</v>
      </c>
      <c r="V74" s="19">
        <v>75</v>
      </c>
      <c r="W74" s="7">
        <f t="shared" si="11"/>
        <v>77.5</v>
      </c>
      <c r="X74" s="28">
        <f t="shared" si="12"/>
        <v>51.0011546845118</v>
      </c>
      <c r="Y74" s="26">
        <f t="shared" si="13"/>
        <v>59.9205160818154</v>
      </c>
    </row>
    <row r="75" spans="1:25">
      <c r="A75" s="8" t="s">
        <v>103</v>
      </c>
      <c r="B75" s="8">
        <v>2</v>
      </c>
      <c r="C75" s="16">
        <v>100</v>
      </c>
      <c r="D75" s="16">
        <v>75</v>
      </c>
      <c r="E75" s="6">
        <f t="shared" si="7"/>
        <v>87.5</v>
      </c>
      <c r="F75" s="18">
        <v>85.8954740184146</v>
      </c>
      <c r="G75" s="19">
        <v>80</v>
      </c>
      <c r="H75" s="19">
        <v>70</v>
      </c>
      <c r="I75" s="19">
        <v>75</v>
      </c>
      <c r="J75" s="19">
        <v>50</v>
      </c>
      <c r="K75" s="9">
        <f t="shared" si="8"/>
        <v>68.75</v>
      </c>
      <c r="L75" s="19">
        <v>60</v>
      </c>
      <c r="M75" s="8" t="s">
        <v>32</v>
      </c>
      <c r="N75" s="19">
        <v>70</v>
      </c>
      <c r="O75" s="8" t="s">
        <v>32</v>
      </c>
      <c r="P75" s="9">
        <f t="shared" si="9"/>
        <v>32.5</v>
      </c>
      <c r="Q75" s="26">
        <v>35.3768394658702</v>
      </c>
      <c r="R75" s="26">
        <v>49.7464456401864</v>
      </c>
      <c r="S75" s="27">
        <f t="shared" si="10"/>
        <v>42.5616425530283</v>
      </c>
      <c r="T75" s="18">
        <v>41.7811709953679</v>
      </c>
      <c r="U75" s="19">
        <v>40</v>
      </c>
      <c r="V75" s="19">
        <v>50</v>
      </c>
      <c r="W75" s="7">
        <f t="shared" si="11"/>
        <v>45</v>
      </c>
      <c r="X75" s="28">
        <f t="shared" si="12"/>
        <v>55.3915632018301</v>
      </c>
      <c r="Y75" s="26">
        <f t="shared" si="13"/>
        <v>54.7853290027565</v>
      </c>
    </row>
    <row r="76" spans="1:25">
      <c r="A76" s="8" t="s">
        <v>104</v>
      </c>
      <c r="B76" s="8">
        <v>2</v>
      </c>
      <c r="C76" s="16">
        <v>75</v>
      </c>
      <c r="D76" s="16">
        <v>75</v>
      </c>
      <c r="E76" s="6">
        <f t="shared" si="7"/>
        <v>75</v>
      </c>
      <c r="F76" s="18">
        <v>69.7700924571818</v>
      </c>
      <c r="G76" s="19">
        <v>80</v>
      </c>
      <c r="H76" s="8" t="s">
        <v>32</v>
      </c>
      <c r="I76" s="19">
        <v>100</v>
      </c>
      <c r="J76" s="19">
        <v>100</v>
      </c>
      <c r="K76" s="9">
        <f t="shared" si="8"/>
        <v>70</v>
      </c>
      <c r="L76" s="19">
        <v>80</v>
      </c>
      <c r="M76" s="8" t="s">
        <v>32</v>
      </c>
      <c r="N76" s="19">
        <v>100</v>
      </c>
      <c r="O76" s="19">
        <v>25</v>
      </c>
      <c r="P76" s="9">
        <f t="shared" si="9"/>
        <v>51.25</v>
      </c>
      <c r="Q76" s="26">
        <v>47.2772743171987</v>
      </c>
      <c r="R76" s="26">
        <v>57.9671555481741</v>
      </c>
      <c r="S76" s="27">
        <f t="shared" si="10"/>
        <v>52.6222149326864</v>
      </c>
      <c r="T76" s="18">
        <v>48.9527573487363</v>
      </c>
      <c r="U76" s="19">
        <v>40</v>
      </c>
      <c r="V76" s="19">
        <v>25</v>
      </c>
      <c r="W76" s="7">
        <f t="shared" si="11"/>
        <v>32.5</v>
      </c>
      <c r="X76" s="28">
        <f t="shared" si="12"/>
        <v>55.9101214309309</v>
      </c>
      <c r="Y76" s="26">
        <f t="shared" si="13"/>
        <v>54.4945699611836</v>
      </c>
    </row>
    <row r="77" spans="1:25">
      <c r="A77" s="8" t="s">
        <v>105</v>
      </c>
      <c r="B77" s="8">
        <v>2</v>
      </c>
      <c r="C77" s="16">
        <v>75</v>
      </c>
      <c r="D77" s="16">
        <v>75</v>
      </c>
      <c r="E77" s="6">
        <f t="shared" si="7"/>
        <v>75</v>
      </c>
      <c r="F77" s="18">
        <v>72.2715229646752</v>
      </c>
      <c r="G77" s="19">
        <v>80</v>
      </c>
      <c r="H77" s="19">
        <v>40</v>
      </c>
      <c r="I77" s="19">
        <v>75</v>
      </c>
      <c r="J77" s="19">
        <v>75</v>
      </c>
      <c r="K77" s="9">
        <f t="shared" si="8"/>
        <v>67.5</v>
      </c>
      <c r="L77" s="19">
        <v>100</v>
      </c>
      <c r="M77" s="19">
        <v>30</v>
      </c>
      <c r="N77" s="19">
        <v>40</v>
      </c>
      <c r="O77" s="19">
        <v>100</v>
      </c>
      <c r="P77" s="9">
        <f t="shared" si="9"/>
        <v>67.5</v>
      </c>
      <c r="Q77" s="26">
        <v>56.0274922784965</v>
      </c>
      <c r="R77" s="26">
        <v>65.1798105346879</v>
      </c>
      <c r="S77" s="27">
        <f t="shared" si="10"/>
        <v>60.6036514065922</v>
      </c>
      <c r="T77" s="18">
        <v>58.3989091249959</v>
      </c>
      <c r="U77" s="19">
        <v>20</v>
      </c>
      <c r="V77" s="19">
        <v>100</v>
      </c>
      <c r="W77" s="7">
        <f t="shared" si="11"/>
        <v>60</v>
      </c>
      <c r="X77" s="28">
        <f t="shared" si="12"/>
        <v>64.0638682429334</v>
      </c>
      <c r="Y77" s="26">
        <f t="shared" si="13"/>
        <v>65.1340864179342</v>
      </c>
    </row>
    <row r="78" spans="1:25">
      <c r="A78" s="8" t="s">
        <v>106</v>
      </c>
      <c r="B78" s="8">
        <v>2</v>
      </c>
      <c r="C78" s="16">
        <v>50</v>
      </c>
      <c r="D78" s="17">
        <v>0</v>
      </c>
      <c r="E78" s="6">
        <f t="shared" si="7"/>
        <v>25</v>
      </c>
      <c r="F78" s="18">
        <v>25.5102886355422</v>
      </c>
      <c r="G78" s="19">
        <v>40</v>
      </c>
      <c r="H78" s="8" t="s">
        <v>32</v>
      </c>
      <c r="I78" s="19">
        <v>75</v>
      </c>
      <c r="J78" s="19">
        <v>25</v>
      </c>
      <c r="K78" s="9">
        <f t="shared" si="8"/>
        <v>35</v>
      </c>
      <c r="L78" s="19">
        <v>40</v>
      </c>
      <c r="M78" s="19">
        <v>60</v>
      </c>
      <c r="N78" s="19">
        <v>40</v>
      </c>
      <c r="O78" s="8" t="s">
        <v>32</v>
      </c>
      <c r="P78" s="9">
        <f t="shared" si="9"/>
        <v>35</v>
      </c>
      <c r="Q78" s="26">
        <v>37.0306860778609</v>
      </c>
      <c r="R78" s="26">
        <v>42.3644397437152</v>
      </c>
      <c r="S78" s="27">
        <f t="shared" si="10"/>
        <v>39.697562910788</v>
      </c>
      <c r="T78" s="18">
        <v>40.507851519272</v>
      </c>
      <c r="U78" s="19">
        <v>20</v>
      </c>
      <c r="V78" s="19">
        <v>50</v>
      </c>
      <c r="W78" s="7">
        <f t="shared" si="11"/>
        <v>35</v>
      </c>
      <c r="X78" s="28">
        <f t="shared" si="12"/>
        <v>35.3051983348172</v>
      </c>
      <c r="Y78" s="26">
        <f t="shared" si="13"/>
        <v>34.2036280309628</v>
      </c>
    </row>
    <row r="79" spans="1:25">
      <c r="A79" s="8" t="s">
        <v>107</v>
      </c>
      <c r="B79" s="8">
        <v>2</v>
      </c>
      <c r="C79" s="16">
        <v>50</v>
      </c>
      <c r="D79" s="16">
        <v>50</v>
      </c>
      <c r="E79" s="6">
        <f t="shared" si="7"/>
        <v>50</v>
      </c>
      <c r="F79" s="18">
        <v>51.8467724355735</v>
      </c>
      <c r="G79" s="19">
        <v>80</v>
      </c>
      <c r="H79" s="19">
        <v>100</v>
      </c>
      <c r="I79" s="19">
        <v>75</v>
      </c>
      <c r="J79" s="19">
        <v>50</v>
      </c>
      <c r="K79" s="9">
        <f t="shared" si="8"/>
        <v>76.25</v>
      </c>
      <c r="L79" s="19">
        <v>80</v>
      </c>
      <c r="M79" s="19">
        <v>30</v>
      </c>
      <c r="N79" s="19">
        <v>70</v>
      </c>
      <c r="O79" s="19">
        <v>75</v>
      </c>
      <c r="P79" s="9">
        <f t="shared" si="9"/>
        <v>63.75</v>
      </c>
      <c r="Q79" s="26">
        <v>35.2096734150239</v>
      </c>
      <c r="R79" s="26">
        <v>46.1012185620268</v>
      </c>
      <c r="S79" s="27">
        <f t="shared" si="10"/>
        <v>40.6554459885254</v>
      </c>
      <c r="T79" s="18">
        <v>42.1570731286765</v>
      </c>
      <c r="U79" s="19">
        <v>100</v>
      </c>
      <c r="V79" s="19">
        <v>75</v>
      </c>
      <c r="W79" s="7">
        <f t="shared" si="11"/>
        <v>87.5</v>
      </c>
      <c r="X79" s="28">
        <f t="shared" si="12"/>
        <v>57.6071837385853</v>
      </c>
      <c r="Y79" s="26">
        <f t="shared" si="13"/>
        <v>64.30076911285</v>
      </c>
    </row>
    <row r="80" spans="1:25">
      <c r="A80" s="8" t="s">
        <v>108</v>
      </c>
      <c r="B80" s="8">
        <v>2</v>
      </c>
      <c r="C80" s="16">
        <v>50</v>
      </c>
      <c r="D80" s="16">
        <v>50</v>
      </c>
      <c r="E80" s="6">
        <f t="shared" si="7"/>
        <v>50</v>
      </c>
      <c r="F80" s="18">
        <v>51.5807394093575</v>
      </c>
      <c r="G80" s="19">
        <v>100</v>
      </c>
      <c r="H80" s="19">
        <v>60</v>
      </c>
      <c r="I80" s="19">
        <v>100</v>
      </c>
      <c r="J80" s="19">
        <v>50</v>
      </c>
      <c r="K80" s="9">
        <f t="shared" si="8"/>
        <v>77.5</v>
      </c>
      <c r="L80" s="19">
        <v>80</v>
      </c>
      <c r="M80" s="19">
        <v>100</v>
      </c>
      <c r="N80" s="19">
        <v>70</v>
      </c>
      <c r="O80" s="19">
        <v>75</v>
      </c>
      <c r="P80" s="9">
        <f t="shared" si="9"/>
        <v>81.25</v>
      </c>
      <c r="Q80" s="26">
        <v>17.7279800983593</v>
      </c>
      <c r="R80" s="26">
        <v>33.8996579230904</v>
      </c>
      <c r="S80" s="27">
        <f t="shared" si="10"/>
        <v>25.8138190107248</v>
      </c>
      <c r="T80" s="18">
        <v>26.6299174310503</v>
      </c>
      <c r="U80" s="19">
        <v>60</v>
      </c>
      <c r="V80" s="19">
        <v>100</v>
      </c>
      <c r="W80" s="7">
        <f t="shared" si="11"/>
        <v>80</v>
      </c>
      <c r="X80" s="28">
        <f t="shared" si="12"/>
        <v>52.5931148542916</v>
      </c>
      <c r="Y80" s="26">
        <f t="shared" si="13"/>
        <v>63.3921313680816</v>
      </c>
    </row>
    <row r="81" spans="1:25">
      <c r="A81" s="8" t="s">
        <v>109</v>
      </c>
      <c r="B81" s="8">
        <v>2</v>
      </c>
      <c r="C81" s="16">
        <v>75</v>
      </c>
      <c r="D81" s="16">
        <v>25</v>
      </c>
      <c r="E81" s="6">
        <f t="shared" si="7"/>
        <v>50</v>
      </c>
      <c r="F81" s="18">
        <v>45.9409647665323</v>
      </c>
      <c r="G81" s="19">
        <v>100</v>
      </c>
      <c r="H81" s="19">
        <v>100</v>
      </c>
      <c r="I81" s="19">
        <v>100</v>
      </c>
      <c r="J81" s="19">
        <v>75</v>
      </c>
      <c r="K81" s="9">
        <f t="shared" si="8"/>
        <v>93.75</v>
      </c>
      <c r="L81" s="19">
        <v>100</v>
      </c>
      <c r="M81" s="19">
        <v>100</v>
      </c>
      <c r="N81" s="19">
        <v>70</v>
      </c>
      <c r="O81" s="19">
        <v>100</v>
      </c>
      <c r="P81" s="9">
        <f t="shared" si="9"/>
        <v>92.5</v>
      </c>
      <c r="Q81" s="26">
        <v>53.0854387777037</v>
      </c>
      <c r="R81" s="26">
        <v>59.2669193350491</v>
      </c>
      <c r="S81" s="27">
        <f t="shared" si="10"/>
        <v>56.1761790563764</v>
      </c>
      <c r="T81" s="18">
        <v>51.6157572549479</v>
      </c>
      <c r="U81" s="19">
        <v>100</v>
      </c>
      <c r="V81" s="19">
        <v>100</v>
      </c>
      <c r="W81" s="7">
        <f t="shared" si="11"/>
        <v>100</v>
      </c>
      <c r="X81" s="28">
        <f t="shared" si="12"/>
        <v>67.8344958552856</v>
      </c>
      <c r="Y81" s="26">
        <f t="shared" si="13"/>
        <v>76.7613444042961</v>
      </c>
    </row>
    <row r="82" spans="1:25">
      <c r="A82" s="8" t="s">
        <v>110</v>
      </c>
      <c r="B82" s="8">
        <v>2</v>
      </c>
      <c r="C82" s="16">
        <v>75</v>
      </c>
      <c r="D82" s="16">
        <v>25</v>
      </c>
      <c r="E82" s="6">
        <f t="shared" si="7"/>
        <v>50</v>
      </c>
      <c r="F82" s="18">
        <v>45.9409647665323</v>
      </c>
      <c r="G82" s="19">
        <v>20</v>
      </c>
      <c r="H82" s="8" t="s">
        <v>32</v>
      </c>
      <c r="I82" s="19">
        <v>25</v>
      </c>
      <c r="J82" s="8" t="s">
        <v>32</v>
      </c>
      <c r="K82" s="9">
        <f t="shared" si="8"/>
        <v>11.25</v>
      </c>
      <c r="L82" s="19">
        <v>20</v>
      </c>
      <c r="M82" s="8" t="s">
        <v>32</v>
      </c>
      <c r="N82" s="19">
        <v>40</v>
      </c>
      <c r="O82" s="8" t="s">
        <v>32</v>
      </c>
      <c r="P82" s="9">
        <f t="shared" si="9"/>
        <v>15</v>
      </c>
      <c r="Q82" s="26">
        <v>41.9178464874141</v>
      </c>
      <c r="R82" s="26">
        <v>59.6056932430581</v>
      </c>
      <c r="S82" s="27">
        <f t="shared" si="10"/>
        <v>50.7617698652361</v>
      </c>
      <c r="T82" s="18">
        <v>46.6408936173127</v>
      </c>
      <c r="U82" s="8" t="s">
        <v>32</v>
      </c>
      <c r="V82" s="19">
        <v>25</v>
      </c>
      <c r="W82" s="7">
        <f t="shared" si="11"/>
        <v>12.5</v>
      </c>
      <c r="X82" s="28">
        <f t="shared" si="12"/>
        <v>32.8445504002315</v>
      </c>
      <c r="Y82" s="26">
        <f t="shared" si="13"/>
        <v>26.266371676769</v>
      </c>
    </row>
    <row r="83" spans="1:25">
      <c r="A83" s="8" t="s">
        <v>111</v>
      </c>
      <c r="B83" s="8">
        <v>2</v>
      </c>
      <c r="C83" s="16">
        <v>75</v>
      </c>
      <c r="D83" s="16">
        <v>25</v>
      </c>
      <c r="E83" s="6">
        <f t="shared" si="7"/>
        <v>50</v>
      </c>
      <c r="F83" s="18">
        <v>45.9409647665323</v>
      </c>
      <c r="G83" s="19">
        <v>100</v>
      </c>
      <c r="H83" s="19">
        <v>30</v>
      </c>
      <c r="I83" s="19">
        <v>100</v>
      </c>
      <c r="J83" s="19">
        <v>100</v>
      </c>
      <c r="K83" s="9">
        <f t="shared" si="8"/>
        <v>82.5</v>
      </c>
      <c r="L83" s="19">
        <v>100</v>
      </c>
      <c r="M83" s="19">
        <v>70</v>
      </c>
      <c r="N83" s="19">
        <v>100</v>
      </c>
      <c r="O83" s="19">
        <v>100</v>
      </c>
      <c r="P83" s="9">
        <f t="shared" si="9"/>
        <v>92.5</v>
      </c>
      <c r="Q83" s="26">
        <v>50.1513151642359</v>
      </c>
      <c r="R83" s="26">
        <v>58.2769750537164</v>
      </c>
      <c r="S83" s="27">
        <f t="shared" si="10"/>
        <v>54.2141451089762</v>
      </c>
      <c r="T83" s="18">
        <v>49.8130026059829</v>
      </c>
      <c r="U83" s="19">
        <v>60</v>
      </c>
      <c r="V83" s="19">
        <v>75</v>
      </c>
      <c r="W83" s="7">
        <f t="shared" si="11"/>
        <v>67.5</v>
      </c>
      <c r="X83" s="28">
        <f t="shared" si="12"/>
        <v>61.6133939956996</v>
      </c>
      <c r="Y83" s="26">
        <f t="shared" si="13"/>
        <v>67.650793474503</v>
      </c>
    </row>
    <row r="84" spans="1:25">
      <c r="A84" s="8" t="s">
        <v>112</v>
      </c>
      <c r="B84" s="8">
        <v>2</v>
      </c>
      <c r="C84" s="16">
        <v>75</v>
      </c>
      <c r="D84" s="16">
        <v>75</v>
      </c>
      <c r="E84" s="6">
        <f t="shared" si="7"/>
        <v>75</v>
      </c>
      <c r="F84" s="18">
        <v>71.6749475398299</v>
      </c>
      <c r="G84" s="8" t="s">
        <v>32</v>
      </c>
      <c r="H84" s="8" t="s">
        <v>32</v>
      </c>
      <c r="I84" s="19">
        <v>25</v>
      </c>
      <c r="J84" s="8" t="s">
        <v>32</v>
      </c>
      <c r="K84" s="9">
        <f t="shared" si="8"/>
        <v>6.25</v>
      </c>
      <c r="L84" s="19">
        <v>40</v>
      </c>
      <c r="M84" s="19">
        <v>30</v>
      </c>
      <c r="N84" s="8" t="s">
        <v>32</v>
      </c>
      <c r="O84" s="19">
        <v>25</v>
      </c>
      <c r="P84" s="9">
        <f t="shared" si="9"/>
        <v>23.75</v>
      </c>
      <c r="Q84" s="26">
        <v>55.0068685440429</v>
      </c>
      <c r="R84" s="26">
        <v>63.1689984366056</v>
      </c>
      <c r="S84" s="27">
        <f t="shared" si="10"/>
        <v>59.0879334903243</v>
      </c>
      <c r="T84" s="18">
        <v>56.468327108746</v>
      </c>
      <c r="U84" s="19">
        <v>40</v>
      </c>
      <c r="V84" s="19">
        <v>50</v>
      </c>
      <c r="W84" s="7">
        <f t="shared" si="11"/>
        <v>45</v>
      </c>
      <c r="X84" s="28">
        <f t="shared" si="12"/>
        <v>45.0473203514644</v>
      </c>
      <c r="Y84" s="26">
        <f t="shared" si="13"/>
        <v>40.6286549297152</v>
      </c>
    </row>
    <row r="85" spans="1:25">
      <c r="A85" s="8" t="s">
        <v>113</v>
      </c>
      <c r="B85" s="8">
        <v>2</v>
      </c>
      <c r="C85" s="16">
        <v>50</v>
      </c>
      <c r="D85" s="16">
        <v>25</v>
      </c>
      <c r="E85" s="6">
        <f t="shared" si="7"/>
        <v>37.5</v>
      </c>
      <c r="F85" s="18">
        <v>36.5935401022296</v>
      </c>
      <c r="G85" s="19">
        <v>20</v>
      </c>
      <c r="H85" s="8" t="s">
        <v>32</v>
      </c>
      <c r="I85" s="19">
        <v>75</v>
      </c>
      <c r="J85" s="19">
        <v>25</v>
      </c>
      <c r="K85" s="9">
        <f t="shared" si="8"/>
        <v>30</v>
      </c>
      <c r="L85" s="19">
        <v>40</v>
      </c>
      <c r="M85" s="8" t="s">
        <v>32</v>
      </c>
      <c r="N85" s="8" t="s">
        <v>32</v>
      </c>
      <c r="O85" s="8" t="s">
        <v>32</v>
      </c>
      <c r="P85" s="9">
        <f t="shared" si="9"/>
        <v>10</v>
      </c>
      <c r="Q85" s="26">
        <v>32.4618338560255</v>
      </c>
      <c r="R85" s="26">
        <v>37.4884491141869</v>
      </c>
      <c r="S85" s="27">
        <f t="shared" si="10"/>
        <v>34.9751414851062</v>
      </c>
      <c r="T85" s="18">
        <v>34.1297131337704</v>
      </c>
      <c r="U85" s="8" t="s">
        <v>32</v>
      </c>
      <c r="V85" s="19">
        <v>25</v>
      </c>
      <c r="W85" s="7">
        <f t="shared" si="11"/>
        <v>12.5</v>
      </c>
      <c r="X85" s="28">
        <f t="shared" si="12"/>
        <v>29.2205932739541</v>
      </c>
      <c r="Y85" s="26">
        <f t="shared" si="13"/>
        <v>24.6446506472</v>
      </c>
    </row>
    <row r="86" spans="1:25">
      <c r="A86" s="8" t="s">
        <v>114</v>
      </c>
      <c r="B86" s="8">
        <v>2</v>
      </c>
      <c r="C86" s="16">
        <v>100</v>
      </c>
      <c r="D86" s="16">
        <v>100</v>
      </c>
      <c r="E86" s="6">
        <f t="shared" si="7"/>
        <v>100</v>
      </c>
      <c r="F86" s="18">
        <v>96.5200367876198</v>
      </c>
      <c r="G86" s="19">
        <v>60</v>
      </c>
      <c r="H86" s="19">
        <v>30</v>
      </c>
      <c r="I86" s="19">
        <v>100</v>
      </c>
      <c r="J86" s="8" t="s">
        <v>32</v>
      </c>
      <c r="K86" s="9">
        <f t="shared" si="8"/>
        <v>47.5</v>
      </c>
      <c r="L86" s="19">
        <v>60</v>
      </c>
      <c r="M86" s="19">
        <v>70</v>
      </c>
      <c r="N86" s="19">
        <v>70</v>
      </c>
      <c r="O86" s="8" t="s">
        <v>32</v>
      </c>
      <c r="P86" s="9">
        <f t="shared" si="9"/>
        <v>50</v>
      </c>
      <c r="Q86" s="26">
        <v>56.0025724041528</v>
      </c>
      <c r="R86" s="26">
        <v>62.7800095874796</v>
      </c>
      <c r="S86" s="27">
        <f t="shared" si="10"/>
        <v>59.3912909958162</v>
      </c>
      <c r="T86" s="18">
        <v>57.3244959178041</v>
      </c>
      <c r="U86" s="8" t="s">
        <v>32</v>
      </c>
      <c r="V86" s="8" t="s">
        <v>32</v>
      </c>
      <c r="W86" s="7">
        <f t="shared" si="11"/>
        <v>0</v>
      </c>
      <c r="X86" s="28">
        <f t="shared" si="12"/>
        <v>56.7338057246456</v>
      </c>
      <c r="Y86" s="26">
        <f t="shared" si="13"/>
        <v>50.2689065410848</v>
      </c>
    </row>
    <row r="87" spans="1:25">
      <c r="A87" s="8" t="s">
        <v>115</v>
      </c>
      <c r="B87" s="8">
        <v>2</v>
      </c>
      <c r="C87" s="16">
        <v>50</v>
      </c>
      <c r="D87" s="16">
        <v>25</v>
      </c>
      <c r="E87" s="6">
        <f t="shared" si="7"/>
        <v>37.5</v>
      </c>
      <c r="F87" s="18">
        <v>40.6743492789349</v>
      </c>
      <c r="G87" s="19">
        <v>80</v>
      </c>
      <c r="H87" s="19">
        <v>60</v>
      </c>
      <c r="I87" s="19">
        <v>75</v>
      </c>
      <c r="J87" s="19">
        <v>25</v>
      </c>
      <c r="K87" s="9">
        <f t="shared" si="8"/>
        <v>60</v>
      </c>
      <c r="L87" s="19">
        <v>80</v>
      </c>
      <c r="M87" s="8" t="s">
        <v>32</v>
      </c>
      <c r="N87" s="19">
        <v>70</v>
      </c>
      <c r="O87" s="19">
        <v>50</v>
      </c>
      <c r="P87" s="9">
        <f t="shared" si="9"/>
        <v>50</v>
      </c>
      <c r="Q87" s="26">
        <v>32.0476315063064</v>
      </c>
      <c r="R87" s="26">
        <v>33.006647231149</v>
      </c>
      <c r="S87" s="27">
        <f t="shared" si="10"/>
        <v>32.5271393687277</v>
      </c>
      <c r="T87" s="18">
        <v>35.280539406086</v>
      </c>
      <c r="U87" s="19">
        <v>80</v>
      </c>
      <c r="V87" s="8" t="s">
        <v>32</v>
      </c>
      <c r="W87" s="7">
        <f t="shared" si="11"/>
        <v>40</v>
      </c>
      <c r="X87" s="28">
        <f t="shared" si="12"/>
        <v>43.2470856182214</v>
      </c>
      <c r="Y87" s="26">
        <f t="shared" si="13"/>
        <v>45.1909777370042</v>
      </c>
    </row>
    <row r="88" spans="1:25">
      <c r="A88" s="8" t="s">
        <v>116</v>
      </c>
      <c r="B88" s="8">
        <v>2</v>
      </c>
      <c r="C88" s="16">
        <v>75</v>
      </c>
      <c r="D88" s="16">
        <v>50</v>
      </c>
      <c r="E88" s="6">
        <f t="shared" si="7"/>
        <v>62.5</v>
      </c>
      <c r="F88" s="18">
        <v>67.7905821315581</v>
      </c>
      <c r="G88" s="19">
        <v>100</v>
      </c>
      <c r="H88" s="19">
        <v>60</v>
      </c>
      <c r="I88" s="19">
        <v>100</v>
      </c>
      <c r="J88" s="19">
        <v>50</v>
      </c>
      <c r="K88" s="9">
        <f t="shared" si="8"/>
        <v>77.5</v>
      </c>
      <c r="L88" s="19">
        <v>80</v>
      </c>
      <c r="M88" s="19">
        <v>100</v>
      </c>
      <c r="N88" s="19">
        <v>70</v>
      </c>
      <c r="O88" s="19">
        <v>100</v>
      </c>
      <c r="P88" s="9">
        <f t="shared" si="9"/>
        <v>87.5</v>
      </c>
      <c r="Q88" s="26">
        <v>20.1978126004017</v>
      </c>
      <c r="R88" s="26">
        <v>32.4111457864249</v>
      </c>
      <c r="S88" s="27">
        <f t="shared" si="10"/>
        <v>26.3044791934133</v>
      </c>
      <c r="T88" s="18">
        <v>28.5311353150231</v>
      </c>
      <c r="U88" s="19">
        <v>40</v>
      </c>
      <c r="V88" s="19">
        <v>75</v>
      </c>
      <c r="W88" s="7">
        <f t="shared" si="11"/>
        <v>57.5</v>
      </c>
      <c r="X88" s="28">
        <f t="shared" si="12"/>
        <v>54.9705705523209</v>
      </c>
      <c r="Y88" s="26">
        <f t="shared" si="13"/>
        <v>63.7643434893163</v>
      </c>
    </row>
    <row r="89" spans="1:25">
      <c r="A89" s="8" t="s">
        <v>117</v>
      </c>
      <c r="B89" s="8">
        <v>2</v>
      </c>
      <c r="C89" s="16">
        <v>50</v>
      </c>
      <c r="D89" s="16">
        <v>75</v>
      </c>
      <c r="E89" s="6">
        <f t="shared" si="7"/>
        <v>62.5</v>
      </c>
      <c r="F89" s="18">
        <v>64.2486386286644</v>
      </c>
      <c r="G89" s="19">
        <v>20</v>
      </c>
      <c r="H89" s="19">
        <v>60</v>
      </c>
      <c r="I89" s="19">
        <v>50</v>
      </c>
      <c r="J89" s="19">
        <v>25</v>
      </c>
      <c r="K89" s="9">
        <f t="shared" si="8"/>
        <v>38.75</v>
      </c>
      <c r="L89" s="8" t="s">
        <v>32</v>
      </c>
      <c r="M89" s="19">
        <v>30</v>
      </c>
      <c r="N89" s="8" t="s">
        <v>32</v>
      </c>
      <c r="O89" s="8" t="s">
        <v>32</v>
      </c>
      <c r="P89" s="9">
        <f t="shared" si="9"/>
        <v>7.5</v>
      </c>
      <c r="Q89" s="26">
        <v>32.6510015401699</v>
      </c>
      <c r="R89" s="26">
        <v>38.4178660140789</v>
      </c>
      <c r="S89" s="27">
        <f t="shared" si="10"/>
        <v>35.5344337771244</v>
      </c>
      <c r="T89" s="18">
        <v>36.5286239139308</v>
      </c>
      <c r="U89" s="19">
        <v>60</v>
      </c>
      <c r="V89" s="19">
        <v>25</v>
      </c>
      <c r="W89" s="7">
        <f t="shared" si="11"/>
        <v>42.5</v>
      </c>
      <c r="X89" s="28">
        <f t="shared" si="12"/>
        <v>40.2111772913052</v>
      </c>
      <c r="Y89" s="26">
        <f t="shared" si="13"/>
        <v>37.905452508519</v>
      </c>
    </row>
    <row r="90" spans="1:25">
      <c r="A90" s="8" t="s">
        <v>118</v>
      </c>
      <c r="B90" s="8">
        <v>2</v>
      </c>
      <c r="C90" s="16">
        <v>50</v>
      </c>
      <c r="D90" s="16">
        <v>50</v>
      </c>
      <c r="E90" s="6">
        <f t="shared" si="7"/>
        <v>50</v>
      </c>
      <c r="F90" s="18">
        <v>54.2324657052465</v>
      </c>
      <c r="G90" s="19">
        <v>100</v>
      </c>
      <c r="H90" s="19">
        <v>100</v>
      </c>
      <c r="I90" s="19">
        <v>75</v>
      </c>
      <c r="J90" s="19">
        <v>50</v>
      </c>
      <c r="K90" s="9">
        <f t="shared" si="8"/>
        <v>81.25</v>
      </c>
      <c r="L90" s="19">
        <v>80</v>
      </c>
      <c r="M90" s="19">
        <v>100</v>
      </c>
      <c r="N90" s="19">
        <v>40</v>
      </c>
      <c r="O90" s="19">
        <v>50</v>
      </c>
      <c r="P90" s="9">
        <f t="shared" si="9"/>
        <v>67.5</v>
      </c>
      <c r="Q90" s="26">
        <v>25.3040048418935</v>
      </c>
      <c r="R90" s="26">
        <v>31.9810369135319</v>
      </c>
      <c r="S90" s="27">
        <f t="shared" si="10"/>
        <v>28.6425208777127</v>
      </c>
      <c r="T90" s="18">
        <v>31.0670906242472</v>
      </c>
      <c r="U90" s="19">
        <v>80</v>
      </c>
      <c r="V90" s="19">
        <v>50</v>
      </c>
      <c r="W90" s="7">
        <f t="shared" si="11"/>
        <v>65</v>
      </c>
      <c r="X90" s="28">
        <f t="shared" si="12"/>
        <v>52.7733293907482</v>
      </c>
      <c r="Y90" s="26">
        <f t="shared" si="13"/>
        <v>59.8099112658987</v>
      </c>
    </row>
    <row r="91" spans="1:25">
      <c r="A91" s="8" t="s">
        <v>119</v>
      </c>
      <c r="B91" s="8">
        <v>2</v>
      </c>
      <c r="C91" s="16">
        <v>75</v>
      </c>
      <c r="D91" s="17">
        <v>50</v>
      </c>
      <c r="E91" s="6">
        <f t="shared" si="7"/>
        <v>62.5</v>
      </c>
      <c r="F91" s="18">
        <v>61.5458431702023</v>
      </c>
      <c r="G91" s="19">
        <v>80</v>
      </c>
      <c r="H91" s="19">
        <v>30</v>
      </c>
      <c r="I91" s="19">
        <v>75</v>
      </c>
      <c r="J91" s="19">
        <v>50</v>
      </c>
      <c r="K91" s="9">
        <f t="shared" si="8"/>
        <v>58.75</v>
      </c>
      <c r="L91" s="19">
        <v>80</v>
      </c>
      <c r="M91" s="8" t="s">
        <v>32</v>
      </c>
      <c r="N91" s="19">
        <v>70</v>
      </c>
      <c r="O91" s="19">
        <v>50</v>
      </c>
      <c r="P91" s="9">
        <f t="shared" si="9"/>
        <v>50</v>
      </c>
      <c r="Q91" s="26">
        <v>39.110832281089</v>
      </c>
      <c r="R91" s="26">
        <v>44.1990442200524</v>
      </c>
      <c r="S91" s="27">
        <f t="shared" si="10"/>
        <v>41.6549382505707</v>
      </c>
      <c r="T91" s="18">
        <v>41.0190127493454</v>
      </c>
      <c r="U91" s="19">
        <v>80</v>
      </c>
      <c r="V91" s="19">
        <v>50</v>
      </c>
      <c r="W91" s="7">
        <f t="shared" si="11"/>
        <v>65</v>
      </c>
      <c r="X91" s="28">
        <f t="shared" si="12"/>
        <v>51.9667737337786</v>
      </c>
      <c r="Y91" s="26">
        <f t="shared" si="13"/>
        <v>55.2629711839095</v>
      </c>
    </row>
    <row r="92" spans="1:25">
      <c r="A92" s="8" t="s">
        <v>120</v>
      </c>
      <c r="B92" s="8">
        <v>2</v>
      </c>
      <c r="C92" s="16">
        <v>25</v>
      </c>
      <c r="D92" s="16">
        <v>25</v>
      </c>
      <c r="E92" s="6">
        <f t="shared" si="7"/>
        <v>25</v>
      </c>
      <c r="F92" s="18">
        <v>23.5625461988129</v>
      </c>
      <c r="G92" s="19">
        <v>60</v>
      </c>
      <c r="H92" s="19">
        <v>70</v>
      </c>
      <c r="I92" s="19">
        <v>50</v>
      </c>
      <c r="J92" s="19">
        <v>50</v>
      </c>
      <c r="K92" s="9">
        <f t="shared" si="8"/>
        <v>57.5</v>
      </c>
      <c r="L92" s="19">
        <v>80</v>
      </c>
      <c r="M92" s="19">
        <v>30</v>
      </c>
      <c r="N92" s="19">
        <v>40</v>
      </c>
      <c r="O92" s="8" t="s">
        <v>32</v>
      </c>
      <c r="P92" s="9">
        <f t="shared" si="9"/>
        <v>37.5</v>
      </c>
      <c r="Q92" s="26">
        <v>51.2104720392543</v>
      </c>
      <c r="R92" s="26">
        <v>56.0979188624986</v>
      </c>
      <c r="S92" s="27">
        <f t="shared" si="10"/>
        <v>53.6541954508765</v>
      </c>
      <c r="T92" s="18">
        <v>50.5691783628565</v>
      </c>
      <c r="U92" s="19">
        <v>60</v>
      </c>
      <c r="V92" s="19">
        <v>50</v>
      </c>
      <c r="W92" s="7">
        <f t="shared" si="11"/>
        <v>55</v>
      </c>
      <c r="X92" s="28">
        <f t="shared" si="12"/>
        <v>45.6901805849052</v>
      </c>
      <c r="Y92" s="26">
        <f t="shared" si="13"/>
        <v>44.8263449123339</v>
      </c>
    </row>
    <row r="93" spans="1:25">
      <c r="A93" s="8" t="s">
        <v>121</v>
      </c>
      <c r="B93" s="8">
        <v>2</v>
      </c>
      <c r="C93" s="16">
        <v>100</v>
      </c>
      <c r="D93" s="16">
        <v>75</v>
      </c>
      <c r="E93" s="6">
        <f t="shared" si="7"/>
        <v>87.5</v>
      </c>
      <c r="F93" s="18">
        <v>85.2844756253985</v>
      </c>
      <c r="G93" s="19">
        <v>100</v>
      </c>
      <c r="H93" s="19">
        <v>100</v>
      </c>
      <c r="I93" s="19">
        <v>75</v>
      </c>
      <c r="J93" s="19">
        <v>50</v>
      </c>
      <c r="K93" s="9">
        <f t="shared" si="8"/>
        <v>81.25</v>
      </c>
      <c r="L93" s="19">
        <v>100</v>
      </c>
      <c r="M93" s="19">
        <v>100</v>
      </c>
      <c r="N93" s="19">
        <v>100</v>
      </c>
      <c r="O93" s="19">
        <v>75</v>
      </c>
      <c r="P93" s="9">
        <f t="shared" si="9"/>
        <v>93.75</v>
      </c>
      <c r="Q93" s="26">
        <v>10.3389856364292</v>
      </c>
      <c r="R93" s="26">
        <v>25.9402327215119</v>
      </c>
      <c r="S93" s="27">
        <f t="shared" si="10"/>
        <v>18.1396091789705</v>
      </c>
      <c r="T93" s="18">
        <v>17.6803092214647</v>
      </c>
      <c r="U93" s="19">
        <v>100</v>
      </c>
      <c r="V93" s="19">
        <v>100</v>
      </c>
      <c r="W93" s="7">
        <f t="shared" si="11"/>
        <v>100</v>
      </c>
      <c r="X93" s="28">
        <f t="shared" si="12"/>
        <v>59.7540188136656</v>
      </c>
      <c r="Y93" s="26">
        <f t="shared" si="13"/>
        <v>75.5929569693727</v>
      </c>
    </row>
    <row r="94" spans="1:25">
      <c r="A94" s="8" t="s">
        <v>122</v>
      </c>
      <c r="B94" s="8">
        <v>2</v>
      </c>
      <c r="C94" s="16">
        <v>100</v>
      </c>
      <c r="D94" s="16">
        <v>25</v>
      </c>
      <c r="E94" s="6">
        <f t="shared" si="7"/>
        <v>62.5</v>
      </c>
      <c r="F94" s="18">
        <v>57.4262059581654</v>
      </c>
      <c r="G94" s="19">
        <v>40</v>
      </c>
      <c r="H94" s="19">
        <v>70</v>
      </c>
      <c r="I94" s="19">
        <v>100</v>
      </c>
      <c r="J94" s="19">
        <v>75</v>
      </c>
      <c r="K94" s="9">
        <f t="shared" si="8"/>
        <v>71.25</v>
      </c>
      <c r="L94" s="19">
        <v>40</v>
      </c>
      <c r="M94" s="19">
        <v>30</v>
      </c>
      <c r="N94" s="19">
        <v>70</v>
      </c>
      <c r="O94" s="19">
        <v>75</v>
      </c>
      <c r="P94" s="9">
        <f t="shared" si="9"/>
        <v>53.75</v>
      </c>
      <c r="Q94" s="26">
        <v>71.4236341359246</v>
      </c>
      <c r="R94" s="26">
        <v>83.6211225748548</v>
      </c>
      <c r="S94" s="27">
        <f t="shared" si="10"/>
        <v>77.5223783553897</v>
      </c>
      <c r="T94" s="18">
        <v>71.2290570528549</v>
      </c>
      <c r="U94" s="19">
        <v>60</v>
      </c>
      <c r="V94" s="8" t="s">
        <v>32</v>
      </c>
      <c r="W94" s="7">
        <f t="shared" si="11"/>
        <v>30</v>
      </c>
      <c r="X94" s="28">
        <f t="shared" si="12"/>
        <v>62.601864012775</v>
      </c>
      <c r="Y94" s="26">
        <f t="shared" si="13"/>
        <v>56.7310526022041</v>
      </c>
    </row>
    <row r="95" spans="1:25">
      <c r="A95" s="8" t="s">
        <v>123</v>
      </c>
      <c r="B95" s="8">
        <v>2</v>
      </c>
      <c r="C95" s="16">
        <v>50</v>
      </c>
      <c r="D95" s="17">
        <v>25</v>
      </c>
      <c r="E95" s="6">
        <f t="shared" si="7"/>
        <v>37.5</v>
      </c>
      <c r="F95" s="18">
        <v>40.5803415441622</v>
      </c>
      <c r="G95" s="19">
        <v>100</v>
      </c>
      <c r="H95" s="19">
        <v>100</v>
      </c>
      <c r="I95" s="19">
        <v>100</v>
      </c>
      <c r="J95" s="19">
        <v>75</v>
      </c>
      <c r="K95" s="9">
        <f t="shared" si="8"/>
        <v>93.75</v>
      </c>
      <c r="L95" s="19">
        <v>100</v>
      </c>
      <c r="M95" s="19">
        <v>100</v>
      </c>
      <c r="N95" s="19">
        <v>70</v>
      </c>
      <c r="O95" s="19">
        <v>75</v>
      </c>
      <c r="P95" s="9">
        <f t="shared" si="9"/>
        <v>86.25</v>
      </c>
      <c r="Q95" s="26">
        <v>27.3597703553137</v>
      </c>
      <c r="R95" s="26">
        <v>37.6674706640343</v>
      </c>
      <c r="S95" s="27">
        <f t="shared" si="10"/>
        <v>32.513620509674</v>
      </c>
      <c r="T95" s="18">
        <v>35.1843686698626</v>
      </c>
      <c r="U95" s="19">
        <v>100</v>
      </c>
      <c r="V95" s="19">
        <v>100</v>
      </c>
      <c r="W95" s="7">
        <f t="shared" si="11"/>
        <v>100</v>
      </c>
      <c r="X95" s="28">
        <f t="shared" si="12"/>
        <v>59.5648157767775</v>
      </c>
      <c r="Y95" s="26">
        <f t="shared" si="13"/>
        <v>71.152942042805</v>
      </c>
    </row>
    <row r="96" spans="1:25">
      <c r="A96" s="8" t="s">
        <v>124</v>
      </c>
      <c r="B96" s="8">
        <v>2</v>
      </c>
      <c r="C96" s="16">
        <v>75</v>
      </c>
      <c r="D96" s="16">
        <v>50</v>
      </c>
      <c r="E96" s="6">
        <f t="shared" si="7"/>
        <v>62.5</v>
      </c>
      <c r="F96" s="18">
        <v>62.5186976767906</v>
      </c>
      <c r="G96" s="19">
        <v>100</v>
      </c>
      <c r="H96" s="19">
        <v>70</v>
      </c>
      <c r="I96" s="19">
        <v>100</v>
      </c>
      <c r="J96" s="19">
        <v>50</v>
      </c>
      <c r="K96" s="9">
        <f t="shared" si="8"/>
        <v>80</v>
      </c>
      <c r="L96" s="19">
        <v>100</v>
      </c>
      <c r="M96" s="19">
        <v>100</v>
      </c>
      <c r="N96" s="19">
        <v>100</v>
      </c>
      <c r="O96" s="19">
        <v>100</v>
      </c>
      <c r="P96" s="9">
        <f t="shared" si="9"/>
        <v>100</v>
      </c>
      <c r="Q96" s="26">
        <v>45.969913796392</v>
      </c>
      <c r="R96" s="26">
        <v>58.0545803723577</v>
      </c>
      <c r="S96" s="27">
        <f t="shared" si="10"/>
        <v>52.0122470843749</v>
      </c>
      <c r="T96" s="18">
        <v>52.0278072153371</v>
      </c>
      <c r="U96" s="19">
        <v>80</v>
      </c>
      <c r="V96" s="19">
        <v>75</v>
      </c>
      <c r="W96" s="7">
        <f t="shared" si="11"/>
        <v>77.5</v>
      </c>
      <c r="X96" s="28">
        <f t="shared" si="12"/>
        <v>67.0648624214929</v>
      </c>
      <c r="Y96" s="26">
        <f t="shared" si="13"/>
        <v>74.4093009784255</v>
      </c>
    </row>
    <row r="97" spans="1:25">
      <c r="A97" s="8" t="s">
        <v>125</v>
      </c>
      <c r="B97" s="8">
        <v>2</v>
      </c>
      <c r="C97" s="16">
        <v>75</v>
      </c>
      <c r="D97" s="16">
        <v>75</v>
      </c>
      <c r="E97" s="6">
        <f t="shared" si="7"/>
        <v>75</v>
      </c>
      <c r="F97" s="18">
        <v>74.0367105891978</v>
      </c>
      <c r="G97" s="19">
        <v>60</v>
      </c>
      <c r="H97" s="8" t="s">
        <v>32</v>
      </c>
      <c r="I97" s="19">
        <v>75</v>
      </c>
      <c r="J97" s="19">
        <v>50</v>
      </c>
      <c r="K97" s="9">
        <f t="shared" si="8"/>
        <v>46.25</v>
      </c>
      <c r="L97" s="19">
        <v>40</v>
      </c>
      <c r="M97" s="8" t="s">
        <v>32</v>
      </c>
      <c r="N97" s="19">
        <v>40</v>
      </c>
      <c r="O97" s="19">
        <v>25</v>
      </c>
      <c r="P97" s="9">
        <f t="shared" si="9"/>
        <v>26.25</v>
      </c>
      <c r="Q97" s="26">
        <v>19.7688536742359</v>
      </c>
      <c r="R97" s="26">
        <v>27.5934214936985</v>
      </c>
      <c r="S97" s="27">
        <f t="shared" si="10"/>
        <v>23.6811375839672</v>
      </c>
      <c r="T97" s="18">
        <v>23.3769803963621</v>
      </c>
      <c r="U97" s="19">
        <v>40</v>
      </c>
      <c r="V97" s="19">
        <v>50</v>
      </c>
      <c r="W97" s="7">
        <f t="shared" si="11"/>
        <v>45</v>
      </c>
      <c r="X97" s="28">
        <f t="shared" si="12"/>
        <v>40.5331342763844</v>
      </c>
      <c r="Y97" s="26">
        <f t="shared" si="13"/>
        <v>42.982738197112</v>
      </c>
    </row>
    <row r="98" spans="1:25">
      <c r="A98" s="8" t="s">
        <v>126</v>
      </c>
      <c r="B98" s="8">
        <v>2</v>
      </c>
      <c r="C98" s="16">
        <v>50</v>
      </c>
      <c r="D98" s="16">
        <v>50</v>
      </c>
      <c r="E98" s="6">
        <f t="shared" si="7"/>
        <v>50</v>
      </c>
      <c r="F98" s="18">
        <v>50.54971974193</v>
      </c>
      <c r="G98" s="19">
        <v>100</v>
      </c>
      <c r="H98" s="19">
        <v>100</v>
      </c>
      <c r="I98" s="19">
        <v>75</v>
      </c>
      <c r="J98" s="19">
        <v>50</v>
      </c>
      <c r="K98" s="9">
        <f t="shared" si="8"/>
        <v>81.25</v>
      </c>
      <c r="L98" s="19">
        <v>100</v>
      </c>
      <c r="M98" s="19">
        <v>40</v>
      </c>
      <c r="N98" s="19">
        <v>40</v>
      </c>
      <c r="O98" s="19">
        <v>100</v>
      </c>
      <c r="P98" s="9">
        <f t="shared" si="9"/>
        <v>70</v>
      </c>
      <c r="Q98" s="26">
        <v>31.7691894882554</v>
      </c>
      <c r="R98" s="26">
        <v>38.7445026305525</v>
      </c>
      <c r="S98" s="27">
        <f t="shared" si="10"/>
        <v>35.2568460594039</v>
      </c>
      <c r="T98" s="18">
        <v>35.6444737457447</v>
      </c>
      <c r="U98" s="19">
        <v>80</v>
      </c>
      <c r="V98" s="19">
        <v>50</v>
      </c>
      <c r="W98" s="7">
        <f t="shared" si="11"/>
        <v>65</v>
      </c>
      <c r="X98" s="28">
        <f t="shared" si="12"/>
        <v>54.1177334466839</v>
      </c>
      <c r="Y98" s="26">
        <f t="shared" si="13"/>
        <v>60.488838697535</v>
      </c>
    </row>
    <row r="99" spans="1:25">
      <c r="A99" s="8" t="s">
        <v>127</v>
      </c>
      <c r="B99" s="8">
        <v>2</v>
      </c>
      <c r="C99" s="16">
        <v>50</v>
      </c>
      <c r="D99" s="16">
        <v>25</v>
      </c>
      <c r="E99" s="6">
        <f t="shared" si="7"/>
        <v>37.5</v>
      </c>
      <c r="F99" s="18">
        <v>37.6159478919881</v>
      </c>
      <c r="G99" s="19">
        <v>100</v>
      </c>
      <c r="H99" s="19">
        <v>100</v>
      </c>
      <c r="I99" s="19">
        <v>75</v>
      </c>
      <c r="J99" s="19">
        <v>100</v>
      </c>
      <c r="K99" s="9">
        <f t="shared" si="8"/>
        <v>93.75</v>
      </c>
      <c r="L99" s="19">
        <v>100</v>
      </c>
      <c r="M99" s="19">
        <v>70</v>
      </c>
      <c r="N99" s="19">
        <v>70</v>
      </c>
      <c r="O99" s="19">
        <v>100</v>
      </c>
      <c r="P99" s="9">
        <f t="shared" si="9"/>
        <v>85</v>
      </c>
      <c r="Q99" s="26">
        <v>35.4817543826322</v>
      </c>
      <c r="R99" s="26">
        <v>42.3975255358429</v>
      </c>
      <c r="S99" s="27">
        <f t="shared" si="10"/>
        <v>38.9396399592375</v>
      </c>
      <c r="T99" s="18">
        <v>39.0600391370522</v>
      </c>
      <c r="U99" s="19">
        <v>80</v>
      </c>
      <c r="V99" s="19">
        <v>100</v>
      </c>
      <c r="W99" s="7">
        <f t="shared" si="11"/>
        <v>90</v>
      </c>
      <c r="X99" s="28">
        <f t="shared" si="12"/>
        <v>59.3972052332185</v>
      </c>
      <c r="Y99" s="26">
        <f t="shared" si="13"/>
        <v>69.0851974058081</v>
      </c>
    </row>
    <row r="100" spans="1:25">
      <c r="A100" s="8" t="s">
        <v>128</v>
      </c>
      <c r="B100" s="8">
        <v>2</v>
      </c>
      <c r="C100" s="16">
        <v>50</v>
      </c>
      <c r="D100" s="16">
        <v>50</v>
      </c>
      <c r="E100" s="6">
        <f t="shared" si="7"/>
        <v>50</v>
      </c>
      <c r="F100" s="18">
        <v>49.567511786371</v>
      </c>
      <c r="G100" s="19">
        <v>100</v>
      </c>
      <c r="H100" s="19">
        <v>60</v>
      </c>
      <c r="I100" s="19">
        <v>75</v>
      </c>
      <c r="J100" s="19">
        <v>75</v>
      </c>
      <c r="K100" s="9">
        <f t="shared" si="8"/>
        <v>77.5</v>
      </c>
      <c r="L100" s="19">
        <v>80</v>
      </c>
      <c r="M100" s="19">
        <v>100</v>
      </c>
      <c r="N100" s="19">
        <v>60</v>
      </c>
      <c r="O100" s="19">
        <v>75</v>
      </c>
      <c r="P100" s="9">
        <f t="shared" si="9"/>
        <v>78.75</v>
      </c>
      <c r="Q100" s="26">
        <v>42.4480496678339</v>
      </c>
      <c r="R100" s="26">
        <v>47.7957565503856</v>
      </c>
      <c r="S100" s="27">
        <f t="shared" si="10"/>
        <v>45.1219031091098</v>
      </c>
      <c r="T100" s="18">
        <v>44.7316092836858</v>
      </c>
      <c r="U100" s="19">
        <v>60</v>
      </c>
      <c r="V100" s="19">
        <v>75</v>
      </c>
      <c r="W100" s="7">
        <f t="shared" si="11"/>
        <v>67.5</v>
      </c>
      <c r="X100" s="28">
        <f t="shared" si="12"/>
        <v>57.9311460707485</v>
      </c>
      <c r="Y100" s="26">
        <f t="shared" si="13"/>
        <v>63.6098242140114</v>
      </c>
    </row>
    <row r="101" spans="1:25">
      <c r="A101" s="8" t="s">
        <v>129</v>
      </c>
      <c r="B101" s="8">
        <v>2</v>
      </c>
      <c r="C101" s="16">
        <v>100</v>
      </c>
      <c r="D101" s="16">
        <v>50</v>
      </c>
      <c r="E101" s="6">
        <f t="shared" si="7"/>
        <v>75</v>
      </c>
      <c r="F101" s="18">
        <v>68.9114471497984</v>
      </c>
      <c r="G101" s="19">
        <v>40</v>
      </c>
      <c r="H101" s="8" t="s">
        <v>32</v>
      </c>
      <c r="I101" s="19">
        <v>100</v>
      </c>
      <c r="J101" s="19">
        <v>50</v>
      </c>
      <c r="K101" s="9">
        <f t="shared" si="8"/>
        <v>47.5</v>
      </c>
      <c r="L101" s="19">
        <v>60</v>
      </c>
      <c r="M101" s="8" t="s">
        <v>32</v>
      </c>
      <c r="N101" s="19">
        <v>70</v>
      </c>
      <c r="O101" s="19">
        <v>50</v>
      </c>
      <c r="P101" s="9">
        <f t="shared" si="9"/>
        <v>45</v>
      </c>
      <c r="Q101" s="26">
        <v>33.6058721890751</v>
      </c>
      <c r="R101" s="26">
        <v>47.9634996052225</v>
      </c>
      <c r="S101" s="27">
        <f t="shared" si="10"/>
        <v>40.7846858971488</v>
      </c>
      <c r="T101" s="18">
        <v>37.4737563563</v>
      </c>
      <c r="U101" s="19">
        <v>20</v>
      </c>
      <c r="V101" s="19">
        <v>100</v>
      </c>
      <c r="W101" s="7">
        <f t="shared" si="11"/>
        <v>60</v>
      </c>
      <c r="X101" s="28">
        <f t="shared" si="12"/>
        <v>48.7717919724797</v>
      </c>
      <c r="Y101" s="26">
        <f t="shared" si="13"/>
        <v>51.7770407012197</v>
      </c>
    </row>
    <row r="102" spans="1:25">
      <c r="A102" s="8" t="s">
        <v>130</v>
      </c>
      <c r="B102" s="8">
        <v>2</v>
      </c>
      <c r="C102" s="16">
        <v>75</v>
      </c>
      <c r="D102" s="16">
        <v>25</v>
      </c>
      <c r="E102" s="6">
        <f t="shared" si="7"/>
        <v>50</v>
      </c>
      <c r="F102" s="18">
        <v>45.9409647665323</v>
      </c>
      <c r="G102" s="19">
        <v>80</v>
      </c>
      <c r="H102" s="19">
        <v>30</v>
      </c>
      <c r="I102" s="19">
        <v>75</v>
      </c>
      <c r="J102" s="19">
        <v>75</v>
      </c>
      <c r="K102" s="9">
        <f t="shared" si="8"/>
        <v>65</v>
      </c>
      <c r="L102" s="19">
        <v>80</v>
      </c>
      <c r="M102" s="8" t="s">
        <v>32</v>
      </c>
      <c r="N102" s="19">
        <v>40</v>
      </c>
      <c r="O102" s="19">
        <v>50</v>
      </c>
      <c r="P102" s="9">
        <f t="shared" si="9"/>
        <v>42.5</v>
      </c>
      <c r="Q102" s="26">
        <v>38.5543973716772</v>
      </c>
      <c r="R102" s="26">
        <v>49.0734952705769</v>
      </c>
      <c r="S102" s="27">
        <f t="shared" si="10"/>
        <v>43.813946321127</v>
      </c>
      <c r="T102" s="18">
        <v>40.2570992844327</v>
      </c>
      <c r="U102" s="8" t="s">
        <v>32</v>
      </c>
      <c r="V102" s="19">
        <v>100</v>
      </c>
      <c r="W102" s="7">
        <f t="shared" si="11"/>
        <v>50</v>
      </c>
      <c r="X102" s="28">
        <f t="shared" si="12"/>
        <v>47.5410326670795</v>
      </c>
      <c r="Y102" s="26">
        <f t="shared" si="13"/>
        <v>48.739612810193</v>
      </c>
    </row>
    <row r="103" spans="1:25">
      <c r="A103" s="8" t="s">
        <v>131</v>
      </c>
      <c r="B103" s="8">
        <v>2</v>
      </c>
      <c r="C103" s="16">
        <v>50</v>
      </c>
      <c r="D103" s="16">
        <v>75</v>
      </c>
      <c r="E103" s="6">
        <f t="shared" si="7"/>
        <v>62.5</v>
      </c>
      <c r="F103" s="18">
        <v>57.4816460998337</v>
      </c>
      <c r="G103" s="19">
        <v>60</v>
      </c>
      <c r="H103" s="19">
        <v>60</v>
      </c>
      <c r="I103" s="19">
        <v>100</v>
      </c>
      <c r="J103" s="19">
        <v>75</v>
      </c>
      <c r="K103" s="9">
        <f t="shared" si="8"/>
        <v>73.75</v>
      </c>
      <c r="L103" s="19">
        <v>40</v>
      </c>
      <c r="M103" s="19">
        <v>70</v>
      </c>
      <c r="N103" s="19">
        <v>70</v>
      </c>
      <c r="O103" s="19">
        <v>75</v>
      </c>
      <c r="P103" s="9">
        <f t="shared" si="9"/>
        <v>63.75</v>
      </c>
      <c r="Q103" s="26">
        <v>44.4842435275773</v>
      </c>
      <c r="R103" s="26">
        <v>65.2207801339883</v>
      </c>
      <c r="S103" s="27">
        <f t="shared" si="10"/>
        <v>54.8525118307828</v>
      </c>
      <c r="T103" s="18">
        <v>50.4482027639039</v>
      </c>
      <c r="U103" s="19">
        <v>40</v>
      </c>
      <c r="V103" s="19">
        <v>50</v>
      </c>
      <c r="W103" s="7">
        <f t="shared" si="11"/>
        <v>45</v>
      </c>
      <c r="X103" s="28">
        <f t="shared" si="12"/>
        <v>57.3006103255283</v>
      </c>
      <c r="Y103" s="26">
        <f t="shared" si="13"/>
        <v>58.0859697727475</v>
      </c>
    </row>
    <row r="104" spans="1:25">
      <c r="A104" s="8" t="s">
        <v>132</v>
      </c>
      <c r="B104" s="8">
        <v>3</v>
      </c>
      <c r="C104" s="16">
        <v>50</v>
      </c>
      <c r="D104" s="17">
        <v>75</v>
      </c>
      <c r="E104" s="6">
        <f t="shared" si="7"/>
        <v>62.5</v>
      </c>
      <c r="F104" s="18">
        <v>67.7905821315581</v>
      </c>
      <c r="G104" s="19">
        <v>100</v>
      </c>
      <c r="H104" s="19">
        <v>100</v>
      </c>
      <c r="I104" s="19">
        <v>100</v>
      </c>
      <c r="J104" s="19">
        <v>75</v>
      </c>
      <c r="K104" s="9">
        <f t="shared" si="8"/>
        <v>93.75</v>
      </c>
      <c r="L104" s="19">
        <v>100</v>
      </c>
      <c r="M104" s="19">
        <v>100</v>
      </c>
      <c r="N104" s="19">
        <v>70</v>
      </c>
      <c r="O104" s="19">
        <v>75</v>
      </c>
      <c r="P104" s="9">
        <f t="shared" si="9"/>
        <v>86.25</v>
      </c>
      <c r="Q104" s="26">
        <v>30.1941776322116</v>
      </c>
      <c r="R104" s="26">
        <v>26.7966063446528</v>
      </c>
      <c r="S104" s="27">
        <f t="shared" si="10"/>
        <v>28.4953919884322</v>
      </c>
      <c r="T104" s="18">
        <v>30.9075073754042</v>
      </c>
      <c r="U104" s="19">
        <v>80</v>
      </c>
      <c r="V104" s="19">
        <v>100</v>
      </c>
      <c r="W104" s="7">
        <f t="shared" si="11"/>
        <v>90</v>
      </c>
      <c r="X104" s="28">
        <f t="shared" si="12"/>
        <v>62.2961193764733</v>
      </c>
      <c r="Y104" s="26">
        <f t="shared" si="13"/>
        <v>73.7396179013925</v>
      </c>
    </row>
    <row r="105" spans="1:25">
      <c r="A105" s="8" t="s">
        <v>133</v>
      </c>
      <c r="B105" s="8">
        <v>3</v>
      </c>
      <c r="C105" s="16">
        <v>50</v>
      </c>
      <c r="D105" s="16">
        <v>25</v>
      </c>
      <c r="E105" s="6">
        <f t="shared" si="7"/>
        <v>37.5</v>
      </c>
      <c r="F105" s="18">
        <v>36.1210471206273</v>
      </c>
      <c r="G105" s="19">
        <v>100</v>
      </c>
      <c r="H105" s="19">
        <v>70</v>
      </c>
      <c r="I105" s="19">
        <v>100</v>
      </c>
      <c r="J105" s="19">
        <v>75</v>
      </c>
      <c r="K105" s="9">
        <f t="shared" si="8"/>
        <v>86.25</v>
      </c>
      <c r="L105" s="19">
        <v>100</v>
      </c>
      <c r="M105" s="19">
        <v>60</v>
      </c>
      <c r="N105" s="19">
        <v>70</v>
      </c>
      <c r="O105" s="19">
        <v>75</v>
      </c>
      <c r="P105" s="9">
        <f t="shared" si="9"/>
        <v>76.25</v>
      </c>
      <c r="Q105" s="26">
        <v>60.2292247210619</v>
      </c>
      <c r="R105" s="26">
        <v>64.66662812378</v>
      </c>
      <c r="S105" s="27">
        <f t="shared" si="10"/>
        <v>62.447926422421</v>
      </c>
      <c r="T105" s="18">
        <v>60.1515864770595</v>
      </c>
      <c r="U105" s="19">
        <v>80</v>
      </c>
      <c r="V105" s="19">
        <v>50</v>
      </c>
      <c r="W105" s="7">
        <f t="shared" si="11"/>
        <v>65</v>
      </c>
      <c r="X105" s="28">
        <f t="shared" si="12"/>
        <v>62.6598440149493</v>
      </c>
      <c r="Y105" s="26">
        <f t="shared" si="13"/>
        <v>64.7545267195374</v>
      </c>
    </row>
    <row r="106" spans="1:25">
      <c r="A106" s="8" t="s">
        <v>134</v>
      </c>
      <c r="B106" s="8">
        <v>3</v>
      </c>
      <c r="C106" s="16">
        <v>50</v>
      </c>
      <c r="D106" s="16">
        <v>75</v>
      </c>
      <c r="E106" s="6">
        <f t="shared" si="7"/>
        <v>62.5</v>
      </c>
      <c r="F106" s="18">
        <v>61.4056872483202</v>
      </c>
      <c r="G106" s="19">
        <v>100</v>
      </c>
      <c r="H106" s="19">
        <v>60</v>
      </c>
      <c r="I106" s="19">
        <v>100</v>
      </c>
      <c r="J106" s="19">
        <v>100</v>
      </c>
      <c r="K106" s="9">
        <f t="shared" si="8"/>
        <v>90</v>
      </c>
      <c r="L106" s="19">
        <v>100</v>
      </c>
      <c r="M106" s="19">
        <v>100</v>
      </c>
      <c r="N106" s="19">
        <v>100</v>
      </c>
      <c r="O106" s="19">
        <v>100</v>
      </c>
      <c r="P106" s="9">
        <f t="shared" si="9"/>
        <v>100</v>
      </c>
      <c r="Q106" s="26">
        <v>46.3742375598134</v>
      </c>
      <c r="R106" s="26">
        <v>48.0655464841048</v>
      </c>
      <c r="S106" s="27">
        <f t="shared" si="10"/>
        <v>47.2198920219591</v>
      </c>
      <c r="T106" s="18">
        <v>46.3931187423979</v>
      </c>
      <c r="U106" s="19">
        <v>80</v>
      </c>
      <c r="V106" s="19">
        <v>100</v>
      </c>
      <c r="W106" s="7">
        <f t="shared" si="11"/>
        <v>90</v>
      </c>
      <c r="X106" s="28">
        <f t="shared" si="12"/>
        <v>67.8383849466232</v>
      </c>
      <c r="Y106" s="26">
        <f t="shared" si="13"/>
        <v>77.5597611981436</v>
      </c>
    </row>
    <row r="107" spans="1:25">
      <c r="A107" s="8" t="s">
        <v>135</v>
      </c>
      <c r="B107" s="8">
        <v>3</v>
      </c>
      <c r="C107" s="16">
        <v>50</v>
      </c>
      <c r="D107" s="17">
        <v>25</v>
      </c>
      <c r="E107" s="6">
        <f t="shared" si="7"/>
        <v>37.5</v>
      </c>
      <c r="F107" s="18">
        <v>38.4992168002672</v>
      </c>
      <c r="G107" s="19">
        <v>100</v>
      </c>
      <c r="H107" s="19">
        <v>100</v>
      </c>
      <c r="I107" s="19">
        <v>100</v>
      </c>
      <c r="J107" s="19">
        <v>50</v>
      </c>
      <c r="K107" s="9">
        <f t="shared" si="8"/>
        <v>87.5</v>
      </c>
      <c r="L107" s="19">
        <v>40</v>
      </c>
      <c r="M107" s="19">
        <v>70</v>
      </c>
      <c r="N107" s="19">
        <v>30</v>
      </c>
      <c r="O107" s="19">
        <v>25</v>
      </c>
      <c r="P107" s="9">
        <f t="shared" si="9"/>
        <v>41.25</v>
      </c>
      <c r="Q107" s="26">
        <v>42.1762909089693</v>
      </c>
      <c r="R107" s="26">
        <v>42.2799020816146</v>
      </c>
      <c r="S107" s="27">
        <f t="shared" si="10"/>
        <v>42.228096495292</v>
      </c>
      <c r="T107" s="18">
        <v>43.3532971209294</v>
      </c>
      <c r="U107" s="19">
        <v>80</v>
      </c>
      <c r="V107" s="19">
        <v>50</v>
      </c>
      <c r="W107" s="7">
        <f t="shared" si="11"/>
        <v>65</v>
      </c>
      <c r="X107" s="28">
        <f t="shared" si="12"/>
        <v>53.1661622084252</v>
      </c>
      <c r="Y107" s="26">
        <f t="shared" si="13"/>
        <v>55.1205027842393</v>
      </c>
    </row>
    <row r="108" spans="1:25">
      <c r="A108" s="8" t="s">
        <v>136</v>
      </c>
      <c r="B108" s="8">
        <v>3</v>
      </c>
      <c r="C108" s="16">
        <v>100</v>
      </c>
      <c r="D108" s="16">
        <v>50</v>
      </c>
      <c r="E108" s="6">
        <f t="shared" si="7"/>
        <v>75</v>
      </c>
      <c r="F108" s="18">
        <v>81.3486985578698</v>
      </c>
      <c r="G108" s="19">
        <v>60</v>
      </c>
      <c r="H108" s="19">
        <v>100</v>
      </c>
      <c r="I108" s="19">
        <v>100</v>
      </c>
      <c r="J108" s="19">
        <v>75</v>
      </c>
      <c r="K108" s="9">
        <f t="shared" si="8"/>
        <v>83.75</v>
      </c>
      <c r="L108" s="19">
        <v>60</v>
      </c>
      <c r="M108" s="8" t="s">
        <v>32</v>
      </c>
      <c r="N108" s="19">
        <v>100</v>
      </c>
      <c r="O108" s="19">
        <v>100</v>
      </c>
      <c r="P108" s="9">
        <f t="shared" si="9"/>
        <v>65</v>
      </c>
      <c r="Q108" s="26">
        <v>30.8861625089662</v>
      </c>
      <c r="R108" s="26">
        <v>27.6775592914236</v>
      </c>
      <c r="S108" s="27">
        <f t="shared" si="10"/>
        <v>29.2818609001949</v>
      </c>
      <c r="T108" s="18">
        <v>31.7605503411124</v>
      </c>
      <c r="U108" s="19">
        <v>20</v>
      </c>
      <c r="V108" s="19">
        <v>50</v>
      </c>
      <c r="W108" s="7">
        <f t="shared" si="11"/>
        <v>35</v>
      </c>
      <c r="X108" s="28">
        <f t="shared" si="12"/>
        <v>55.7239598480189</v>
      </c>
      <c r="Y108" s="26">
        <f t="shared" si="13"/>
        <v>59.3718497797964</v>
      </c>
    </row>
    <row r="109" spans="1:25">
      <c r="A109" s="8" t="s">
        <v>137</v>
      </c>
      <c r="B109" s="8">
        <v>3</v>
      </c>
      <c r="C109" s="16">
        <v>50</v>
      </c>
      <c r="D109" s="16">
        <v>50</v>
      </c>
      <c r="E109" s="6">
        <f t="shared" si="7"/>
        <v>50</v>
      </c>
      <c r="F109" s="18">
        <v>54.2324657052465</v>
      </c>
      <c r="G109" s="19">
        <v>100</v>
      </c>
      <c r="H109" s="19">
        <v>100</v>
      </c>
      <c r="I109" s="19">
        <v>100</v>
      </c>
      <c r="J109" s="19">
        <v>75</v>
      </c>
      <c r="K109" s="9">
        <f t="shared" si="8"/>
        <v>93.75</v>
      </c>
      <c r="L109" s="19">
        <v>80</v>
      </c>
      <c r="M109" s="19">
        <v>30</v>
      </c>
      <c r="N109" s="19">
        <v>100</v>
      </c>
      <c r="O109" s="19">
        <v>75</v>
      </c>
      <c r="P109" s="9">
        <f t="shared" si="9"/>
        <v>71.25</v>
      </c>
      <c r="Q109" s="26">
        <v>43.9621962168687</v>
      </c>
      <c r="R109" s="26">
        <v>40.5627834298155</v>
      </c>
      <c r="S109" s="27">
        <f t="shared" si="10"/>
        <v>42.2624898233421</v>
      </c>
      <c r="T109" s="18">
        <v>45.8399805992546</v>
      </c>
      <c r="U109" s="19">
        <v>100</v>
      </c>
      <c r="V109" s="19">
        <v>50</v>
      </c>
      <c r="W109" s="7">
        <f t="shared" si="11"/>
        <v>75</v>
      </c>
      <c r="X109" s="28">
        <f t="shared" si="12"/>
        <v>62.5574853807511</v>
      </c>
      <c r="Y109" s="26">
        <f t="shared" si="13"/>
        <v>68.0144892609002</v>
      </c>
    </row>
    <row r="110" spans="1:25">
      <c r="A110" s="8" t="s">
        <v>138</v>
      </c>
      <c r="B110" s="8">
        <v>3</v>
      </c>
      <c r="C110" s="16">
        <v>75</v>
      </c>
      <c r="D110" s="16">
        <v>75</v>
      </c>
      <c r="E110" s="6">
        <f t="shared" si="7"/>
        <v>75</v>
      </c>
      <c r="F110" s="18">
        <v>72.3030170921817</v>
      </c>
      <c r="G110" s="19">
        <v>40</v>
      </c>
      <c r="H110" s="8" t="s">
        <v>32</v>
      </c>
      <c r="I110" s="19">
        <v>50</v>
      </c>
      <c r="J110" s="8" t="s">
        <v>32</v>
      </c>
      <c r="K110" s="9">
        <f t="shared" si="8"/>
        <v>22.5</v>
      </c>
      <c r="L110" s="19">
        <v>60</v>
      </c>
      <c r="M110" s="8" t="s">
        <v>32</v>
      </c>
      <c r="N110" s="19">
        <v>40</v>
      </c>
      <c r="O110" s="8" t="s">
        <v>32</v>
      </c>
      <c r="P110" s="9">
        <f t="shared" si="9"/>
        <v>25</v>
      </c>
      <c r="Q110" s="26">
        <v>55.927975607979</v>
      </c>
      <c r="R110" s="26">
        <v>60.0240772317046</v>
      </c>
      <c r="S110" s="27">
        <f t="shared" si="10"/>
        <v>57.9760264198418</v>
      </c>
      <c r="T110" s="18">
        <v>55.8912217222747</v>
      </c>
      <c r="U110" s="8" t="s">
        <v>32</v>
      </c>
      <c r="V110" s="19">
        <v>50</v>
      </c>
      <c r="W110" s="7">
        <f t="shared" si="11"/>
        <v>25</v>
      </c>
      <c r="X110" s="28">
        <f t="shared" si="12"/>
        <v>46.3170921073462</v>
      </c>
      <c r="Y110" s="26">
        <f t="shared" si="13"/>
        <v>40.1388477628913</v>
      </c>
    </row>
    <row r="111" spans="1:25">
      <c r="A111" s="8" t="s">
        <v>139</v>
      </c>
      <c r="B111" s="8">
        <v>3</v>
      </c>
      <c r="C111" s="16">
        <v>100</v>
      </c>
      <c r="D111" s="16">
        <v>75</v>
      </c>
      <c r="E111" s="6">
        <f t="shared" si="7"/>
        <v>87.5</v>
      </c>
      <c r="F111" s="18">
        <v>90.6042697878946</v>
      </c>
      <c r="G111" s="19">
        <v>60</v>
      </c>
      <c r="H111" s="19">
        <v>40</v>
      </c>
      <c r="I111" s="19">
        <v>50</v>
      </c>
      <c r="J111" s="8" t="s">
        <v>32</v>
      </c>
      <c r="K111" s="9">
        <f t="shared" si="8"/>
        <v>37.5</v>
      </c>
      <c r="L111" s="19">
        <v>60</v>
      </c>
      <c r="M111" s="8" t="s">
        <v>32</v>
      </c>
      <c r="N111" s="19">
        <v>40</v>
      </c>
      <c r="O111" s="8" t="s">
        <v>32</v>
      </c>
      <c r="P111" s="9">
        <f t="shared" si="9"/>
        <v>25</v>
      </c>
      <c r="Q111" s="26">
        <v>39.1780133336957</v>
      </c>
      <c r="R111" s="26">
        <v>39.8969187606612</v>
      </c>
      <c r="S111" s="27">
        <f t="shared" si="10"/>
        <v>39.5374660471784</v>
      </c>
      <c r="T111" s="18">
        <v>40.9401513196375</v>
      </c>
      <c r="U111" s="19">
        <v>40</v>
      </c>
      <c r="V111" s="19">
        <v>50</v>
      </c>
      <c r="W111" s="7">
        <f t="shared" si="11"/>
        <v>45</v>
      </c>
      <c r="X111" s="28">
        <f t="shared" si="12"/>
        <v>48.9969144854339</v>
      </c>
      <c r="Y111" s="26">
        <f t="shared" si="13"/>
        <v>47.8088842215064</v>
      </c>
    </row>
    <row r="112" spans="1:25">
      <c r="A112" s="8" t="s">
        <v>140</v>
      </c>
      <c r="B112" s="8">
        <v>3</v>
      </c>
      <c r="C112" s="16">
        <v>25</v>
      </c>
      <c r="D112" s="16">
        <v>25</v>
      </c>
      <c r="E112" s="6">
        <f t="shared" si="7"/>
        <v>25</v>
      </c>
      <c r="F112" s="18">
        <v>27.0694262833625</v>
      </c>
      <c r="G112" s="19">
        <v>100</v>
      </c>
      <c r="H112" s="19">
        <v>70</v>
      </c>
      <c r="I112" s="19">
        <v>100</v>
      </c>
      <c r="J112" s="19">
        <v>75</v>
      </c>
      <c r="K112" s="9">
        <f t="shared" si="8"/>
        <v>86.25</v>
      </c>
      <c r="L112" s="19">
        <v>100</v>
      </c>
      <c r="M112" s="19">
        <v>60</v>
      </c>
      <c r="N112" s="19">
        <v>100</v>
      </c>
      <c r="O112" s="19">
        <v>75</v>
      </c>
      <c r="P112" s="9">
        <f t="shared" si="9"/>
        <v>83.75</v>
      </c>
      <c r="Q112" s="26">
        <v>43.0356373524707</v>
      </c>
      <c r="R112" s="26">
        <v>39.9324304171676</v>
      </c>
      <c r="S112" s="27">
        <f t="shared" si="10"/>
        <v>41.4840338848191</v>
      </c>
      <c r="T112" s="18">
        <v>44.917959887265</v>
      </c>
      <c r="U112" s="19">
        <v>80</v>
      </c>
      <c r="V112" s="19">
        <v>75</v>
      </c>
      <c r="W112" s="7">
        <f t="shared" si="11"/>
        <v>77.5</v>
      </c>
      <c r="X112" s="28">
        <f t="shared" si="12"/>
        <v>56.7560692115785</v>
      </c>
      <c r="Y112" s="26">
        <f t="shared" si="13"/>
        <v>63.8974772341255</v>
      </c>
    </row>
    <row r="113" spans="1:25">
      <c r="A113" s="8" t="s">
        <v>141</v>
      </c>
      <c r="B113" s="8">
        <v>3</v>
      </c>
      <c r="C113" s="16">
        <v>75</v>
      </c>
      <c r="D113" s="17">
        <v>25</v>
      </c>
      <c r="E113" s="6">
        <f t="shared" si="7"/>
        <v>50</v>
      </c>
      <c r="F113" s="18">
        <v>45.9409647665323</v>
      </c>
      <c r="G113" s="19">
        <v>20</v>
      </c>
      <c r="H113" s="19">
        <v>60</v>
      </c>
      <c r="I113" s="19">
        <v>75</v>
      </c>
      <c r="J113" s="19">
        <v>25</v>
      </c>
      <c r="K113" s="9">
        <f t="shared" si="8"/>
        <v>45</v>
      </c>
      <c r="L113" s="19">
        <v>80</v>
      </c>
      <c r="M113" s="19">
        <v>30</v>
      </c>
      <c r="N113" s="19">
        <v>70</v>
      </c>
      <c r="O113" s="19">
        <v>25</v>
      </c>
      <c r="P113" s="9">
        <f t="shared" si="9"/>
        <v>51.25</v>
      </c>
      <c r="Q113" s="26">
        <v>61.5521560510376</v>
      </c>
      <c r="R113" s="26">
        <v>65.6483630316202</v>
      </c>
      <c r="S113" s="27">
        <f t="shared" si="10"/>
        <v>63.6002595413289</v>
      </c>
      <c r="T113" s="18">
        <v>58.43714565461</v>
      </c>
      <c r="U113" s="19">
        <v>80</v>
      </c>
      <c r="V113" s="19">
        <v>75</v>
      </c>
      <c r="W113" s="7">
        <f t="shared" si="11"/>
        <v>77.5</v>
      </c>
      <c r="X113" s="28">
        <f t="shared" si="12"/>
        <v>54.4380512151505</v>
      </c>
      <c r="Y113" s="26">
        <f t="shared" si="13"/>
        <v>55.6256220842285</v>
      </c>
    </row>
    <row r="114" spans="1:25">
      <c r="A114" s="8" t="s">
        <v>142</v>
      </c>
      <c r="B114" s="8">
        <v>3</v>
      </c>
      <c r="C114" s="16">
        <v>25</v>
      </c>
      <c r="D114" s="16">
        <v>25</v>
      </c>
      <c r="E114" s="6">
        <f t="shared" si="7"/>
        <v>25</v>
      </c>
      <c r="F114" s="18">
        <v>27.0725387331945</v>
      </c>
      <c r="G114" s="19">
        <v>40</v>
      </c>
      <c r="H114" s="8" t="s">
        <v>32</v>
      </c>
      <c r="I114" s="8" t="s">
        <v>32</v>
      </c>
      <c r="J114" s="8" t="s">
        <v>32</v>
      </c>
      <c r="K114" s="9">
        <f t="shared" si="8"/>
        <v>10</v>
      </c>
      <c r="L114" s="19">
        <v>60</v>
      </c>
      <c r="M114" s="8" t="s">
        <v>32</v>
      </c>
      <c r="N114" s="8" t="s">
        <v>32</v>
      </c>
      <c r="O114" s="8" t="s">
        <v>32</v>
      </c>
      <c r="P114" s="9">
        <f t="shared" si="9"/>
        <v>15</v>
      </c>
      <c r="Q114" s="26">
        <v>36.1883981587035</v>
      </c>
      <c r="R114" s="26">
        <v>33.540994839992</v>
      </c>
      <c r="S114" s="27">
        <f t="shared" si="10"/>
        <v>34.8646964993478</v>
      </c>
      <c r="T114" s="18">
        <v>37.7550338559865</v>
      </c>
      <c r="U114" s="8" t="s">
        <v>32</v>
      </c>
      <c r="V114" s="8" t="s">
        <v>32</v>
      </c>
      <c r="W114" s="7">
        <f t="shared" si="11"/>
        <v>0</v>
      </c>
      <c r="X114" s="28">
        <f t="shared" si="12"/>
        <v>24.0165212890335</v>
      </c>
      <c r="Y114" s="26">
        <f t="shared" si="13"/>
        <v>17.9655145178362</v>
      </c>
    </row>
    <row r="115" spans="1:25">
      <c r="A115" s="8" t="s">
        <v>143</v>
      </c>
      <c r="B115" s="8">
        <v>3</v>
      </c>
      <c r="C115" s="16">
        <v>100</v>
      </c>
      <c r="D115" s="16">
        <v>75</v>
      </c>
      <c r="E115" s="6">
        <f t="shared" si="7"/>
        <v>87.5</v>
      </c>
      <c r="F115" s="18">
        <v>87.0550908683511</v>
      </c>
      <c r="G115" s="19">
        <v>40</v>
      </c>
      <c r="H115" s="19">
        <v>30</v>
      </c>
      <c r="I115" s="19">
        <v>100</v>
      </c>
      <c r="J115" s="19">
        <v>50</v>
      </c>
      <c r="K115" s="9">
        <f t="shared" si="8"/>
        <v>55</v>
      </c>
      <c r="L115" s="19">
        <v>80</v>
      </c>
      <c r="M115" s="8" t="s">
        <v>32</v>
      </c>
      <c r="N115" s="19">
        <v>40</v>
      </c>
      <c r="O115" s="8" t="s">
        <v>32</v>
      </c>
      <c r="P115" s="9">
        <f t="shared" si="9"/>
        <v>30</v>
      </c>
      <c r="Q115" s="26">
        <v>36.209275875357</v>
      </c>
      <c r="R115" s="26">
        <v>37.0130401429649</v>
      </c>
      <c r="S115" s="27">
        <f t="shared" si="10"/>
        <v>36.611158009161</v>
      </c>
      <c r="T115" s="18">
        <v>36.4250021403779</v>
      </c>
      <c r="U115" s="19">
        <v>60</v>
      </c>
      <c r="V115" s="19">
        <v>50</v>
      </c>
      <c r="W115" s="7">
        <f t="shared" si="11"/>
        <v>55</v>
      </c>
      <c r="X115" s="28">
        <f t="shared" si="12"/>
        <v>51.4810190298214</v>
      </c>
      <c r="Y115" s="26">
        <f t="shared" si="13"/>
        <v>52.6960186017458</v>
      </c>
    </row>
    <row r="116" spans="1:25">
      <c r="A116" s="8" t="s">
        <v>144</v>
      </c>
      <c r="B116" s="8">
        <v>3</v>
      </c>
      <c r="C116" s="16">
        <v>75</v>
      </c>
      <c r="D116" s="16">
        <v>75</v>
      </c>
      <c r="E116" s="6">
        <f t="shared" si="7"/>
        <v>75</v>
      </c>
      <c r="F116" s="18">
        <v>81.3486985578698</v>
      </c>
      <c r="G116" s="19">
        <v>20</v>
      </c>
      <c r="H116" s="19">
        <v>30</v>
      </c>
      <c r="I116" s="19">
        <v>50</v>
      </c>
      <c r="J116" s="8" t="s">
        <v>32</v>
      </c>
      <c r="K116" s="9">
        <f t="shared" si="8"/>
        <v>25</v>
      </c>
      <c r="L116" s="19">
        <v>60</v>
      </c>
      <c r="M116" s="8" t="s">
        <v>32</v>
      </c>
      <c r="N116" s="19">
        <v>40</v>
      </c>
      <c r="O116" s="19">
        <v>25</v>
      </c>
      <c r="P116" s="9">
        <f t="shared" si="9"/>
        <v>31.25</v>
      </c>
      <c r="Q116" s="26">
        <v>34.0037483132434</v>
      </c>
      <c r="R116" s="26">
        <v>34.6850099011823</v>
      </c>
      <c r="S116" s="27">
        <f t="shared" si="10"/>
        <v>34.3443791072129</v>
      </c>
      <c r="T116" s="18">
        <v>37.2516072419981</v>
      </c>
      <c r="U116" s="19">
        <v>40</v>
      </c>
      <c r="V116" s="19">
        <v>25</v>
      </c>
      <c r="W116" s="7">
        <f t="shared" si="11"/>
        <v>32.5</v>
      </c>
      <c r="X116" s="28">
        <f t="shared" si="12"/>
        <v>42.5453826083732</v>
      </c>
      <c r="Y116" s="26">
        <f t="shared" si="13"/>
        <v>41.4700611599736</v>
      </c>
    </row>
    <row r="117" spans="1:25">
      <c r="A117" s="8" t="s">
        <v>145</v>
      </c>
      <c r="B117" s="8">
        <v>3</v>
      </c>
      <c r="C117" s="17">
        <v>25</v>
      </c>
      <c r="D117" s="17">
        <v>50</v>
      </c>
      <c r="E117" s="6">
        <f t="shared" si="7"/>
        <v>37.5</v>
      </c>
      <c r="F117" s="18">
        <v>40.2521659650817</v>
      </c>
      <c r="G117" s="19">
        <v>100</v>
      </c>
      <c r="H117" s="19">
        <v>30</v>
      </c>
      <c r="I117" s="19">
        <v>100</v>
      </c>
      <c r="J117" s="8" t="s">
        <v>32</v>
      </c>
      <c r="K117" s="9">
        <f t="shared" si="8"/>
        <v>57.5</v>
      </c>
      <c r="L117" s="19">
        <v>80</v>
      </c>
      <c r="M117" s="8" t="s">
        <v>32</v>
      </c>
      <c r="N117" s="19">
        <v>40</v>
      </c>
      <c r="O117" s="19">
        <v>25</v>
      </c>
      <c r="P117" s="9">
        <f t="shared" si="9"/>
        <v>36.25</v>
      </c>
      <c r="Q117" s="26">
        <v>34.3593882804689</v>
      </c>
      <c r="R117" s="26">
        <v>29.4516352995621</v>
      </c>
      <c r="S117" s="27">
        <f t="shared" si="10"/>
        <v>31.9055117900155</v>
      </c>
      <c r="T117" s="18">
        <v>34.2470921539354</v>
      </c>
      <c r="U117" s="19">
        <v>60</v>
      </c>
      <c r="V117" s="19">
        <v>75</v>
      </c>
      <c r="W117" s="7">
        <f t="shared" si="11"/>
        <v>67.5</v>
      </c>
      <c r="X117" s="28">
        <f t="shared" si="12"/>
        <v>43.6242700545905</v>
      </c>
      <c r="Y117" s="26">
        <f t="shared" si="13"/>
        <v>47.1498516238034</v>
      </c>
    </row>
    <row r="118" spans="1:25">
      <c r="A118" s="8" t="s">
        <v>146</v>
      </c>
      <c r="B118" s="8">
        <v>3</v>
      </c>
      <c r="C118" s="16">
        <v>100</v>
      </c>
      <c r="D118" s="16">
        <v>75</v>
      </c>
      <c r="E118" s="6">
        <f t="shared" si="7"/>
        <v>87.5</v>
      </c>
      <c r="F118" s="18">
        <v>94.9068149841814</v>
      </c>
      <c r="G118" s="19">
        <v>100</v>
      </c>
      <c r="H118" s="19">
        <v>100</v>
      </c>
      <c r="I118" s="19">
        <v>75</v>
      </c>
      <c r="J118" s="19">
        <v>75</v>
      </c>
      <c r="K118" s="9">
        <f t="shared" si="8"/>
        <v>87.5</v>
      </c>
      <c r="L118" s="19">
        <v>80</v>
      </c>
      <c r="M118" s="19">
        <v>100</v>
      </c>
      <c r="N118" s="19">
        <v>70</v>
      </c>
      <c r="O118" s="19">
        <v>100</v>
      </c>
      <c r="P118" s="9">
        <f t="shared" si="9"/>
        <v>87.5</v>
      </c>
      <c r="Q118" s="26">
        <v>33.0593646928674</v>
      </c>
      <c r="R118" s="26">
        <v>27.9722038940585</v>
      </c>
      <c r="S118" s="27">
        <f t="shared" si="10"/>
        <v>30.515784293463</v>
      </c>
      <c r="T118" s="18">
        <v>33.0989245032786</v>
      </c>
      <c r="U118" s="19">
        <v>80</v>
      </c>
      <c r="V118" s="19">
        <v>75</v>
      </c>
      <c r="W118" s="7">
        <f t="shared" si="11"/>
        <v>77.5</v>
      </c>
      <c r="X118" s="28">
        <f t="shared" si="12"/>
        <v>66.2209327981477</v>
      </c>
      <c r="Y118" s="26">
        <f t="shared" si="13"/>
        <v>76.101147897492</v>
      </c>
    </row>
    <row r="119" spans="1:25">
      <c r="A119" s="8" t="s">
        <v>147</v>
      </c>
      <c r="B119" s="8">
        <v>3</v>
      </c>
      <c r="C119" s="16">
        <v>75</v>
      </c>
      <c r="D119" s="16">
        <v>75</v>
      </c>
      <c r="E119" s="6">
        <f t="shared" si="7"/>
        <v>75</v>
      </c>
      <c r="F119" s="18">
        <v>77.8431654344962</v>
      </c>
      <c r="G119" s="19">
        <v>80</v>
      </c>
      <c r="H119" s="8" t="s">
        <v>32</v>
      </c>
      <c r="I119" s="19">
        <v>50</v>
      </c>
      <c r="J119" s="19">
        <v>25</v>
      </c>
      <c r="K119" s="9">
        <f t="shared" si="8"/>
        <v>38.75</v>
      </c>
      <c r="L119" s="19">
        <v>60</v>
      </c>
      <c r="M119" s="8" t="s">
        <v>32</v>
      </c>
      <c r="N119" s="19">
        <v>40</v>
      </c>
      <c r="O119" s="19">
        <v>25</v>
      </c>
      <c r="P119" s="9">
        <f t="shared" si="9"/>
        <v>31.25</v>
      </c>
      <c r="Q119" s="26">
        <v>42.0841126566387</v>
      </c>
      <c r="R119" s="26">
        <v>44.4289633066702</v>
      </c>
      <c r="S119" s="27">
        <f t="shared" si="10"/>
        <v>43.2565379816544</v>
      </c>
      <c r="T119" s="18">
        <v>44.8963445630599</v>
      </c>
      <c r="U119" s="19">
        <v>40</v>
      </c>
      <c r="V119" s="8" t="s">
        <v>32</v>
      </c>
      <c r="W119" s="7">
        <f t="shared" si="11"/>
        <v>20</v>
      </c>
      <c r="X119" s="28">
        <f t="shared" si="12"/>
        <v>46.4021709121232</v>
      </c>
      <c r="Y119" s="26">
        <f t="shared" si="13"/>
        <v>42.5479019995112</v>
      </c>
    </row>
    <row r="120" spans="1:25">
      <c r="A120" s="8" t="s">
        <v>148</v>
      </c>
      <c r="B120" s="8">
        <v>3</v>
      </c>
      <c r="C120" s="16">
        <v>50</v>
      </c>
      <c r="D120" s="16">
        <v>50</v>
      </c>
      <c r="E120" s="6">
        <f t="shared" si="7"/>
        <v>50</v>
      </c>
      <c r="F120" s="18">
        <v>52.3751310085</v>
      </c>
      <c r="G120" s="19">
        <v>60</v>
      </c>
      <c r="H120" s="19">
        <v>70</v>
      </c>
      <c r="I120" s="19">
        <v>50</v>
      </c>
      <c r="J120" s="19">
        <v>25</v>
      </c>
      <c r="K120" s="9">
        <f t="shared" si="8"/>
        <v>51.25</v>
      </c>
      <c r="L120" s="19">
        <v>40</v>
      </c>
      <c r="M120" s="19">
        <v>70</v>
      </c>
      <c r="N120" s="19">
        <v>70</v>
      </c>
      <c r="O120" s="19">
        <v>25</v>
      </c>
      <c r="P120" s="9">
        <f t="shared" si="9"/>
        <v>51.25</v>
      </c>
      <c r="Q120" s="26">
        <v>49.4850498543383</v>
      </c>
      <c r="R120" s="26">
        <v>46.6592979089861</v>
      </c>
      <c r="S120" s="27">
        <f t="shared" si="10"/>
        <v>48.0721738816622</v>
      </c>
      <c r="T120" s="18">
        <v>50.355728098309</v>
      </c>
      <c r="U120" s="19">
        <v>80</v>
      </c>
      <c r="V120" s="19">
        <v>50</v>
      </c>
      <c r="W120" s="7">
        <f t="shared" si="11"/>
        <v>65</v>
      </c>
      <c r="X120" s="28">
        <f t="shared" si="12"/>
        <v>52.4923174410236</v>
      </c>
      <c r="Y120" s="26">
        <f t="shared" si="13"/>
        <v>54.0461718213618</v>
      </c>
    </row>
    <row r="121" spans="1:25">
      <c r="A121" s="8" t="s">
        <v>149</v>
      </c>
      <c r="B121" s="8">
        <v>3</v>
      </c>
      <c r="C121" s="16">
        <v>50</v>
      </c>
      <c r="D121" s="16">
        <v>50</v>
      </c>
      <c r="E121" s="6">
        <f t="shared" si="7"/>
        <v>50</v>
      </c>
      <c r="F121" s="18">
        <v>54.2324657052465</v>
      </c>
      <c r="G121" s="19">
        <v>100</v>
      </c>
      <c r="H121" s="19">
        <v>40</v>
      </c>
      <c r="I121" s="19">
        <v>100</v>
      </c>
      <c r="J121" s="19">
        <v>75</v>
      </c>
      <c r="K121" s="9">
        <f t="shared" si="8"/>
        <v>78.75</v>
      </c>
      <c r="L121" s="19">
        <v>100</v>
      </c>
      <c r="M121" s="19">
        <v>30</v>
      </c>
      <c r="N121" s="19">
        <v>70</v>
      </c>
      <c r="O121" s="19">
        <v>50</v>
      </c>
      <c r="P121" s="9">
        <f t="shared" si="9"/>
        <v>62.5</v>
      </c>
      <c r="Q121" s="26">
        <v>22.8480417059252</v>
      </c>
      <c r="R121" s="26">
        <v>21.4309463359536</v>
      </c>
      <c r="S121" s="27">
        <f t="shared" si="10"/>
        <v>22.1394940209394</v>
      </c>
      <c r="T121" s="18">
        <v>24.0135870044421</v>
      </c>
      <c r="U121" s="19">
        <v>60</v>
      </c>
      <c r="V121" s="19">
        <v>100</v>
      </c>
      <c r="W121" s="7">
        <f t="shared" si="11"/>
        <v>80</v>
      </c>
      <c r="X121" s="28">
        <f t="shared" si="12"/>
        <v>50.4519279428262</v>
      </c>
      <c r="Y121" s="26">
        <f t="shared" si="13"/>
        <v>59.8992105419377</v>
      </c>
    </row>
    <row r="122" spans="1:25">
      <c r="A122" s="8" t="s">
        <v>150</v>
      </c>
      <c r="B122" s="8">
        <v>3</v>
      </c>
      <c r="C122" s="16">
        <v>100</v>
      </c>
      <c r="D122" s="16">
        <v>100</v>
      </c>
      <c r="E122" s="6">
        <f t="shared" si="7"/>
        <v>100</v>
      </c>
      <c r="F122" s="18">
        <v>91.8819295330646</v>
      </c>
      <c r="G122" s="19">
        <v>100</v>
      </c>
      <c r="H122" s="19">
        <v>100</v>
      </c>
      <c r="I122" s="19">
        <v>75</v>
      </c>
      <c r="J122" s="19">
        <v>50</v>
      </c>
      <c r="K122" s="9">
        <f t="shared" si="8"/>
        <v>81.25</v>
      </c>
      <c r="L122" s="19">
        <v>100</v>
      </c>
      <c r="M122" s="19">
        <v>100</v>
      </c>
      <c r="N122" s="19">
        <v>70</v>
      </c>
      <c r="O122" s="19">
        <v>75</v>
      </c>
      <c r="P122" s="9">
        <f t="shared" si="9"/>
        <v>86.25</v>
      </c>
      <c r="Q122" s="26">
        <v>70.6753961004425</v>
      </c>
      <c r="R122" s="26">
        <v>76.9544491278459</v>
      </c>
      <c r="S122" s="27">
        <f t="shared" si="10"/>
        <v>73.8149226141442</v>
      </c>
      <c r="T122" s="18">
        <v>67.8225751812141</v>
      </c>
      <c r="U122" s="19">
        <v>100</v>
      </c>
      <c r="V122" s="19">
        <v>75</v>
      </c>
      <c r="W122" s="7">
        <f t="shared" si="11"/>
        <v>87.5</v>
      </c>
      <c r="X122" s="28">
        <f t="shared" si="12"/>
        <v>79.1304159790986</v>
      </c>
      <c r="Y122" s="26">
        <f t="shared" si="13"/>
        <v>82.9409009428557</v>
      </c>
    </row>
    <row r="123" spans="1:25">
      <c r="A123" s="8" t="s">
        <v>151</v>
      </c>
      <c r="B123" s="8">
        <v>3</v>
      </c>
      <c r="C123" s="16">
        <v>50</v>
      </c>
      <c r="D123" s="16">
        <v>75</v>
      </c>
      <c r="E123" s="6">
        <f t="shared" si="7"/>
        <v>62.5</v>
      </c>
      <c r="F123" s="18">
        <v>62.4708904876157</v>
      </c>
      <c r="G123" s="19">
        <v>100</v>
      </c>
      <c r="H123" s="19">
        <v>70</v>
      </c>
      <c r="I123" s="19">
        <v>100</v>
      </c>
      <c r="J123" s="19">
        <v>100</v>
      </c>
      <c r="K123" s="9">
        <f t="shared" si="8"/>
        <v>92.5</v>
      </c>
      <c r="L123" s="19">
        <v>100</v>
      </c>
      <c r="M123" s="19">
        <v>100</v>
      </c>
      <c r="N123" s="19">
        <v>100</v>
      </c>
      <c r="O123" s="19">
        <v>100</v>
      </c>
      <c r="P123" s="9">
        <f t="shared" si="9"/>
        <v>100</v>
      </c>
      <c r="Q123" s="26">
        <v>53.5656221746313</v>
      </c>
      <c r="R123" s="26">
        <v>53.6226557277293</v>
      </c>
      <c r="S123" s="27">
        <f t="shared" si="10"/>
        <v>53.5941389511803</v>
      </c>
      <c r="T123" s="18">
        <v>53.5691773631559</v>
      </c>
      <c r="U123" s="19">
        <v>80</v>
      </c>
      <c r="V123" s="19">
        <v>100</v>
      </c>
      <c r="W123" s="7">
        <f t="shared" si="11"/>
        <v>90</v>
      </c>
      <c r="X123" s="28">
        <f t="shared" si="12"/>
        <v>71.4218490427855</v>
      </c>
      <c r="Y123" s="26">
        <f t="shared" si="13"/>
        <v>79.7080135701543</v>
      </c>
    </row>
    <row r="124" spans="1:25">
      <c r="A124" s="8" t="s">
        <v>152</v>
      </c>
      <c r="B124" s="8">
        <v>3</v>
      </c>
      <c r="C124" s="16">
        <v>50</v>
      </c>
      <c r="D124" s="16">
        <v>75</v>
      </c>
      <c r="E124" s="6">
        <f t="shared" si="7"/>
        <v>62.5</v>
      </c>
      <c r="F124" s="18">
        <v>64.2930083754831</v>
      </c>
      <c r="G124" s="19">
        <v>100</v>
      </c>
      <c r="H124" s="19">
        <v>70</v>
      </c>
      <c r="I124" s="19">
        <v>50</v>
      </c>
      <c r="J124" s="19">
        <v>75</v>
      </c>
      <c r="K124" s="9">
        <f t="shared" si="8"/>
        <v>73.75</v>
      </c>
      <c r="L124" s="19">
        <v>80</v>
      </c>
      <c r="M124" s="19">
        <v>70</v>
      </c>
      <c r="N124" s="8" t="s">
        <v>32</v>
      </c>
      <c r="O124" s="19">
        <v>50</v>
      </c>
      <c r="P124" s="9">
        <f t="shared" si="9"/>
        <v>50</v>
      </c>
      <c r="Q124" s="26">
        <v>42.4874109542771</v>
      </c>
      <c r="R124" s="26">
        <v>39.7936978447394</v>
      </c>
      <c r="S124" s="27">
        <f t="shared" si="10"/>
        <v>41.1405543995083</v>
      </c>
      <c r="T124" s="18">
        <v>42.3208001372737</v>
      </c>
      <c r="U124" s="19">
        <v>40</v>
      </c>
      <c r="V124" s="19">
        <v>25</v>
      </c>
      <c r="W124" s="7">
        <f t="shared" si="11"/>
        <v>32.5</v>
      </c>
      <c r="X124" s="28">
        <f t="shared" si="12"/>
        <v>52.7869217300061</v>
      </c>
      <c r="Y124" s="26">
        <f t="shared" si="13"/>
        <v>52.5727617025514</v>
      </c>
    </row>
    <row r="125" spans="1:25">
      <c r="A125" s="8" t="s">
        <v>153</v>
      </c>
      <c r="B125" s="8">
        <v>3</v>
      </c>
      <c r="C125" s="16">
        <v>50</v>
      </c>
      <c r="D125" s="16">
        <v>25</v>
      </c>
      <c r="E125" s="6">
        <f t="shared" si="7"/>
        <v>37.5</v>
      </c>
      <c r="F125" s="18">
        <v>34.8483795320953</v>
      </c>
      <c r="G125" s="19">
        <v>100</v>
      </c>
      <c r="H125" s="19">
        <v>70</v>
      </c>
      <c r="I125" s="19">
        <v>100</v>
      </c>
      <c r="J125" s="19">
        <v>75</v>
      </c>
      <c r="K125" s="9">
        <f t="shared" si="8"/>
        <v>86.25</v>
      </c>
      <c r="L125" s="19">
        <v>100</v>
      </c>
      <c r="M125" s="19">
        <v>40</v>
      </c>
      <c r="N125" s="19">
        <v>40</v>
      </c>
      <c r="O125" s="19">
        <v>75</v>
      </c>
      <c r="P125" s="9">
        <f t="shared" si="9"/>
        <v>63.75</v>
      </c>
      <c r="Q125" s="26">
        <v>61.3727887037003</v>
      </c>
      <c r="R125" s="26">
        <v>66.780281621371</v>
      </c>
      <c r="S125" s="27">
        <f t="shared" si="10"/>
        <v>64.0765351625356</v>
      </c>
      <c r="T125" s="18">
        <v>59.5456911052184</v>
      </c>
      <c r="U125" s="19">
        <v>100</v>
      </c>
      <c r="V125" s="19">
        <v>100</v>
      </c>
      <c r="W125" s="7">
        <f t="shared" si="11"/>
        <v>100</v>
      </c>
      <c r="X125" s="28">
        <f t="shared" si="12"/>
        <v>64.4129523485064</v>
      </c>
      <c r="Y125" s="26">
        <f t="shared" si="13"/>
        <v>68.8788141274627</v>
      </c>
    </row>
    <row r="126" spans="1:25">
      <c r="A126" s="8" t="s">
        <v>154</v>
      </c>
      <c r="B126" s="8">
        <v>3</v>
      </c>
      <c r="C126" s="16">
        <v>100</v>
      </c>
      <c r="D126" s="16">
        <v>50</v>
      </c>
      <c r="E126" s="6">
        <f t="shared" si="7"/>
        <v>75</v>
      </c>
      <c r="F126" s="18">
        <v>68.9114471497984</v>
      </c>
      <c r="G126" s="19">
        <v>100</v>
      </c>
      <c r="H126" s="19">
        <v>100</v>
      </c>
      <c r="I126" s="19">
        <v>75</v>
      </c>
      <c r="J126" s="19">
        <v>100</v>
      </c>
      <c r="K126" s="9">
        <f t="shared" si="8"/>
        <v>93.75</v>
      </c>
      <c r="L126" s="19">
        <v>100</v>
      </c>
      <c r="M126" s="19">
        <v>60</v>
      </c>
      <c r="N126" s="19">
        <v>70</v>
      </c>
      <c r="O126" s="19">
        <v>75</v>
      </c>
      <c r="P126" s="9">
        <f t="shared" si="9"/>
        <v>76.25</v>
      </c>
      <c r="Q126" s="26">
        <v>68.0758130761575</v>
      </c>
      <c r="R126" s="26">
        <v>73.8166816409896</v>
      </c>
      <c r="S126" s="27">
        <f t="shared" si="10"/>
        <v>70.9462473585735</v>
      </c>
      <c r="T126" s="18">
        <v>65.1867810043583</v>
      </c>
      <c r="U126" s="19">
        <v>100</v>
      </c>
      <c r="V126" s="19">
        <v>100</v>
      </c>
      <c r="W126" s="7">
        <f t="shared" si="11"/>
        <v>100</v>
      </c>
      <c r="X126" s="28">
        <f t="shared" si="12"/>
        <v>76.232001831703</v>
      </c>
      <c r="Y126" s="26">
        <f t="shared" si="13"/>
        <v>80.8196456308313</v>
      </c>
    </row>
    <row r="127" spans="1:25">
      <c r="A127" s="8" t="s">
        <v>155</v>
      </c>
      <c r="B127" s="8">
        <v>3</v>
      </c>
      <c r="C127" s="16">
        <v>75</v>
      </c>
      <c r="D127" s="16">
        <v>50</v>
      </c>
      <c r="E127" s="6">
        <f t="shared" si="7"/>
        <v>62.5</v>
      </c>
      <c r="F127" s="18">
        <v>59.3965112021722</v>
      </c>
      <c r="G127" s="19">
        <v>100</v>
      </c>
      <c r="H127" s="19">
        <v>100</v>
      </c>
      <c r="I127" s="19">
        <v>75</v>
      </c>
      <c r="J127" s="19">
        <v>50</v>
      </c>
      <c r="K127" s="9">
        <f t="shared" si="8"/>
        <v>81.25</v>
      </c>
      <c r="L127" s="19">
        <v>100</v>
      </c>
      <c r="M127" s="19">
        <v>100</v>
      </c>
      <c r="N127" s="19">
        <v>100</v>
      </c>
      <c r="O127" s="19">
        <v>75</v>
      </c>
      <c r="P127" s="9">
        <f t="shared" si="9"/>
        <v>93.75</v>
      </c>
      <c r="Q127" s="26">
        <v>56.8434685154459</v>
      </c>
      <c r="R127" s="26">
        <v>60.0614635284182</v>
      </c>
      <c r="S127" s="27">
        <f t="shared" si="10"/>
        <v>58.4524660219321</v>
      </c>
      <c r="T127" s="18">
        <v>55.5499608458605</v>
      </c>
      <c r="U127" s="19">
        <v>80</v>
      </c>
      <c r="V127" s="19">
        <v>75</v>
      </c>
      <c r="W127" s="7">
        <f t="shared" si="11"/>
        <v>77.5</v>
      </c>
      <c r="X127" s="28">
        <f t="shared" si="12"/>
        <v>67.4742865787786</v>
      </c>
      <c r="Y127" s="26">
        <f t="shared" si="13"/>
        <v>73.4892944096065</v>
      </c>
    </row>
    <row r="128" spans="1:25">
      <c r="A128" s="8" t="s">
        <v>156</v>
      </c>
      <c r="B128" s="8">
        <v>3</v>
      </c>
      <c r="C128" s="16">
        <v>100</v>
      </c>
      <c r="D128" s="16">
        <v>100</v>
      </c>
      <c r="E128" s="6">
        <f t="shared" si="7"/>
        <v>100</v>
      </c>
      <c r="F128" s="18">
        <v>97.285730490052</v>
      </c>
      <c r="G128" s="19">
        <v>40</v>
      </c>
      <c r="H128" s="8" t="s">
        <v>32</v>
      </c>
      <c r="I128" s="19">
        <v>25</v>
      </c>
      <c r="J128" s="19">
        <v>25</v>
      </c>
      <c r="K128" s="9">
        <f t="shared" si="8"/>
        <v>22.5</v>
      </c>
      <c r="L128" s="8" t="s">
        <v>32</v>
      </c>
      <c r="M128" s="19">
        <v>30</v>
      </c>
      <c r="N128" s="19">
        <v>30</v>
      </c>
      <c r="O128" s="8" t="s">
        <v>32</v>
      </c>
      <c r="P128" s="9">
        <f t="shared" si="9"/>
        <v>15</v>
      </c>
      <c r="Q128" s="26">
        <v>43.7162626990773</v>
      </c>
      <c r="R128" s="26">
        <v>46.6911896418399</v>
      </c>
      <c r="S128" s="27">
        <f t="shared" si="10"/>
        <v>45.2037261704586</v>
      </c>
      <c r="T128" s="18">
        <v>43.9767752136535</v>
      </c>
      <c r="U128" s="8" t="s">
        <v>32</v>
      </c>
      <c r="V128" s="19">
        <v>50</v>
      </c>
      <c r="W128" s="7">
        <f t="shared" si="11"/>
        <v>25</v>
      </c>
      <c r="X128" s="28">
        <f t="shared" si="12"/>
        <v>45.5478561834718</v>
      </c>
      <c r="Y128" s="26">
        <f t="shared" si="13"/>
        <v>40.7525011407411</v>
      </c>
    </row>
    <row r="129" spans="1:25">
      <c r="A129" s="8" t="s">
        <v>157</v>
      </c>
      <c r="B129" s="8">
        <v>3</v>
      </c>
      <c r="C129" s="16">
        <v>100</v>
      </c>
      <c r="D129" s="16">
        <v>75</v>
      </c>
      <c r="E129" s="6">
        <f t="shared" si="7"/>
        <v>87.5</v>
      </c>
      <c r="F129" s="18">
        <v>86.424366585441</v>
      </c>
      <c r="G129" s="19">
        <v>40</v>
      </c>
      <c r="H129" s="19">
        <v>70</v>
      </c>
      <c r="I129" s="19">
        <v>25</v>
      </c>
      <c r="J129" s="19">
        <v>25</v>
      </c>
      <c r="K129" s="9">
        <f t="shared" si="8"/>
        <v>40</v>
      </c>
      <c r="L129" s="19">
        <v>60</v>
      </c>
      <c r="M129" s="19">
        <v>70</v>
      </c>
      <c r="N129" s="8" t="s">
        <v>32</v>
      </c>
      <c r="O129" s="8" t="s">
        <v>32</v>
      </c>
      <c r="P129" s="9">
        <f t="shared" si="9"/>
        <v>32.5</v>
      </c>
      <c r="Q129" s="26">
        <v>48.0005994906529</v>
      </c>
      <c r="R129" s="26">
        <v>47.5083506125137</v>
      </c>
      <c r="S129" s="27">
        <f t="shared" si="10"/>
        <v>47.7544750515833</v>
      </c>
      <c r="T129" s="18">
        <v>47.1674315194667</v>
      </c>
      <c r="U129" s="19">
        <v>40</v>
      </c>
      <c r="V129" s="19">
        <v>25</v>
      </c>
      <c r="W129" s="7">
        <f t="shared" si="11"/>
        <v>32.5</v>
      </c>
      <c r="X129" s="28">
        <f t="shared" si="12"/>
        <v>50.6518459248749</v>
      </c>
      <c r="Y129" s="26">
        <f t="shared" si="13"/>
        <v>47.7183596209815</v>
      </c>
    </row>
    <row r="130" spans="1:25">
      <c r="A130" s="8" t="s">
        <v>158</v>
      </c>
      <c r="B130" s="8">
        <v>3</v>
      </c>
      <c r="C130" s="16">
        <v>75</v>
      </c>
      <c r="D130" s="16">
        <v>100</v>
      </c>
      <c r="E130" s="6">
        <f t="shared" si="7"/>
        <v>87.5</v>
      </c>
      <c r="F130" s="18">
        <v>94.7329868959486</v>
      </c>
      <c r="G130" s="19">
        <v>80</v>
      </c>
      <c r="H130" s="19">
        <v>100</v>
      </c>
      <c r="I130" s="19">
        <v>75</v>
      </c>
      <c r="J130" s="19">
        <v>50</v>
      </c>
      <c r="K130" s="9">
        <f t="shared" si="8"/>
        <v>76.25</v>
      </c>
      <c r="L130" s="19">
        <v>80</v>
      </c>
      <c r="M130" s="19">
        <v>100</v>
      </c>
      <c r="N130" s="19">
        <v>40</v>
      </c>
      <c r="O130" s="19">
        <v>25</v>
      </c>
      <c r="P130" s="9">
        <f t="shared" si="9"/>
        <v>61.25</v>
      </c>
      <c r="Q130" s="26">
        <v>39.6414149704877</v>
      </c>
      <c r="R130" s="26">
        <v>36.3435659212403</v>
      </c>
      <c r="S130" s="27">
        <f t="shared" si="10"/>
        <v>37.992490445864</v>
      </c>
      <c r="T130" s="18">
        <v>41.1330525663142</v>
      </c>
      <c r="U130" s="19">
        <v>80</v>
      </c>
      <c r="V130" s="19">
        <v>50</v>
      </c>
      <c r="W130" s="7">
        <f t="shared" si="11"/>
        <v>65</v>
      </c>
      <c r="X130" s="28">
        <f t="shared" si="12"/>
        <v>63.2748184057154</v>
      </c>
      <c r="Y130" s="26">
        <f t="shared" si="13"/>
        <v>67.6732078924526</v>
      </c>
    </row>
    <row r="131" spans="1:25">
      <c r="A131" s="8" t="s">
        <v>159</v>
      </c>
      <c r="B131" s="8">
        <v>3</v>
      </c>
      <c r="C131" s="16">
        <v>50</v>
      </c>
      <c r="D131" s="16">
        <v>75</v>
      </c>
      <c r="E131" s="6">
        <f t="shared" ref="E131:E194" si="14">SUM(C131:D131)/2</f>
        <v>62.5</v>
      </c>
      <c r="F131" s="18">
        <v>64.4906288391069</v>
      </c>
      <c r="G131" s="19">
        <v>100</v>
      </c>
      <c r="H131" s="19">
        <v>100</v>
      </c>
      <c r="I131" s="19">
        <v>75</v>
      </c>
      <c r="J131" s="19">
        <v>50</v>
      </c>
      <c r="K131" s="9">
        <f t="shared" ref="K131:K194" si="15">SUM(G131:J131)/4</f>
        <v>81.25</v>
      </c>
      <c r="L131" s="19">
        <v>100</v>
      </c>
      <c r="M131" s="19">
        <v>40</v>
      </c>
      <c r="N131" s="19">
        <v>100</v>
      </c>
      <c r="O131" s="19">
        <v>75</v>
      </c>
      <c r="P131" s="9">
        <f t="shared" ref="P131:P194" si="16">SUM(L131:O131)/4</f>
        <v>78.75</v>
      </c>
      <c r="Q131" s="26">
        <v>47.1399429754451</v>
      </c>
      <c r="R131" s="26">
        <v>47.5157513154457</v>
      </c>
      <c r="S131" s="27">
        <f t="shared" ref="S131:S194" si="17">(Q131+R131)/2</f>
        <v>47.3278471454454</v>
      </c>
      <c r="T131" s="18">
        <v>48.8352419841744</v>
      </c>
      <c r="U131" s="19">
        <v>80</v>
      </c>
      <c r="V131" s="19">
        <v>50</v>
      </c>
      <c r="W131" s="7">
        <f t="shared" ref="W131:W194" si="18">SUM(U131:V131)/2</f>
        <v>65</v>
      </c>
      <c r="X131" s="28">
        <f t="shared" ref="X131:X194" si="19">0.2*F131+0.2*K131+0.1*P131+0.4*T131+0.1*W131</f>
        <v>63.0572225614912</v>
      </c>
      <c r="Y131" s="26">
        <f t="shared" ref="Y131:Y194" si="20">(F131+K131+P131+T131+W131)*0.2</f>
        <v>67.6651741646563</v>
      </c>
    </row>
    <row r="132" spans="1:25">
      <c r="A132" s="8" t="s">
        <v>160</v>
      </c>
      <c r="B132" s="8">
        <v>3</v>
      </c>
      <c r="C132" s="16">
        <v>50</v>
      </c>
      <c r="D132" s="16">
        <v>25</v>
      </c>
      <c r="E132" s="6">
        <f t="shared" si="14"/>
        <v>37.5</v>
      </c>
      <c r="F132" s="18">
        <v>34.4557235748992</v>
      </c>
      <c r="G132" s="19">
        <v>100</v>
      </c>
      <c r="H132" s="19">
        <v>100</v>
      </c>
      <c r="I132" s="19">
        <v>100</v>
      </c>
      <c r="J132" s="19">
        <v>50</v>
      </c>
      <c r="K132" s="9">
        <f t="shared" si="15"/>
        <v>87.5</v>
      </c>
      <c r="L132" s="19">
        <v>80</v>
      </c>
      <c r="M132" s="19">
        <v>100</v>
      </c>
      <c r="N132" s="19">
        <v>70</v>
      </c>
      <c r="O132" s="19">
        <v>25</v>
      </c>
      <c r="P132" s="9">
        <f t="shared" si="16"/>
        <v>68.75</v>
      </c>
      <c r="Q132" s="26">
        <v>69.856466420892</v>
      </c>
      <c r="R132" s="26">
        <v>72.6379893311299</v>
      </c>
      <c r="S132" s="27">
        <f t="shared" si="17"/>
        <v>71.247227876011</v>
      </c>
      <c r="T132" s="18">
        <v>65.4633277112983</v>
      </c>
      <c r="U132" s="19">
        <v>80</v>
      </c>
      <c r="V132" s="19">
        <v>100</v>
      </c>
      <c r="W132" s="7">
        <f t="shared" si="18"/>
        <v>90</v>
      </c>
      <c r="X132" s="28">
        <f t="shared" si="19"/>
        <v>66.4514757994992</v>
      </c>
      <c r="Y132" s="26">
        <f t="shared" si="20"/>
        <v>69.2338102572395</v>
      </c>
    </row>
    <row r="133" spans="1:25">
      <c r="A133" s="8" t="s">
        <v>161</v>
      </c>
      <c r="B133" s="8">
        <v>3</v>
      </c>
      <c r="C133" s="16">
        <v>75</v>
      </c>
      <c r="D133" s="16">
        <v>75</v>
      </c>
      <c r="E133" s="6">
        <f t="shared" si="14"/>
        <v>75</v>
      </c>
      <c r="F133" s="18">
        <v>74.4932572059121</v>
      </c>
      <c r="G133" s="8" t="s">
        <v>32</v>
      </c>
      <c r="H133" s="8" t="s">
        <v>32</v>
      </c>
      <c r="I133" s="8" t="s">
        <v>32</v>
      </c>
      <c r="J133" s="8" t="s">
        <v>32</v>
      </c>
      <c r="K133" s="9">
        <f t="shared" si="15"/>
        <v>0</v>
      </c>
      <c r="L133" s="8" t="s">
        <v>32</v>
      </c>
      <c r="M133" s="8" t="s">
        <v>32</v>
      </c>
      <c r="N133" s="8" t="s">
        <v>32</v>
      </c>
      <c r="O133" s="8" t="s">
        <v>32</v>
      </c>
      <c r="P133" s="9">
        <f t="shared" si="16"/>
        <v>0</v>
      </c>
      <c r="Q133" s="26">
        <v>48.6089334364137</v>
      </c>
      <c r="R133" s="26">
        <v>49.1988075751078</v>
      </c>
      <c r="S133" s="27">
        <f t="shared" si="17"/>
        <v>48.9038705057607</v>
      </c>
      <c r="T133" s="18">
        <v>48.57344805267</v>
      </c>
      <c r="U133" s="8" t="s">
        <v>32</v>
      </c>
      <c r="V133" s="8" t="s">
        <v>32</v>
      </c>
      <c r="W133" s="7">
        <f t="shared" si="18"/>
        <v>0</v>
      </c>
      <c r="X133" s="28">
        <f t="shared" si="19"/>
        <v>34.3280306622504</v>
      </c>
      <c r="Y133" s="26">
        <f t="shared" si="20"/>
        <v>24.6133410517164</v>
      </c>
    </row>
    <row r="134" spans="1:25">
      <c r="A134" s="8" t="s">
        <v>162</v>
      </c>
      <c r="B134" s="8">
        <v>3</v>
      </c>
      <c r="C134" s="16">
        <v>75</v>
      </c>
      <c r="D134" s="16">
        <v>75</v>
      </c>
      <c r="E134" s="6">
        <f t="shared" si="14"/>
        <v>75</v>
      </c>
      <c r="F134" s="18">
        <v>68.9114471497984</v>
      </c>
      <c r="G134" s="19">
        <v>100</v>
      </c>
      <c r="H134" s="19">
        <v>100</v>
      </c>
      <c r="I134" s="19">
        <v>100</v>
      </c>
      <c r="J134" s="19">
        <v>75</v>
      </c>
      <c r="K134" s="9">
        <f t="shared" si="15"/>
        <v>93.75</v>
      </c>
      <c r="L134" s="19">
        <v>80</v>
      </c>
      <c r="M134" s="19">
        <v>100</v>
      </c>
      <c r="N134" s="19">
        <v>40</v>
      </c>
      <c r="O134" s="19">
        <v>75</v>
      </c>
      <c r="P134" s="9">
        <f t="shared" si="16"/>
        <v>73.75</v>
      </c>
      <c r="Q134" s="26">
        <v>68.3042303120109</v>
      </c>
      <c r="R134" s="26">
        <v>75.1460675705179</v>
      </c>
      <c r="S134" s="27">
        <f t="shared" si="17"/>
        <v>71.7251489412644</v>
      </c>
      <c r="T134" s="18">
        <v>65.9024508076982</v>
      </c>
      <c r="U134" s="19">
        <v>80</v>
      </c>
      <c r="V134" s="19">
        <v>50</v>
      </c>
      <c r="W134" s="7">
        <f t="shared" si="18"/>
        <v>65</v>
      </c>
      <c r="X134" s="28">
        <f t="shared" si="19"/>
        <v>72.768269753039</v>
      </c>
      <c r="Y134" s="26">
        <f t="shared" si="20"/>
        <v>73.4627795914993</v>
      </c>
    </row>
    <row r="135" spans="1:25">
      <c r="A135" s="8" t="s">
        <v>163</v>
      </c>
      <c r="B135" s="8">
        <v>3</v>
      </c>
      <c r="C135" s="16">
        <v>50</v>
      </c>
      <c r="D135" s="16">
        <v>50</v>
      </c>
      <c r="E135" s="6">
        <f t="shared" si="14"/>
        <v>50</v>
      </c>
      <c r="F135" s="18">
        <v>50.184808614325</v>
      </c>
      <c r="G135" s="19">
        <v>100</v>
      </c>
      <c r="H135" s="19">
        <v>70</v>
      </c>
      <c r="I135" s="19">
        <v>100</v>
      </c>
      <c r="J135" s="19">
        <v>75</v>
      </c>
      <c r="K135" s="9">
        <f t="shared" si="15"/>
        <v>86.25</v>
      </c>
      <c r="L135" s="19">
        <v>100</v>
      </c>
      <c r="M135" s="19">
        <v>70</v>
      </c>
      <c r="N135" s="19">
        <v>70</v>
      </c>
      <c r="O135" s="19">
        <v>50</v>
      </c>
      <c r="P135" s="9">
        <f t="shared" si="16"/>
        <v>72.5</v>
      </c>
      <c r="Q135" s="26">
        <v>58.2239134051097</v>
      </c>
      <c r="R135" s="26">
        <v>57.3255759885715</v>
      </c>
      <c r="S135" s="27">
        <f t="shared" si="17"/>
        <v>57.7747446968406</v>
      </c>
      <c r="T135" s="18">
        <v>57.9882901070487</v>
      </c>
      <c r="U135" s="19">
        <v>40</v>
      </c>
      <c r="V135" s="19">
        <v>50</v>
      </c>
      <c r="W135" s="7">
        <f t="shared" si="18"/>
        <v>45</v>
      </c>
      <c r="X135" s="28">
        <f t="shared" si="19"/>
        <v>62.2322777656845</v>
      </c>
      <c r="Y135" s="26">
        <f t="shared" si="20"/>
        <v>62.3846197442747</v>
      </c>
    </row>
    <row r="136" spans="1:25">
      <c r="A136" s="8" t="s">
        <v>164</v>
      </c>
      <c r="B136" s="8">
        <v>3</v>
      </c>
      <c r="C136" s="16">
        <v>75</v>
      </c>
      <c r="D136" s="17">
        <v>25</v>
      </c>
      <c r="E136" s="6">
        <f t="shared" si="14"/>
        <v>50</v>
      </c>
      <c r="F136" s="18">
        <v>49.4322913194952</v>
      </c>
      <c r="G136" s="19">
        <v>60</v>
      </c>
      <c r="H136" s="19">
        <v>30</v>
      </c>
      <c r="I136" s="19">
        <v>50</v>
      </c>
      <c r="J136" s="8" t="s">
        <v>32</v>
      </c>
      <c r="K136" s="9">
        <f t="shared" si="15"/>
        <v>35</v>
      </c>
      <c r="L136" s="19">
        <v>20</v>
      </c>
      <c r="M136" s="8" t="s">
        <v>32</v>
      </c>
      <c r="N136" s="8" t="s">
        <v>32</v>
      </c>
      <c r="O136" s="8" t="s">
        <v>32</v>
      </c>
      <c r="P136" s="9">
        <f t="shared" si="16"/>
        <v>5</v>
      </c>
      <c r="Q136" s="26">
        <v>52.0795543399975</v>
      </c>
      <c r="R136" s="26">
        <v>51.3546640850545</v>
      </c>
      <c r="S136" s="27">
        <f t="shared" si="17"/>
        <v>51.717109212526</v>
      </c>
      <c r="T136" s="18">
        <v>51.1299041759147</v>
      </c>
      <c r="U136" s="19">
        <v>40</v>
      </c>
      <c r="V136" s="19">
        <v>25</v>
      </c>
      <c r="W136" s="7">
        <f t="shared" si="18"/>
        <v>32.5</v>
      </c>
      <c r="X136" s="28">
        <f t="shared" si="19"/>
        <v>41.0884199342649</v>
      </c>
      <c r="Y136" s="26">
        <f t="shared" si="20"/>
        <v>34.612439099082</v>
      </c>
    </row>
    <row r="137" spans="1:25">
      <c r="A137" s="8" t="s">
        <v>165</v>
      </c>
      <c r="B137" s="8">
        <v>3</v>
      </c>
      <c r="C137" s="16">
        <v>50</v>
      </c>
      <c r="D137" s="16">
        <v>50</v>
      </c>
      <c r="E137" s="6">
        <f t="shared" si="14"/>
        <v>50</v>
      </c>
      <c r="F137" s="18">
        <v>54.2324657052465</v>
      </c>
      <c r="G137" s="19">
        <v>100</v>
      </c>
      <c r="H137" s="8" t="s">
        <v>32</v>
      </c>
      <c r="I137" s="19">
        <v>75</v>
      </c>
      <c r="J137" s="19">
        <v>50</v>
      </c>
      <c r="K137" s="9">
        <f t="shared" si="15"/>
        <v>56.25</v>
      </c>
      <c r="L137" s="19">
        <v>60</v>
      </c>
      <c r="M137" s="8" t="s">
        <v>32</v>
      </c>
      <c r="N137" s="19">
        <v>70</v>
      </c>
      <c r="O137" s="19">
        <v>50</v>
      </c>
      <c r="P137" s="9">
        <f t="shared" si="16"/>
        <v>45</v>
      </c>
      <c r="Q137" s="26">
        <v>17.4479593306619</v>
      </c>
      <c r="R137" s="26">
        <v>12.4743606012865</v>
      </c>
      <c r="S137" s="27">
        <f t="shared" si="17"/>
        <v>14.9611599659742</v>
      </c>
      <c r="T137" s="18">
        <v>16.2276118953081</v>
      </c>
      <c r="U137" s="19">
        <v>60</v>
      </c>
      <c r="V137" s="19">
        <v>50</v>
      </c>
      <c r="W137" s="7">
        <f t="shared" si="18"/>
        <v>55</v>
      </c>
      <c r="X137" s="28">
        <f t="shared" si="19"/>
        <v>38.5875378991725</v>
      </c>
      <c r="Y137" s="26">
        <f t="shared" si="20"/>
        <v>45.3420155201109</v>
      </c>
    </row>
    <row r="138" spans="1:25">
      <c r="A138" s="8" t="s">
        <v>166</v>
      </c>
      <c r="B138" s="8">
        <v>3</v>
      </c>
      <c r="C138" s="16">
        <v>75</v>
      </c>
      <c r="D138" s="16">
        <v>50</v>
      </c>
      <c r="E138" s="6">
        <f t="shared" si="14"/>
        <v>62.5</v>
      </c>
      <c r="F138" s="18">
        <v>63.9121437299425</v>
      </c>
      <c r="G138" s="19">
        <v>80</v>
      </c>
      <c r="H138" s="19">
        <v>60</v>
      </c>
      <c r="I138" s="19">
        <v>75</v>
      </c>
      <c r="J138" s="19">
        <v>75</v>
      </c>
      <c r="K138" s="9">
        <f t="shared" si="15"/>
        <v>72.5</v>
      </c>
      <c r="L138" s="19">
        <v>80</v>
      </c>
      <c r="M138" s="19">
        <v>70</v>
      </c>
      <c r="N138" s="19">
        <v>70</v>
      </c>
      <c r="O138" s="19">
        <v>50</v>
      </c>
      <c r="P138" s="9">
        <f t="shared" si="16"/>
        <v>67.5</v>
      </c>
      <c r="Q138" s="26">
        <v>40.6303591203957</v>
      </c>
      <c r="R138" s="26">
        <v>43.0841640544189</v>
      </c>
      <c r="S138" s="27">
        <f t="shared" si="17"/>
        <v>41.8572615874073</v>
      </c>
      <c r="T138" s="18">
        <v>42.8029970994589</v>
      </c>
      <c r="U138" s="19">
        <v>80</v>
      </c>
      <c r="V138" s="19">
        <v>25</v>
      </c>
      <c r="W138" s="7">
        <f t="shared" si="18"/>
        <v>52.5</v>
      </c>
      <c r="X138" s="28">
        <f t="shared" si="19"/>
        <v>56.403627585772</v>
      </c>
      <c r="Y138" s="26">
        <f t="shared" si="20"/>
        <v>59.8430281658803</v>
      </c>
    </row>
    <row r="139" spans="1:25">
      <c r="A139" s="8" t="s">
        <v>167</v>
      </c>
      <c r="B139" s="8">
        <v>3</v>
      </c>
      <c r="C139" s="16">
        <v>50</v>
      </c>
      <c r="D139" s="16">
        <v>50</v>
      </c>
      <c r="E139" s="6">
        <f t="shared" si="14"/>
        <v>50</v>
      </c>
      <c r="F139" s="18">
        <v>46.5745821883278</v>
      </c>
      <c r="G139" s="19">
        <v>60</v>
      </c>
      <c r="H139" s="19">
        <v>70</v>
      </c>
      <c r="I139" s="19">
        <v>50</v>
      </c>
      <c r="J139" s="19">
        <v>50</v>
      </c>
      <c r="K139" s="9">
        <f t="shared" si="15"/>
        <v>57.5</v>
      </c>
      <c r="L139" s="19">
        <v>100</v>
      </c>
      <c r="M139" s="19">
        <v>70</v>
      </c>
      <c r="N139" s="8" t="s">
        <v>32</v>
      </c>
      <c r="O139" s="19">
        <v>75</v>
      </c>
      <c r="P139" s="9">
        <f t="shared" si="16"/>
        <v>61.25</v>
      </c>
      <c r="Q139" s="26">
        <v>55.9788597211487</v>
      </c>
      <c r="R139" s="26">
        <v>56.8903618734554</v>
      </c>
      <c r="S139" s="27">
        <f t="shared" si="17"/>
        <v>56.4346107973021</v>
      </c>
      <c r="T139" s="18">
        <v>52.5683683769047</v>
      </c>
      <c r="U139" s="19">
        <v>80</v>
      </c>
      <c r="V139" s="19">
        <v>25</v>
      </c>
      <c r="W139" s="7">
        <f t="shared" si="18"/>
        <v>52.5</v>
      </c>
      <c r="X139" s="28">
        <f t="shared" si="19"/>
        <v>53.2172637884274</v>
      </c>
      <c r="Y139" s="26">
        <f t="shared" si="20"/>
        <v>54.0785901130465</v>
      </c>
    </row>
    <row r="140" spans="1:25">
      <c r="A140" s="8" t="s">
        <v>168</v>
      </c>
      <c r="B140" s="8">
        <v>3</v>
      </c>
      <c r="C140" s="16">
        <v>25</v>
      </c>
      <c r="D140" s="16">
        <v>25</v>
      </c>
      <c r="E140" s="6">
        <f t="shared" si="14"/>
        <v>25</v>
      </c>
      <c r="F140" s="18">
        <v>25.2888198761533</v>
      </c>
      <c r="G140" s="19">
        <v>100</v>
      </c>
      <c r="H140" s="19">
        <v>70</v>
      </c>
      <c r="I140" s="19">
        <v>75</v>
      </c>
      <c r="J140" s="19">
        <v>75</v>
      </c>
      <c r="K140" s="9">
        <f t="shared" si="15"/>
        <v>80</v>
      </c>
      <c r="L140" s="19">
        <v>100</v>
      </c>
      <c r="M140" s="19">
        <v>70</v>
      </c>
      <c r="N140" s="19">
        <v>70</v>
      </c>
      <c r="O140" s="19">
        <v>100</v>
      </c>
      <c r="P140" s="9">
        <f t="shared" si="16"/>
        <v>85</v>
      </c>
      <c r="Q140" s="26">
        <v>43.4343194706001</v>
      </c>
      <c r="R140" s="26">
        <v>43.5826049193806</v>
      </c>
      <c r="S140" s="27">
        <f t="shared" si="17"/>
        <v>43.5084621949904</v>
      </c>
      <c r="T140" s="18">
        <v>44.0111065415014</v>
      </c>
      <c r="U140" s="19">
        <v>100</v>
      </c>
      <c r="V140" s="19">
        <v>100</v>
      </c>
      <c r="W140" s="7">
        <f t="shared" si="18"/>
        <v>100</v>
      </c>
      <c r="X140" s="28">
        <f t="shared" si="19"/>
        <v>57.1622065918312</v>
      </c>
      <c r="Y140" s="26">
        <f t="shared" si="20"/>
        <v>66.8599852835309</v>
      </c>
    </row>
    <row r="141" spans="1:25">
      <c r="A141" s="8" t="s">
        <v>169</v>
      </c>
      <c r="B141" s="8">
        <v>3</v>
      </c>
      <c r="C141" s="16">
        <v>25</v>
      </c>
      <c r="D141" s="16">
        <v>25</v>
      </c>
      <c r="E141" s="6">
        <f t="shared" si="14"/>
        <v>25</v>
      </c>
      <c r="F141" s="18">
        <v>25.780383233063</v>
      </c>
      <c r="G141" s="8" t="s">
        <v>32</v>
      </c>
      <c r="H141" s="8" t="s">
        <v>32</v>
      </c>
      <c r="I141" s="19">
        <v>25</v>
      </c>
      <c r="J141" s="19">
        <v>50</v>
      </c>
      <c r="K141" s="9">
        <f t="shared" si="15"/>
        <v>18.75</v>
      </c>
      <c r="L141" s="19">
        <v>20</v>
      </c>
      <c r="M141" s="8" t="s">
        <v>32</v>
      </c>
      <c r="N141" s="8" t="s">
        <v>32</v>
      </c>
      <c r="O141" s="8" t="s">
        <v>32</v>
      </c>
      <c r="P141" s="9">
        <f t="shared" si="16"/>
        <v>5</v>
      </c>
      <c r="Q141" s="26">
        <v>36.8584388814364</v>
      </c>
      <c r="R141" s="26">
        <v>32.9963095075196</v>
      </c>
      <c r="S141" s="27">
        <f t="shared" si="17"/>
        <v>34.927374194478</v>
      </c>
      <c r="T141" s="18">
        <v>36.0176436823295</v>
      </c>
      <c r="U141" s="19">
        <v>20</v>
      </c>
      <c r="V141" s="19">
        <v>25</v>
      </c>
      <c r="W141" s="7">
        <f t="shared" si="18"/>
        <v>22.5</v>
      </c>
      <c r="X141" s="28">
        <f t="shared" si="19"/>
        <v>26.0631341195444</v>
      </c>
      <c r="Y141" s="26">
        <f t="shared" si="20"/>
        <v>21.6096053830785</v>
      </c>
    </row>
    <row r="142" spans="1:25">
      <c r="A142" s="8" t="s">
        <v>170</v>
      </c>
      <c r="B142" s="8">
        <v>3</v>
      </c>
      <c r="C142" s="17">
        <v>50</v>
      </c>
      <c r="D142" s="16">
        <v>75</v>
      </c>
      <c r="E142" s="6">
        <f t="shared" si="14"/>
        <v>62.5</v>
      </c>
      <c r="F142" s="18">
        <v>57.4262059581654</v>
      </c>
      <c r="G142" s="19">
        <v>60</v>
      </c>
      <c r="H142" s="19">
        <v>40</v>
      </c>
      <c r="I142" s="19">
        <v>75</v>
      </c>
      <c r="J142" s="19">
        <v>100</v>
      </c>
      <c r="K142" s="9">
        <f t="shared" si="15"/>
        <v>68.75</v>
      </c>
      <c r="L142" s="19">
        <v>100</v>
      </c>
      <c r="M142" s="19">
        <v>40</v>
      </c>
      <c r="N142" s="19">
        <v>100</v>
      </c>
      <c r="O142" s="19">
        <v>75</v>
      </c>
      <c r="P142" s="9">
        <f t="shared" si="16"/>
        <v>78.75</v>
      </c>
      <c r="Q142" s="26">
        <v>50.6116069302398</v>
      </c>
      <c r="R142" s="26">
        <v>54.8644023196413</v>
      </c>
      <c r="S142" s="27">
        <f t="shared" si="17"/>
        <v>52.7380046249405</v>
      </c>
      <c r="T142" s="18">
        <v>48.4566962466322</v>
      </c>
      <c r="U142" s="19">
        <v>20</v>
      </c>
      <c r="V142" s="19">
        <v>50</v>
      </c>
      <c r="W142" s="7">
        <f t="shared" si="18"/>
        <v>35</v>
      </c>
      <c r="X142" s="28">
        <f t="shared" si="19"/>
        <v>55.992919690286</v>
      </c>
      <c r="Y142" s="26">
        <f t="shared" si="20"/>
        <v>57.6765804409595</v>
      </c>
    </row>
    <row r="143" spans="1:25">
      <c r="A143" s="8" t="s">
        <v>171</v>
      </c>
      <c r="B143" s="8">
        <v>3</v>
      </c>
      <c r="C143" s="16">
        <v>75</v>
      </c>
      <c r="D143" s="16">
        <v>25</v>
      </c>
      <c r="E143" s="6">
        <f t="shared" si="14"/>
        <v>50</v>
      </c>
      <c r="F143" s="18">
        <v>46.2890852126572</v>
      </c>
      <c r="G143" s="19">
        <v>100</v>
      </c>
      <c r="H143" s="19">
        <v>100</v>
      </c>
      <c r="I143" s="19">
        <v>100</v>
      </c>
      <c r="J143" s="19">
        <v>75</v>
      </c>
      <c r="K143" s="9">
        <f t="shared" si="15"/>
        <v>93.75</v>
      </c>
      <c r="L143" s="19">
        <v>60</v>
      </c>
      <c r="M143" s="19">
        <v>100</v>
      </c>
      <c r="N143" s="19">
        <v>100</v>
      </c>
      <c r="O143" s="19">
        <v>75</v>
      </c>
      <c r="P143" s="9">
        <f t="shared" si="16"/>
        <v>83.75</v>
      </c>
      <c r="Q143" s="26">
        <v>63.8958734966472</v>
      </c>
      <c r="R143" s="26">
        <v>62.3870607734316</v>
      </c>
      <c r="S143" s="27">
        <f t="shared" si="17"/>
        <v>63.1414671350394</v>
      </c>
      <c r="T143" s="18">
        <v>58.4552150533207</v>
      </c>
      <c r="U143" s="19">
        <v>60</v>
      </c>
      <c r="V143" s="19">
        <v>100</v>
      </c>
      <c r="W143" s="7">
        <f t="shared" si="18"/>
        <v>80</v>
      </c>
      <c r="X143" s="28">
        <f t="shared" si="19"/>
        <v>67.7649030638597</v>
      </c>
      <c r="Y143" s="26">
        <f t="shared" si="20"/>
        <v>72.4488600531956</v>
      </c>
    </row>
    <row r="144" spans="1:25">
      <c r="A144" s="8" t="s">
        <v>172</v>
      </c>
      <c r="B144" s="8">
        <v>3</v>
      </c>
      <c r="C144" s="16">
        <v>50</v>
      </c>
      <c r="D144" s="16">
        <v>50</v>
      </c>
      <c r="E144" s="6">
        <f t="shared" si="14"/>
        <v>50</v>
      </c>
      <c r="F144" s="18">
        <v>53.129853161384</v>
      </c>
      <c r="G144" s="19">
        <v>100</v>
      </c>
      <c r="H144" s="19">
        <v>100</v>
      </c>
      <c r="I144" s="19">
        <v>100</v>
      </c>
      <c r="J144" s="19">
        <v>75</v>
      </c>
      <c r="K144" s="9">
        <f t="shared" si="15"/>
        <v>93.75</v>
      </c>
      <c r="L144" s="19">
        <v>100</v>
      </c>
      <c r="M144" s="19">
        <v>100</v>
      </c>
      <c r="N144" s="19">
        <v>100</v>
      </c>
      <c r="O144" s="19">
        <v>100</v>
      </c>
      <c r="P144" s="9">
        <f t="shared" si="16"/>
        <v>100</v>
      </c>
      <c r="Q144" s="26">
        <v>33.1905906485442</v>
      </c>
      <c r="R144" s="26">
        <v>31.7371355179506</v>
      </c>
      <c r="S144" s="27">
        <f t="shared" si="17"/>
        <v>32.4638630832474</v>
      </c>
      <c r="T144" s="18">
        <v>34.4960055732842</v>
      </c>
      <c r="U144" s="19">
        <v>100</v>
      </c>
      <c r="V144" s="19">
        <v>100</v>
      </c>
      <c r="W144" s="7">
        <f t="shared" si="18"/>
        <v>100</v>
      </c>
      <c r="X144" s="28">
        <f t="shared" si="19"/>
        <v>63.1743728615905</v>
      </c>
      <c r="Y144" s="26">
        <f t="shared" si="20"/>
        <v>76.2751717469337</v>
      </c>
    </row>
    <row r="145" spans="1:25">
      <c r="A145" s="8" t="s">
        <v>173</v>
      </c>
      <c r="B145" s="8">
        <v>3</v>
      </c>
      <c r="C145" s="16">
        <v>100</v>
      </c>
      <c r="D145" s="16">
        <v>75</v>
      </c>
      <c r="E145" s="6">
        <f t="shared" si="14"/>
        <v>87.5</v>
      </c>
      <c r="F145" s="18">
        <v>85.5156382113013</v>
      </c>
      <c r="G145" s="19">
        <v>100</v>
      </c>
      <c r="H145" s="19">
        <v>40</v>
      </c>
      <c r="I145" s="19">
        <v>50</v>
      </c>
      <c r="J145" s="19">
        <v>50</v>
      </c>
      <c r="K145" s="9">
        <f t="shared" si="15"/>
        <v>60</v>
      </c>
      <c r="L145" s="19">
        <v>80</v>
      </c>
      <c r="M145" s="19">
        <v>100</v>
      </c>
      <c r="N145" s="8" t="s">
        <v>32</v>
      </c>
      <c r="O145" s="19">
        <v>25</v>
      </c>
      <c r="P145" s="9">
        <f t="shared" si="16"/>
        <v>51.25</v>
      </c>
      <c r="Q145" s="26">
        <v>51.756729377853</v>
      </c>
      <c r="R145" s="26">
        <v>54.2022790152607</v>
      </c>
      <c r="S145" s="27">
        <f t="shared" si="17"/>
        <v>52.9795041965568</v>
      </c>
      <c r="T145" s="18">
        <v>51.7780127255643</v>
      </c>
      <c r="U145" s="8" t="s">
        <v>32</v>
      </c>
      <c r="V145" s="19">
        <v>50</v>
      </c>
      <c r="W145" s="7">
        <f t="shared" si="18"/>
        <v>25</v>
      </c>
      <c r="X145" s="28">
        <f t="shared" si="19"/>
        <v>57.439332732486</v>
      </c>
      <c r="Y145" s="26">
        <f t="shared" si="20"/>
        <v>54.7087301873731</v>
      </c>
    </row>
    <row r="146" spans="1:25">
      <c r="A146" s="8" t="s">
        <v>174</v>
      </c>
      <c r="B146" s="8">
        <v>3</v>
      </c>
      <c r="C146" s="16">
        <v>100</v>
      </c>
      <c r="D146" s="16">
        <v>75</v>
      </c>
      <c r="E146" s="6">
        <f t="shared" si="14"/>
        <v>87.5</v>
      </c>
      <c r="F146" s="18">
        <v>89.6452259962787</v>
      </c>
      <c r="G146" s="19">
        <v>40</v>
      </c>
      <c r="H146" s="19">
        <v>100</v>
      </c>
      <c r="I146" s="19">
        <v>75</v>
      </c>
      <c r="J146" s="19">
        <v>25</v>
      </c>
      <c r="K146" s="9">
        <f t="shared" si="15"/>
        <v>60</v>
      </c>
      <c r="L146" s="19">
        <v>20</v>
      </c>
      <c r="M146" s="8" t="s">
        <v>32</v>
      </c>
      <c r="N146" s="19">
        <v>30</v>
      </c>
      <c r="O146" s="8" t="s">
        <v>32</v>
      </c>
      <c r="P146" s="9">
        <f t="shared" si="16"/>
        <v>12.5</v>
      </c>
      <c r="Q146" s="26">
        <v>46.4539830703791</v>
      </c>
      <c r="R146" s="26">
        <v>48.6070969452488</v>
      </c>
      <c r="S146" s="27">
        <f t="shared" si="17"/>
        <v>47.530540007814</v>
      </c>
      <c r="T146" s="18">
        <v>48.6958400082931</v>
      </c>
      <c r="U146" s="19">
        <v>20</v>
      </c>
      <c r="V146" s="19">
        <v>25</v>
      </c>
      <c r="W146" s="7">
        <f t="shared" si="18"/>
        <v>22.5</v>
      </c>
      <c r="X146" s="28">
        <f t="shared" si="19"/>
        <v>52.907381202573</v>
      </c>
      <c r="Y146" s="26">
        <f t="shared" si="20"/>
        <v>46.6682132009144</v>
      </c>
    </row>
    <row r="147" spans="1:25">
      <c r="A147" s="8" t="s">
        <v>175</v>
      </c>
      <c r="B147" s="8">
        <v>3</v>
      </c>
      <c r="C147" s="16">
        <v>50</v>
      </c>
      <c r="D147" s="16">
        <v>50</v>
      </c>
      <c r="E147" s="6">
        <f t="shared" si="14"/>
        <v>50</v>
      </c>
      <c r="F147" s="18">
        <v>52.7584226939055</v>
      </c>
      <c r="G147" s="19">
        <v>100</v>
      </c>
      <c r="H147" s="19">
        <v>100</v>
      </c>
      <c r="I147" s="19">
        <v>75</v>
      </c>
      <c r="J147" s="19">
        <v>50</v>
      </c>
      <c r="K147" s="9">
        <f t="shared" si="15"/>
        <v>81.25</v>
      </c>
      <c r="L147" s="19">
        <v>80</v>
      </c>
      <c r="M147" s="19">
        <v>30</v>
      </c>
      <c r="N147" s="19">
        <v>70</v>
      </c>
      <c r="O147" s="19">
        <v>25</v>
      </c>
      <c r="P147" s="9">
        <f t="shared" si="16"/>
        <v>51.25</v>
      </c>
      <c r="Q147" s="26">
        <v>38.1151439622499</v>
      </c>
      <c r="R147" s="26">
        <v>31.9617591167037</v>
      </c>
      <c r="S147" s="27">
        <f t="shared" si="17"/>
        <v>35.0384515394768</v>
      </c>
      <c r="T147" s="18">
        <v>36.9714687371928</v>
      </c>
      <c r="U147" s="19">
        <v>60</v>
      </c>
      <c r="V147" s="19">
        <v>25</v>
      </c>
      <c r="W147" s="7">
        <f t="shared" si="18"/>
        <v>42.5</v>
      </c>
      <c r="X147" s="28">
        <f t="shared" si="19"/>
        <v>50.9652720336582</v>
      </c>
      <c r="Y147" s="26">
        <f t="shared" si="20"/>
        <v>52.9459782862197</v>
      </c>
    </row>
    <row r="148" spans="1:25">
      <c r="A148" s="8" t="s">
        <v>176</v>
      </c>
      <c r="B148" s="8">
        <v>3</v>
      </c>
      <c r="C148" s="16">
        <v>100</v>
      </c>
      <c r="D148" s="16">
        <v>100</v>
      </c>
      <c r="E148" s="6">
        <f t="shared" si="14"/>
        <v>100</v>
      </c>
      <c r="F148" s="18">
        <v>99.9418713316081</v>
      </c>
      <c r="G148" s="19">
        <v>80</v>
      </c>
      <c r="H148" s="8" t="s">
        <v>32</v>
      </c>
      <c r="I148" s="19">
        <v>75</v>
      </c>
      <c r="J148" s="8" t="s">
        <v>32</v>
      </c>
      <c r="K148" s="9">
        <f t="shared" si="15"/>
        <v>38.75</v>
      </c>
      <c r="L148" s="19">
        <v>40</v>
      </c>
      <c r="M148" s="8" t="s">
        <v>32</v>
      </c>
      <c r="N148" s="19">
        <v>30</v>
      </c>
      <c r="O148" s="19">
        <v>25</v>
      </c>
      <c r="P148" s="9">
        <f t="shared" si="16"/>
        <v>23.75</v>
      </c>
      <c r="Q148" s="26">
        <v>37.4652309101676</v>
      </c>
      <c r="R148" s="26">
        <v>33.3839819620438</v>
      </c>
      <c r="S148" s="27">
        <f t="shared" si="17"/>
        <v>35.4246064361057</v>
      </c>
      <c r="T148" s="18">
        <v>35.4040145841013</v>
      </c>
      <c r="U148" s="8" t="s">
        <v>32</v>
      </c>
      <c r="V148" s="19">
        <v>100</v>
      </c>
      <c r="W148" s="7">
        <f t="shared" si="18"/>
        <v>50</v>
      </c>
      <c r="X148" s="28">
        <f t="shared" si="19"/>
        <v>49.2749800999622</v>
      </c>
      <c r="Y148" s="26">
        <f t="shared" si="20"/>
        <v>49.5691771831419</v>
      </c>
    </row>
    <row r="149" spans="1:25">
      <c r="A149" s="8" t="s">
        <v>177</v>
      </c>
      <c r="B149" s="8">
        <v>3</v>
      </c>
      <c r="C149" s="16">
        <v>75</v>
      </c>
      <c r="D149" s="16">
        <v>25</v>
      </c>
      <c r="E149" s="6">
        <f t="shared" si="14"/>
        <v>50</v>
      </c>
      <c r="F149" s="18">
        <v>50.7323316267525</v>
      </c>
      <c r="G149" s="19">
        <v>100</v>
      </c>
      <c r="H149" s="19">
        <v>100</v>
      </c>
      <c r="I149" s="19">
        <v>100</v>
      </c>
      <c r="J149" s="19">
        <v>75</v>
      </c>
      <c r="K149" s="9">
        <f t="shared" si="15"/>
        <v>93.75</v>
      </c>
      <c r="L149" s="19">
        <v>100</v>
      </c>
      <c r="M149" s="19">
        <v>100</v>
      </c>
      <c r="N149" s="19">
        <v>100</v>
      </c>
      <c r="O149" s="19">
        <v>100</v>
      </c>
      <c r="P149" s="9">
        <f t="shared" si="16"/>
        <v>100</v>
      </c>
      <c r="Q149" s="26">
        <v>49.1587735703066</v>
      </c>
      <c r="R149" s="26">
        <v>50.2235908207117</v>
      </c>
      <c r="S149" s="27">
        <f t="shared" si="17"/>
        <v>49.6911821955091</v>
      </c>
      <c r="T149" s="18">
        <v>50.418990681359</v>
      </c>
      <c r="U149" s="19">
        <v>100</v>
      </c>
      <c r="V149" s="19">
        <v>100</v>
      </c>
      <c r="W149" s="7">
        <f t="shared" si="18"/>
        <v>100</v>
      </c>
      <c r="X149" s="28">
        <f t="shared" si="19"/>
        <v>69.0640625978941</v>
      </c>
      <c r="Y149" s="26">
        <f t="shared" si="20"/>
        <v>78.9802644616223</v>
      </c>
    </row>
    <row r="150" spans="1:25">
      <c r="A150" s="8" t="s">
        <v>178</v>
      </c>
      <c r="B150" s="8">
        <v>3</v>
      </c>
      <c r="C150" s="16">
        <v>50</v>
      </c>
      <c r="D150" s="16">
        <v>75</v>
      </c>
      <c r="E150" s="6">
        <f t="shared" si="14"/>
        <v>62.5</v>
      </c>
      <c r="F150" s="18">
        <v>67.7905821315581</v>
      </c>
      <c r="G150" s="19">
        <v>100</v>
      </c>
      <c r="H150" s="19">
        <v>30</v>
      </c>
      <c r="I150" s="19">
        <v>50</v>
      </c>
      <c r="J150" s="19">
        <v>25</v>
      </c>
      <c r="K150" s="9">
        <f t="shared" si="15"/>
        <v>51.25</v>
      </c>
      <c r="L150" s="19">
        <v>40</v>
      </c>
      <c r="M150" s="8" t="s">
        <v>32</v>
      </c>
      <c r="N150" s="8" t="s">
        <v>32</v>
      </c>
      <c r="O150" s="19">
        <v>25</v>
      </c>
      <c r="P150" s="9">
        <f t="shared" si="16"/>
        <v>16.25</v>
      </c>
      <c r="Q150" s="26">
        <v>32.6918455736251</v>
      </c>
      <c r="R150" s="26">
        <v>28.0816175443429</v>
      </c>
      <c r="S150" s="27">
        <f t="shared" si="17"/>
        <v>30.386731558984</v>
      </c>
      <c r="T150" s="18">
        <v>32.9589475433427</v>
      </c>
      <c r="U150" s="19">
        <v>40</v>
      </c>
      <c r="V150" s="19">
        <v>75</v>
      </c>
      <c r="W150" s="7">
        <f t="shared" si="18"/>
        <v>57.5</v>
      </c>
      <c r="X150" s="28">
        <f t="shared" si="19"/>
        <v>44.3666954436487</v>
      </c>
      <c r="Y150" s="26">
        <f t="shared" si="20"/>
        <v>45.1499059349802</v>
      </c>
    </row>
    <row r="151" spans="1:25">
      <c r="A151" s="8" t="s">
        <v>179</v>
      </c>
      <c r="B151" s="8">
        <v>3</v>
      </c>
      <c r="C151" s="16">
        <v>75</v>
      </c>
      <c r="D151" s="16">
        <v>75</v>
      </c>
      <c r="E151" s="6">
        <f t="shared" si="14"/>
        <v>75</v>
      </c>
      <c r="F151" s="18">
        <v>77.1739738088445</v>
      </c>
      <c r="G151" s="8" t="s">
        <v>32</v>
      </c>
      <c r="H151" s="19">
        <v>70</v>
      </c>
      <c r="I151" s="8" t="s">
        <v>32</v>
      </c>
      <c r="J151" s="8" t="s">
        <v>32</v>
      </c>
      <c r="K151" s="9">
        <f t="shared" si="15"/>
        <v>17.5</v>
      </c>
      <c r="L151" s="19">
        <v>40</v>
      </c>
      <c r="M151" s="8" t="s">
        <v>32</v>
      </c>
      <c r="N151" s="8" t="s">
        <v>32</v>
      </c>
      <c r="O151" s="8" t="s">
        <v>32</v>
      </c>
      <c r="P151" s="9">
        <f t="shared" si="16"/>
        <v>10</v>
      </c>
      <c r="Q151" s="26">
        <v>45.5978838950464</v>
      </c>
      <c r="R151" s="26">
        <v>40.3941133011392</v>
      </c>
      <c r="S151" s="27">
        <f t="shared" si="17"/>
        <v>42.9959985980928</v>
      </c>
      <c r="T151" s="18">
        <v>44.242294262591</v>
      </c>
      <c r="U151" s="8" t="s">
        <v>32</v>
      </c>
      <c r="V151" s="8" t="s">
        <v>32</v>
      </c>
      <c r="W151" s="7">
        <f t="shared" si="18"/>
        <v>0</v>
      </c>
      <c r="X151" s="28">
        <f t="shared" si="19"/>
        <v>37.6317124668053</v>
      </c>
      <c r="Y151" s="26">
        <f t="shared" si="20"/>
        <v>29.7832536142871</v>
      </c>
    </row>
    <row r="152" spans="1:25">
      <c r="A152" s="8" t="s">
        <v>180</v>
      </c>
      <c r="B152" s="8">
        <v>3</v>
      </c>
      <c r="C152" s="16">
        <v>50</v>
      </c>
      <c r="D152" s="16">
        <v>50</v>
      </c>
      <c r="E152" s="6">
        <f t="shared" si="14"/>
        <v>50</v>
      </c>
      <c r="F152" s="18">
        <v>50.5587831542615</v>
      </c>
      <c r="G152" s="19">
        <v>100</v>
      </c>
      <c r="H152" s="19">
        <v>100</v>
      </c>
      <c r="I152" s="19">
        <v>75</v>
      </c>
      <c r="J152" s="19">
        <v>75</v>
      </c>
      <c r="K152" s="9">
        <f t="shared" si="15"/>
        <v>87.5</v>
      </c>
      <c r="L152" s="19">
        <v>100</v>
      </c>
      <c r="M152" s="19">
        <v>100</v>
      </c>
      <c r="N152" s="19">
        <v>70</v>
      </c>
      <c r="O152" s="19">
        <v>75</v>
      </c>
      <c r="P152" s="9">
        <f t="shared" si="16"/>
        <v>86.25</v>
      </c>
      <c r="Q152" s="26">
        <v>39.8318919576287</v>
      </c>
      <c r="R152" s="26">
        <v>34.2761588669825</v>
      </c>
      <c r="S152" s="27">
        <f t="shared" si="17"/>
        <v>37.0540254123056</v>
      </c>
      <c r="T152" s="18">
        <v>37.4681287162651</v>
      </c>
      <c r="U152" s="19">
        <v>100</v>
      </c>
      <c r="V152" s="19">
        <v>75</v>
      </c>
      <c r="W152" s="7">
        <f t="shared" si="18"/>
        <v>87.5</v>
      </c>
      <c r="X152" s="28">
        <f t="shared" si="19"/>
        <v>59.9740081173583</v>
      </c>
      <c r="Y152" s="26">
        <f t="shared" si="20"/>
        <v>69.8553823741053</v>
      </c>
    </row>
    <row r="153" spans="1:25">
      <c r="A153" s="8" t="s">
        <v>181</v>
      </c>
      <c r="B153" s="8">
        <v>3</v>
      </c>
      <c r="C153" s="16">
        <v>75</v>
      </c>
      <c r="D153" s="16">
        <v>100</v>
      </c>
      <c r="E153" s="6">
        <f t="shared" si="14"/>
        <v>87.5</v>
      </c>
      <c r="F153" s="18">
        <v>80.3966883414315</v>
      </c>
      <c r="G153" s="19">
        <v>100</v>
      </c>
      <c r="H153" s="8" t="s">
        <v>32</v>
      </c>
      <c r="I153" s="8" t="s">
        <v>32</v>
      </c>
      <c r="J153" s="19">
        <v>25</v>
      </c>
      <c r="K153" s="9">
        <f t="shared" si="15"/>
        <v>31.25</v>
      </c>
      <c r="L153" s="19">
        <v>40</v>
      </c>
      <c r="M153" s="8" t="s">
        <v>32</v>
      </c>
      <c r="N153" s="8" t="s">
        <v>32</v>
      </c>
      <c r="O153" s="19">
        <v>25</v>
      </c>
      <c r="P153" s="9">
        <f t="shared" si="16"/>
        <v>16.25</v>
      </c>
      <c r="Q153" s="26">
        <v>68.6711891360303</v>
      </c>
      <c r="R153" s="26">
        <v>73.1091190564527</v>
      </c>
      <c r="S153" s="27">
        <f t="shared" si="17"/>
        <v>70.8901540962415</v>
      </c>
      <c r="T153" s="18">
        <v>65.1352414325895</v>
      </c>
      <c r="U153" s="19">
        <v>20</v>
      </c>
      <c r="V153" s="19">
        <v>25</v>
      </c>
      <c r="W153" s="7">
        <f t="shared" si="18"/>
        <v>22.5</v>
      </c>
      <c r="X153" s="28">
        <f t="shared" si="19"/>
        <v>52.2584342413221</v>
      </c>
      <c r="Y153" s="26">
        <f t="shared" si="20"/>
        <v>43.1063859548042</v>
      </c>
    </row>
    <row r="154" spans="1:25">
      <c r="A154" s="8" t="s">
        <v>182</v>
      </c>
      <c r="B154" s="8">
        <v>3</v>
      </c>
      <c r="C154" s="16">
        <v>75</v>
      </c>
      <c r="D154" s="16">
        <v>75</v>
      </c>
      <c r="E154" s="6">
        <f t="shared" si="14"/>
        <v>75</v>
      </c>
      <c r="F154" s="18">
        <v>69.3654839317502</v>
      </c>
      <c r="G154" s="19">
        <v>100</v>
      </c>
      <c r="H154" s="19">
        <v>100</v>
      </c>
      <c r="I154" s="19">
        <v>100</v>
      </c>
      <c r="J154" s="19">
        <v>75</v>
      </c>
      <c r="K154" s="9">
        <f t="shared" si="15"/>
        <v>93.75</v>
      </c>
      <c r="L154" s="19">
        <v>80</v>
      </c>
      <c r="M154" s="19">
        <v>70</v>
      </c>
      <c r="N154" s="19">
        <v>100</v>
      </c>
      <c r="O154" s="19">
        <v>75</v>
      </c>
      <c r="P154" s="9">
        <f t="shared" si="16"/>
        <v>81.25</v>
      </c>
      <c r="Q154" s="26">
        <v>52.8466576435204</v>
      </c>
      <c r="R154" s="26">
        <v>52.9503798007113</v>
      </c>
      <c r="S154" s="27">
        <f t="shared" si="17"/>
        <v>52.8985187221159</v>
      </c>
      <c r="T154" s="18">
        <v>48.9244180057642</v>
      </c>
      <c r="U154" s="19">
        <v>80</v>
      </c>
      <c r="V154" s="19">
        <v>100</v>
      </c>
      <c r="W154" s="7">
        <f t="shared" si="18"/>
        <v>90</v>
      </c>
      <c r="X154" s="28">
        <f t="shared" si="19"/>
        <v>69.3178639886557</v>
      </c>
      <c r="Y154" s="26">
        <f t="shared" si="20"/>
        <v>76.6579803875029</v>
      </c>
    </row>
    <row r="155" spans="1:25">
      <c r="A155" s="8" t="s">
        <v>183</v>
      </c>
      <c r="B155" s="8">
        <v>3</v>
      </c>
      <c r="C155" s="16">
        <v>50</v>
      </c>
      <c r="D155" s="16">
        <v>75</v>
      </c>
      <c r="E155" s="6">
        <f t="shared" si="14"/>
        <v>62.5</v>
      </c>
      <c r="F155" s="18">
        <v>67.251644803145</v>
      </c>
      <c r="G155" s="19">
        <v>100</v>
      </c>
      <c r="H155" s="19">
        <v>70</v>
      </c>
      <c r="I155" s="19">
        <v>100</v>
      </c>
      <c r="J155" s="19">
        <v>75</v>
      </c>
      <c r="K155" s="9">
        <f t="shared" si="15"/>
        <v>86.25</v>
      </c>
      <c r="L155" s="19">
        <v>80</v>
      </c>
      <c r="M155" s="8" t="s">
        <v>32</v>
      </c>
      <c r="N155" s="19">
        <v>70</v>
      </c>
      <c r="O155" s="19">
        <v>50</v>
      </c>
      <c r="P155" s="9">
        <f t="shared" si="16"/>
        <v>50</v>
      </c>
      <c r="Q155" s="26">
        <v>48.9247323794834</v>
      </c>
      <c r="R155" s="26">
        <v>50.6179312880541</v>
      </c>
      <c r="S155" s="27">
        <f t="shared" si="17"/>
        <v>49.7713318337687</v>
      </c>
      <c r="T155" s="18">
        <v>53.5552628778252</v>
      </c>
      <c r="U155" s="19">
        <v>20</v>
      </c>
      <c r="V155" s="19">
        <v>75</v>
      </c>
      <c r="W155" s="7">
        <f t="shared" si="18"/>
        <v>47.5</v>
      </c>
      <c r="X155" s="28">
        <f t="shared" si="19"/>
        <v>61.8724341117591</v>
      </c>
      <c r="Y155" s="26">
        <f t="shared" si="20"/>
        <v>60.9113815361941</v>
      </c>
    </row>
    <row r="156" spans="1:25">
      <c r="A156" s="8" t="s">
        <v>184</v>
      </c>
      <c r="B156" s="8">
        <v>3</v>
      </c>
      <c r="C156" s="16">
        <v>75</v>
      </c>
      <c r="D156" s="16">
        <v>75</v>
      </c>
      <c r="E156" s="6">
        <f t="shared" si="14"/>
        <v>75</v>
      </c>
      <c r="F156" s="18">
        <v>79.7893309766063</v>
      </c>
      <c r="G156" s="19">
        <v>100</v>
      </c>
      <c r="H156" s="19">
        <v>100</v>
      </c>
      <c r="I156" s="19">
        <v>100</v>
      </c>
      <c r="J156" s="19">
        <v>75</v>
      </c>
      <c r="K156" s="9">
        <f t="shared" si="15"/>
        <v>93.75</v>
      </c>
      <c r="L156" s="19">
        <v>80</v>
      </c>
      <c r="M156" s="19">
        <v>70</v>
      </c>
      <c r="N156" s="19">
        <v>70</v>
      </c>
      <c r="O156" s="19">
        <v>75</v>
      </c>
      <c r="P156" s="9">
        <f t="shared" si="16"/>
        <v>73.75</v>
      </c>
      <c r="Q156" s="26">
        <v>31.2632154003573</v>
      </c>
      <c r="R156" s="26">
        <v>26.3095316626467</v>
      </c>
      <c r="S156" s="27">
        <f t="shared" si="17"/>
        <v>28.786373531502</v>
      </c>
      <c r="T156" s="18">
        <v>30.6246064709498</v>
      </c>
      <c r="U156" s="19">
        <v>60</v>
      </c>
      <c r="V156" s="19">
        <v>100</v>
      </c>
      <c r="W156" s="7">
        <f t="shared" si="18"/>
        <v>80</v>
      </c>
      <c r="X156" s="28">
        <f t="shared" si="19"/>
        <v>62.3327087837012</v>
      </c>
      <c r="Y156" s="26">
        <f t="shared" si="20"/>
        <v>71.5827874895112</v>
      </c>
    </row>
    <row r="157" spans="1:25">
      <c r="A157" s="8" t="s">
        <v>185</v>
      </c>
      <c r="B157" s="8">
        <v>3</v>
      </c>
      <c r="C157" s="16">
        <v>100</v>
      </c>
      <c r="D157" s="16">
        <v>75</v>
      </c>
      <c r="E157" s="6">
        <f t="shared" si="14"/>
        <v>87.5</v>
      </c>
      <c r="F157" s="18">
        <v>94.9068149841814</v>
      </c>
      <c r="G157" s="19">
        <v>100</v>
      </c>
      <c r="H157" s="19">
        <v>100</v>
      </c>
      <c r="I157" s="19">
        <v>100</v>
      </c>
      <c r="J157" s="19">
        <v>100</v>
      </c>
      <c r="K157" s="9">
        <f t="shared" si="15"/>
        <v>100</v>
      </c>
      <c r="L157" s="19">
        <v>100</v>
      </c>
      <c r="M157" s="19">
        <v>70</v>
      </c>
      <c r="N157" s="19">
        <v>100</v>
      </c>
      <c r="O157" s="19">
        <v>75</v>
      </c>
      <c r="P157" s="9">
        <f t="shared" si="16"/>
        <v>86.25</v>
      </c>
      <c r="Q157" s="26">
        <v>42.1157015837894</v>
      </c>
      <c r="R157" s="26">
        <v>36.4548094113542</v>
      </c>
      <c r="S157" s="27">
        <f t="shared" si="17"/>
        <v>39.2852554975718</v>
      </c>
      <c r="T157" s="18">
        <v>42.6107254298782</v>
      </c>
      <c r="U157" s="19">
        <v>100</v>
      </c>
      <c r="V157" s="19">
        <v>100</v>
      </c>
      <c r="W157" s="7">
        <f t="shared" si="18"/>
        <v>100</v>
      </c>
      <c r="X157" s="28">
        <f t="shared" si="19"/>
        <v>74.6506531687876</v>
      </c>
      <c r="Y157" s="26">
        <f t="shared" si="20"/>
        <v>84.7535080828119</v>
      </c>
    </row>
    <row r="158" spans="1:25">
      <c r="A158" s="8" t="s">
        <v>186</v>
      </c>
      <c r="B158" s="8">
        <v>3</v>
      </c>
      <c r="C158" s="16">
        <v>25</v>
      </c>
      <c r="D158" s="17">
        <v>25</v>
      </c>
      <c r="E158" s="6">
        <f t="shared" si="14"/>
        <v>25</v>
      </c>
      <c r="F158" s="18">
        <v>27.1162328526233</v>
      </c>
      <c r="G158" s="19">
        <v>40</v>
      </c>
      <c r="H158" s="8" t="s">
        <v>32</v>
      </c>
      <c r="I158" s="19">
        <v>75</v>
      </c>
      <c r="J158" s="19">
        <v>25</v>
      </c>
      <c r="K158" s="9">
        <f t="shared" si="15"/>
        <v>35</v>
      </c>
      <c r="L158" s="19">
        <v>60</v>
      </c>
      <c r="M158" s="19">
        <v>70</v>
      </c>
      <c r="N158" s="19">
        <v>40</v>
      </c>
      <c r="O158" s="19">
        <v>75</v>
      </c>
      <c r="P158" s="9">
        <f t="shared" si="16"/>
        <v>61.25</v>
      </c>
      <c r="Q158" s="26">
        <v>47.0182830237178</v>
      </c>
      <c r="R158" s="26">
        <v>42.5902925668429</v>
      </c>
      <c r="S158" s="27">
        <f t="shared" si="17"/>
        <v>44.8042877952804</v>
      </c>
      <c r="T158" s="18">
        <v>48.5969400261107</v>
      </c>
      <c r="U158" s="19">
        <v>40</v>
      </c>
      <c r="V158" s="19">
        <v>25</v>
      </c>
      <c r="W158" s="7">
        <f t="shared" si="18"/>
        <v>32.5</v>
      </c>
      <c r="X158" s="28">
        <f t="shared" si="19"/>
        <v>41.2370225809689</v>
      </c>
      <c r="Y158" s="26">
        <f t="shared" si="20"/>
        <v>40.8926345757468</v>
      </c>
    </row>
    <row r="159" spans="1:25">
      <c r="A159" s="8" t="s">
        <v>187</v>
      </c>
      <c r="B159" s="8">
        <v>3</v>
      </c>
      <c r="C159" s="16">
        <v>50</v>
      </c>
      <c r="D159" s="16">
        <v>50</v>
      </c>
      <c r="E159" s="6">
        <f t="shared" si="14"/>
        <v>50</v>
      </c>
      <c r="F159" s="18">
        <v>52.4225407981735</v>
      </c>
      <c r="G159" s="19">
        <v>100</v>
      </c>
      <c r="H159" s="19">
        <v>70</v>
      </c>
      <c r="I159" s="19">
        <v>100</v>
      </c>
      <c r="J159" s="19">
        <v>100</v>
      </c>
      <c r="K159" s="9">
        <f t="shared" si="15"/>
        <v>92.5</v>
      </c>
      <c r="L159" s="19">
        <v>100</v>
      </c>
      <c r="M159" s="19">
        <v>100</v>
      </c>
      <c r="N159" s="19">
        <v>70</v>
      </c>
      <c r="O159" s="19">
        <v>75</v>
      </c>
      <c r="P159" s="9">
        <f t="shared" si="16"/>
        <v>86.25</v>
      </c>
      <c r="Q159" s="26">
        <v>42.9179245216887</v>
      </c>
      <c r="R159" s="26">
        <v>43.7677448382428</v>
      </c>
      <c r="S159" s="27">
        <f t="shared" si="17"/>
        <v>43.3428346799658</v>
      </c>
      <c r="T159" s="18">
        <v>45.4428303863799</v>
      </c>
      <c r="U159" s="19">
        <v>40</v>
      </c>
      <c r="V159" s="19">
        <v>100</v>
      </c>
      <c r="W159" s="7">
        <f t="shared" si="18"/>
        <v>70</v>
      </c>
      <c r="X159" s="28">
        <f t="shared" si="19"/>
        <v>62.7866403141867</v>
      </c>
      <c r="Y159" s="26">
        <f t="shared" si="20"/>
        <v>69.3230742369107</v>
      </c>
    </row>
    <row r="160" spans="1:25">
      <c r="A160" s="8" t="s">
        <v>188</v>
      </c>
      <c r="B160" s="8">
        <v>3</v>
      </c>
      <c r="C160" s="16">
        <v>50</v>
      </c>
      <c r="D160" s="16">
        <v>75</v>
      </c>
      <c r="E160" s="6">
        <f t="shared" si="14"/>
        <v>62.5</v>
      </c>
      <c r="F160" s="18">
        <v>57.4262059581654</v>
      </c>
      <c r="G160" s="19">
        <v>40</v>
      </c>
      <c r="H160" s="19">
        <v>40</v>
      </c>
      <c r="I160" s="19">
        <v>75</v>
      </c>
      <c r="J160" s="19">
        <v>25</v>
      </c>
      <c r="K160" s="9">
        <f t="shared" si="15"/>
        <v>45</v>
      </c>
      <c r="L160" s="19">
        <v>100</v>
      </c>
      <c r="M160" s="19">
        <v>70</v>
      </c>
      <c r="N160" s="19">
        <v>40</v>
      </c>
      <c r="O160" s="19">
        <v>25</v>
      </c>
      <c r="P160" s="9">
        <f t="shared" si="16"/>
        <v>58.75</v>
      </c>
      <c r="Q160" s="26">
        <v>64.6324927895523</v>
      </c>
      <c r="R160" s="26">
        <v>71.9954515561641</v>
      </c>
      <c r="S160" s="27">
        <f t="shared" si="17"/>
        <v>68.3139721728582</v>
      </c>
      <c r="T160" s="18">
        <v>62.7681957731029</v>
      </c>
      <c r="U160" s="19">
        <v>20</v>
      </c>
      <c r="V160" s="19">
        <v>75</v>
      </c>
      <c r="W160" s="7">
        <f t="shared" si="18"/>
        <v>47.5</v>
      </c>
      <c r="X160" s="28">
        <f t="shared" si="19"/>
        <v>56.2175195008742</v>
      </c>
      <c r="Y160" s="26">
        <f t="shared" si="20"/>
        <v>54.2888803462537</v>
      </c>
    </row>
    <row r="161" spans="1:25">
      <c r="A161" s="8" t="s">
        <v>189</v>
      </c>
      <c r="B161" s="8">
        <v>3</v>
      </c>
      <c r="C161" s="16">
        <v>25</v>
      </c>
      <c r="D161" s="16">
        <v>25</v>
      </c>
      <c r="E161" s="6">
        <f t="shared" si="14"/>
        <v>25</v>
      </c>
      <c r="F161" s="18">
        <v>26.2182499415595</v>
      </c>
      <c r="G161" s="19">
        <v>80</v>
      </c>
      <c r="H161" s="19">
        <v>100</v>
      </c>
      <c r="I161" s="19">
        <v>75</v>
      </c>
      <c r="J161" s="19">
        <v>50</v>
      </c>
      <c r="K161" s="9">
        <f t="shared" si="15"/>
        <v>76.25</v>
      </c>
      <c r="L161" s="19">
        <v>80</v>
      </c>
      <c r="M161" s="19">
        <v>100</v>
      </c>
      <c r="N161" s="19">
        <v>70</v>
      </c>
      <c r="O161" s="19">
        <v>100</v>
      </c>
      <c r="P161" s="9">
        <f t="shared" si="16"/>
        <v>87.5</v>
      </c>
      <c r="Q161" s="26">
        <v>27.2793242887939</v>
      </c>
      <c r="R161" s="26">
        <v>23.5843444304959</v>
      </c>
      <c r="S161" s="27">
        <f t="shared" si="17"/>
        <v>25.4318343596449</v>
      </c>
      <c r="T161" s="18">
        <v>26.6711275885404</v>
      </c>
      <c r="U161" s="19">
        <v>80</v>
      </c>
      <c r="V161" s="19">
        <v>100</v>
      </c>
      <c r="W161" s="7">
        <f t="shared" si="18"/>
        <v>90</v>
      </c>
      <c r="X161" s="28">
        <f t="shared" si="19"/>
        <v>48.9121010237281</v>
      </c>
      <c r="Y161" s="26">
        <f t="shared" si="20"/>
        <v>61.32787550602</v>
      </c>
    </row>
    <row r="162" spans="1:25">
      <c r="A162" s="8" t="s">
        <v>190</v>
      </c>
      <c r="B162" s="8">
        <v>3</v>
      </c>
      <c r="C162" s="16">
        <v>100</v>
      </c>
      <c r="D162" s="16">
        <v>50</v>
      </c>
      <c r="E162" s="6">
        <f t="shared" si="14"/>
        <v>75</v>
      </c>
      <c r="F162" s="18">
        <v>73.4304812214073</v>
      </c>
      <c r="G162" s="19">
        <v>40</v>
      </c>
      <c r="H162" s="19">
        <v>100</v>
      </c>
      <c r="I162" s="19">
        <v>75</v>
      </c>
      <c r="J162" s="8" t="s">
        <v>32</v>
      </c>
      <c r="K162" s="9">
        <f t="shared" si="15"/>
        <v>53.75</v>
      </c>
      <c r="L162" s="19">
        <v>60</v>
      </c>
      <c r="M162" s="19">
        <v>60</v>
      </c>
      <c r="N162" s="8" t="s">
        <v>32</v>
      </c>
      <c r="O162" s="8" t="s">
        <v>32</v>
      </c>
      <c r="P162" s="9">
        <f t="shared" si="16"/>
        <v>30</v>
      </c>
      <c r="Q162" s="26">
        <v>55.1060606438176</v>
      </c>
      <c r="R162" s="26">
        <v>54.5214083166655</v>
      </c>
      <c r="S162" s="27">
        <f t="shared" si="17"/>
        <v>54.8137344802415</v>
      </c>
      <c r="T162" s="18">
        <v>53.6666520056877</v>
      </c>
      <c r="U162" s="19">
        <v>40</v>
      </c>
      <c r="V162" s="19">
        <v>75</v>
      </c>
      <c r="W162" s="7">
        <f t="shared" si="18"/>
        <v>57.5</v>
      </c>
      <c r="X162" s="28">
        <f t="shared" si="19"/>
        <v>55.6527570465566</v>
      </c>
      <c r="Y162" s="26">
        <f t="shared" si="20"/>
        <v>53.669426645419</v>
      </c>
    </row>
    <row r="163" spans="1:25">
      <c r="A163" s="8" t="s">
        <v>191</v>
      </c>
      <c r="B163" s="8">
        <v>3</v>
      </c>
      <c r="C163" s="16">
        <v>25</v>
      </c>
      <c r="D163" s="16">
        <v>25</v>
      </c>
      <c r="E163" s="6">
        <f t="shared" si="14"/>
        <v>25</v>
      </c>
      <c r="F163" s="18">
        <v>27.1162328526233</v>
      </c>
      <c r="G163" s="19">
        <v>80</v>
      </c>
      <c r="H163" s="19">
        <v>70</v>
      </c>
      <c r="I163" s="19">
        <v>100</v>
      </c>
      <c r="J163" s="19">
        <v>75</v>
      </c>
      <c r="K163" s="9">
        <f t="shared" si="15"/>
        <v>81.25</v>
      </c>
      <c r="L163" s="19">
        <v>100</v>
      </c>
      <c r="M163" s="19">
        <v>70</v>
      </c>
      <c r="N163" s="19">
        <v>70</v>
      </c>
      <c r="O163" s="19">
        <v>75</v>
      </c>
      <c r="P163" s="9">
        <f t="shared" si="16"/>
        <v>78.75</v>
      </c>
      <c r="Q163" s="26">
        <v>29.0077333444616</v>
      </c>
      <c r="R163" s="26">
        <v>23.4488594647252</v>
      </c>
      <c r="S163" s="27">
        <f t="shared" si="17"/>
        <v>26.2282964045934</v>
      </c>
      <c r="T163" s="18">
        <v>28.448503705383</v>
      </c>
      <c r="U163" s="19">
        <v>40</v>
      </c>
      <c r="V163" s="19">
        <v>75</v>
      </c>
      <c r="W163" s="7">
        <f t="shared" si="18"/>
        <v>57.5</v>
      </c>
      <c r="X163" s="28">
        <f t="shared" si="19"/>
        <v>46.6776480526779</v>
      </c>
      <c r="Y163" s="26">
        <f t="shared" si="20"/>
        <v>54.6129473116013</v>
      </c>
    </row>
    <row r="164" spans="1:25">
      <c r="A164" s="8" t="s">
        <v>192</v>
      </c>
      <c r="B164" s="8">
        <v>3</v>
      </c>
      <c r="C164" s="16">
        <v>50</v>
      </c>
      <c r="D164" s="16">
        <v>50</v>
      </c>
      <c r="E164" s="6">
        <f t="shared" si="14"/>
        <v>50</v>
      </c>
      <c r="F164" s="18">
        <v>54.2324657052465</v>
      </c>
      <c r="G164" s="19">
        <v>20</v>
      </c>
      <c r="H164" s="19">
        <v>30</v>
      </c>
      <c r="I164" s="19">
        <v>50</v>
      </c>
      <c r="J164" s="19">
        <v>50</v>
      </c>
      <c r="K164" s="9">
        <f t="shared" si="15"/>
        <v>37.5</v>
      </c>
      <c r="L164" s="8" t="s">
        <v>32</v>
      </c>
      <c r="M164" s="8" t="s">
        <v>32</v>
      </c>
      <c r="N164" s="19">
        <v>40</v>
      </c>
      <c r="O164" s="19">
        <v>25</v>
      </c>
      <c r="P164" s="9">
        <f t="shared" si="16"/>
        <v>16.25</v>
      </c>
      <c r="Q164" s="26">
        <v>30.3315604430424</v>
      </c>
      <c r="R164" s="26">
        <v>26.0186942722828</v>
      </c>
      <c r="S164" s="27">
        <f t="shared" si="17"/>
        <v>28.1751273576626</v>
      </c>
      <c r="T164" s="18">
        <v>30.5601325633078</v>
      </c>
      <c r="U164" s="19">
        <v>20</v>
      </c>
      <c r="V164" s="8" t="s">
        <v>32</v>
      </c>
      <c r="W164" s="7">
        <f t="shared" si="18"/>
        <v>10</v>
      </c>
      <c r="X164" s="28">
        <f t="shared" si="19"/>
        <v>33.1955461663724</v>
      </c>
      <c r="Y164" s="26">
        <f t="shared" si="20"/>
        <v>29.7085196537109</v>
      </c>
    </row>
    <row r="165" spans="1:25">
      <c r="A165" s="8" t="s">
        <v>193</v>
      </c>
      <c r="B165" s="8">
        <v>3</v>
      </c>
      <c r="C165" s="16">
        <v>50</v>
      </c>
      <c r="D165" s="16">
        <v>25</v>
      </c>
      <c r="E165" s="6">
        <f t="shared" si="14"/>
        <v>37.5</v>
      </c>
      <c r="F165" s="18">
        <v>36.9007007430011</v>
      </c>
      <c r="G165" s="19">
        <v>80</v>
      </c>
      <c r="H165" s="19">
        <v>60</v>
      </c>
      <c r="I165" s="19">
        <v>75</v>
      </c>
      <c r="J165" s="19">
        <v>25</v>
      </c>
      <c r="K165" s="9">
        <f t="shared" si="15"/>
        <v>60</v>
      </c>
      <c r="L165" s="19">
        <v>60</v>
      </c>
      <c r="M165" s="8" t="s">
        <v>32</v>
      </c>
      <c r="N165" s="19">
        <v>40</v>
      </c>
      <c r="O165" s="19">
        <v>25</v>
      </c>
      <c r="P165" s="9">
        <f t="shared" si="16"/>
        <v>31.25</v>
      </c>
      <c r="Q165" s="26">
        <v>40.6118013404347</v>
      </c>
      <c r="R165" s="26">
        <v>39.2514050083405</v>
      </c>
      <c r="S165" s="27">
        <f t="shared" si="17"/>
        <v>39.9316031743876</v>
      </c>
      <c r="T165" s="18">
        <v>39.2934437047026</v>
      </c>
      <c r="U165" s="19">
        <v>100</v>
      </c>
      <c r="V165" s="19">
        <v>75</v>
      </c>
      <c r="W165" s="7">
        <f t="shared" si="18"/>
        <v>87.5</v>
      </c>
      <c r="X165" s="28">
        <f t="shared" si="19"/>
        <v>46.9725176304813</v>
      </c>
      <c r="Y165" s="26">
        <f t="shared" si="20"/>
        <v>50.9888288895407</v>
      </c>
    </row>
    <row r="166" spans="1:25">
      <c r="A166" s="8" t="s">
        <v>194</v>
      </c>
      <c r="B166" s="8">
        <v>3</v>
      </c>
      <c r="C166" s="16">
        <v>50</v>
      </c>
      <c r="D166" s="16">
        <v>25</v>
      </c>
      <c r="E166" s="6">
        <f t="shared" si="14"/>
        <v>37.5</v>
      </c>
      <c r="F166" s="18">
        <v>37.6172044056015</v>
      </c>
      <c r="G166" s="8" t="s">
        <v>32</v>
      </c>
      <c r="H166" s="19">
        <v>30</v>
      </c>
      <c r="I166" s="19">
        <v>75</v>
      </c>
      <c r="J166" s="19">
        <v>50</v>
      </c>
      <c r="K166" s="9">
        <f t="shared" si="15"/>
        <v>38.75</v>
      </c>
      <c r="L166" s="19">
        <v>80</v>
      </c>
      <c r="M166" s="8" t="s">
        <v>32</v>
      </c>
      <c r="N166" s="19">
        <v>70</v>
      </c>
      <c r="O166" s="19">
        <v>50</v>
      </c>
      <c r="P166" s="9">
        <f t="shared" si="16"/>
        <v>50</v>
      </c>
      <c r="Q166" s="26">
        <v>49.2290685149091</v>
      </c>
      <c r="R166" s="26">
        <v>47.0127298849574</v>
      </c>
      <c r="S166" s="27">
        <f t="shared" si="17"/>
        <v>48.1208991999333</v>
      </c>
      <c r="T166" s="18">
        <v>48.2712987036063</v>
      </c>
      <c r="U166" s="19">
        <v>40</v>
      </c>
      <c r="V166" s="19">
        <v>25</v>
      </c>
      <c r="W166" s="7">
        <f t="shared" si="18"/>
        <v>32.5</v>
      </c>
      <c r="X166" s="28">
        <f t="shared" si="19"/>
        <v>42.8319603625628</v>
      </c>
      <c r="Y166" s="26">
        <f t="shared" si="20"/>
        <v>41.4277006218416</v>
      </c>
    </row>
    <row r="167" spans="1:25">
      <c r="A167" s="8" t="s">
        <v>195</v>
      </c>
      <c r="B167" s="8">
        <v>3</v>
      </c>
      <c r="C167" s="16">
        <v>50</v>
      </c>
      <c r="D167" s="16">
        <v>50</v>
      </c>
      <c r="E167" s="6">
        <f t="shared" si="14"/>
        <v>50</v>
      </c>
      <c r="F167" s="18">
        <v>49.1795195205319</v>
      </c>
      <c r="G167" s="19">
        <v>80</v>
      </c>
      <c r="H167" s="19">
        <v>100</v>
      </c>
      <c r="I167" s="19">
        <v>100</v>
      </c>
      <c r="J167" s="19">
        <v>50</v>
      </c>
      <c r="K167" s="9">
        <f t="shared" si="15"/>
        <v>82.5</v>
      </c>
      <c r="L167" s="19">
        <v>100</v>
      </c>
      <c r="M167" s="8" t="s">
        <v>32</v>
      </c>
      <c r="N167" s="19">
        <v>40</v>
      </c>
      <c r="O167" s="19">
        <v>25</v>
      </c>
      <c r="P167" s="9">
        <f t="shared" si="16"/>
        <v>41.25</v>
      </c>
      <c r="Q167" s="26">
        <v>50.9611720403338</v>
      </c>
      <c r="R167" s="26">
        <v>50.8899260865339</v>
      </c>
      <c r="S167" s="27">
        <f t="shared" si="17"/>
        <v>50.9255490634339</v>
      </c>
      <c r="T167" s="18">
        <v>50.0898806851791</v>
      </c>
      <c r="U167" s="19">
        <v>40</v>
      </c>
      <c r="V167" s="19">
        <v>75</v>
      </c>
      <c r="W167" s="7">
        <f t="shared" si="18"/>
        <v>57.5</v>
      </c>
      <c r="X167" s="28">
        <f t="shared" si="19"/>
        <v>56.246856178178</v>
      </c>
      <c r="Y167" s="26">
        <f t="shared" si="20"/>
        <v>56.1038800411422</v>
      </c>
    </row>
    <row r="168" spans="1:25">
      <c r="A168" s="8" t="s">
        <v>196</v>
      </c>
      <c r="B168" s="8">
        <v>3</v>
      </c>
      <c r="C168" s="16">
        <v>25</v>
      </c>
      <c r="D168" s="16">
        <v>25</v>
      </c>
      <c r="E168" s="6">
        <f t="shared" si="14"/>
        <v>25</v>
      </c>
      <c r="F168" s="18">
        <v>24.5394179902639</v>
      </c>
      <c r="G168" s="19">
        <v>100</v>
      </c>
      <c r="H168" s="19">
        <v>30</v>
      </c>
      <c r="I168" s="19">
        <v>50</v>
      </c>
      <c r="J168" s="19">
        <v>75</v>
      </c>
      <c r="K168" s="9">
        <f t="shared" si="15"/>
        <v>63.75</v>
      </c>
      <c r="L168" s="19">
        <v>80</v>
      </c>
      <c r="M168" s="8" t="s">
        <v>32</v>
      </c>
      <c r="N168" s="19">
        <v>40</v>
      </c>
      <c r="O168" s="19">
        <v>50</v>
      </c>
      <c r="P168" s="9">
        <f t="shared" si="16"/>
        <v>42.5</v>
      </c>
      <c r="Q168" s="26">
        <v>45.3774960575847</v>
      </c>
      <c r="R168" s="26">
        <v>43.6174363483551</v>
      </c>
      <c r="S168" s="27">
        <f t="shared" si="17"/>
        <v>44.4974662029699</v>
      </c>
      <c r="T168" s="18">
        <v>43.6776769064928</v>
      </c>
      <c r="U168" s="19">
        <v>40</v>
      </c>
      <c r="V168" s="19">
        <v>50</v>
      </c>
      <c r="W168" s="7">
        <f t="shared" si="18"/>
        <v>45</v>
      </c>
      <c r="X168" s="28">
        <f t="shared" si="19"/>
        <v>43.8789543606499</v>
      </c>
      <c r="Y168" s="26">
        <f t="shared" si="20"/>
        <v>43.8934189793513</v>
      </c>
    </row>
    <row r="169" spans="1:25">
      <c r="A169" s="8" t="s">
        <v>197</v>
      </c>
      <c r="B169" s="8">
        <v>3</v>
      </c>
      <c r="C169" s="16">
        <v>50</v>
      </c>
      <c r="D169" s="16">
        <v>75</v>
      </c>
      <c r="E169" s="6">
        <f t="shared" si="14"/>
        <v>62.5</v>
      </c>
      <c r="F169" s="18">
        <v>65.8313433525369</v>
      </c>
      <c r="G169" s="19">
        <v>20</v>
      </c>
      <c r="H169" s="19">
        <v>30</v>
      </c>
      <c r="I169" s="19">
        <v>25</v>
      </c>
      <c r="J169" s="8" t="s">
        <v>32</v>
      </c>
      <c r="K169" s="9">
        <f t="shared" si="15"/>
        <v>18.75</v>
      </c>
      <c r="L169" s="19">
        <v>60</v>
      </c>
      <c r="M169" s="19">
        <v>100</v>
      </c>
      <c r="N169" s="19">
        <v>40</v>
      </c>
      <c r="O169" s="19">
        <v>75</v>
      </c>
      <c r="P169" s="9">
        <f t="shared" si="16"/>
        <v>68.75</v>
      </c>
      <c r="Q169" s="26">
        <v>44.0048941049904</v>
      </c>
      <c r="R169" s="26">
        <v>43.155543455428</v>
      </c>
      <c r="S169" s="27">
        <f t="shared" si="17"/>
        <v>43.5802187802092</v>
      </c>
      <c r="T169" s="18">
        <v>45.903109534378</v>
      </c>
      <c r="U169" s="19">
        <v>60</v>
      </c>
      <c r="V169" s="19">
        <v>50</v>
      </c>
      <c r="W169" s="7">
        <f t="shared" si="18"/>
        <v>55</v>
      </c>
      <c r="X169" s="28">
        <f t="shared" si="19"/>
        <v>47.6525124842586</v>
      </c>
      <c r="Y169" s="26">
        <f t="shared" si="20"/>
        <v>50.846890577383</v>
      </c>
    </row>
    <row r="170" spans="1:25">
      <c r="A170" s="8" t="s">
        <v>198</v>
      </c>
      <c r="B170" s="8">
        <v>3</v>
      </c>
      <c r="C170" s="16">
        <v>75</v>
      </c>
      <c r="D170" s="16">
        <v>75</v>
      </c>
      <c r="E170" s="6">
        <f t="shared" si="14"/>
        <v>75</v>
      </c>
      <c r="F170" s="18">
        <v>81.3486985578698</v>
      </c>
      <c r="G170" s="19">
        <v>80</v>
      </c>
      <c r="H170" s="19">
        <v>100</v>
      </c>
      <c r="I170" s="19">
        <v>50</v>
      </c>
      <c r="J170" s="19">
        <v>75</v>
      </c>
      <c r="K170" s="9">
        <f t="shared" si="15"/>
        <v>76.25</v>
      </c>
      <c r="L170" s="19">
        <v>40</v>
      </c>
      <c r="M170" s="19">
        <v>60</v>
      </c>
      <c r="N170" s="19">
        <v>40</v>
      </c>
      <c r="O170" s="19">
        <v>50</v>
      </c>
      <c r="P170" s="9">
        <f t="shared" si="16"/>
        <v>47.5</v>
      </c>
      <c r="Q170" s="26">
        <v>31.9329285672142</v>
      </c>
      <c r="R170" s="26">
        <v>29.3642001149444</v>
      </c>
      <c r="S170" s="27">
        <f t="shared" si="17"/>
        <v>30.6485643410793</v>
      </c>
      <c r="T170" s="18">
        <v>33.2429442908525</v>
      </c>
      <c r="U170" s="19">
        <v>40</v>
      </c>
      <c r="V170" s="19">
        <v>50</v>
      </c>
      <c r="W170" s="7">
        <f t="shared" si="18"/>
        <v>45</v>
      </c>
      <c r="X170" s="28">
        <f t="shared" si="19"/>
        <v>54.066917427915</v>
      </c>
      <c r="Y170" s="26">
        <f t="shared" si="20"/>
        <v>56.6683285697445</v>
      </c>
    </row>
    <row r="171" spans="1:25">
      <c r="A171" s="8" t="s">
        <v>199</v>
      </c>
      <c r="B171" s="8">
        <v>3</v>
      </c>
      <c r="C171" s="16">
        <v>25</v>
      </c>
      <c r="D171" s="16">
        <v>25</v>
      </c>
      <c r="E171" s="6">
        <f t="shared" si="14"/>
        <v>25</v>
      </c>
      <c r="F171" s="18">
        <v>26.8416917752292</v>
      </c>
      <c r="G171" s="19">
        <v>60</v>
      </c>
      <c r="H171" s="19">
        <v>100</v>
      </c>
      <c r="I171" s="19">
        <v>50</v>
      </c>
      <c r="J171" s="19">
        <v>50</v>
      </c>
      <c r="K171" s="9">
        <f t="shared" si="15"/>
        <v>65</v>
      </c>
      <c r="L171" s="8" t="s">
        <v>32</v>
      </c>
      <c r="M171" s="19">
        <v>100</v>
      </c>
      <c r="N171" s="19">
        <v>40</v>
      </c>
      <c r="O171" s="19">
        <v>75</v>
      </c>
      <c r="P171" s="9">
        <f t="shared" si="16"/>
        <v>53.75</v>
      </c>
      <c r="Q171" s="26">
        <v>44.5094898372214</v>
      </c>
      <c r="R171" s="26">
        <v>40.6699952321734</v>
      </c>
      <c r="S171" s="27">
        <f t="shared" si="17"/>
        <v>42.5897425346974</v>
      </c>
      <c r="T171" s="18">
        <v>45.7272296761087</v>
      </c>
      <c r="U171" s="19">
        <v>60</v>
      </c>
      <c r="V171" s="19">
        <v>25</v>
      </c>
      <c r="W171" s="7">
        <f t="shared" si="18"/>
        <v>42.5</v>
      </c>
      <c r="X171" s="28">
        <f t="shared" si="19"/>
        <v>46.2842302254893</v>
      </c>
      <c r="Y171" s="26">
        <f t="shared" si="20"/>
        <v>46.7637842902676</v>
      </c>
    </row>
    <row r="172" spans="1:25">
      <c r="A172" s="8" t="s">
        <v>200</v>
      </c>
      <c r="B172" s="8">
        <v>3</v>
      </c>
      <c r="C172" s="16">
        <v>50</v>
      </c>
      <c r="D172" s="16">
        <v>25</v>
      </c>
      <c r="E172" s="6">
        <f t="shared" si="14"/>
        <v>37.5</v>
      </c>
      <c r="F172" s="18">
        <v>40.6743492789349</v>
      </c>
      <c r="G172" s="19">
        <v>80</v>
      </c>
      <c r="H172" s="19">
        <v>100</v>
      </c>
      <c r="I172" s="19">
        <v>75</v>
      </c>
      <c r="J172" s="19">
        <v>50</v>
      </c>
      <c r="K172" s="9">
        <f t="shared" si="15"/>
        <v>76.25</v>
      </c>
      <c r="L172" s="19">
        <v>40</v>
      </c>
      <c r="M172" s="8" t="s">
        <v>32</v>
      </c>
      <c r="N172" s="19">
        <v>70</v>
      </c>
      <c r="O172" s="19">
        <v>50</v>
      </c>
      <c r="P172" s="9">
        <f t="shared" si="16"/>
        <v>40</v>
      </c>
      <c r="Q172" s="26">
        <v>34.5624398942141</v>
      </c>
      <c r="R172" s="26">
        <v>31.6260796382016</v>
      </c>
      <c r="S172" s="27">
        <f t="shared" si="17"/>
        <v>33.0942597662078</v>
      </c>
      <c r="T172" s="18">
        <v>35.8956661562277</v>
      </c>
      <c r="U172" s="19">
        <v>20</v>
      </c>
      <c r="V172" s="19">
        <v>25</v>
      </c>
      <c r="W172" s="7">
        <f t="shared" si="18"/>
        <v>22.5</v>
      </c>
      <c r="X172" s="28">
        <f t="shared" si="19"/>
        <v>43.9931363182781</v>
      </c>
      <c r="Y172" s="26">
        <f t="shared" si="20"/>
        <v>43.0640030870325</v>
      </c>
    </row>
    <row r="173" spans="1:25">
      <c r="A173" s="8" t="s">
        <v>201</v>
      </c>
      <c r="B173" s="8">
        <v>3</v>
      </c>
      <c r="C173" s="16">
        <v>50</v>
      </c>
      <c r="D173" s="17">
        <v>25</v>
      </c>
      <c r="E173" s="6">
        <f t="shared" si="14"/>
        <v>37.5</v>
      </c>
      <c r="F173" s="18">
        <v>37.4182970099498</v>
      </c>
      <c r="G173" s="19">
        <v>100</v>
      </c>
      <c r="H173" s="19">
        <v>30</v>
      </c>
      <c r="I173" s="19">
        <v>50</v>
      </c>
      <c r="J173" s="19">
        <v>50</v>
      </c>
      <c r="K173" s="9">
        <f t="shared" si="15"/>
        <v>57.5</v>
      </c>
      <c r="L173" s="19">
        <v>80</v>
      </c>
      <c r="M173" s="19">
        <v>30</v>
      </c>
      <c r="N173" s="19">
        <v>70</v>
      </c>
      <c r="O173" s="19">
        <v>50</v>
      </c>
      <c r="P173" s="9">
        <f t="shared" si="16"/>
        <v>57.5</v>
      </c>
      <c r="Q173" s="26">
        <v>36.0414043583205</v>
      </c>
      <c r="R173" s="26">
        <v>34.0222206182752</v>
      </c>
      <c r="S173" s="27">
        <f t="shared" si="17"/>
        <v>35.0318124882978</v>
      </c>
      <c r="T173" s="18">
        <v>34.9554870529065</v>
      </c>
      <c r="U173" s="19">
        <v>100</v>
      </c>
      <c r="V173" s="19">
        <v>25</v>
      </c>
      <c r="W173" s="7">
        <f t="shared" si="18"/>
        <v>62.5</v>
      </c>
      <c r="X173" s="28">
        <f t="shared" si="19"/>
        <v>44.9658542231526</v>
      </c>
      <c r="Y173" s="26">
        <f t="shared" si="20"/>
        <v>49.9747568125713</v>
      </c>
    </row>
    <row r="174" spans="1:25">
      <c r="A174" s="8" t="s">
        <v>202</v>
      </c>
      <c r="B174" s="8">
        <v>3</v>
      </c>
      <c r="C174" s="16">
        <v>75</v>
      </c>
      <c r="D174" s="16">
        <v>75</v>
      </c>
      <c r="E174" s="6">
        <f t="shared" si="14"/>
        <v>75</v>
      </c>
      <c r="F174" s="18">
        <v>72.2948714582372</v>
      </c>
      <c r="G174" s="19">
        <v>100</v>
      </c>
      <c r="H174" s="19">
        <v>100</v>
      </c>
      <c r="I174" s="19">
        <v>75</v>
      </c>
      <c r="J174" s="19">
        <v>50</v>
      </c>
      <c r="K174" s="9">
        <f t="shared" si="15"/>
        <v>81.25</v>
      </c>
      <c r="L174" s="19">
        <v>20</v>
      </c>
      <c r="M174" s="8" t="s">
        <v>32</v>
      </c>
      <c r="N174" s="19">
        <v>30</v>
      </c>
      <c r="O174" s="19">
        <v>25</v>
      </c>
      <c r="P174" s="9">
        <f t="shared" si="16"/>
        <v>18.75</v>
      </c>
      <c r="Q174" s="26">
        <v>42.5355031299078</v>
      </c>
      <c r="R174" s="26">
        <v>43.3134755948702</v>
      </c>
      <c r="S174" s="27">
        <f t="shared" si="17"/>
        <v>42.924489362389</v>
      </c>
      <c r="T174" s="18">
        <v>41.3762725448585</v>
      </c>
      <c r="U174" s="19">
        <v>60</v>
      </c>
      <c r="V174" s="19">
        <v>50</v>
      </c>
      <c r="W174" s="7">
        <f t="shared" si="18"/>
        <v>55</v>
      </c>
      <c r="X174" s="28">
        <f t="shared" si="19"/>
        <v>54.6344833095908</v>
      </c>
      <c r="Y174" s="26">
        <f t="shared" si="20"/>
        <v>53.7342288006191</v>
      </c>
    </row>
    <row r="175" spans="1:25">
      <c r="A175" s="8" t="s">
        <v>203</v>
      </c>
      <c r="B175" s="8">
        <v>3</v>
      </c>
      <c r="C175" s="16">
        <v>50</v>
      </c>
      <c r="D175" s="16">
        <v>75</v>
      </c>
      <c r="E175" s="6">
        <f t="shared" si="14"/>
        <v>62.5</v>
      </c>
      <c r="F175" s="18">
        <v>67.1504986077938</v>
      </c>
      <c r="G175" s="19">
        <v>100</v>
      </c>
      <c r="H175" s="19">
        <v>60</v>
      </c>
      <c r="I175" s="19">
        <v>75</v>
      </c>
      <c r="J175" s="19">
        <v>75</v>
      </c>
      <c r="K175" s="9">
        <f t="shared" si="15"/>
        <v>77.5</v>
      </c>
      <c r="L175" s="19">
        <v>100</v>
      </c>
      <c r="M175" s="19">
        <v>60</v>
      </c>
      <c r="N175" s="19">
        <v>70</v>
      </c>
      <c r="O175" s="19">
        <v>75</v>
      </c>
      <c r="P175" s="9">
        <f t="shared" si="16"/>
        <v>76.25</v>
      </c>
      <c r="Q175" s="26">
        <v>37.1030967013222</v>
      </c>
      <c r="R175" s="26">
        <v>30.5463345974998</v>
      </c>
      <c r="S175" s="27">
        <f t="shared" si="17"/>
        <v>33.824715649411</v>
      </c>
      <c r="T175" s="18">
        <v>36.3415443379967</v>
      </c>
      <c r="U175" s="8" t="s">
        <v>32</v>
      </c>
      <c r="V175" s="19">
        <v>75</v>
      </c>
      <c r="W175" s="7">
        <f t="shared" si="18"/>
        <v>37.5</v>
      </c>
      <c r="X175" s="28">
        <f t="shared" si="19"/>
        <v>54.8417174567574</v>
      </c>
      <c r="Y175" s="26">
        <f t="shared" si="20"/>
        <v>58.9484085891581</v>
      </c>
    </row>
    <row r="176" spans="1:25">
      <c r="A176" s="8" t="s">
        <v>204</v>
      </c>
      <c r="B176" s="8">
        <v>3</v>
      </c>
      <c r="C176" s="16">
        <v>50</v>
      </c>
      <c r="D176" s="16">
        <v>50</v>
      </c>
      <c r="E176" s="6">
        <f t="shared" si="14"/>
        <v>50</v>
      </c>
      <c r="F176" s="18">
        <v>49.9204202423013</v>
      </c>
      <c r="G176" s="19">
        <v>40</v>
      </c>
      <c r="H176" s="19">
        <v>70</v>
      </c>
      <c r="I176" s="19">
        <v>50</v>
      </c>
      <c r="J176" s="19">
        <v>25</v>
      </c>
      <c r="K176" s="9">
        <f t="shared" si="15"/>
        <v>46.25</v>
      </c>
      <c r="L176" s="19">
        <v>40</v>
      </c>
      <c r="M176" s="19">
        <v>40</v>
      </c>
      <c r="N176" s="19">
        <v>30</v>
      </c>
      <c r="O176" s="8" t="s">
        <v>32</v>
      </c>
      <c r="P176" s="9">
        <f t="shared" si="16"/>
        <v>27.5</v>
      </c>
      <c r="Q176" s="26">
        <v>42.8369028608348</v>
      </c>
      <c r="R176" s="26">
        <v>41.827175955434</v>
      </c>
      <c r="S176" s="27">
        <f t="shared" si="17"/>
        <v>42.3320394081344</v>
      </c>
      <c r="T176" s="18">
        <v>42.2646639393546</v>
      </c>
      <c r="U176" s="19">
        <v>20</v>
      </c>
      <c r="V176" s="19">
        <v>50</v>
      </c>
      <c r="W176" s="7">
        <f t="shared" si="18"/>
        <v>35</v>
      </c>
      <c r="X176" s="28">
        <f t="shared" si="19"/>
        <v>42.3899496242021</v>
      </c>
      <c r="Y176" s="26">
        <f t="shared" si="20"/>
        <v>40.1870168363312</v>
      </c>
    </row>
    <row r="177" spans="1:25">
      <c r="A177" s="8" t="s">
        <v>205</v>
      </c>
      <c r="B177" s="8">
        <v>3</v>
      </c>
      <c r="C177" s="16">
        <v>100</v>
      </c>
      <c r="D177" s="16">
        <v>50</v>
      </c>
      <c r="E177" s="6">
        <f t="shared" si="14"/>
        <v>75</v>
      </c>
      <c r="F177" s="18">
        <v>69.8676526634213</v>
      </c>
      <c r="G177" s="19">
        <v>100</v>
      </c>
      <c r="H177" s="19">
        <v>100</v>
      </c>
      <c r="I177" s="19">
        <v>100</v>
      </c>
      <c r="J177" s="19">
        <v>75</v>
      </c>
      <c r="K177" s="9">
        <f t="shared" si="15"/>
        <v>93.75</v>
      </c>
      <c r="L177" s="19">
        <v>100</v>
      </c>
      <c r="M177" s="19">
        <v>100</v>
      </c>
      <c r="N177" s="19">
        <v>70</v>
      </c>
      <c r="O177" s="19">
        <v>75</v>
      </c>
      <c r="P177" s="9">
        <f t="shared" si="16"/>
        <v>86.25</v>
      </c>
      <c r="Q177" s="26">
        <v>61.1699498783554</v>
      </c>
      <c r="R177" s="26">
        <v>60.8876729080934</v>
      </c>
      <c r="S177" s="27">
        <f t="shared" si="17"/>
        <v>61.0288113932244</v>
      </c>
      <c r="T177" s="18">
        <v>56.85253062511</v>
      </c>
      <c r="U177" s="19">
        <v>80</v>
      </c>
      <c r="V177" s="19">
        <v>75</v>
      </c>
      <c r="W177" s="7">
        <f t="shared" si="18"/>
        <v>77.5</v>
      </c>
      <c r="X177" s="28">
        <f t="shared" si="19"/>
        <v>71.8395427827282</v>
      </c>
      <c r="Y177" s="26">
        <f t="shared" si="20"/>
        <v>76.8440366577063</v>
      </c>
    </row>
    <row r="178" spans="1:25">
      <c r="A178" s="8" t="s">
        <v>206</v>
      </c>
      <c r="B178" s="8">
        <v>3</v>
      </c>
      <c r="C178" s="16">
        <v>25</v>
      </c>
      <c r="D178" s="17">
        <v>25</v>
      </c>
      <c r="E178" s="6">
        <f t="shared" si="14"/>
        <v>25</v>
      </c>
      <c r="F178" s="18">
        <v>24.509317034905</v>
      </c>
      <c r="G178" s="19">
        <v>100</v>
      </c>
      <c r="H178" s="19">
        <v>70</v>
      </c>
      <c r="I178" s="19">
        <v>100</v>
      </c>
      <c r="J178" s="19">
        <v>75</v>
      </c>
      <c r="K178" s="9">
        <f t="shared" si="15"/>
        <v>86.25</v>
      </c>
      <c r="L178" s="19">
        <v>80</v>
      </c>
      <c r="M178" s="19">
        <v>100</v>
      </c>
      <c r="N178" s="19">
        <v>100</v>
      </c>
      <c r="O178" s="19">
        <v>75</v>
      </c>
      <c r="P178" s="9">
        <f t="shared" si="16"/>
        <v>88.75</v>
      </c>
      <c r="Q178" s="26">
        <v>41.0293380798182</v>
      </c>
      <c r="R178" s="26">
        <v>39.1390606753996</v>
      </c>
      <c r="S178" s="27">
        <f t="shared" si="17"/>
        <v>40.0841993776089</v>
      </c>
      <c r="T178" s="18">
        <v>39.2974540254463</v>
      </c>
      <c r="U178" s="19">
        <v>20</v>
      </c>
      <c r="V178" s="19">
        <v>100</v>
      </c>
      <c r="W178" s="7">
        <f t="shared" si="18"/>
        <v>60</v>
      </c>
      <c r="X178" s="28">
        <f t="shared" si="19"/>
        <v>52.7458450171595</v>
      </c>
      <c r="Y178" s="26">
        <f t="shared" si="20"/>
        <v>59.7613542120703</v>
      </c>
    </row>
    <row r="179" spans="1:25">
      <c r="A179" s="8" t="s">
        <v>207</v>
      </c>
      <c r="B179" s="8">
        <v>3</v>
      </c>
      <c r="C179" s="16">
        <v>75</v>
      </c>
      <c r="D179" s="16">
        <v>75</v>
      </c>
      <c r="E179" s="6">
        <f t="shared" si="14"/>
        <v>75</v>
      </c>
      <c r="F179" s="18">
        <v>70.8967530672665</v>
      </c>
      <c r="G179" s="19">
        <v>40</v>
      </c>
      <c r="H179" s="8" t="s">
        <v>32</v>
      </c>
      <c r="I179" s="19">
        <v>50</v>
      </c>
      <c r="J179" s="19">
        <v>25</v>
      </c>
      <c r="K179" s="9">
        <f t="shared" si="15"/>
        <v>28.75</v>
      </c>
      <c r="L179" s="19">
        <v>40</v>
      </c>
      <c r="M179" s="8" t="s">
        <v>32</v>
      </c>
      <c r="N179" s="19">
        <v>40</v>
      </c>
      <c r="O179" s="19">
        <v>25</v>
      </c>
      <c r="P179" s="9">
        <f t="shared" si="16"/>
        <v>26.25</v>
      </c>
      <c r="Q179" s="26">
        <v>38.9091100294247</v>
      </c>
      <c r="R179" s="26">
        <v>40.0895820188636</v>
      </c>
      <c r="S179" s="27">
        <f t="shared" si="17"/>
        <v>39.4993460241441</v>
      </c>
      <c r="T179" s="18">
        <v>37.3383384185635</v>
      </c>
      <c r="U179" s="19">
        <v>60</v>
      </c>
      <c r="V179" s="19">
        <v>25</v>
      </c>
      <c r="W179" s="7">
        <f t="shared" si="18"/>
        <v>42.5</v>
      </c>
      <c r="X179" s="28">
        <f t="shared" si="19"/>
        <v>41.7396859808787</v>
      </c>
      <c r="Y179" s="26">
        <f t="shared" si="20"/>
        <v>41.147018297166</v>
      </c>
    </row>
    <row r="180" spans="1:25">
      <c r="A180" s="8" t="s">
        <v>208</v>
      </c>
      <c r="B180" s="8">
        <v>3</v>
      </c>
      <c r="C180" s="16">
        <v>25</v>
      </c>
      <c r="D180" s="16">
        <v>25</v>
      </c>
      <c r="E180" s="6">
        <f t="shared" si="14"/>
        <v>25</v>
      </c>
      <c r="F180" s="18">
        <v>22.9704823832661</v>
      </c>
      <c r="G180" s="19">
        <v>100</v>
      </c>
      <c r="H180" s="19">
        <v>100</v>
      </c>
      <c r="I180" s="19">
        <v>100</v>
      </c>
      <c r="J180" s="19">
        <v>100</v>
      </c>
      <c r="K180" s="9">
        <f t="shared" si="15"/>
        <v>100</v>
      </c>
      <c r="L180" s="19">
        <v>80</v>
      </c>
      <c r="M180" s="19">
        <v>100</v>
      </c>
      <c r="N180" s="19">
        <v>70</v>
      </c>
      <c r="O180" s="19">
        <v>75</v>
      </c>
      <c r="P180" s="9">
        <f t="shared" si="16"/>
        <v>81.25</v>
      </c>
      <c r="Q180" s="26">
        <v>57.579793762826</v>
      </c>
      <c r="R180" s="26">
        <v>58.3530650789851</v>
      </c>
      <c r="S180" s="27">
        <f t="shared" si="17"/>
        <v>57.9664294209055</v>
      </c>
      <c r="T180" s="18">
        <v>53.26067383335</v>
      </c>
      <c r="U180" s="19">
        <v>60</v>
      </c>
      <c r="V180" s="19">
        <v>100</v>
      </c>
      <c r="W180" s="7">
        <f t="shared" si="18"/>
        <v>80</v>
      </c>
      <c r="X180" s="28">
        <f t="shared" si="19"/>
        <v>62.0233660099933</v>
      </c>
      <c r="Y180" s="26">
        <f t="shared" si="20"/>
        <v>67.4962312433232</v>
      </c>
    </row>
    <row r="181" spans="1:25">
      <c r="A181" s="8" t="s">
        <v>209</v>
      </c>
      <c r="B181" s="8">
        <v>3</v>
      </c>
      <c r="C181" s="16">
        <v>75</v>
      </c>
      <c r="D181" s="17">
        <v>0</v>
      </c>
      <c r="E181" s="6">
        <f t="shared" si="14"/>
        <v>37.5</v>
      </c>
      <c r="F181" s="18">
        <v>37.3843014943511</v>
      </c>
      <c r="G181" s="19">
        <v>60</v>
      </c>
      <c r="H181" s="19">
        <v>60</v>
      </c>
      <c r="I181" s="19">
        <v>75</v>
      </c>
      <c r="J181" s="19">
        <v>75</v>
      </c>
      <c r="K181" s="9">
        <f t="shared" si="15"/>
        <v>67.5</v>
      </c>
      <c r="L181" s="19">
        <v>60</v>
      </c>
      <c r="M181" s="19">
        <v>30</v>
      </c>
      <c r="N181" s="19">
        <v>40</v>
      </c>
      <c r="O181" s="19">
        <v>75</v>
      </c>
      <c r="P181" s="9">
        <f t="shared" si="16"/>
        <v>51.25</v>
      </c>
      <c r="Q181" s="26">
        <v>47.6377717070335</v>
      </c>
      <c r="R181" s="26">
        <v>45.7138932505054</v>
      </c>
      <c r="S181" s="27">
        <f t="shared" si="17"/>
        <v>46.6758324787695</v>
      </c>
      <c r="T181" s="18">
        <v>46.5318238369638</v>
      </c>
      <c r="U181" s="19">
        <v>40</v>
      </c>
      <c r="V181" s="19">
        <v>75</v>
      </c>
      <c r="W181" s="7">
        <f t="shared" si="18"/>
        <v>57.5</v>
      </c>
      <c r="X181" s="28">
        <f t="shared" si="19"/>
        <v>50.4645898336558</v>
      </c>
      <c r="Y181" s="26">
        <f t="shared" si="20"/>
        <v>52.033225066263</v>
      </c>
    </row>
    <row r="182" spans="1:25">
      <c r="A182" s="8" t="s">
        <v>210</v>
      </c>
      <c r="B182" s="8">
        <v>3</v>
      </c>
      <c r="C182" s="16">
        <v>75</v>
      </c>
      <c r="D182" s="16">
        <v>75</v>
      </c>
      <c r="E182" s="6">
        <f t="shared" si="14"/>
        <v>75</v>
      </c>
      <c r="F182" s="18">
        <v>70.5200709759329</v>
      </c>
      <c r="G182" s="19">
        <v>100</v>
      </c>
      <c r="H182" s="19">
        <v>100</v>
      </c>
      <c r="I182" s="19">
        <v>100</v>
      </c>
      <c r="J182" s="19">
        <v>100</v>
      </c>
      <c r="K182" s="9">
        <f t="shared" si="15"/>
        <v>100</v>
      </c>
      <c r="L182" s="19">
        <v>100</v>
      </c>
      <c r="M182" s="19">
        <v>100</v>
      </c>
      <c r="N182" s="19">
        <v>70</v>
      </c>
      <c r="O182" s="19">
        <v>100</v>
      </c>
      <c r="P182" s="9">
        <f t="shared" si="16"/>
        <v>92.5</v>
      </c>
      <c r="Q182" s="26">
        <v>48.9443218227142</v>
      </c>
      <c r="R182" s="26">
        <v>49.252867199698</v>
      </c>
      <c r="S182" s="27">
        <f t="shared" si="17"/>
        <v>49.0985945112061</v>
      </c>
      <c r="T182" s="18">
        <v>46.1658182633173</v>
      </c>
      <c r="U182" s="19">
        <v>100</v>
      </c>
      <c r="V182" s="19">
        <v>50</v>
      </c>
      <c r="W182" s="7">
        <f t="shared" si="18"/>
        <v>75</v>
      </c>
      <c r="X182" s="28">
        <f t="shared" si="19"/>
        <v>69.3203415005135</v>
      </c>
      <c r="Y182" s="26">
        <f t="shared" si="20"/>
        <v>76.83717784785</v>
      </c>
    </row>
    <row r="183" spans="1:25">
      <c r="A183" s="8" t="s">
        <v>211</v>
      </c>
      <c r="B183" s="8">
        <v>3</v>
      </c>
      <c r="C183" s="16">
        <v>50</v>
      </c>
      <c r="D183" s="17">
        <v>0</v>
      </c>
      <c r="E183" s="6">
        <f t="shared" si="14"/>
        <v>25</v>
      </c>
      <c r="F183" s="18">
        <v>22.9704823832661</v>
      </c>
      <c r="G183" s="19">
        <v>100</v>
      </c>
      <c r="H183" s="8" t="s">
        <v>32</v>
      </c>
      <c r="I183" s="19">
        <v>100</v>
      </c>
      <c r="J183" s="19">
        <v>50</v>
      </c>
      <c r="K183" s="9">
        <f t="shared" si="15"/>
        <v>62.5</v>
      </c>
      <c r="L183" s="19">
        <v>100</v>
      </c>
      <c r="M183" s="19">
        <v>60</v>
      </c>
      <c r="N183" s="19">
        <v>70</v>
      </c>
      <c r="O183" s="19">
        <v>75</v>
      </c>
      <c r="P183" s="9">
        <f t="shared" si="16"/>
        <v>76.25</v>
      </c>
      <c r="Q183" s="26">
        <v>51.6200452819871</v>
      </c>
      <c r="R183" s="26">
        <v>53.4043742129257</v>
      </c>
      <c r="S183" s="27">
        <f t="shared" si="17"/>
        <v>52.5122097474564</v>
      </c>
      <c r="T183" s="18">
        <v>48.249231556413</v>
      </c>
      <c r="U183" s="19">
        <v>80</v>
      </c>
      <c r="V183" s="19">
        <v>75</v>
      </c>
      <c r="W183" s="7">
        <f t="shared" si="18"/>
        <v>77.5</v>
      </c>
      <c r="X183" s="28">
        <f t="shared" si="19"/>
        <v>51.7687890992184</v>
      </c>
      <c r="Y183" s="26">
        <f t="shared" si="20"/>
        <v>57.4939427879358</v>
      </c>
    </row>
    <row r="184" spans="1:25">
      <c r="A184" s="8" t="s">
        <v>212</v>
      </c>
      <c r="B184" s="8">
        <v>3</v>
      </c>
      <c r="C184" s="16">
        <v>50</v>
      </c>
      <c r="D184" s="17">
        <v>0</v>
      </c>
      <c r="E184" s="6">
        <f t="shared" si="14"/>
        <v>25</v>
      </c>
      <c r="F184" s="18">
        <v>27.1162328526233</v>
      </c>
      <c r="G184" s="19">
        <v>100</v>
      </c>
      <c r="H184" s="19">
        <v>30</v>
      </c>
      <c r="I184" s="19">
        <v>75</v>
      </c>
      <c r="J184" s="19">
        <v>75</v>
      </c>
      <c r="K184" s="9">
        <f t="shared" si="15"/>
        <v>70</v>
      </c>
      <c r="L184" s="19">
        <v>100</v>
      </c>
      <c r="M184" s="19">
        <v>60</v>
      </c>
      <c r="N184" s="19">
        <v>70</v>
      </c>
      <c r="O184" s="19">
        <v>50</v>
      </c>
      <c r="P184" s="9">
        <f t="shared" si="16"/>
        <v>70</v>
      </c>
      <c r="Q184" s="26">
        <v>16.3465417567088</v>
      </c>
      <c r="R184" s="26">
        <v>8.12989740552754</v>
      </c>
      <c r="S184" s="27">
        <f t="shared" si="17"/>
        <v>12.2382195811182</v>
      </c>
      <c r="T184" s="18">
        <v>13.2741764745254</v>
      </c>
      <c r="U184" s="19">
        <v>100</v>
      </c>
      <c r="V184" s="19">
        <v>100</v>
      </c>
      <c r="W184" s="7">
        <f t="shared" si="18"/>
        <v>100</v>
      </c>
      <c r="X184" s="28">
        <f t="shared" si="19"/>
        <v>41.7329171603348</v>
      </c>
      <c r="Y184" s="26">
        <f t="shared" si="20"/>
        <v>56.0780818654297</v>
      </c>
    </row>
    <row r="185" spans="1:25">
      <c r="A185" s="8" t="s">
        <v>213</v>
      </c>
      <c r="B185" s="8">
        <v>3</v>
      </c>
      <c r="C185" s="16">
        <v>50</v>
      </c>
      <c r="D185" s="16">
        <v>50</v>
      </c>
      <c r="E185" s="6">
        <f t="shared" si="14"/>
        <v>50</v>
      </c>
      <c r="F185" s="18">
        <v>50.500781211719</v>
      </c>
      <c r="G185" s="19">
        <v>80</v>
      </c>
      <c r="H185" s="19">
        <v>40</v>
      </c>
      <c r="I185" s="19">
        <v>75</v>
      </c>
      <c r="J185" s="19">
        <v>50</v>
      </c>
      <c r="K185" s="9">
        <f t="shared" si="15"/>
        <v>61.25</v>
      </c>
      <c r="L185" s="19">
        <v>100</v>
      </c>
      <c r="M185" s="19">
        <v>100</v>
      </c>
      <c r="N185" s="19">
        <v>100</v>
      </c>
      <c r="O185" s="19">
        <v>75</v>
      </c>
      <c r="P185" s="9">
        <f t="shared" si="16"/>
        <v>93.75</v>
      </c>
      <c r="Q185" s="26">
        <v>45.8527560570166</v>
      </c>
      <c r="R185" s="26">
        <v>41.0585056745881</v>
      </c>
      <c r="S185" s="27">
        <f t="shared" si="17"/>
        <v>43.4556308658024</v>
      </c>
      <c r="T185" s="18">
        <v>43.8908661354222</v>
      </c>
      <c r="U185" s="19">
        <v>100</v>
      </c>
      <c r="V185" s="19">
        <v>75</v>
      </c>
      <c r="W185" s="7">
        <f t="shared" si="18"/>
        <v>87.5</v>
      </c>
      <c r="X185" s="28">
        <f t="shared" si="19"/>
        <v>58.0315026965127</v>
      </c>
      <c r="Y185" s="26">
        <f t="shared" si="20"/>
        <v>67.3783294694282</v>
      </c>
    </row>
    <row r="186" spans="1:25">
      <c r="A186" s="8" t="s">
        <v>214</v>
      </c>
      <c r="B186" s="8">
        <v>3</v>
      </c>
      <c r="C186" s="16">
        <v>75</v>
      </c>
      <c r="D186" s="17">
        <v>25</v>
      </c>
      <c r="E186" s="6">
        <f t="shared" si="14"/>
        <v>50</v>
      </c>
      <c r="F186" s="18">
        <v>46.7098161294662</v>
      </c>
      <c r="G186" s="19">
        <v>100</v>
      </c>
      <c r="H186" s="19">
        <v>30</v>
      </c>
      <c r="I186" s="19">
        <v>100</v>
      </c>
      <c r="J186" s="19">
        <v>100</v>
      </c>
      <c r="K186" s="9">
        <f t="shared" si="15"/>
        <v>82.5</v>
      </c>
      <c r="L186" s="19">
        <v>100</v>
      </c>
      <c r="M186" s="19">
        <v>100</v>
      </c>
      <c r="N186" s="19">
        <v>100</v>
      </c>
      <c r="O186" s="19">
        <v>100</v>
      </c>
      <c r="P186" s="9">
        <f t="shared" si="16"/>
        <v>100</v>
      </c>
      <c r="Q186" s="26">
        <v>51.2251723336873</v>
      </c>
      <c r="R186" s="26">
        <v>50.5625330075379</v>
      </c>
      <c r="S186" s="27">
        <f t="shared" si="17"/>
        <v>50.8938526706126</v>
      </c>
      <c r="T186" s="18">
        <v>47.5448500072892</v>
      </c>
      <c r="U186" s="19">
        <v>80</v>
      </c>
      <c r="V186" s="19">
        <v>100</v>
      </c>
      <c r="W186" s="7">
        <f t="shared" si="18"/>
        <v>90</v>
      </c>
      <c r="X186" s="28">
        <f t="shared" si="19"/>
        <v>63.8599032288089</v>
      </c>
      <c r="Y186" s="26">
        <f t="shared" si="20"/>
        <v>73.3509332273511</v>
      </c>
    </row>
    <row r="187" spans="1:25">
      <c r="A187" s="8" t="s">
        <v>215</v>
      </c>
      <c r="B187" s="8">
        <v>3</v>
      </c>
      <c r="C187" s="16">
        <v>50</v>
      </c>
      <c r="D187" s="16">
        <v>100</v>
      </c>
      <c r="E187" s="6">
        <f t="shared" si="14"/>
        <v>75</v>
      </c>
      <c r="F187" s="18">
        <v>75.2185927447027</v>
      </c>
      <c r="G187" s="19">
        <v>60</v>
      </c>
      <c r="H187" s="19">
        <v>100</v>
      </c>
      <c r="I187" s="19">
        <v>75</v>
      </c>
      <c r="J187" s="19">
        <v>50</v>
      </c>
      <c r="K187" s="9">
        <f t="shared" si="15"/>
        <v>71.25</v>
      </c>
      <c r="L187" s="19">
        <v>60</v>
      </c>
      <c r="M187" s="19">
        <v>100</v>
      </c>
      <c r="N187" s="19">
        <v>70</v>
      </c>
      <c r="O187" s="19">
        <v>25</v>
      </c>
      <c r="P187" s="9">
        <f t="shared" si="16"/>
        <v>63.75</v>
      </c>
      <c r="Q187" s="26">
        <v>59.6487549222372</v>
      </c>
      <c r="R187" s="26">
        <v>62.0123769453888</v>
      </c>
      <c r="S187" s="27">
        <f t="shared" si="17"/>
        <v>60.830565933813</v>
      </c>
      <c r="T187" s="18">
        <v>61.0078608720702</v>
      </c>
      <c r="U187" s="19">
        <v>60</v>
      </c>
      <c r="V187" s="19">
        <v>75</v>
      </c>
      <c r="W187" s="7">
        <f t="shared" si="18"/>
        <v>67.5</v>
      </c>
      <c r="X187" s="28">
        <f t="shared" si="19"/>
        <v>66.8218628977686</v>
      </c>
      <c r="Y187" s="26">
        <f t="shared" si="20"/>
        <v>67.7452907233546</v>
      </c>
    </row>
    <row r="188" spans="1:25">
      <c r="A188" s="8" t="s">
        <v>216</v>
      </c>
      <c r="B188" s="8">
        <v>3</v>
      </c>
      <c r="C188" s="16">
        <v>50</v>
      </c>
      <c r="D188" s="16">
        <v>25</v>
      </c>
      <c r="E188" s="6">
        <f t="shared" si="14"/>
        <v>37.5</v>
      </c>
      <c r="F188" s="18">
        <v>36.6486110392539</v>
      </c>
      <c r="G188" s="19">
        <v>20</v>
      </c>
      <c r="H188" s="19">
        <v>100</v>
      </c>
      <c r="I188" s="19">
        <v>75</v>
      </c>
      <c r="J188" s="19">
        <v>25</v>
      </c>
      <c r="K188" s="9">
        <f t="shared" si="15"/>
        <v>55</v>
      </c>
      <c r="L188" s="19">
        <v>40</v>
      </c>
      <c r="M188" s="19">
        <v>30</v>
      </c>
      <c r="N188" s="19">
        <v>30</v>
      </c>
      <c r="O188" s="19">
        <v>25</v>
      </c>
      <c r="P188" s="9">
        <f t="shared" si="16"/>
        <v>31.25</v>
      </c>
      <c r="Q188" s="26">
        <v>54.0754664543086</v>
      </c>
      <c r="R188" s="26">
        <v>54.345513533203</v>
      </c>
      <c r="S188" s="27">
        <f t="shared" si="17"/>
        <v>54.2104899937558</v>
      </c>
      <c r="T188" s="18">
        <v>52.9797109874273</v>
      </c>
      <c r="U188" s="19">
        <v>60</v>
      </c>
      <c r="V188" s="8" t="s">
        <v>32</v>
      </c>
      <c r="W188" s="7">
        <f t="shared" si="18"/>
        <v>30</v>
      </c>
      <c r="X188" s="28">
        <f t="shared" si="19"/>
        <v>45.6466066028217</v>
      </c>
      <c r="Y188" s="26">
        <f t="shared" si="20"/>
        <v>41.1756644053362</v>
      </c>
    </row>
    <row r="189" spans="1:25">
      <c r="A189" s="8" t="s">
        <v>217</v>
      </c>
      <c r="B189" s="8">
        <v>3</v>
      </c>
      <c r="C189" s="16">
        <v>50</v>
      </c>
      <c r="D189" s="17">
        <v>50</v>
      </c>
      <c r="E189" s="6">
        <f t="shared" si="14"/>
        <v>50</v>
      </c>
      <c r="F189" s="18">
        <v>45.9409647665323</v>
      </c>
      <c r="G189" s="19">
        <v>20</v>
      </c>
      <c r="H189" s="8" t="s">
        <v>32</v>
      </c>
      <c r="I189" s="19">
        <v>25</v>
      </c>
      <c r="J189" s="19">
        <v>25</v>
      </c>
      <c r="K189" s="9">
        <f t="shared" si="15"/>
        <v>17.5</v>
      </c>
      <c r="L189" s="19">
        <v>20</v>
      </c>
      <c r="M189" s="8" t="s">
        <v>32</v>
      </c>
      <c r="N189" s="8" t="s">
        <v>32</v>
      </c>
      <c r="O189" s="8" t="s">
        <v>32</v>
      </c>
      <c r="P189" s="9">
        <f t="shared" si="16"/>
        <v>5</v>
      </c>
      <c r="Q189" s="26">
        <v>50.9671373638457</v>
      </c>
      <c r="R189" s="26">
        <v>55.0206073906532</v>
      </c>
      <c r="S189" s="27">
        <f t="shared" si="17"/>
        <v>52.9938723772494</v>
      </c>
      <c r="T189" s="18">
        <v>48.6917924745065</v>
      </c>
      <c r="U189" s="8" t="s">
        <v>32</v>
      </c>
      <c r="V189" s="8" t="s">
        <v>32</v>
      </c>
      <c r="W189" s="7">
        <f t="shared" si="18"/>
        <v>0</v>
      </c>
      <c r="X189" s="28">
        <f t="shared" si="19"/>
        <v>32.6649099431091</v>
      </c>
      <c r="Y189" s="26">
        <f t="shared" si="20"/>
        <v>23.4265514482078</v>
      </c>
    </row>
    <row r="190" spans="1:25">
      <c r="A190" s="8" t="s">
        <v>218</v>
      </c>
      <c r="B190" s="8">
        <v>3</v>
      </c>
      <c r="C190" s="16">
        <v>75</v>
      </c>
      <c r="D190" s="16">
        <v>75</v>
      </c>
      <c r="E190" s="6">
        <f t="shared" si="14"/>
        <v>75</v>
      </c>
      <c r="F190" s="18">
        <v>69.5599119511522</v>
      </c>
      <c r="G190" s="19">
        <v>100</v>
      </c>
      <c r="H190" s="19">
        <v>70</v>
      </c>
      <c r="I190" s="19">
        <v>75</v>
      </c>
      <c r="J190" s="19">
        <v>75</v>
      </c>
      <c r="K190" s="9">
        <f t="shared" si="15"/>
        <v>80</v>
      </c>
      <c r="L190" s="19">
        <v>100</v>
      </c>
      <c r="M190" s="19">
        <v>30</v>
      </c>
      <c r="N190" s="19">
        <v>70</v>
      </c>
      <c r="O190" s="19">
        <v>100</v>
      </c>
      <c r="P190" s="9">
        <f t="shared" si="16"/>
        <v>75</v>
      </c>
      <c r="Q190" s="26">
        <v>71.2122301284256</v>
      </c>
      <c r="R190" s="26">
        <v>74.8755320334676</v>
      </c>
      <c r="S190" s="27">
        <f t="shared" si="17"/>
        <v>73.0438810809466</v>
      </c>
      <c r="T190" s="18">
        <v>67.7456791541477</v>
      </c>
      <c r="U190" s="19">
        <v>100</v>
      </c>
      <c r="V190" s="19">
        <v>50</v>
      </c>
      <c r="W190" s="7">
        <f t="shared" si="18"/>
        <v>75</v>
      </c>
      <c r="X190" s="28">
        <f t="shared" si="19"/>
        <v>72.0102540518895</v>
      </c>
      <c r="Y190" s="26">
        <f t="shared" si="20"/>
        <v>73.46111822106</v>
      </c>
    </row>
    <row r="191" spans="1:25">
      <c r="A191" s="8" t="s">
        <v>219</v>
      </c>
      <c r="B191" s="8">
        <v>3</v>
      </c>
      <c r="C191" s="17">
        <v>50</v>
      </c>
      <c r="D191" s="17">
        <v>75</v>
      </c>
      <c r="E191" s="6">
        <f t="shared" si="14"/>
        <v>62.5</v>
      </c>
      <c r="F191" s="18">
        <v>57.4262059581654</v>
      </c>
      <c r="G191" s="19">
        <v>40</v>
      </c>
      <c r="H191" s="19">
        <v>100</v>
      </c>
      <c r="I191" s="19">
        <v>100</v>
      </c>
      <c r="J191" s="19">
        <v>25</v>
      </c>
      <c r="K191" s="9">
        <f t="shared" si="15"/>
        <v>66.25</v>
      </c>
      <c r="L191" s="19">
        <v>80</v>
      </c>
      <c r="M191" s="19">
        <v>100</v>
      </c>
      <c r="N191" s="19">
        <v>70</v>
      </c>
      <c r="O191" s="19">
        <v>50</v>
      </c>
      <c r="P191" s="9">
        <f t="shared" si="16"/>
        <v>75</v>
      </c>
      <c r="Q191" s="26">
        <v>51.4327448637086</v>
      </c>
      <c r="R191" s="26">
        <v>54.2184662188482</v>
      </c>
      <c r="S191" s="27">
        <f t="shared" si="17"/>
        <v>52.8256055412784</v>
      </c>
      <c r="T191" s="18">
        <v>48.5371856588521</v>
      </c>
      <c r="U191" s="8" t="s">
        <v>32</v>
      </c>
      <c r="V191" s="19">
        <v>75</v>
      </c>
      <c r="W191" s="7">
        <f t="shared" si="18"/>
        <v>37.5</v>
      </c>
      <c r="X191" s="28">
        <f t="shared" si="19"/>
        <v>55.4001154551739</v>
      </c>
      <c r="Y191" s="26">
        <f t="shared" si="20"/>
        <v>56.9426783234035</v>
      </c>
    </row>
    <row r="192" spans="1:25">
      <c r="A192" s="8" t="s">
        <v>220</v>
      </c>
      <c r="B192" s="8">
        <v>3</v>
      </c>
      <c r="C192" s="16">
        <v>50</v>
      </c>
      <c r="D192" s="16">
        <v>50</v>
      </c>
      <c r="E192" s="6">
        <f t="shared" si="14"/>
        <v>50</v>
      </c>
      <c r="F192" s="18">
        <v>54.2324657052465</v>
      </c>
      <c r="G192" s="19">
        <v>100</v>
      </c>
      <c r="H192" s="19">
        <v>70</v>
      </c>
      <c r="I192" s="19">
        <v>50</v>
      </c>
      <c r="J192" s="19">
        <v>50</v>
      </c>
      <c r="K192" s="9">
        <f t="shared" si="15"/>
        <v>67.5</v>
      </c>
      <c r="L192" s="19">
        <v>80</v>
      </c>
      <c r="M192" s="8" t="s">
        <v>32</v>
      </c>
      <c r="N192" s="19">
        <v>30</v>
      </c>
      <c r="O192" s="19">
        <v>75</v>
      </c>
      <c r="P192" s="9">
        <f t="shared" si="16"/>
        <v>46.25</v>
      </c>
      <c r="Q192" s="26">
        <v>25.8040073087224</v>
      </c>
      <c r="R192" s="26">
        <v>18.459257326196</v>
      </c>
      <c r="S192" s="27">
        <f t="shared" si="17"/>
        <v>22.1316323174592</v>
      </c>
      <c r="T192" s="18">
        <v>24.0050598131547</v>
      </c>
      <c r="U192" s="19">
        <v>80</v>
      </c>
      <c r="V192" s="19">
        <v>75</v>
      </c>
      <c r="W192" s="7">
        <f t="shared" si="18"/>
        <v>77.5</v>
      </c>
      <c r="X192" s="28">
        <f t="shared" si="19"/>
        <v>46.3235170663112</v>
      </c>
      <c r="Y192" s="26">
        <f t="shared" si="20"/>
        <v>53.8975051036802</v>
      </c>
    </row>
    <row r="193" spans="1:25">
      <c r="A193" s="8" t="s">
        <v>221</v>
      </c>
      <c r="B193" s="8">
        <v>3</v>
      </c>
      <c r="C193" s="16">
        <v>100</v>
      </c>
      <c r="D193" s="16">
        <v>100</v>
      </c>
      <c r="E193" s="6">
        <f t="shared" si="14"/>
        <v>100</v>
      </c>
      <c r="F193" s="18">
        <v>97.1292341685923</v>
      </c>
      <c r="G193" s="19">
        <v>100</v>
      </c>
      <c r="H193" s="19">
        <v>100</v>
      </c>
      <c r="I193" s="19">
        <v>100</v>
      </c>
      <c r="J193" s="19">
        <v>75</v>
      </c>
      <c r="K193" s="9">
        <f t="shared" si="15"/>
        <v>93.75</v>
      </c>
      <c r="L193" s="19">
        <v>100</v>
      </c>
      <c r="M193" s="19">
        <v>100</v>
      </c>
      <c r="N193" s="19">
        <v>100</v>
      </c>
      <c r="O193" s="19">
        <v>100</v>
      </c>
      <c r="P193" s="9">
        <f t="shared" si="16"/>
        <v>100</v>
      </c>
      <c r="Q193" s="26">
        <v>58.4045836054724</v>
      </c>
      <c r="R193" s="26">
        <v>55.7547334424795</v>
      </c>
      <c r="S193" s="27">
        <f t="shared" si="17"/>
        <v>57.079658523976</v>
      </c>
      <c r="T193" s="18">
        <v>55.4410351903855</v>
      </c>
      <c r="U193" s="19">
        <v>100</v>
      </c>
      <c r="V193" s="19">
        <v>100</v>
      </c>
      <c r="W193" s="7">
        <f t="shared" si="18"/>
        <v>100</v>
      </c>
      <c r="X193" s="28">
        <f t="shared" si="19"/>
        <v>80.3522609098727</v>
      </c>
      <c r="Y193" s="26">
        <f t="shared" si="20"/>
        <v>89.2640538717956</v>
      </c>
    </row>
    <row r="194" spans="1:25">
      <c r="A194" s="8" t="s">
        <v>222</v>
      </c>
      <c r="B194" s="8">
        <v>3</v>
      </c>
      <c r="C194" s="16">
        <v>75</v>
      </c>
      <c r="D194" s="17">
        <v>25</v>
      </c>
      <c r="E194" s="6">
        <f t="shared" si="14"/>
        <v>50</v>
      </c>
      <c r="F194" s="18">
        <v>49.2814637521279</v>
      </c>
      <c r="G194" s="19">
        <v>60</v>
      </c>
      <c r="H194" s="19">
        <v>60</v>
      </c>
      <c r="I194" s="19">
        <v>50</v>
      </c>
      <c r="J194" s="19">
        <v>25</v>
      </c>
      <c r="K194" s="9">
        <f t="shared" si="15"/>
        <v>48.75</v>
      </c>
      <c r="L194" s="19">
        <v>40</v>
      </c>
      <c r="M194" s="8" t="s">
        <v>32</v>
      </c>
      <c r="N194" s="8" t="s">
        <v>32</v>
      </c>
      <c r="O194" s="19">
        <v>25</v>
      </c>
      <c r="P194" s="9">
        <f t="shared" si="16"/>
        <v>16.25</v>
      </c>
      <c r="Q194" s="26">
        <v>32.1276371707388</v>
      </c>
      <c r="R194" s="26">
        <v>30.0854865529553</v>
      </c>
      <c r="S194" s="27">
        <f t="shared" si="17"/>
        <v>31.106561861847</v>
      </c>
      <c r="T194" s="18">
        <v>30.6595380169588</v>
      </c>
      <c r="U194" s="19">
        <v>40</v>
      </c>
      <c r="V194" s="19">
        <v>50</v>
      </c>
      <c r="W194" s="7">
        <f t="shared" si="18"/>
        <v>45</v>
      </c>
      <c r="X194" s="28">
        <f t="shared" si="19"/>
        <v>37.9951079572091</v>
      </c>
      <c r="Y194" s="26">
        <f t="shared" si="20"/>
        <v>37.9882003538173</v>
      </c>
    </row>
    <row r="195" spans="1:25">
      <c r="A195" s="8" t="s">
        <v>223</v>
      </c>
      <c r="B195" s="8">
        <v>3</v>
      </c>
      <c r="C195" s="16">
        <v>25</v>
      </c>
      <c r="D195" s="17">
        <v>25</v>
      </c>
      <c r="E195" s="6">
        <f t="shared" ref="E195:E258" si="21">SUM(C195:D195)/2</f>
        <v>25</v>
      </c>
      <c r="F195" s="18">
        <v>27.1162328526233</v>
      </c>
      <c r="G195" s="8" t="s">
        <v>32</v>
      </c>
      <c r="H195" s="8" t="s">
        <v>32</v>
      </c>
      <c r="I195" s="19">
        <v>25</v>
      </c>
      <c r="J195" s="19">
        <v>25</v>
      </c>
      <c r="K195" s="9">
        <f t="shared" ref="K195:K258" si="22">SUM(G195:J195)/4</f>
        <v>12.5</v>
      </c>
      <c r="L195" s="19">
        <v>80</v>
      </c>
      <c r="M195" s="19">
        <v>30</v>
      </c>
      <c r="N195" s="8" t="s">
        <v>32</v>
      </c>
      <c r="O195" s="19">
        <v>25</v>
      </c>
      <c r="P195" s="9">
        <f t="shared" ref="P195:P258" si="23">SUM(L195:O195)/4</f>
        <v>33.75</v>
      </c>
      <c r="Q195" s="26">
        <v>15.9956781541146</v>
      </c>
      <c r="R195" s="26">
        <v>6.78484661770511</v>
      </c>
      <c r="S195" s="27">
        <f t="shared" ref="S195:S258" si="24">(Q195+R195)/2</f>
        <v>11.3902623859099</v>
      </c>
      <c r="T195" s="18">
        <v>12.3544402843523</v>
      </c>
      <c r="U195" s="8" t="s">
        <v>32</v>
      </c>
      <c r="V195" s="8" t="s">
        <v>32</v>
      </c>
      <c r="W195" s="7">
        <f t="shared" ref="W195:W258" si="25">SUM(U195:V195)/2</f>
        <v>0</v>
      </c>
      <c r="X195" s="28">
        <f t="shared" ref="X195:X258" si="26">0.2*F195+0.2*K195+0.1*P195+0.4*T195+0.1*W195</f>
        <v>16.2400226842656</v>
      </c>
      <c r="Y195" s="26">
        <f t="shared" ref="Y195:Y258" si="27">(F195+K195+P195+T195+W195)*0.2</f>
        <v>17.1441346273951</v>
      </c>
    </row>
    <row r="196" spans="1:25">
      <c r="A196" s="8" t="s">
        <v>224</v>
      </c>
      <c r="B196" s="8">
        <v>3</v>
      </c>
      <c r="C196" s="16">
        <v>75</v>
      </c>
      <c r="D196" s="16">
        <v>75</v>
      </c>
      <c r="E196" s="6">
        <f t="shared" si="21"/>
        <v>75</v>
      </c>
      <c r="F196" s="18">
        <v>68.9114471497984</v>
      </c>
      <c r="G196" s="19">
        <v>100</v>
      </c>
      <c r="H196" s="8" t="s">
        <v>32</v>
      </c>
      <c r="I196" s="19">
        <v>75</v>
      </c>
      <c r="J196" s="19">
        <v>50</v>
      </c>
      <c r="K196" s="9">
        <f t="shared" si="22"/>
        <v>56.25</v>
      </c>
      <c r="L196" s="19">
        <v>60</v>
      </c>
      <c r="M196" s="19">
        <v>60</v>
      </c>
      <c r="N196" s="19">
        <v>70</v>
      </c>
      <c r="O196" s="19">
        <v>50</v>
      </c>
      <c r="P196" s="9">
        <f t="shared" si="23"/>
        <v>60</v>
      </c>
      <c r="Q196" s="26">
        <v>68.4830973280809</v>
      </c>
      <c r="R196" s="26">
        <v>75.8710991264526</v>
      </c>
      <c r="S196" s="27">
        <f t="shared" si="24"/>
        <v>72.1770982272668</v>
      </c>
      <c r="T196" s="18">
        <v>66.3177105321881</v>
      </c>
      <c r="U196" s="19">
        <v>100</v>
      </c>
      <c r="V196" s="19">
        <v>100</v>
      </c>
      <c r="W196" s="7">
        <f t="shared" si="25"/>
        <v>100</v>
      </c>
      <c r="X196" s="28">
        <f t="shared" si="26"/>
        <v>67.5593736428349</v>
      </c>
      <c r="Y196" s="26">
        <f t="shared" si="27"/>
        <v>70.2958315363973</v>
      </c>
    </row>
    <row r="197" spans="1:25">
      <c r="A197" s="8" t="s">
        <v>225</v>
      </c>
      <c r="B197" s="8">
        <v>3</v>
      </c>
      <c r="C197" s="16">
        <v>100</v>
      </c>
      <c r="D197" s="16">
        <v>50</v>
      </c>
      <c r="E197" s="6">
        <f t="shared" si="21"/>
        <v>75</v>
      </c>
      <c r="F197" s="18">
        <v>70.8612186780675</v>
      </c>
      <c r="G197" s="19">
        <v>40</v>
      </c>
      <c r="H197" s="8" t="s">
        <v>32</v>
      </c>
      <c r="I197" s="19">
        <v>25</v>
      </c>
      <c r="J197" s="8" t="s">
        <v>32</v>
      </c>
      <c r="K197" s="9">
        <f t="shared" si="22"/>
        <v>16.25</v>
      </c>
      <c r="L197" s="19">
        <v>80</v>
      </c>
      <c r="M197" s="19">
        <v>60</v>
      </c>
      <c r="N197" s="8" t="s">
        <v>32</v>
      </c>
      <c r="O197" s="8" t="s">
        <v>32</v>
      </c>
      <c r="P197" s="9">
        <f t="shared" si="23"/>
        <v>35</v>
      </c>
      <c r="Q197" s="26">
        <v>45.7235665375802</v>
      </c>
      <c r="R197" s="26">
        <v>43.3388873608664</v>
      </c>
      <c r="S197" s="27">
        <f t="shared" si="24"/>
        <v>44.5312269492233</v>
      </c>
      <c r="T197" s="18">
        <v>42.0738268113542</v>
      </c>
      <c r="U197" s="19">
        <v>40</v>
      </c>
      <c r="V197" s="8" t="s">
        <v>32</v>
      </c>
      <c r="W197" s="7">
        <f t="shared" si="25"/>
        <v>20</v>
      </c>
      <c r="X197" s="28">
        <f t="shared" si="26"/>
        <v>39.7517744601552</v>
      </c>
      <c r="Y197" s="26">
        <f t="shared" si="27"/>
        <v>36.8370090978843</v>
      </c>
    </row>
    <row r="198" spans="1:25">
      <c r="A198" s="8" t="s">
        <v>226</v>
      </c>
      <c r="B198" s="8">
        <v>3</v>
      </c>
      <c r="C198" s="16">
        <v>25</v>
      </c>
      <c r="D198" s="16">
        <v>75</v>
      </c>
      <c r="E198" s="6">
        <f t="shared" si="21"/>
        <v>50</v>
      </c>
      <c r="F198" s="18">
        <v>54.2149485532925</v>
      </c>
      <c r="G198" s="8" t="s">
        <v>32</v>
      </c>
      <c r="H198" s="8" t="s">
        <v>32</v>
      </c>
      <c r="I198" s="8" t="s">
        <v>32</v>
      </c>
      <c r="J198" s="8" t="s">
        <v>32</v>
      </c>
      <c r="K198" s="9">
        <f t="shared" si="22"/>
        <v>0</v>
      </c>
      <c r="L198" s="8" t="s">
        <v>32</v>
      </c>
      <c r="M198" s="19">
        <v>70</v>
      </c>
      <c r="N198" s="19">
        <v>40</v>
      </c>
      <c r="O198" s="19">
        <v>25</v>
      </c>
      <c r="P198" s="9">
        <f t="shared" si="23"/>
        <v>33.75</v>
      </c>
      <c r="Q198" s="26">
        <v>34.2299203408378</v>
      </c>
      <c r="R198" s="26">
        <v>30.5363306302019</v>
      </c>
      <c r="S198" s="27">
        <f t="shared" si="24"/>
        <v>32.3831254855198</v>
      </c>
      <c r="T198" s="18">
        <v>35.1129896438455</v>
      </c>
      <c r="U198" s="8" t="s">
        <v>32</v>
      </c>
      <c r="V198" s="8" t="s">
        <v>32</v>
      </c>
      <c r="W198" s="7">
        <f t="shared" si="25"/>
        <v>0</v>
      </c>
      <c r="X198" s="28">
        <f t="shared" si="26"/>
        <v>28.2631855681967</v>
      </c>
      <c r="Y198" s="26">
        <f t="shared" si="27"/>
        <v>24.6155876394276</v>
      </c>
    </row>
    <row r="199" spans="1:25">
      <c r="A199" s="8" t="s">
        <v>227</v>
      </c>
      <c r="B199" s="8">
        <v>3</v>
      </c>
      <c r="C199" s="16">
        <v>25</v>
      </c>
      <c r="D199" s="16">
        <v>50</v>
      </c>
      <c r="E199" s="6">
        <f t="shared" si="21"/>
        <v>37.5</v>
      </c>
      <c r="F199" s="18">
        <v>36.5660101521305</v>
      </c>
      <c r="G199" s="19">
        <v>20</v>
      </c>
      <c r="H199" s="19">
        <v>100</v>
      </c>
      <c r="I199" s="19">
        <v>50</v>
      </c>
      <c r="J199" s="19">
        <v>25</v>
      </c>
      <c r="K199" s="9">
        <f t="shared" si="22"/>
        <v>48.75</v>
      </c>
      <c r="L199" s="19">
        <v>40</v>
      </c>
      <c r="M199" s="8" t="s">
        <v>32</v>
      </c>
      <c r="N199" s="19">
        <v>30</v>
      </c>
      <c r="O199" s="8" t="s">
        <v>32</v>
      </c>
      <c r="P199" s="9">
        <f t="shared" si="23"/>
        <v>17.5</v>
      </c>
      <c r="Q199" s="26">
        <v>40.8821506214485</v>
      </c>
      <c r="R199" s="26">
        <v>39.4433774172237</v>
      </c>
      <c r="S199" s="27">
        <f t="shared" si="24"/>
        <v>40.1627640193361</v>
      </c>
      <c r="T199" s="18">
        <v>39.1624543164977</v>
      </c>
      <c r="U199" s="19">
        <v>60</v>
      </c>
      <c r="V199" s="19">
        <v>25</v>
      </c>
      <c r="W199" s="7">
        <f t="shared" si="25"/>
        <v>42.5</v>
      </c>
      <c r="X199" s="28">
        <f t="shared" si="26"/>
        <v>38.7281837570252</v>
      </c>
      <c r="Y199" s="26">
        <f t="shared" si="27"/>
        <v>36.8956928937256</v>
      </c>
    </row>
    <row r="200" spans="1:25">
      <c r="A200" s="8" t="s">
        <v>228</v>
      </c>
      <c r="B200" s="8">
        <v>3</v>
      </c>
      <c r="C200" s="16">
        <v>75</v>
      </c>
      <c r="D200" s="17">
        <v>25</v>
      </c>
      <c r="E200" s="6">
        <f t="shared" si="21"/>
        <v>50</v>
      </c>
      <c r="F200" s="18">
        <v>51.908438289324</v>
      </c>
      <c r="G200" s="8" t="s">
        <v>32</v>
      </c>
      <c r="H200" s="8" t="s">
        <v>32</v>
      </c>
      <c r="I200" s="19">
        <v>25</v>
      </c>
      <c r="J200" s="8" t="s">
        <v>32</v>
      </c>
      <c r="K200" s="9">
        <f t="shared" si="22"/>
        <v>6.25</v>
      </c>
      <c r="L200" s="8" t="s">
        <v>32</v>
      </c>
      <c r="M200" s="8" t="s">
        <v>32</v>
      </c>
      <c r="N200" s="8" t="s">
        <v>32</v>
      </c>
      <c r="O200" s="8" t="s">
        <v>32</v>
      </c>
      <c r="P200" s="9">
        <f t="shared" si="23"/>
        <v>0</v>
      </c>
      <c r="Q200" s="26">
        <v>35.8839336786697</v>
      </c>
      <c r="R200" s="26">
        <v>29.1374982467337</v>
      </c>
      <c r="S200" s="27">
        <f t="shared" si="24"/>
        <v>32.5107159627017</v>
      </c>
      <c r="T200" s="18">
        <v>33.7516098658328</v>
      </c>
      <c r="U200" s="8" t="s">
        <v>32</v>
      </c>
      <c r="V200" s="8" t="s">
        <v>32</v>
      </c>
      <c r="W200" s="7">
        <f t="shared" si="25"/>
        <v>0</v>
      </c>
      <c r="X200" s="28">
        <f t="shared" si="26"/>
        <v>25.1323316041979</v>
      </c>
      <c r="Y200" s="26">
        <f t="shared" si="27"/>
        <v>18.3820096310314</v>
      </c>
    </row>
    <row r="201" spans="1:25">
      <c r="A201" s="8" t="s">
        <v>229</v>
      </c>
      <c r="B201" s="8">
        <v>3</v>
      </c>
      <c r="C201" s="16">
        <v>100</v>
      </c>
      <c r="D201" s="16">
        <v>50</v>
      </c>
      <c r="E201" s="6">
        <f t="shared" si="21"/>
        <v>75</v>
      </c>
      <c r="F201" s="18">
        <v>81.3486985578698</v>
      </c>
      <c r="G201" s="19">
        <v>80</v>
      </c>
      <c r="H201" s="19">
        <v>30</v>
      </c>
      <c r="I201" s="19">
        <v>75</v>
      </c>
      <c r="J201" s="19">
        <v>50</v>
      </c>
      <c r="K201" s="9">
        <f t="shared" si="22"/>
        <v>58.75</v>
      </c>
      <c r="L201" s="19">
        <v>100</v>
      </c>
      <c r="M201" s="19">
        <v>60</v>
      </c>
      <c r="N201" s="19">
        <v>100</v>
      </c>
      <c r="O201" s="19">
        <v>75</v>
      </c>
      <c r="P201" s="9">
        <f t="shared" si="23"/>
        <v>83.75</v>
      </c>
      <c r="Q201" s="26">
        <v>15.9125301078553</v>
      </c>
      <c r="R201" s="26">
        <v>4.46218326294332</v>
      </c>
      <c r="S201" s="27">
        <f t="shared" si="24"/>
        <v>10.1873566853993</v>
      </c>
      <c r="T201" s="18">
        <v>11.0497094413606</v>
      </c>
      <c r="U201" s="19">
        <v>80</v>
      </c>
      <c r="V201" s="19">
        <v>75</v>
      </c>
      <c r="W201" s="7">
        <f t="shared" si="25"/>
        <v>77.5</v>
      </c>
      <c r="X201" s="28">
        <f t="shared" si="26"/>
        <v>48.5646234881182</v>
      </c>
      <c r="Y201" s="26">
        <f t="shared" si="27"/>
        <v>62.4796815998461</v>
      </c>
    </row>
    <row r="202" spans="1:25">
      <c r="A202" s="8" t="s">
        <v>230</v>
      </c>
      <c r="B202" s="8">
        <v>3</v>
      </c>
      <c r="C202" s="16">
        <v>50</v>
      </c>
      <c r="D202" s="16">
        <v>75</v>
      </c>
      <c r="E202" s="6">
        <f t="shared" si="21"/>
        <v>62.5</v>
      </c>
      <c r="F202" s="18">
        <v>57.4262059581654</v>
      </c>
      <c r="G202" s="19">
        <v>60</v>
      </c>
      <c r="H202" s="19">
        <v>30</v>
      </c>
      <c r="I202" s="19">
        <v>75</v>
      </c>
      <c r="J202" s="19">
        <v>75</v>
      </c>
      <c r="K202" s="9">
        <f t="shared" si="22"/>
        <v>60</v>
      </c>
      <c r="L202" s="19">
        <v>60</v>
      </c>
      <c r="M202" s="8" t="s">
        <v>32</v>
      </c>
      <c r="N202" s="8" t="s">
        <v>32</v>
      </c>
      <c r="O202" s="19">
        <v>75</v>
      </c>
      <c r="P202" s="9">
        <f t="shared" si="23"/>
        <v>33.75</v>
      </c>
      <c r="Q202" s="26">
        <v>59.7401913652102</v>
      </c>
      <c r="R202" s="26">
        <v>58.7527064758903</v>
      </c>
      <c r="S202" s="27">
        <f t="shared" si="24"/>
        <v>59.2464489205503</v>
      </c>
      <c r="T202" s="18">
        <v>54.4367804480231</v>
      </c>
      <c r="U202" s="19">
        <v>60</v>
      </c>
      <c r="V202" s="19">
        <v>50</v>
      </c>
      <c r="W202" s="7">
        <f t="shared" si="25"/>
        <v>55</v>
      </c>
      <c r="X202" s="28">
        <f t="shared" si="26"/>
        <v>54.1349533708423</v>
      </c>
      <c r="Y202" s="26">
        <f t="shared" si="27"/>
        <v>52.1225972812377</v>
      </c>
    </row>
    <row r="203" spans="1:25">
      <c r="A203" s="8" t="s">
        <v>231</v>
      </c>
      <c r="B203" s="8">
        <v>3</v>
      </c>
      <c r="C203" s="16">
        <v>50</v>
      </c>
      <c r="D203" s="16">
        <v>75</v>
      </c>
      <c r="E203" s="6">
        <f t="shared" si="21"/>
        <v>62.5</v>
      </c>
      <c r="F203" s="18">
        <v>66.0406069442787</v>
      </c>
      <c r="G203" s="19">
        <v>100</v>
      </c>
      <c r="H203" s="19">
        <v>100</v>
      </c>
      <c r="I203" s="19">
        <v>75</v>
      </c>
      <c r="J203" s="19">
        <v>50</v>
      </c>
      <c r="K203" s="9">
        <f t="shared" si="22"/>
        <v>81.25</v>
      </c>
      <c r="L203" s="19">
        <v>80</v>
      </c>
      <c r="M203" s="19">
        <v>100</v>
      </c>
      <c r="N203" s="19">
        <v>40</v>
      </c>
      <c r="O203" s="19">
        <v>75</v>
      </c>
      <c r="P203" s="9">
        <f t="shared" si="23"/>
        <v>73.75</v>
      </c>
      <c r="Q203" s="26">
        <v>61.6473351401514</v>
      </c>
      <c r="R203" s="26">
        <v>63.2106734782382</v>
      </c>
      <c r="S203" s="27">
        <f t="shared" si="24"/>
        <v>62.4290043091948</v>
      </c>
      <c r="T203" s="18">
        <v>65.9655893680995</v>
      </c>
      <c r="U203" s="19">
        <v>40</v>
      </c>
      <c r="V203" s="19">
        <v>100</v>
      </c>
      <c r="W203" s="7">
        <f t="shared" si="25"/>
        <v>70</v>
      </c>
      <c r="X203" s="28">
        <f t="shared" si="26"/>
        <v>70.2193571360956</v>
      </c>
      <c r="Y203" s="26">
        <f t="shared" si="27"/>
        <v>71.4012392624757</v>
      </c>
    </row>
    <row r="204" spans="1:25">
      <c r="A204" s="8" t="s">
        <v>232</v>
      </c>
      <c r="B204" s="8">
        <v>3</v>
      </c>
      <c r="C204" s="16">
        <v>100</v>
      </c>
      <c r="D204" s="16">
        <v>50</v>
      </c>
      <c r="E204" s="6">
        <f t="shared" si="21"/>
        <v>75</v>
      </c>
      <c r="F204" s="18">
        <v>68.9114471497984</v>
      </c>
      <c r="G204" s="19">
        <v>80</v>
      </c>
      <c r="H204" s="19">
        <v>100</v>
      </c>
      <c r="I204" s="19">
        <v>75</v>
      </c>
      <c r="J204" s="19">
        <v>25</v>
      </c>
      <c r="K204" s="9">
        <f t="shared" si="22"/>
        <v>70</v>
      </c>
      <c r="L204" s="19">
        <v>60</v>
      </c>
      <c r="M204" s="19">
        <v>40</v>
      </c>
      <c r="N204" s="8" t="s">
        <v>32</v>
      </c>
      <c r="O204" s="8" t="s">
        <v>32</v>
      </c>
      <c r="P204" s="9">
        <f t="shared" si="23"/>
        <v>25</v>
      </c>
      <c r="Q204" s="26">
        <v>75.4170867005545</v>
      </c>
      <c r="R204" s="26">
        <v>79.0114427218625</v>
      </c>
      <c r="S204" s="27">
        <f t="shared" si="24"/>
        <v>77.2142647112085</v>
      </c>
      <c r="T204" s="18">
        <v>70.9459562914266</v>
      </c>
      <c r="U204" s="19">
        <v>60</v>
      </c>
      <c r="V204" s="19">
        <v>25</v>
      </c>
      <c r="W204" s="7">
        <f t="shared" si="25"/>
        <v>42.5</v>
      </c>
      <c r="X204" s="28">
        <f t="shared" si="26"/>
        <v>62.9106719465303</v>
      </c>
      <c r="Y204" s="26">
        <f t="shared" si="27"/>
        <v>55.471480688245</v>
      </c>
    </row>
    <row r="205" spans="1:25">
      <c r="A205" s="8" t="s">
        <v>233</v>
      </c>
      <c r="B205" s="8">
        <v>3</v>
      </c>
      <c r="C205" s="16">
        <v>25</v>
      </c>
      <c r="D205" s="16">
        <v>25</v>
      </c>
      <c r="E205" s="6">
        <f t="shared" si="21"/>
        <v>25</v>
      </c>
      <c r="F205" s="18">
        <v>24.2370886723555</v>
      </c>
      <c r="G205" s="19">
        <v>60</v>
      </c>
      <c r="H205" s="19">
        <v>70</v>
      </c>
      <c r="I205" s="19">
        <v>50</v>
      </c>
      <c r="J205" s="19">
        <v>25</v>
      </c>
      <c r="K205" s="9">
        <f t="shared" si="22"/>
        <v>51.25</v>
      </c>
      <c r="L205" s="19">
        <v>40</v>
      </c>
      <c r="M205" s="19">
        <v>100</v>
      </c>
      <c r="N205" s="19">
        <v>40</v>
      </c>
      <c r="O205" s="19">
        <v>75</v>
      </c>
      <c r="P205" s="9">
        <f t="shared" si="23"/>
        <v>63.75</v>
      </c>
      <c r="Q205" s="26">
        <v>47.7563644110249</v>
      </c>
      <c r="R205" s="26">
        <v>48.1809601421658</v>
      </c>
      <c r="S205" s="27">
        <f t="shared" si="24"/>
        <v>47.9686622765954</v>
      </c>
      <c r="T205" s="18">
        <v>46.5048288436845</v>
      </c>
      <c r="U205" s="19">
        <v>100</v>
      </c>
      <c r="V205" s="19">
        <v>25</v>
      </c>
      <c r="W205" s="7">
        <f t="shared" si="25"/>
        <v>62.5</v>
      </c>
      <c r="X205" s="28">
        <f t="shared" si="26"/>
        <v>46.3243492719449</v>
      </c>
      <c r="Y205" s="26">
        <f t="shared" si="27"/>
        <v>49.648383503208</v>
      </c>
    </row>
    <row r="206" spans="1:25">
      <c r="A206" s="8" t="s">
        <v>234</v>
      </c>
      <c r="B206" s="8">
        <v>3</v>
      </c>
      <c r="C206" s="16">
        <v>50</v>
      </c>
      <c r="D206" s="16">
        <v>25</v>
      </c>
      <c r="E206" s="6">
        <f t="shared" si="21"/>
        <v>37.5</v>
      </c>
      <c r="F206" s="18">
        <v>40.6743492789349</v>
      </c>
      <c r="G206" s="19">
        <v>40</v>
      </c>
      <c r="H206" s="8" t="s">
        <v>32</v>
      </c>
      <c r="I206" s="19">
        <v>100</v>
      </c>
      <c r="J206" s="19">
        <v>50</v>
      </c>
      <c r="K206" s="9">
        <f t="shared" si="22"/>
        <v>47.5</v>
      </c>
      <c r="L206" s="8" t="s">
        <v>32</v>
      </c>
      <c r="M206" s="19">
        <v>30</v>
      </c>
      <c r="N206" s="19">
        <v>30</v>
      </c>
      <c r="O206" s="19">
        <v>25</v>
      </c>
      <c r="P206" s="9">
        <f t="shared" si="23"/>
        <v>21.25</v>
      </c>
      <c r="Q206" s="26">
        <v>14.2481228823248</v>
      </c>
      <c r="R206" s="26">
        <v>2.15404050361561</v>
      </c>
      <c r="S206" s="27">
        <f t="shared" si="24"/>
        <v>8.2010816929702</v>
      </c>
      <c r="T206" s="18">
        <v>8.89529763319862</v>
      </c>
      <c r="U206" s="19">
        <v>80</v>
      </c>
      <c r="V206" s="8" t="s">
        <v>32</v>
      </c>
      <c r="W206" s="7">
        <f t="shared" si="25"/>
        <v>40</v>
      </c>
      <c r="X206" s="28">
        <f t="shared" si="26"/>
        <v>27.3179889090664</v>
      </c>
      <c r="Y206" s="26">
        <f t="shared" si="27"/>
        <v>31.6639293824267</v>
      </c>
    </row>
    <row r="207" spans="1:25">
      <c r="A207" s="8" t="s">
        <v>235</v>
      </c>
      <c r="B207" s="8">
        <v>3</v>
      </c>
      <c r="C207" s="16">
        <v>50</v>
      </c>
      <c r="D207" s="16">
        <v>25</v>
      </c>
      <c r="E207" s="6">
        <f t="shared" si="21"/>
        <v>37.5</v>
      </c>
      <c r="F207" s="18">
        <v>34.4557235748992</v>
      </c>
      <c r="G207" s="19">
        <v>100</v>
      </c>
      <c r="H207" s="19">
        <v>70</v>
      </c>
      <c r="I207" s="19">
        <v>100</v>
      </c>
      <c r="J207" s="19">
        <v>75</v>
      </c>
      <c r="K207" s="9">
        <f t="shared" si="22"/>
        <v>86.25</v>
      </c>
      <c r="L207" s="19">
        <v>80</v>
      </c>
      <c r="M207" s="19">
        <v>100</v>
      </c>
      <c r="N207" s="19">
        <v>70</v>
      </c>
      <c r="O207" s="19">
        <v>100</v>
      </c>
      <c r="P207" s="9">
        <f t="shared" si="23"/>
        <v>87.5</v>
      </c>
      <c r="Q207" s="26">
        <v>50.7825322031199</v>
      </c>
      <c r="R207" s="26">
        <v>54.6031388689912</v>
      </c>
      <c r="S207" s="27">
        <f t="shared" si="24"/>
        <v>52.6928355360556</v>
      </c>
      <c r="T207" s="18">
        <v>48.4151940162122</v>
      </c>
      <c r="U207" s="19">
        <v>80</v>
      </c>
      <c r="V207" s="19">
        <v>100</v>
      </c>
      <c r="W207" s="7">
        <f t="shared" si="25"/>
        <v>90</v>
      </c>
      <c r="X207" s="28">
        <f t="shared" si="26"/>
        <v>61.2572223214647</v>
      </c>
      <c r="Y207" s="26">
        <f t="shared" si="27"/>
        <v>69.3241835182223</v>
      </c>
    </row>
    <row r="208" spans="1:25">
      <c r="A208" s="8" t="s">
        <v>236</v>
      </c>
      <c r="B208" s="8">
        <v>3</v>
      </c>
      <c r="C208" s="16">
        <v>25</v>
      </c>
      <c r="D208" s="17">
        <v>25</v>
      </c>
      <c r="E208" s="6">
        <f t="shared" si="21"/>
        <v>25</v>
      </c>
      <c r="F208" s="18">
        <v>24.4026462655372</v>
      </c>
      <c r="G208" s="19">
        <v>60</v>
      </c>
      <c r="H208" s="19">
        <v>100</v>
      </c>
      <c r="I208" s="19">
        <v>100</v>
      </c>
      <c r="J208" s="19">
        <v>75</v>
      </c>
      <c r="K208" s="9">
        <f t="shared" si="22"/>
        <v>83.75</v>
      </c>
      <c r="L208" s="19">
        <v>60</v>
      </c>
      <c r="M208" s="19">
        <v>70</v>
      </c>
      <c r="N208" s="19">
        <v>40</v>
      </c>
      <c r="O208" s="19">
        <v>50</v>
      </c>
      <c r="P208" s="9">
        <f t="shared" si="23"/>
        <v>55</v>
      </c>
      <c r="Q208" s="26">
        <v>37.2331801688672</v>
      </c>
      <c r="R208" s="26">
        <v>33.8755782634437</v>
      </c>
      <c r="S208" s="27">
        <f t="shared" si="24"/>
        <v>35.5543792161555</v>
      </c>
      <c r="T208" s="18">
        <v>34.7048375681044</v>
      </c>
      <c r="U208" s="19">
        <v>80</v>
      </c>
      <c r="V208" s="19">
        <v>75</v>
      </c>
      <c r="W208" s="7">
        <f t="shared" si="25"/>
        <v>77.5</v>
      </c>
      <c r="X208" s="28">
        <f t="shared" si="26"/>
        <v>48.7624642803492</v>
      </c>
      <c r="Y208" s="26">
        <f t="shared" si="27"/>
        <v>55.0714967667283</v>
      </c>
    </row>
    <row r="209" spans="1:25">
      <c r="A209" s="8" t="s">
        <v>237</v>
      </c>
      <c r="B209" s="8">
        <v>3</v>
      </c>
      <c r="C209" s="17">
        <v>0</v>
      </c>
      <c r="D209" s="16">
        <v>25</v>
      </c>
      <c r="E209" s="6">
        <f t="shared" si="21"/>
        <v>12.5</v>
      </c>
      <c r="F209" s="18">
        <v>12.6508886671328</v>
      </c>
      <c r="G209" s="19">
        <v>100</v>
      </c>
      <c r="H209" s="19">
        <v>100</v>
      </c>
      <c r="I209" s="19">
        <v>75</v>
      </c>
      <c r="J209" s="19">
        <v>75</v>
      </c>
      <c r="K209" s="9">
        <f t="shared" si="22"/>
        <v>87.5</v>
      </c>
      <c r="L209" s="19">
        <v>100</v>
      </c>
      <c r="M209" s="19">
        <v>100</v>
      </c>
      <c r="N209" s="19">
        <v>70</v>
      </c>
      <c r="O209" s="19">
        <v>75</v>
      </c>
      <c r="P209" s="9">
        <f t="shared" si="23"/>
        <v>86.25</v>
      </c>
      <c r="Q209" s="26">
        <v>41.1360677346281</v>
      </c>
      <c r="R209" s="26">
        <v>38.3979071458596</v>
      </c>
      <c r="S209" s="27">
        <f t="shared" si="24"/>
        <v>39.7669874402438</v>
      </c>
      <c r="T209" s="18">
        <v>40.2470184587033</v>
      </c>
      <c r="U209" s="19">
        <v>80</v>
      </c>
      <c r="V209" s="19">
        <v>100</v>
      </c>
      <c r="W209" s="7">
        <f t="shared" si="25"/>
        <v>90</v>
      </c>
      <c r="X209" s="28">
        <f t="shared" si="26"/>
        <v>53.7539851169079</v>
      </c>
      <c r="Y209" s="26">
        <f t="shared" si="27"/>
        <v>63.3295814251672</v>
      </c>
    </row>
    <row r="210" spans="1:25">
      <c r="A210" s="8" t="s">
        <v>238</v>
      </c>
      <c r="B210" s="8">
        <v>3</v>
      </c>
      <c r="C210" s="16">
        <v>100</v>
      </c>
      <c r="D210" s="16">
        <v>50</v>
      </c>
      <c r="E210" s="6">
        <f t="shared" si="21"/>
        <v>75</v>
      </c>
      <c r="F210" s="18">
        <v>71.7237105621947</v>
      </c>
      <c r="G210" s="19">
        <v>80</v>
      </c>
      <c r="H210" s="19">
        <v>60</v>
      </c>
      <c r="I210" s="19">
        <v>75</v>
      </c>
      <c r="J210" s="19">
        <v>25</v>
      </c>
      <c r="K210" s="9">
        <f t="shared" si="22"/>
        <v>60</v>
      </c>
      <c r="L210" s="19">
        <v>60</v>
      </c>
      <c r="M210" s="8" t="s">
        <v>32</v>
      </c>
      <c r="N210" s="19">
        <v>70</v>
      </c>
      <c r="O210" s="19">
        <v>75</v>
      </c>
      <c r="P210" s="9">
        <f t="shared" si="23"/>
        <v>51.25</v>
      </c>
      <c r="Q210" s="26">
        <v>60.6575827440189</v>
      </c>
      <c r="R210" s="26">
        <v>58.2207253885694</v>
      </c>
      <c r="S210" s="27">
        <f t="shared" si="24"/>
        <v>59.4391540662942</v>
      </c>
      <c r="T210" s="18">
        <v>56.8426224308345</v>
      </c>
      <c r="U210" s="19">
        <v>20</v>
      </c>
      <c r="V210" s="19">
        <v>25</v>
      </c>
      <c r="W210" s="7">
        <f t="shared" si="25"/>
        <v>22.5</v>
      </c>
      <c r="X210" s="28">
        <f t="shared" si="26"/>
        <v>56.4567910847727</v>
      </c>
      <c r="Y210" s="26">
        <f t="shared" si="27"/>
        <v>52.4632665986058</v>
      </c>
    </row>
    <row r="211" spans="1:25">
      <c r="A211" s="8" t="s">
        <v>239</v>
      </c>
      <c r="B211" s="8">
        <v>3</v>
      </c>
      <c r="C211" s="16">
        <v>50</v>
      </c>
      <c r="D211" s="16">
        <v>25</v>
      </c>
      <c r="E211" s="6">
        <f t="shared" si="21"/>
        <v>37.5</v>
      </c>
      <c r="F211" s="18">
        <v>34.4557235748992</v>
      </c>
      <c r="G211" s="19">
        <v>100</v>
      </c>
      <c r="H211" s="19">
        <v>30</v>
      </c>
      <c r="I211" s="19">
        <v>75</v>
      </c>
      <c r="J211" s="19">
        <v>50</v>
      </c>
      <c r="K211" s="9">
        <f t="shared" si="22"/>
        <v>63.75</v>
      </c>
      <c r="L211" s="19">
        <v>80</v>
      </c>
      <c r="M211" s="19">
        <v>100</v>
      </c>
      <c r="N211" s="19">
        <v>40</v>
      </c>
      <c r="O211" s="19">
        <v>100</v>
      </c>
      <c r="P211" s="9">
        <f t="shared" si="23"/>
        <v>80</v>
      </c>
      <c r="Q211" s="26">
        <v>43.7237088447874</v>
      </c>
      <c r="R211" s="26">
        <v>39.9689263019226</v>
      </c>
      <c r="S211" s="27">
        <f t="shared" si="24"/>
        <v>41.846317573355</v>
      </c>
      <c r="T211" s="18">
        <v>38.4492040249325</v>
      </c>
      <c r="U211" s="19">
        <v>40</v>
      </c>
      <c r="V211" s="19">
        <v>75</v>
      </c>
      <c r="W211" s="7">
        <f t="shared" si="25"/>
        <v>57.5</v>
      </c>
      <c r="X211" s="28">
        <f t="shared" si="26"/>
        <v>48.7708263249528</v>
      </c>
      <c r="Y211" s="26">
        <f t="shared" si="27"/>
        <v>54.8309855199663</v>
      </c>
    </row>
    <row r="212" spans="1:25">
      <c r="A212" s="8" t="s">
        <v>240</v>
      </c>
      <c r="B212" s="8">
        <v>3</v>
      </c>
      <c r="C212" s="16">
        <v>25</v>
      </c>
      <c r="D212" s="16">
        <v>25</v>
      </c>
      <c r="E212" s="6">
        <f t="shared" si="21"/>
        <v>25</v>
      </c>
      <c r="F212" s="18">
        <v>25.4556740303325</v>
      </c>
      <c r="G212" s="19">
        <v>60</v>
      </c>
      <c r="H212" s="19">
        <v>40</v>
      </c>
      <c r="I212" s="19">
        <v>100</v>
      </c>
      <c r="J212" s="19">
        <v>50</v>
      </c>
      <c r="K212" s="9">
        <f t="shared" si="22"/>
        <v>62.5</v>
      </c>
      <c r="L212" s="19">
        <v>60</v>
      </c>
      <c r="M212" s="19">
        <v>70</v>
      </c>
      <c r="N212" s="19">
        <v>70</v>
      </c>
      <c r="O212" s="19">
        <v>75</v>
      </c>
      <c r="P212" s="9">
        <f t="shared" si="23"/>
        <v>68.75</v>
      </c>
      <c r="Q212" s="26">
        <v>24.9467553360725</v>
      </c>
      <c r="R212" s="26">
        <v>19.2915357504859</v>
      </c>
      <c r="S212" s="27">
        <f t="shared" si="24"/>
        <v>22.1191455432792</v>
      </c>
      <c r="T212" s="18">
        <v>22.5223103511679</v>
      </c>
      <c r="U212" s="19">
        <v>60</v>
      </c>
      <c r="V212" s="19">
        <v>75</v>
      </c>
      <c r="W212" s="7">
        <f t="shared" si="25"/>
        <v>67.5</v>
      </c>
      <c r="X212" s="28">
        <f t="shared" si="26"/>
        <v>40.2250589465337</v>
      </c>
      <c r="Y212" s="26">
        <f t="shared" si="27"/>
        <v>49.3455968763001</v>
      </c>
    </row>
    <row r="213" spans="1:25">
      <c r="A213" s="8" t="s">
        <v>241</v>
      </c>
      <c r="B213" s="8">
        <v>3</v>
      </c>
      <c r="C213" s="16">
        <v>75</v>
      </c>
      <c r="D213" s="16">
        <v>75</v>
      </c>
      <c r="E213" s="6">
        <f t="shared" si="21"/>
        <v>75</v>
      </c>
      <c r="F213" s="18">
        <v>70.8582886039271</v>
      </c>
      <c r="G213" s="19">
        <v>100</v>
      </c>
      <c r="H213" s="19">
        <v>100</v>
      </c>
      <c r="I213" s="19">
        <v>75</v>
      </c>
      <c r="J213" s="19">
        <v>50</v>
      </c>
      <c r="K213" s="9">
        <f t="shared" si="22"/>
        <v>81.25</v>
      </c>
      <c r="L213" s="19">
        <v>100</v>
      </c>
      <c r="M213" s="19">
        <v>100</v>
      </c>
      <c r="N213" s="19">
        <v>40</v>
      </c>
      <c r="O213" s="19">
        <v>100</v>
      </c>
      <c r="P213" s="9">
        <f t="shared" si="23"/>
        <v>85</v>
      </c>
      <c r="Q213" s="26">
        <v>69.4008308661134</v>
      </c>
      <c r="R213" s="26">
        <v>69.9548849526735</v>
      </c>
      <c r="S213" s="27">
        <f t="shared" si="24"/>
        <v>69.6778579093935</v>
      </c>
      <c r="T213" s="18">
        <v>65.8300502006297</v>
      </c>
      <c r="U213" s="19">
        <v>60</v>
      </c>
      <c r="V213" s="19">
        <v>50</v>
      </c>
      <c r="W213" s="7">
        <f t="shared" si="25"/>
        <v>55</v>
      </c>
      <c r="X213" s="28">
        <f t="shared" si="26"/>
        <v>70.7536778010373</v>
      </c>
      <c r="Y213" s="26">
        <f t="shared" si="27"/>
        <v>71.5876677609114</v>
      </c>
    </row>
    <row r="214" spans="1:25">
      <c r="A214" s="8" t="s">
        <v>242</v>
      </c>
      <c r="B214" s="8">
        <v>3</v>
      </c>
      <c r="C214" s="16">
        <v>100</v>
      </c>
      <c r="D214" s="16">
        <v>50</v>
      </c>
      <c r="E214" s="6">
        <f t="shared" si="21"/>
        <v>75</v>
      </c>
      <c r="F214" s="18">
        <v>69.8677957473807</v>
      </c>
      <c r="G214" s="19">
        <v>100</v>
      </c>
      <c r="H214" s="19">
        <v>70</v>
      </c>
      <c r="I214" s="19">
        <v>50</v>
      </c>
      <c r="J214" s="19">
        <v>50</v>
      </c>
      <c r="K214" s="9">
        <f t="shared" si="22"/>
        <v>67.5</v>
      </c>
      <c r="L214" s="19">
        <v>80</v>
      </c>
      <c r="M214" s="19">
        <v>100</v>
      </c>
      <c r="N214" s="19">
        <v>40</v>
      </c>
      <c r="O214" s="19">
        <v>75</v>
      </c>
      <c r="P214" s="9">
        <f t="shared" si="23"/>
        <v>73.75</v>
      </c>
      <c r="Q214" s="26">
        <v>41.4735884720779</v>
      </c>
      <c r="R214" s="26">
        <v>35.2649132981366</v>
      </c>
      <c r="S214" s="27">
        <f t="shared" si="24"/>
        <v>38.3692508851072</v>
      </c>
      <c r="T214" s="18">
        <v>35.7436664509424</v>
      </c>
      <c r="U214" s="19">
        <v>100</v>
      </c>
      <c r="V214" s="19">
        <v>25</v>
      </c>
      <c r="W214" s="7">
        <f t="shared" si="25"/>
        <v>62.5</v>
      </c>
      <c r="X214" s="28">
        <f t="shared" si="26"/>
        <v>55.3960257298531</v>
      </c>
      <c r="Y214" s="26">
        <f t="shared" si="27"/>
        <v>61.8722924396646</v>
      </c>
    </row>
    <row r="215" spans="1:25">
      <c r="A215" s="8" t="s">
        <v>243</v>
      </c>
      <c r="B215" s="8">
        <v>4</v>
      </c>
      <c r="C215" s="16">
        <v>100</v>
      </c>
      <c r="D215" s="16">
        <v>75</v>
      </c>
      <c r="E215" s="6">
        <f t="shared" si="21"/>
        <v>87.5</v>
      </c>
      <c r="F215" s="18">
        <v>88.0922569692769</v>
      </c>
      <c r="G215" s="19">
        <v>80</v>
      </c>
      <c r="H215" s="19">
        <v>100</v>
      </c>
      <c r="I215" s="19">
        <v>75</v>
      </c>
      <c r="J215" s="19">
        <v>50</v>
      </c>
      <c r="K215" s="9">
        <f t="shared" si="22"/>
        <v>76.25</v>
      </c>
      <c r="L215" s="19">
        <v>80</v>
      </c>
      <c r="M215" s="19">
        <v>30</v>
      </c>
      <c r="N215" s="19">
        <v>70</v>
      </c>
      <c r="O215" s="19">
        <v>50</v>
      </c>
      <c r="P215" s="9">
        <f t="shared" si="23"/>
        <v>57.5</v>
      </c>
      <c r="Q215" s="26">
        <v>53.3152027867741</v>
      </c>
      <c r="R215" s="26">
        <v>48.7536377729678</v>
      </c>
      <c r="S215" s="27">
        <f t="shared" si="24"/>
        <v>51.034420279871</v>
      </c>
      <c r="T215" s="18">
        <v>51.3798544636853</v>
      </c>
      <c r="U215" s="19">
        <v>60</v>
      </c>
      <c r="V215" s="19">
        <v>75</v>
      </c>
      <c r="W215" s="7">
        <f t="shared" si="25"/>
        <v>67.5</v>
      </c>
      <c r="X215" s="28">
        <f t="shared" si="26"/>
        <v>65.9203931793295</v>
      </c>
      <c r="Y215" s="26">
        <f t="shared" si="27"/>
        <v>68.1444222865925</v>
      </c>
    </row>
    <row r="216" spans="1:25">
      <c r="A216" s="8" t="s">
        <v>244</v>
      </c>
      <c r="B216" s="8">
        <v>4</v>
      </c>
      <c r="C216" s="16">
        <v>75</v>
      </c>
      <c r="D216" s="16">
        <v>50</v>
      </c>
      <c r="E216" s="6">
        <f t="shared" si="21"/>
        <v>62.5</v>
      </c>
      <c r="F216" s="18">
        <v>58.1646280202881</v>
      </c>
      <c r="G216" s="19">
        <v>100</v>
      </c>
      <c r="H216" s="19">
        <v>100</v>
      </c>
      <c r="I216" s="19">
        <v>100</v>
      </c>
      <c r="J216" s="19">
        <v>50</v>
      </c>
      <c r="K216" s="9">
        <f t="shared" si="22"/>
        <v>87.5</v>
      </c>
      <c r="L216" s="19">
        <v>100</v>
      </c>
      <c r="M216" s="19">
        <v>60</v>
      </c>
      <c r="N216" s="19">
        <v>70</v>
      </c>
      <c r="O216" s="19">
        <v>75</v>
      </c>
      <c r="P216" s="9">
        <f t="shared" si="23"/>
        <v>76.25</v>
      </c>
      <c r="Q216" s="26">
        <v>71.9517210880365</v>
      </c>
      <c r="R216" s="26">
        <v>65.9498946553072</v>
      </c>
      <c r="S216" s="27">
        <f t="shared" si="24"/>
        <v>68.9508078716718</v>
      </c>
      <c r="T216" s="18">
        <v>64.1679694648663</v>
      </c>
      <c r="U216" s="19">
        <v>100</v>
      </c>
      <c r="V216" s="19">
        <v>100</v>
      </c>
      <c r="W216" s="7">
        <f t="shared" si="25"/>
        <v>100</v>
      </c>
      <c r="X216" s="28">
        <f t="shared" si="26"/>
        <v>72.4251133900041</v>
      </c>
      <c r="Y216" s="26">
        <f t="shared" si="27"/>
        <v>77.2165194970309</v>
      </c>
    </row>
    <row r="217" spans="1:25">
      <c r="A217" s="8" t="s">
        <v>245</v>
      </c>
      <c r="B217" s="8">
        <v>4</v>
      </c>
      <c r="C217" s="16">
        <v>50</v>
      </c>
      <c r="D217" s="16">
        <v>75</v>
      </c>
      <c r="E217" s="6">
        <f t="shared" si="21"/>
        <v>62.5</v>
      </c>
      <c r="F217" s="18">
        <v>65.6917083228881</v>
      </c>
      <c r="G217" s="19">
        <v>100</v>
      </c>
      <c r="H217" s="19">
        <v>100</v>
      </c>
      <c r="I217" s="19">
        <v>100</v>
      </c>
      <c r="J217" s="19">
        <v>50</v>
      </c>
      <c r="K217" s="9">
        <f t="shared" si="22"/>
        <v>87.5</v>
      </c>
      <c r="L217" s="19">
        <v>100</v>
      </c>
      <c r="M217" s="19">
        <v>100</v>
      </c>
      <c r="N217" s="19">
        <v>100</v>
      </c>
      <c r="O217" s="19">
        <v>75</v>
      </c>
      <c r="P217" s="9">
        <f t="shared" si="23"/>
        <v>93.75</v>
      </c>
      <c r="Q217" s="26">
        <v>54.1691149809062</v>
      </c>
      <c r="R217" s="26">
        <v>46.4856277743145</v>
      </c>
      <c r="S217" s="27">
        <f t="shared" si="24"/>
        <v>50.3273713776103</v>
      </c>
      <c r="T217" s="18">
        <v>52.8974560191304</v>
      </c>
      <c r="U217" s="19">
        <v>80</v>
      </c>
      <c r="V217" s="19">
        <v>50</v>
      </c>
      <c r="W217" s="7">
        <f t="shared" si="25"/>
        <v>65</v>
      </c>
      <c r="X217" s="28">
        <f t="shared" si="26"/>
        <v>67.6723240722298</v>
      </c>
      <c r="Y217" s="26">
        <f t="shared" si="27"/>
        <v>72.9678328684037</v>
      </c>
    </row>
    <row r="218" spans="1:25">
      <c r="A218" s="8" t="s">
        <v>246</v>
      </c>
      <c r="B218" s="8">
        <v>4</v>
      </c>
      <c r="C218" s="16">
        <v>100</v>
      </c>
      <c r="D218" s="16">
        <v>75</v>
      </c>
      <c r="E218" s="6">
        <f t="shared" si="21"/>
        <v>87.5</v>
      </c>
      <c r="F218" s="18">
        <v>87.5040645449688</v>
      </c>
      <c r="G218" s="19">
        <v>100</v>
      </c>
      <c r="H218" s="19">
        <v>100</v>
      </c>
      <c r="I218" s="19">
        <v>75</v>
      </c>
      <c r="J218" s="19">
        <v>75</v>
      </c>
      <c r="K218" s="9">
        <f t="shared" si="22"/>
        <v>87.5</v>
      </c>
      <c r="L218" s="19">
        <v>100</v>
      </c>
      <c r="M218" s="19">
        <v>100</v>
      </c>
      <c r="N218" s="19">
        <v>70</v>
      </c>
      <c r="O218" s="19">
        <v>100</v>
      </c>
      <c r="P218" s="9">
        <f t="shared" si="23"/>
        <v>92.5</v>
      </c>
      <c r="Q218" s="26">
        <v>61.0208107052869</v>
      </c>
      <c r="R218" s="26">
        <v>56.8592853281884</v>
      </c>
      <c r="S218" s="27">
        <f t="shared" si="24"/>
        <v>58.9400480167377</v>
      </c>
      <c r="T218" s="18">
        <v>58.9427858964591</v>
      </c>
      <c r="U218" s="19">
        <v>80</v>
      </c>
      <c r="V218" s="19">
        <v>100</v>
      </c>
      <c r="W218" s="7">
        <f t="shared" si="25"/>
        <v>90</v>
      </c>
      <c r="X218" s="28">
        <f t="shared" si="26"/>
        <v>76.8279272675774</v>
      </c>
      <c r="Y218" s="26">
        <f t="shared" si="27"/>
        <v>83.2893700882856</v>
      </c>
    </row>
    <row r="219" spans="1:25">
      <c r="A219" s="8" t="s">
        <v>247</v>
      </c>
      <c r="B219" s="8">
        <v>4</v>
      </c>
      <c r="C219" s="16">
        <v>75</v>
      </c>
      <c r="D219" s="16">
        <v>50</v>
      </c>
      <c r="E219" s="6">
        <f t="shared" si="21"/>
        <v>62.5</v>
      </c>
      <c r="F219" s="18">
        <v>63.8207914069188</v>
      </c>
      <c r="G219" s="19">
        <v>100</v>
      </c>
      <c r="H219" s="19">
        <v>60</v>
      </c>
      <c r="I219" s="19">
        <v>100</v>
      </c>
      <c r="J219" s="19">
        <v>100</v>
      </c>
      <c r="K219" s="9">
        <f t="shared" si="22"/>
        <v>90</v>
      </c>
      <c r="L219" s="19">
        <v>100</v>
      </c>
      <c r="M219" s="19">
        <v>100</v>
      </c>
      <c r="N219" s="19">
        <v>70</v>
      </c>
      <c r="O219" s="19">
        <v>100</v>
      </c>
      <c r="P219" s="9">
        <f t="shared" si="23"/>
        <v>92.5</v>
      </c>
      <c r="Q219" s="26">
        <v>49.2231394762111</v>
      </c>
      <c r="R219" s="26">
        <v>44.1885813384423</v>
      </c>
      <c r="S219" s="27">
        <f t="shared" si="24"/>
        <v>46.7058604073267</v>
      </c>
      <c r="T219" s="18">
        <v>47.6928795925866</v>
      </c>
      <c r="U219" s="19">
        <v>80</v>
      </c>
      <c r="V219" s="19">
        <v>75</v>
      </c>
      <c r="W219" s="7">
        <f t="shared" si="25"/>
        <v>77.5</v>
      </c>
      <c r="X219" s="28">
        <f t="shared" si="26"/>
        <v>66.8413101184184</v>
      </c>
      <c r="Y219" s="26">
        <f t="shared" si="27"/>
        <v>74.3027341999011</v>
      </c>
    </row>
    <row r="220" spans="1:25">
      <c r="A220" s="8" t="s">
        <v>248</v>
      </c>
      <c r="B220" s="8">
        <v>4</v>
      </c>
      <c r="C220" s="16">
        <v>100</v>
      </c>
      <c r="D220" s="16">
        <v>100</v>
      </c>
      <c r="E220" s="6">
        <f t="shared" si="21"/>
        <v>100</v>
      </c>
      <c r="F220" s="18">
        <v>92.5505516470642</v>
      </c>
      <c r="K220" s="9">
        <f t="shared" si="22"/>
        <v>0</v>
      </c>
      <c r="P220" s="9">
        <f t="shared" si="23"/>
        <v>0</v>
      </c>
      <c r="Q220" s="26">
        <v>80.7257145963168</v>
      </c>
      <c r="R220" s="26">
        <v>76.3795789349576</v>
      </c>
      <c r="S220" s="27">
        <f t="shared" si="24"/>
        <v>78.5526467656372</v>
      </c>
      <c r="T220" s="18">
        <v>72.7009079149669</v>
      </c>
      <c r="W220" s="7">
        <f t="shared" si="25"/>
        <v>0</v>
      </c>
      <c r="X220" s="28">
        <f t="shared" si="26"/>
        <v>47.5904734953996</v>
      </c>
      <c r="Y220" s="26">
        <f t="shared" si="27"/>
        <v>33.0502919124062</v>
      </c>
    </row>
    <row r="221" spans="1:25">
      <c r="A221" s="8" t="s">
        <v>249</v>
      </c>
      <c r="B221" s="8">
        <v>4</v>
      </c>
      <c r="C221" s="16">
        <v>50</v>
      </c>
      <c r="D221" s="16">
        <v>50</v>
      </c>
      <c r="E221" s="6">
        <f t="shared" si="21"/>
        <v>50</v>
      </c>
      <c r="F221" s="18">
        <v>46.219986194338</v>
      </c>
      <c r="G221" s="19">
        <v>100</v>
      </c>
      <c r="H221" s="19">
        <v>100</v>
      </c>
      <c r="I221" s="19">
        <v>75</v>
      </c>
      <c r="J221" s="19">
        <v>25</v>
      </c>
      <c r="K221" s="9">
        <f t="shared" si="22"/>
        <v>75</v>
      </c>
      <c r="L221" s="19">
        <v>60</v>
      </c>
      <c r="M221" s="19">
        <v>60</v>
      </c>
      <c r="N221" s="19">
        <v>70</v>
      </c>
      <c r="O221" s="19">
        <v>25</v>
      </c>
      <c r="P221" s="9">
        <f t="shared" si="23"/>
        <v>53.75</v>
      </c>
      <c r="Q221" s="26">
        <v>66.6000426008889</v>
      </c>
      <c r="R221" s="26">
        <v>63.8378287129983</v>
      </c>
      <c r="S221" s="27">
        <f t="shared" si="24"/>
        <v>65.2189356569436</v>
      </c>
      <c r="T221" s="18">
        <v>60.2883661134671</v>
      </c>
      <c r="U221" s="19">
        <v>20</v>
      </c>
      <c r="V221" s="19">
        <v>50</v>
      </c>
      <c r="W221" s="7">
        <f t="shared" si="25"/>
        <v>35</v>
      </c>
      <c r="X221" s="28">
        <f t="shared" si="26"/>
        <v>57.2343436842544</v>
      </c>
      <c r="Y221" s="26">
        <f t="shared" si="27"/>
        <v>54.051670461561</v>
      </c>
    </row>
    <row r="222" spans="1:25">
      <c r="A222" s="8" t="s">
        <v>250</v>
      </c>
      <c r="B222" s="8">
        <v>4</v>
      </c>
      <c r="C222" s="16">
        <v>50</v>
      </c>
      <c r="D222" s="17">
        <v>75</v>
      </c>
      <c r="E222" s="6">
        <f t="shared" si="21"/>
        <v>62.5</v>
      </c>
      <c r="F222" s="18">
        <v>63.3481181862012</v>
      </c>
      <c r="G222" s="19">
        <v>100</v>
      </c>
      <c r="H222" s="19">
        <v>100</v>
      </c>
      <c r="I222" s="19">
        <v>75</v>
      </c>
      <c r="J222" s="19">
        <v>25</v>
      </c>
      <c r="K222" s="9">
        <f t="shared" si="22"/>
        <v>75</v>
      </c>
      <c r="L222" s="19">
        <v>40</v>
      </c>
      <c r="M222" s="19">
        <v>40</v>
      </c>
      <c r="N222" s="19">
        <v>40</v>
      </c>
      <c r="O222" s="19">
        <v>50</v>
      </c>
      <c r="P222" s="9">
        <f t="shared" si="23"/>
        <v>42.5</v>
      </c>
      <c r="Q222" s="26">
        <v>44.8170126865251</v>
      </c>
      <c r="R222" s="26">
        <v>35.9987914343028</v>
      </c>
      <c r="S222" s="27">
        <f t="shared" si="24"/>
        <v>40.407902060414</v>
      </c>
      <c r="T222" s="18">
        <v>40.9562328860728</v>
      </c>
      <c r="U222" s="19">
        <v>80</v>
      </c>
      <c r="V222" s="19">
        <v>75</v>
      </c>
      <c r="W222" s="7">
        <f t="shared" si="25"/>
        <v>77.5</v>
      </c>
      <c r="X222" s="28">
        <f t="shared" si="26"/>
        <v>56.0521167916694</v>
      </c>
      <c r="Y222" s="26">
        <f t="shared" si="27"/>
        <v>59.8608702144548</v>
      </c>
    </row>
    <row r="223" spans="1:25">
      <c r="A223" s="8" t="s">
        <v>251</v>
      </c>
      <c r="B223" s="8">
        <v>4</v>
      </c>
      <c r="C223" s="16">
        <v>50</v>
      </c>
      <c r="D223" s="17">
        <v>0</v>
      </c>
      <c r="E223" s="6">
        <f t="shared" si="21"/>
        <v>25</v>
      </c>
      <c r="F223" s="18">
        <v>27.0047089108403</v>
      </c>
      <c r="G223" s="19">
        <v>80</v>
      </c>
      <c r="H223" s="19">
        <v>100</v>
      </c>
      <c r="I223" s="19">
        <v>75</v>
      </c>
      <c r="J223" s="19">
        <v>50</v>
      </c>
      <c r="K223" s="9">
        <f t="shared" si="22"/>
        <v>76.25</v>
      </c>
      <c r="L223" s="19">
        <v>100</v>
      </c>
      <c r="M223" s="19">
        <v>30</v>
      </c>
      <c r="N223" s="19">
        <v>70</v>
      </c>
      <c r="O223" s="19">
        <v>75</v>
      </c>
      <c r="P223" s="9">
        <f t="shared" si="23"/>
        <v>68.75</v>
      </c>
      <c r="Q223" s="26">
        <v>46.3340517062816</v>
      </c>
      <c r="R223" s="26">
        <v>38.417461740436</v>
      </c>
      <c r="S223" s="27">
        <f t="shared" si="24"/>
        <v>42.3757567233588</v>
      </c>
      <c r="T223" s="18">
        <v>45.7737990076354</v>
      </c>
      <c r="U223" s="19">
        <v>40</v>
      </c>
      <c r="V223" s="19">
        <v>75</v>
      </c>
      <c r="W223" s="7">
        <f t="shared" si="25"/>
        <v>57.5</v>
      </c>
      <c r="X223" s="28">
        <f t="shared" si="26"/>
        <v>51.5854613852222</v>
      </c>
      <c r="Y223" s="26">
        <f t="shared" si="27"/>
        <v>55.0557015836951</v>
      </c>
    </row>
    <row r="224" spans="1:25">
      <c r="A224" s="8" t="s">
        <v>252</v>
      </c>
      <c r="B224" s="8">
        <v>4</v>
      </c>
      <c r="C224" s="16">
        <v>25</v>
      </c>
      <c r="D224" s="16">
        <v>25</v>
      </c>
      <c r="E224" s="6">
        <f t="shared" si="21"/>
        <v>25</v>
      </c>
      <c r="F224" s="18">
        <v>26.4318404015432</v>
      </c>
      <c r="G224" s="19">
        <v>40</v>
      </c>
      <c r="H224" s="8" t="s">
        <v>32</v>
      </c>
      <c r="I224" s="19">
        <v>25</v>
      </c>
      <c r="J224" s="19">
        <v>25</v>
      </c>
      <c r="K224" s="9">
        <f t="shared" si="22"/>
        <v>22.5</v>
      </c>
      <c r="L224" s="19">
        <v>40</v>
      </c>
      <c r="M224" s="8" t="s">
        <v>32</v>
      </c>
      <c r="N224" s="8" t="s">
        <v>32</v>
      </c>
      <c r="O224" s="19">
        <v>25</v>
      </c>
      <c r="P224" s="9">
        <f t="shared" si="23"/>
        <v>16.25</v>
      </c>
      <c r="Q224" s="26">
        <v>55.2783649408357</v>
      </c>
      <c r="R224" s="26">
        <v>50.4363401464725</v>
      </c>
      <c r="S224" s="27">
        <f t="shared" si="24"/>
        <v>52.8573525436541</v>
      </c>
      <c r="T224" s="18">
        <v>55.8846842592788</v>
      </c>
      <c r="U224" s="19">
        <v>40</v>
      </c>
      <c r="V224" s="8" t="s">
        <v>32</v>
      </c>
      <c r="W224" s="7">
        <f t="shared" si="25"/>
        <v>20</v>
      </c>
      <c r="X224" s="28">
        <f t="shared" si="26"/>
        <v>35.7652417840202</v>
      </c>
      <c r="Y224" s="26">
        <f t="shared" si="27"/>
        <v>28.2133049321644</v>
      </c>
    </row>
    <row r="225" spans="1:25">
      <c r="A225" s="8" t="s">
        <v>253</v>
      </c>
      <c r="B225" s="8">
        <v>4</v>
      </c>
      <c r="C225" s="16">
        <v>50</v>
      </c>
      <c r="D225" s="17">
        <v>50</v>
      </c>
      <c r="E225" s="6">
        <f t="shared" si="21"/>
        <v>50</v>
      </c>
      <c r="F225" s="18">
        <v>52.9484734143975</v>
      </c>
      <c r="G225" s="8" t="s">
        <v>32</v>
      </c>
      <c r="H225" s="8" t="s">
        <v>32</v>
      </c>
      <c r="I225" s="19">
        <v>25</v>
      </c>
      <c r="J225" s="8" t="s">
        <v>32</v>
      </c>
      <c r="K225" s="9">
        <f t="shared" si="22"/>
        <v>6.25</v>
      </c>
      <c r="L225" s="19">
        <v>40</v>
      </c>
      <c r="M225" s="8" t="s">
        <v>32</v>
      </c>
      <c r="N225" s="8" t="s">
        <v>32</v>
      </c>
      <c r="O225" s="8" t="s">
        <v>32</v>
      </c>
      <c r="P225" s="9">
        <f t="shared" si="23"/>
        <v>10</v>
      </c>
      <c r="Q225" s="26">
        <v>55.0182837372054</v>
      </c>
      <c r="R225" s="26">
        <v>51.1717174976651</v>
      </c>
      <c r="S225" s="27">
        <f t="shared" si="24"/>
        <v>53.0950006174352</v>
      </c>
      <c r="T225" s="18">
        <v>56.2259845725938</v>
      </c>
      <c r="U225" s="8" t="s">
        <v>32</v>
      </c>
      <c r="V225" s="8" t="s">
        <v>32</v>
      </c>
      <c r="W225" s="7">
        <f t="shared" si="25"/>
        <v>0</v>
      </c>
      <c r="X225" s="28">
        <f t="shared" si="26"/>
        <v>35.330088511917</v>
      </c>
      <c r="Y225" s="26">
        <f t="shared" si="27"/>
        <v>25.0848915973983</v>
      </c>
    </row>
    <row r="226" spans="1:25">
      <c r="A226" s="8" t="s">
        <v>254</v>
      </c>
      <c r="B226" s="8">
        <v>4</v>
      </c>
      <c r="C226" s="16">
        <v>50</v>
      </c>
      <c r="D226" s="16">
        <v>50</v>
      </c>
      <c r="E226" s="6">
        <f t="shared" si="21"/>
        <v>50</v>
      </c>
      <c r="F226" s="18">
        <v>54.102759607333</v>
      </c>
      <c r="G226" s="19">
        <v>100</v>
      </c>
      <c r="H226" s="8" t="s">
        <v>32</v>
      </c>
      <c r="I226" s="19">
        <v>75</v>
      </c>
      <c r="J226" s="19">
        <v>75</v>
      </c>
      <c r="K226" s="9">
        <f t="shared" si="22"/>
        <v>62.5</v>
      </c>
      <c r="L226" s="19">
        <v>80</v>
      </c>
      <c r="M226" s="19">
        <v>60</v>
      </c>
      <c r="N226" s="19">
        <v>70</v>
      </c>
      <c r="O226" s="19">
        <v>75</v>
      </c>
      <c r="P226" s="9">
        <f t="shared" si="23"/>
        <v>71.25</v>
      </c>
      <c r="Q226" s="26">
        <v>50.3055628737876</v>
      </c>
      <c r="R226" s="26">
        <v>40.2492376626245</v>
      </c>
      <c r="S226" s="27">
        <f t="shared" si="24"/>
        <v>45.277400268206</v>
      </c>
      <c r="T226" s="18">
        <v>48.9926460471149</v>
      </c>
      <c r="U226" s="19">
        <v>80</v>
      </c>
      <c r="V226" s="19">
        <v>50</v>
      </c>
      <c r="W226" s="7">
        <f t="shared" si="25"/>
        <v>65</v>
      </c>
      <c r="X226" s="28">
        <f t="shared" si="26"/>
        <v>56.5426103403126</v>
      </c>
      <c r="Y226" s="26">
        <f t="shared" si="27"/>
        <v>60.3690811308896</v>
      </c>
    </row>
    <row r="227" spans="1:25">
      <c r="A227" s="8" t="s">
        <v>255</v>
      </c>
      <c r="B227" s="8">
        <v>4</v>
      </c>
      <c r="C227" s="16">
        <v>100</v>
      </c>
      <c r="D227" s="16">
        <v>75</v>
      </c>
      <c r="E227" s="6">
        <f t="shared" si="21"/>
        <v>87.5</v>
      </c>
      <c r="F227" s="18">
        <v>94.9068149841814</v>
      </c>
      <c r="G227" s="19">
        <v>80</v>
      </c>
      <c r="H227" s="19">
        <v>70</v>
      </c>
      <c r="I227" s="19">
        <v>100</v>
      </c>
      <c r="J227" s="19">
        <v>75</v>
      </c>
      <c r="K227" s="9">
        <f t="shared" si="22"/>
        <v>81.25</v>
      </c>
      <c r="L227" s="19">
        <v>60</v>
      </c>
      <c r="M227" s="8" t="s">
        <v>32</v>
      </c>
      <c r="N227" s="19">
        <v>70</v>
      </c>
      <c r="O227" s="19">
        <v>50</v>
      </c>
      <c r="P227" s="9">
        <f t="shared" si="23"/>
        <v>45</v>
      </c>
      <c r="Q227" s="26">
        <v>39.40475088808</v>
      </c>
      <c r="R227" s="26">
        <v>31.6463000678618</v>
      </c>
      <c r="S227" s="27">
        <f t="shared" si="24"/>
        <v>35.5255254779709</v>
      </c>
      <c r="T227" s="18">
        <v>38.5327368428984</v>
      </c>
      <c r="U227" s="19">
        <v>80</v>
      </c>
      <c r="V227" s="19">
        <v>75</v>
      </c>
      <c r="W227" s="7">
        <f t="shared" si="25"/>
        <v>77.5</v>
      </c>
      <c r="X227" s="28">
        <f t="shared" si="26"/>
        <v>62.8944577339956</v>
      </c>
      <c r="Y227" s="26">
        <f t="shared" si="27"/>
        <v>67.437910365416</v>
      </c>
    </row>
    <row r="228" spans="1:25">
      <c r="A228" s="8" t="s">
        <v>256</v>
      </c>
      <c r="B228" s="8">
        <v>4</v>
      </c>
      <c r="C228" s="16">
        <v>75</v>
      </c>
      <c r="D228" s="16">
        <v>25</v>
      </c>
      <c r="E228" s="6">
        <f t="shared" si="21"/>
        <v>50</v>
      </c>
      <c r="F228" s="18">
        <v>49.9451380044236</v>
      </c>
      <c r="G228" s="8" t="s">
        <v>32</v>
      </c>
      <c r="H228" s="8" t="s">
        <v>32</v>
      </c>
      <c r="I228" s="19">
        <v>25</v>
      </c>
      <c r="J228" s="8" t="s">
        <v>32</v>
      </c>
      <c r="K228" s="9">
        <f t="shared" si="22"/>
        <v>6.25</v>
      </c>
      <c r="L228" s="8" t="s">
        <v>32</v>
      </c>
      <c r="M228" s="8" t="s">
        <v>32</v>
      </c>
      <c r="N228" s="8" t="s">
        <v>32</v>
      </c>
      <c r="O228" s="8" t="s">
        <v>32</v>
      </c>
      <c r="P228" s="9">
        <f t="shared" si="23"/>
        <v>0</v>
      </c>
      <c r="Q228" s="26">
        <v>55.5447392996024</v>
      </c>
      <c r="R228" s="26">
        <v>48.683087413711</v>
      </c>
      <c r="S228" s="27">
        <f t="shared" si="24"/>
        <v>52.1139133566567</v>
      </c>
      <c r="T228" s="18">
        <v>52.0567318909759</v>
      </c>
      <c r="U228" s="8" t="s">
        <v>32</v>
      </c>
      <c r="V228" s="8" t="s">
        <v>32</v>
      </c>
      <c r="W228" s="7">
        <f t="shared" si="25"/>
        <v>0</v>
      </c>
      <c r="X228" s="28">
        <f t="shared" si="26"/>
        <v>32.0617203572751</v>
      </c>
      <c r="Y228" s="26">
        <f t="shared" si="27"/>
        <v>21.6503739790799</v>
      </c>
    </row>
    <row r="229" spans="1:25">
      <c r="A229" s="8" t="s">
        <v>257</v>
      </c>
      <c r="B229" s="8">
        <v>4</v>
      </c>
      <c r="C229" s="16">
        <v>50</v>
      </c>
      <c r="D229" s="16">
        <v>25</v>
      </c>
      <c r="E229" s="6">
        <f t="shared" si="21"/>
        <v>37.5</v>
      </c>
      <c r="F229" s="18">
        <v>35.3468820127367</v>
      </c>
      <c r="G229" s="19">
        <v>100</v>
      </c>
      <c r="H229" s="19">
        <v>100</v>
      </c>
      <c r="I229" s="19">
        <v>100</v>
      </c>
      <c r="J229" s="19">
        <v>75</v>
      </c>
      <c r="K229" s="9">
        <f t="shared" si="22"/>
        <v>93.75</v>
      </c>
      <c r="L229" s="19">
        <v>80</v>
      </c>
      <c r="M229" s="19">
        <v>100</v>
      </c>
      <c r="N229" s="19">
        <v>100</v>
      </c>
      <c r="O229" s="19">
        <v>50</v>
      </c>
      <c r="P229" s="9">
        <f t="shared" si="23"/>
        <v>82.5</v>
      </c>
      <c r="Q229" s="26">
        <v>56.4558617530307</v>
      </c>
      <c r="R229" s="26">
        <v>46.4436005693744</v>
      </c>
      <c r="S229" s="27">
        <f t="shared" si="24"/>
        <v>51.4497311612026</v>
      </c>
      <c r="T229" s="18">
        <v>48.4956687184547</v>
      </c>
      <c r="U229" s="19">
        <v>60</v>
      </c>
      <c r="V229" s="19">
        <v>75</v>
      </c>
      <c r="W229" s="7">
        <f t="shared" si="25"/>
        <v>67.5</v>
      </c>
      <c r="X229" s="28">
        <f t="shared" si="26"/>
        <v>60.2176438899292</v>
      </c>
      <c r="Y229" s="26">
        <f t="shared" si="27"/>
        <v>65.5185101462383</v>
      </c>
    </row>
    <row r="230" spans="1:25">
      <c r="A230" s="8" t="s">
        <v>258</v>
      </c>
      <c r="B230" s="8">
        <v>4</v>
      </c>
      <c r="C230" s="16">
        <v>50</v>
      </c>
      <c r="D230" s="16">
        <v>75</v>
      </c>
      <c r="E230" s="6">
        <f t="shared" si="21"/>
        <v>62.5</v>
      </c>
      <c r="F230" s="18">
        <v>64.1049784898194</v>
      </c>
      <c r="K230" s="9">
        <f t="shared" si="22"/>
        <v>0</v>
      </c>
      <c r="P230" s="9">
        <f t="shared" si="23"/>
        <v>0</v>
      </c>
      <c r="Q230" s="26">
        <v>41.7105850637581</v>
      </c>
      <c r="R230" s="26">
        <v>32.5101675279504</v>
      </c>
      <c r="S230" s="27">
        <f t="shared" si="24"/>
        <v>37.1103762958543</v>
      </c>
      <c r="T230" s="18">
        <v>38.0633579871174</v>
      </c>
      <c r="W230" s="7">
        <f t="shared" si="25"/>
        <v>0</v>
      </c>
      <c r="X230" s="28">
        <f t="shared" si="26"/>
        <v>28.0463388928109</v>
      </c>
      <c r="Y230" s="26">
        <f t="shared" si="27"/>
        <v>20.4336672953874</v>
      </c>
    </row>
    <row r="231" spans="1:25">
      <c r="A231" s="8" t="s">
        <v>259</v>
      </c>
      <c r="B231" s="8">
        <v>4</v>
      </c>
      <c r="C231" s="16">
        <v>25</v>
      </c>
      <c r="D231" s="17">
        <v>25</v>
      </c>
      <c r="E231" s="6">
        <f t="shared" si="21"/>
        <v>25</v>
      </c>
      <c r="F231" s="18">
        <v>26.245755837501</v>
      </c>
      <c r="G231" s="19">
        <v>100</v>
      </c>
      <c r="H231" s="19">
        <v>70</v>
      </c>
      <c r="I231" s="19">
        <v>100</v>
      </c>
      <c r="J231" s="19">
        <v>75</v>
      </c>
      <c r="K231" s="9">
        <f t="shared" si="22"/>
        <v>86.25</v>
      </c>
      <c r="L231" s="19">
        <v>100</v>
      </c>
      <c r="M231" s="19">
        <v>100</v>
      </c>
      <c r="N231" s="19">
        <v>70</v>
      </c>
      <c r="O231" s="19">
        <v>100</v>
      </c>
      <c r="P231" s="9">
        <f t="shared" si="23"/>
        <v>92.5</v>
      </c>
      <c r="Q231" s="26">
        <v>63.0430823068523</v>
      </c>
      <c r="R231" s="26">
        <v>59.1633061528207</v>
      </c>
      <c r="S231" s="27">
        <f t="shared" si="24"/>
        <v>61.1031942298365</v>
      </c>
      <c r="T231" s="18">
        <v>64.1479806659075</v>
      </c>
      <c r="U231" s="19">
        <v>80</v>
      </c>
      <c r="V231" s="19">
        <v>75</v>
      </c>
      <c r="W231" s="7">
        <f t="shared" si="25"/>
        <v>77.5</v>
      </c>
      <c r="X231" s="28">
        <f t="shared" si="26"/>
        <v>65.1583434338632</v>
      </c>
      <c r="Y231" s="26">
        <f t="shared" si="27"/>
        <v>69.3287473006817</v>
      </c>
    </row>
    <row r="232" spans="1:25">
      <c r="A232" s="8" t="s">
        <v>260</v>
      </c>
      <c r="B232" s="8">
        <v>4</v>
      </c>
      <c r="C232" s="16">
        <v>50</v>
      </c>
      <c r="D232" s="16">
        <v>25</v>
      </c>
      <c r="E232" s="6">
        <f t="shared" si="21"/>
        <v>37.5</v>
      </c>
      <c r="F232" s="18">
        <v>40.073568026478</v>
      </c>
      <c r="G232" s="8" t="s">
        <v>32</v>
      </c>
      <c r="H232" s="8" t="s">
        <v>32</v>
      </c>
      <c r="I232" s="8" t="s">
        <v>32</v>
      </c>
      <c r="J232" s="8" t="s">
        <v>32</v>
      </c>
      <c r="K232" s="9">
        <f t="shared" si="22"/>
        <v>0</v>
      </c>
      <c r="L232" s="8" t="s">
        <v>32</v>
      </c>
      <c r="M232" s="8" t="s">
        <v>32</v>
      </c>
      <c r="N232" s="8" t="s">
        <v>32</v>
      </c>
      <c r="O232" s="8" t="s">
        <v>32</v>
      </c>
      <c r="P232" s="9">
        <f t="shared" si="23"/>
        <v>0</v>
      </c>
      <c r="Q232" s="26">
        <v>51.0978910303994</v>
      </c>
      <c r="R232" s="26">
        <v>45.3463710198564</v>
      </c>
      <c r="S232" s="27">
        <f t="shared" si="24"/>
        <v>48.2221310251279</v>
      </c>
      <c r="T232" s="18">
        <v>51.5315426137919</v>
      </c>
      <c r="U232" s="8" t="s">
        <v>32</v>
      </c>
      <c r="V232" s="8" t="s">
        <v>32</v>
      </c>
      <c r="W232" s="7">
        <f t="shared" si="25"/>
        <v>0</v>
      </c>
      <c r="X232" s="28">
        <f t="shared" si="26"/>
        <v>28.6273306508124</v>
      </c>
      <c r="Y232" s="26">
        <f t="shared" si="27"/>
        <v>18.321022128054</v>
      </c>
    </row>
    <row r="233" spans="1:25">
      <c r="A233" s="8" t="s">
        <v>261</v>
      </c>
      <c r="B233" s="8">
        <v>4</v>
      </c>
      <c r="C233" s="16">
        <v>50</v>
      </c>
      <c r="D233" s="16">
        <v>75</v>
      </c>
      <c r="E233" s="6">
        <f t="shared" si="21"/>
        <v>62.5</v>
      </c>
      <c r="F233" s="18">
        <v>67.7905821315581</v>
      </c>
      <c r="G233" s="19">
        <v>60</v>
      </c>
      <c r="H233" s="19">
        <v>100</v>
      </c>
      <c r="I233" s="19">
        <v>100</v>
      </c>
      <c r="J233" s="19">
        <v>75</v>
      </c>
      <c r="K233" s="9">
        <f t="shared" si="22"/>
        <v>83.75</v>
      </c>
      <c r="L233" s="19">
        <v>80</v>
      </c>
      <c r="M233" s="19">
        <v>30</v>
      </c>
      <c r="N233" s="19">
        <v>100</v>
      </c>
      <c r="O233" s="19">
        <v>100</v>
      </c>
      <c r="P233" s="9">
        <f t="shared" si="23"/>
        <v>77.5</v>
      </c>
      <c r="Q233" s="26">
        <v>49.8608329616637</v>
      </c>
      <c r="R233" s="26">
        <v>41.0093818547925</v>
      </c>
      <c r="S233" s="27">
        <f t="shared" si="24"/>
        <v>45.4351074082281</v>
      </c>
      <c r="T233" s="18">
        <v>49.2811580866184</v>
      </c>
      <c r="U233" s="19">
        <v>80</v>
      </c>
      <c r="V233" s="19">
        <v>75</v>
      </c>
      <c r="W233" s="7">
        <f t="shared" si="25"/>
        <v>77.5</v>
      </c>
      <c r="X233" s="28">
        <f t="shared" si="26"/>
        <v>65.520579660959</v>
      </c>
      <c r="Y233" s="26">
        <f t="shared" si="27"/>
        <v>71.1643480436353</v>
      </c>
    </row>
    <row r="234" spans="1:25">
      <c r="A234" s="8" t="s">
        <v>262</v>
      </c>
      <c r="B234" s="8">
        <v>4</v>
      </c>
      <c r="C234" s="16">
        <v>50</v>
      </c>
      <c r="D234" s="16">
        <v>50</v>
      </c>
      <c r="E234" s="6">
        <f t="shared" si="21"/>
        <v>50</v>
      </c>
      <c r="F234" s="18">
        <v>46.1575686041211</v>
      </c>
      <c r="G234" s="19">
        <v>40</v>
      </c>
      <c r="H234" s="8" t="s">
        <v>32</v>
      </c>
      <c r="I234" s="19">
        <v>50</v>
      </c>
      <c r="J234" s="19">
        <v>75</v>
      </c>
      <c r="K234" s="9">
        <f t="shared" si="22"/>
        <v>41.25</v>
      </c>
      <c r="L234" s="19">
        <v>60</v>
      </c>
      <c r="M234" s="19">
        <v>60</v>
      </c>
      <c r="N234" s="19">
        <v>70</v>
      </c>
      <c r="O234" s="19">
        <v>100</v>
      </c>
      <c r="P234" s="9">
        <f t="shared" si="23"/>
        <v>72.5</v>
      </c>
      <c r="Q234" s="26">
        <v>63.4735997624158</v>
      </c>
      <c r="R234" s="26">
        <v>60.2223424598904</v>
      </c>
      <c r="S234" s="27">
        <f t="shared" si="24"/>
        <v>61.8479711111531</v>
      </c>
      <c r="T234" s="18">
        <v>57.095039391775</v>
      </c>
      <c r="U234" s="19">
        <v>100</v>
      </c>
      <c r="V234" s="19">
        <v>25</v>
      </c>
      <c r="W234" s="7">
        <f t="shared" si="25"/>
        <v>62.5</v>
      </c>
      <c r="X234" s="28">
        <f t="shared" si="26"/>
        <v>53.8195294775342</v>
      </c>
      <c r="Y234" s="26">
        <f t="shared" si="27"/>
        <v>55.9005215991792</v>
      </c>
    </row>
    <row r="235" spans="1:25">
      <c r="A235" s="8" t="s">
        <v>263</v>
      </c>
      <c r="B235" s="8">
        <v>4</v>
      </c>
      <c r="C235" s="16">
        <v>25</v>
      </c>
      <c r="D235" s="17">
        <v>50</v>
      </c>
      <c r="E235" s="6">
        <f t="shared" si="21"/>
        <v>37.5</v>
      </c>
      <c r="F235" s="18">
        <v>40.6743492789349</v>
      </c>
      <c r="G235" s="19">
        <v>60</v>
      </c>
      <c r="H235" s="19">
        <v>100</v>
      </c>
      <c r="I235" s="19">
        <v>75</v>
      </c>
      <c r="J235" s="19">
        <v>75</v>
      </c>
      <c r="K235" s="9">
        <f t="shared" si="22"/>
        <v>77.5</v>
      </c>
      <c r="L235" s="19">
        <v>80</v>
      </c>
      <c r="M235" s="19">
        <v>100</v>
      </c>
      <c r="N235" s="8" t="s">
        <v>32</v>
      </c>
      <c r="O235" s="19">
        <v>75</v>
      </c>
      <c r="P235" s="9">
        <f t="shared" si="23"/>
        <v>63.75</v>
      </c>
      <c r="Q235" s="26">
        <v>44.1314943435932</v>
      </c>
      <c r="R235" s="26">
        <v>25.77421698442</v>
      </c>
      <c r="S235" s="27">
        <f t="shared" si="24"/>
        <v>34.9528556640066</v>
      </c>
      <c r="T235" s="18">
        <v>37.9115909219734</v>
      </c>
      <c r="U235" s="19">
        <v>40</v>
      </c>
      <c r="V235" s="19">
        <v>75</v>
      </c>
      <c r="W235" s="7">
        <f t="shared" si="25"/>
        <v>57.5</v>
      </c>
      <c r="X235" s="28">
        <f t="shared" si="26"/>
        <v>50.9245062245763</v>
      </c>
      <c r="Y235" s="26">
        <f t="shared" si="27"/>
        <v>55.4671880401816</v>
      </c>
    </row>
    <row r="236" spans="1:25">
      <c r="A236" s="8" t="s">
        <v>264</v>
      </c>
      <c r="B236" s="8">
        <v>4</v>
      </c>
      <c r="C236" s="16">
        <v>100</v>
      </c>
      <c r="D236" s="16">
        <v>50</v>
      </c>
      <c r="E236" s="6">
        <f t="shared" si="21"/>
        <v>75</v>
      </c>
      <c r="F236" s="18">
        <v>77.8718644097925</v>
      </c>
      <c r="G236" s="19">
        <v>60</v>
      </c>
      <c r="H236" s="19">
        <v>100</v>
      </c>
      <c r="I236" s="19">
        <v>100</v>
      </c>
      <c r="J236" s="8" t="s">
        <v>32</v>
      </c>
      <c r="K236" s="9">
        <f t="shared" si="22"/>
        <v>65</v>
      </c>
      <c r="L236" s="19">
        <v>80</v>
      </c>
      <c r="M236" s="19">
        <v>60</v>
      </c>
      <c r="N236" s="19">
        <v>100</v>
      </c>
      <c r="O236" s="19">
        <v>75</v>
      </c>
      <c r="P236" s="9">
        <f t="shared" si="23"/>
        <v>78.75</v>
      </c>
      <c r="Q236" s="26">
        <v>45.448482883985</v>
      </c>
      <c r="R236" s="26">
        <v>34.3125668663897</v>
      </c>
      <c r="S236" s="27">
        <f t="shared" si="24"/>
        <v>39.8805248751874</v>
      </c>
      <c r="T236" s="18">
        <v>41.4076110089593</v>
      </c>
      <c r="U236" s="19">
        <v>60</v>
      </c>
      <c r="V236" s="19">
        <v>25</v>
      </c>
      <c r="W236" s="7">
        <f t="shared" si="25"/>
        <v>42.5</v>
      </c>
      <c r="X236" s="28">
        <f t="shared" si="26"/>
        <v>57.2624172855422</v>
      </c>
      <c r="Y236" s="26">
        <f t="shared" si="27"/>
        <v>61.1058950837504</v>
      </c>
    </row>
    <row r="237" spans="1:25">
      <c r="A237" s="8" t="s">
        <v>265</v>
      </c>
      <c r="B237" s="8">
        <v>4</v>
      </c>
      <c r="C237" s="16">
        <v>50</v>
      </c>
      <c r="D237" s="16">
        <v>25</v>
      </c>
      <c r="E237" s="6">
        <f t="shared" si="21"/>
        <v>37.5</v>
      </c>
      <c r="F237" s="18">
        <v>40.549331664531</v>
      </c>
      <c r="G237" s="19">
        <v>100</v>
      </c>
      <c r="H237" s="19">
        <v>100</v>
      </c>
      <c r="I237" s="19">
        <v>75</v>
      </c>
      <c r="J237" s="19">
        <v>50</v>
      </c>
      <c r="K237" s="9">
        <f t="shared" si="22"/>
        <v>81.25</v>
      </c>
      <c r="L237" s="19">
        <v>100</v>
      </c>
      <c r="M237" s="19">
        <v>100</v>
      </c>
      <c r="N237" s="19">
        <v>70</v>
      </c>
      <c r="O237" s="19">
        <v>100</v>
      </c>
      <c r="P237" s="9">
        <f t="shared" si="23"/>
        <v>92.5</v>
      </c>
      <c r="Q237" s="26">
        <v>52.1640429885759</v>
      </c>
      <c r="R237" s="26">
        <v>41.7917989307458</v>
      </c>
      <c r="S237" s="27">
        <f t="shared" si="24"/>
        <v>46.9779209596608</v>
      </c>
      <c r="T237" s="18">
        <v>50.7979546107576</v>
      </c>
      <c r="U237" s="19">
        <v>80</v>
      </c>
      <c r="V237" s="19">
        <v>75</v>
      </c>
      <c r="W237" s="7">
        <f t="shared" si="25"/>
        <v>77.5</v>
      </c>
      <c r="X237" s="28">
        <f t="shared" si="26"/>
        <v>61.6790481772092</v>
      </c>
      <c r="Y237" s="26">
        <f t="shared" si="27"/>
        <v>68.5194572550577</v>
      </c>
    </row>
    <row r="238" spans="1:25">
      <c r="A238" s="8" t="s">
        <v>266</v>
      </c>
      <c r="B238" s="8">
        <v>4</v>
      </c>
      <c r="C238" s="16">
        <v>75</v>
      </c>
      <c r="D238" s="16">
        <v>25</v>
      </c>
      <c r="E238" s="6">
        <f t="shared" si="21"/>
        <v>50</v>
      </c>
      <c r="F238" s="18">
        <v>50.445856880189</v>
      </c>
      <c r="G238" s="19">
        <v>100</v>
      </c>
      <c r="H238" s="19">
        <v>100</v>
      </c>
      <c r="I238" s="19">
        <v>75</v>
      </c>
      <c r="J238" s="19">
        <v>75</v>
      </c>
      <c r="K238" s="9">
        <f t="shared" si="22"/>
        <v>87.5</v>
      </c>
      <c r="L238" s="19">
        <v>80</v>
      </c>
      <c r="M238" s="19">
        <v>100</v>
      </c>
      <c r="N238" s="19">
        <v>70</v>
      </c>
      <c r="O238" s="19">
        <v>75</v>
      </c>
      <c r="P238" s="9">
        <f t="shared" si="23"/>
        <v>81.25</v>
      </c>
      <c r="Q238" s="26">
        <v>53.9775954058005</v>
      </c>
      <c r="R238" s="26">
        <v>49.4002580479602</v>
      </c>
      <c r="S238" s="27">
        <f t="shared" si="24"/>
        <v>51.6889267268804</v>
      </c>
      <c r="T238" s="18">
        <v>52.1498439990956</v>
      </c>
      <c r="U238" s="19">
        <v>80</v>
      </c>
      <c r="V238" s="19">
        <v>75</v>
      </c>
      <c r="W238" s="7">
        <f t="shared" si="25"/>
        <v>77.5</v>
      </c>
      <c r="X238" s="28">
        <f t="shared" si="26"/>
        <v>64.3241089756761</v>
      </c>
      <c r="Y238" s="26">
        <f t="shared" si="27"/>
        <v>69.7691401758569</v>
      </c>
    </row>
    <row r="239" spans="1:25">
      <c r="A239" s="8" t="s">
        <v>267</v>
      </c>
      <c r="B239" s="8">
        <v>4</v>
      </c>
      <c r="C239" s="16">
        <v>75</v>
      </c>
      <c r="D239" s="16">
        <v>100</v>
      </c>
      <c r="E239" s="6">
        <f t="shared" si="21"/>
        <v>87.5</v>
      </c>
      <c r="F239" s="18">
        <v>94.9068149841814</v>
      </c>
      <c r="G239" s="19">
        <v>40</v>
      </c>
      <c r="H239" s="8" t="s">
        <v>32</v>
      </c>
      <c r="I239" s="19">
        <v>50</v>
      </c>
      <c r="J239" s="8" t="s">
        <v>32</v>
      </c>
      <c r="K239" s="9">
        <f t="shared" si="22"/>
        <v>22.5</v>
      </c>
      <c r="L239" s="19">
        <v>60</v>
      </c>
      <c r="M239" s="8" t="s">
        <v>32</v>
      </c>
      <c r="N239" s="8" t="s">
        <v>32</v>
      </c>
      <c r="O239" s="8" t="s">
        <v>32</v>
      </c>
      <c r="P239" s="9">
        <f t="shared" si="23"/>
        <v>15</v>
      </c>
      <c r="Q239" s="26">
        <v>49.8749482688906</v>
      </c>
      <c r="R239" s="26">
        <v>40.7862710147298</v>
      </c>
      <c r="S239" s="27">
        <f t="shared" si="24"/>
        <v>45.3306096418102</v>
      </c>
      <c r="T239" s="18">
        <v>49.1678146559477</v>
      </c>
      <c r="U239" s="8" t="s">
        <v>32</v>
      </c>
      <c r="V239" s="19">
        <v>50</v>
      </c>
      <c r="W239" s="7">
        <f t="shared" si="25"/>
        <v>25</v>
      </c>
      <c r="X239" s="28">
        <f t="shared" si="26"/>
        <v>47.1484888592154</v>
      </c>
      <c r="Y239" s="26">
        <f t="shared" si="27"/>
        <v>41.3149259280258</v>
      </c>
    </row>
    <row r="240" spans="1:25">
      <c r="A240" s="8" t="s">
        <v>268</v>
      </c>
      <c r="B240" s="8">
        <v>4</v>
      </c>
      <c r="C240" s="16">
        <v>50</v>
      </c>
      <c r="D240" s="17">
        <v>0</v>
      </c>
      <c r="E240" s="6">
        <f t="shared" si="21"/>
        <v>25</v>
      </c>
      <c r="F240" s="18">
        <v>26.6629372421243</v>
      </c>
      <c r="G240" s="19">
        <v>40</v>
      </c>
      <c r="H240" s="19">
        <v>40</v>
      </c>
      <c r="I240" s="19">
        <v>50</v>
      </c>
      <c r="J240" s="8" t="s">
        <v>32</v>
      </c>
      <c r="K240" s="9">
        <f t="shared" si="22"/>
        <v>32.5</v>
      </c>
      <c r="L240" s="19">
        <v>20</v>
      </c>
      <c r="M240" s="8" t="s">
        <v>32</v>
      </c>
      <c r="N240" s="8" t="s">
        <v>32</v>
      </c>
      <c r="O240" s="19">
        <v>25</v>
      </c>
      <c r="P240" s="9">
        <f t="shared" si="23"/>
        <v>11.25</v>
      </c>
      <c r="Q240" s="26">
        <v>61.8454577857054</v>
      </c>
      <c r="R240" s="26">
        <v>46.429610975547</v>
      </c>
      <c r="S240" s="27">
        <f t="shared" si="24"/>
        <v>54.1375343806262</v>
      </c>
      <c r="T240" s="18">
        <v>57.7386272653592</v>
      </c>
      <c r="U240" s="19">
        <v>40</v>
      </c>
      <c r="V240" s="8" t="s">
        <v>32</v>
      </c>
      <c r="W240" s="7">
        <f t="shared" si="25"/>
        <v>20</v>
      </c>
      <c r="X240" s="28">
        <f t="shared" si="26"/>
        <v>38.0530383545685</v>
      </c>
      <c r="Y240" s="26">
        <f t="shared" si="27"/>
        <v>29.6303129014967</v>
      </c>
    </row>
    <row r="241" spans="1:25">
      <c r="A241" s="8" t="s">
        <v>269</v>
      </c>
      <c r="B241" s="8">
        <v>4</v>
      </c>
      <c r="C241" s="16">
        <v>50</v>
      </c>
      <c r="D241" s="16">
        <v>75</v>
      </c>
      <c r="E241" s="6">
        <f t="shared" si="21"/>
        <v>62.5</v>
      </c>
      <c r="F241" s="18">
        <v>62.6694420673456</v>
      </c>
      <c r="G241" s="8" t="s">
        <v>32</v>
      </c>
      <c r="H241" s="19">
        <v>70</v>
      </c>
      <c r="I241" s="19">
        <v>75</v>
      </c>
      <c r="J241" s="19">
        <v>25</v>
      </c>
      <c r="K241" s="9">
        <f t="shared" si="22"/>
        <v>42.5</v>
      </c>
      <c r="L241" s="19">
        <v>60</v>
      </c>
      <c r="M241" s="19">
        <v>30</v>
      </c>
      <c r="N241" s="19">
        <v>30</v>
      </c>
      <c r="O241" s="19">
        <v>100</v>
      </c>
      <c r="P241" s="9">
        <f t="shared" si="23"/>
        <v>55</v>
      </c>
      <c r="Q241" s="26">
        <v>59.4160510432847</v>
      </c>
      <c r="R241" s="26">
        <v>47.5403679678302</v>
      </c>
      <c r="S241" s="27">
        <f t="shared" si="24"/>
        <v>53.4782095055574</v>
      </c>
      <c r="T241" s="18">
        <v>53.6231928395825</v>
      </c>
      <c r="U241" s="19">
        <v>80</v>
      </c>
      <c r="V241" s="8" t="s">
        <v>32</v>
      </c>
      <c r="W241" s="7">
        <f t="shared" si="25"/>
        <v>40</v>
      </c>
      <c r="X241" s="28">
        <f t="shared" si="26"/>
        <v>51.9831655493021</v>
      </c>
      <c r="Y241" s="26">
        <f t="shared" si="27"/>
        <v>50.7585269813856</v>
      </c>
    </row>
    <row r="242" spans="1:25">
      <c r="A242" s="8" t="s">
        <v>270</v>
      </c>
      <c r="B242" s="8">
        <v>4</v>
      </c>
      <c r="C242" s="16">
        <v>100</v>
      </c>
      <c r="D242" s="16">
        <v>75</v>
      </c>
      <c r="E242" s="6">
        <f t="shared" si="21"/>
        <v>87.5</v>
      </c>
      <c r="F242" s="18">
        <v>84.4221356870213</v>
      </c>
      <c r="G242" s="19">
        <v>100</v>
      </c>
      <c r="H242" s="19">
        <v>100</v>
      </c>
      <c r="I242" s="19">
        <v>75</v>
      </c>
      <c r="J242" s="19">
        <v>75</v>
      </c>
      <c r="K242" s="9">
        <f t="shared" si="22"/>
        <v>87.5</v>
      </c>
      <c r="L242" s="19">
        <v>80</v>
      </c>
      <c r="M242" s="8" t="s">
        <v>32</v>
      </c>
      <c r="N242" s="19">
        <v>40</v>
      </c>
      <c r="O242" s="19">
        <v>100</v>
      </c>
      <c r="P242" s="9">
        <f t="shared" si="23"/>
        <v>55</v>
      </c>
      <c r="Q242" s="26">
        <v>64.7232305141777</v>
      </c>
      <c r="R242" s="26">
        <v>54.1986290439265</v>
      </c>
      <c r="S242" s="27">
        <f t="shared" si="24"/>
        <v>59.4609297790521</v>
      </c>
      <c r="T242" s="18">
        <v>57.3693563643838</v>
      </c>
      <c r="U242" s="19">
        <v>100</v>
      </c>
      <c r="V242" s="19">
        <v>100</v>
      </c>
      <c r="W242" s="7">
        <f t="shared" si="25"/>
        <v>100</v>
      </c>
      <c r="X242" s="28">
        <f t="shared" si="26"/>
        <v>72.8321696831578</v>
      </c>
      <c r="Y242" s="26">
        <f t="shared" si="27"/>
        <v>76.858298410281</v>
      </c>
    </row>
    <row r="243" spans="1:25">
      <c r="A243" s="8" t="s">
        <v>271</v>
      </c>
      <c r="B243" s="8">
        <v>4</v>
      </c>
      <c r="C243" s="16">
        <v>50</v>
      </c>
      <c r="D243" s="16">
        <v>25</v>
      </c>
      <c r="E243" s="6">
        <f t="shared" si="21"/>
        <v>37.5</v>
      </c>
      <c r="F243" s="18">
        <v>34.4557235748992</v>
      </c>
      <c r="G243" s="19">
        <v>20</v>
      </c>
      <c r="H243" s="19">
        <v>30</v>
      </c>
      <c r="I243" s="19">
        <v>50</v>
      </c>
      <c r="J243" s="19">
        <v>25</v>
      </c>
      <c r="K243" s="9">
        <f t="shared" si="22"/>
        <v>31.25</v>
      </c>
      <c r="L243" s="19">
        <v>100</v>
      </c>
      <c r="M243" s="19">
        <v>60</v>
      </c>
      <c r="N243" s="19">
        <v>40</v>
      </c>
      <c r="O243" s="19">
        <v>50</v>
      </c>
      <c r="P243" s="9">
        <f t="shared" si="23"/>
        <v>62.5</v>
      </c>
      <c r="Q243" s="26">
        <v>75.5220070739989</v>
      </c>
      <c r="R243" s="26">
        <v>75.4497886439712</v>
      </c>
      <c r="S243" s="27">
        <f t="shared" si="24"/>
        <v>75.4858978589851</v>
      </c>
      <c r="T243" s="18">
        <v>69.3578994781938</v>
      </c>
      <c r="U243" s="19">
        <v>40</v>
      </c>
      <c r="V243" s="19">
        <v>50</v>
      </c>
      <c r="W243" s="7">
        <f t="shared" si="25"/>
        <v>45</v>
      </c>
      <c r="X243" s="28">
        <f t="shared" si="26"/>
        <v>51.6343045062574</v>
      </c>
      <c r="Y243" s="26">
        <f t="shared" si="27"/>
        <v>48.5127246106186</v>
      </c>
    </row>
    <row r="244" spans="1:25">
      <c r="A244" s="8" t="s">
        <v>272</v>
      </c>
      <c r="B244" s="8">
        <v>4</v>
      </c>
      <c r="C244" s="16">
        <v>75</v>
      </c>
      <c r="D244" s="16">
        <v>50</v>
      </c>
      <c r="E244" s="6">
        <f t="shared" si="21"/>
        <v>62.5</v>
      </c>
      <c r="F244" s="18">
        <v>65.5812060959475</v>
      </c>
      <c r="G244" s="19">
        <v>80</v>
      </c>
      <c r="H244" s="19">
        <v>70</v>
      </c>
      <c r="I244" s="19">
        <v>75</v>
      </c>
      <c r="J244" s="19">
        <v>25</v>
      </c>
      <c r="K244" s="9">
        <f t="shared" si="22"/>
        <v>62.5</v>
      </c>
      <c r="L244" s="19">
        <v>100</v>
      </c>
      <c r="M244" s="19">
        <v>30</v>
      </c>
      <c r="N244" s="19">
        <v>100</v>
      </c>
      <c r="O244" s="19">
        <v>25</v>
      </c>
      <c r="P244" s="9">
        <f t="shared" si="23"/>
        <v>63.75</v>
      </c>
      <c r="Q244" s="26">
        <v>50.3615688649369</v>
      </c>
      <c r="R244" s="26">
        <v>43.0069646810891</v>
      </c>
      <c r="S244" s="27">
        <f t="shared" si="24"/>
        <v>46.684266773013</v>
      </c>
      <c r="T244" s="18">
        <v>48.9857683308666</v>
      </c>
      <c r="U244" s="8" t="s">
        <v>32</v>
      </c>
      <c r="V244" s="19">
        <v>75</v>
      </c>
      <c r="W244" s="7">
        <f t="shared" si="25"/>
        <v>37.5</v>
      </c>
      <c r="X244" s="28">
        <f t="shared" si="26"/>
        <v>55.3355485515361</v>
      </c>
      <c r="Y244" s="26">
        <f t="shared" si="27"/>
        <v>55.6633948853628</v>
      </c>
    </row>
    <row r="245" spans="1:25">
      <c r="A245" s="8" t="s">
        <v>273</v>
      </c>
      <c r="B245" s="8">
        <v>4</v>
      </c>
      <c r="C245" s="16">
        <v>75</v>
      </c>
      <c r="D245" s="16">
        <v>25</v>
      </c>
      <c r="E245" s="6">
        <f t="shared" si="21"/>
        <v>50</v>
      </c>
      <c r="F245" s="18">
        <v>54.2324657052465</v>
      </c>
      <c r="G245" s="19">
        <v>100</v>
      </c>
      <c r="H245" s="19">
        <v>40</v>
      </c>
      <c r="I245" s="19">
        <v>100</v>
      </c>
      <c r="J245" s="19">
        <v>25</v>
      </c>
      <c r="K245" s="9">
        <f t="shared" si="22"/>
        <v>66.25</v>
      </c>
      <c r="L245" s="19">
        <v>100</v>
      </c>
      <c r="M245" s="19">
        <v>30</v>
      </c>
      <c r="N245" s="19">
        <v>40</v>
      </c>
      <c r="O245" s="19">
        <v>75</v>
      </c>
      <c r="P245" s="9">
        <f t="shared" si="23"/>
        <v>61.25</v>
      </c>
      <c r="Q245" s="26">
        <v>24.1654172652026</v>
      </c>
      <c r="R245" s="26">
        <v>7.62213600218193</v>
      </c>
      <c r="S245" s="27">
        <f t="shared" si="24"/>
        <v>15.8937766336923</v>
      </c>
      <c r="T245" s="18">
        <v>17.2391739242713</v>
      </c>
      <c r="U245" s="19">
        <v>40</v>
      </c>
      <c r="V245" s="19">
        <v>50</v>
      </c>
      <c r="W245" s="7">
        <f t="shared" si="25"/>
        <v>45</v>
      </c>
      <c r="X245" s="28">
        <f t="shared" si="26"/>
        <v>41.6171627107578</v>
      </c>
      <c r="Y245" s="26">
        <f t="shared" si="27"/>
        <v>48.7943279259036</v>
      </c>
    </row>
    <row r="246" spans="1:25">
      <c r="A246" s="8" t="s">
        <v>274</v>
      </c>
      <c r="B246" s="8">
        <v>4</v>
      </c>
      <c r="C246" s="16">
        <v>75</v>
      </c>
      <c r="D246" s="17">
        <v>25</v>
      </c>
      <c r="E246" s="6">
        <f t="shared" si="21"/>
        <v>50</v>
      </c>
      <c r="F246" s="18">
        <v>52.1566403478725</v>
      </c>
      <c r="G246" s="19">
        <v>40</v>
      </c>
      <c r="H246" s="8" t="s">
        <v>32</v>
      </c>
      <c r="I246" s="8" t="s">
        <v>32</v>
      </c>
      <c r="J246" s="8" t="s">
        <v>32</v>
      </c>
      <c r="K246" s="9">
        <f t="shared" si="22"/>
        <v>10</v>
      </c>
      <c r="L246" s="19">
        <v>100</v>
      </c>
      <c r="M246" s="8" t="s">
        <v>32</v>
      </c>
      <c r="N246" s="8" t="s">
        <v>32</v>
      </c>
      <c r="O246" s="19">
        <v>25</v>
      </c>
      <c r="P246" s="9">
        <f t="shared" si="23"/>
        <v>31.25</v>
      </c>
      <c r="Q246" s="26">
        <v>48.6626237214645</v>
      </c>
      <c r="R246" s="26">
        <v>40.6885180806269</v>
      </c>
      <c r="S246" s="27">
        <f t="shared" si="24"/>
        <v>44.6755709010457</v>
      </c>
      <c r="T246" s="18">
        <v>46.6025536764344</v>
      </c>
      <c r="U246" s="19">
        <v>20</v>
      </c>
      <c r="V246" s="8" t="s">
        <v>32</v>
      </c>
      <c r="W246" s="7">
        <f t="shared" si="25"/>
        <v>10</v>
      </c>
      <c r="X246" s="28">
        <f t="shared" si="26"/>
        <v>35.1973495401482</v>
      </c>
      <c r="Y246" s="26">
        <f t="shared" si="27"/>
        <v>30.0018388048614</v>
      </c>
    </row>
    <row r="247" spans="1:25">
      <c r="A247" s="8" t="s">
        <v>275</v>
      </c>
      <c r="B247" s="8">
        <v>4</v>
      </c>
      <c r="C247" s="16">
        <v>75</v>
      </c>
      <c r="D247" s="16">
        <v>25</v>
      </c>
      <c r="E247" s="6">
        <f t="shared" si="21"/>
        <v>50</v>
      </c>
      <c r="F247" s="18">
        <v>54.2324657052465</v>
      </c>
      <c r="G247" s="19">
        <v>100</v>
      </c>
      <c r="H247" s="19">
        <v>100</v>
      </c>
      <c r="I247" s="19">
        <v>100</v>
      </c>
      <c r="J247" s="19">
        <v>75</v>
      </c>
      <c r="K247" s="9">
        <f t="shared" si="22"/>
        <v>93.75</v>
      </c>
      <c r="L247" s="19">
        <v>100</v>
      </c>
      <c r="M247" s="19">
        <v>100</v>
      </c>
      <c r="N247" s="19">
        <v>100</v>
      </c>
      <c r="O247" s="19">
        <v>100</v>
      </c>
      <c r="P247" s="9">
        <f t="shared" si="23"/>
        <v>100</v>
      </c>
      <c r="Q247" s="26">
        <v>47.195766917287</v>
      </c>
      <c r="R247" s="26">
        <v>36.8896253319769</v>
      </c>
      <c r="S247" s="27">
        <f t="shared" si="24"/>
        <v>42.042696124632</v>
      </c>
      <c r="T247" s="18">
        <v>45.6015815147041</v>
      </c>
      <c r="U247" s="19">
        <v>100</v>
      </c>
      <c r="V247" s="19">
        <v>100</v>
      </c>
      <c r="W247" s="7">
        <f t="shared" si="25"/>
        <v>100</v>
      </c>
      <c r="X247" s="28">
        <f t="shared" si="26"/>
        <v>67.8371257469309</v>
      </c>
      <c r="Y247" s="26">
        <f t="shared" si="27"/>
        <v>78.7168094439901</v>
      </c>
    </row>
    <row r="248" spans="1:25">
      <c r="A248" s="8" t="s">
        <v>276</v>
      </c>
      <c r="B248" s="8">
        <v>4</v>
      </c>
      <c r="C248" s="16">
        <v>50</v>
      </c>
      <c r="D248" s="16">
        <v>25</v>
      </c>
      <c r="E248" s="6">
        <f t="shared" si="21"/>
        <v>37.5</v>
      </c>
      <c r="F248" s="18">
        <v>38.8610271723683</v>
      </c>
      <c r="G248" s="19">
        <v>80</v>
      </c>
      <c r="H248" s="19">
        <v>100</v>
      </c>
      <c r="I248" s="19">
        <v>75</v>
      </c>
      <c r="J248" s="19">
        <v>50</v>
      </c>
      <c r="K248" s="9">
        <f t="shared" si="22"/>
        <v>76.25</v>
      </c>
      <c r="L248" s="19">
        <v>100</v>
      </c>
      <c r="M248" s="19">
        <v>40</v>
      </c>
      <c r="N248" s="19">
        <v>40</v>
      </c>
      <c r="O248" s="19">
        <v>25</v>
      </c>
      <c r="P248" s="9">
        <f t="shared" si="23"/>
        <v>51.25</v>
      </c>
      <c r="Q248" s="26">
        <v>65.6003990336409</v>
      </c>
      <c r="R248" s="26">
        <v>60.5043390770071</v>
      </c>
      <c r="S248" s="27">
        <f t="shared" si="24"/>
        <v>63.052369055324</v>
      </c>
      <c r="T248" s="18">
        <v>65.3407953904303</v>
      </c>
      <c r="U248" s="19">
        <v>20</v>
      </c>
      <c r="V248" s="19">
        <v>100</v>
      </c>
      <c r="W248" s="7">
        <f t="shared" si="25"/>
        <v>60</v>
      </c>
      <c r="X248" s="28">
        <f t="shared" si="26"/>
        <v>60.2835235906458</v>
      </c>
      <c r="Y248" s="26">
        <f t="shared" si="27"/>
        <v>58.3403645125597</v>
      </c>
    </row>
    <row r="249" spans="1:25">
      <c r="A249" s="8" t="s">
        <v>277</v>
      </c>
      <c r="B249" s="8">
        <v>4</v>
      </c>
      <c r="C249" s="16">
        <v>50</v>
      </c>
      <c r="D249" s="16">
        <v>25</v>
      </c>
      <c r="E249" s="6">
        <f t="shared" si="21"/>
        <v>37.5</v>
      </c>
      <c r="F249" s="18">
        <v>40.4051905729867</v>
      </c>
      <c r="K249" s="9">
        <f t="shared" si="22"/>
        <v>0</v>
      </c>
      <c r="P249" s="9">
        <f t="shared" si="23"/>
        <v>0</v>
      </c>
      <c r="Q249" s="26">
        <v>60.7663825887105</v>
      </c>
      <c r="R249" s="26">
        <v>51.0401336077796</v>
      </c>
      <c r="S249" s="27">
        <f t="shared" si="24"/>
        <v>55.903258098245</v>
      </c>
      <c r="T249" s="18">
        <v>60.2341812562788</v>
      </c>
      <c r="W249" s="7">
        <f t="shared" si="25"/>
        <v>0</v>
      </c>
      <c r="X249" s="28">
        <f t="shared" si="26"/>
        <v>32.1747106171089</v>
      </c>
      <c r="Y249" s="26">
        <f t="shared" si="27"/>
        <v>20.1278743658531</v>
      </c>
    </row>
    <row r="250" spans="1:25">
      <c r="A250" s="8" t="s">
        <v>278</v>
      </c>
      <c r="B250" s="8">
        <v>4</v>
      </c>
      <c r="C250" s="16">
        <v>100</v>
      </c>
      <c r="D250" s="16">
        <v>50</v>
      </c>
      <c r="E250" s="6">
        <f t="shared" si="21"/>
        <v>75</v>
      </c>
      <c r="F250" s="18">
        <v>79.7063307126007</v>
      </c>
      <c r="G250" s="19">
        <v>60</v>
      </c>
      <c r="H250" s="8" t="s">
        <v>32</v>
      </c>
      <c r="I250" s="19">
        <v>75</v>
      </c>
      <c r="J250" s="8" t="s">
        <v>32</v>
      </c>
      <c r="K250" s="9">
        <f t="shared" si="22"/>
        <v>33.75</v>
      </c>
      <c r="L250" s="19">
        <v>60</v>
      </c>
      <c r="M250" s="8" t="s">
        <v>32</v>
      </c>
      <c r="N250" s="19">
        <v>40</v>
      </c>
      <c r="O250" s="8" t="s">
        <v>32</v>
      </c>
      <c r="P250" s="9">
        <f t="shared" si="23"/>
        <v>25</v>
      </c>
      <c r="Q250" s="26">
        <v>55.3625192404732</v>
      </c>
      <c r="R250" s="26">
        <v>40.7665296040052</v>
      </c>
      <c r="S250" s="27">
        <f t="shared" si="24"/>
        <v>48.0645244222392</v>
      </c>
      <c r="T250" s="18">
        <v>51.0806250552383</v>
      </c>
      <c r="U250" s="19">
        <v>20</v>
      </c>
      <c r="V250" s="19">
        <v>25</v>
      </c>
      <c r="W250" s="7">
        <f t="shared" si="25"/>
        <v>22.5</v>
      </c>
      <c r="X250" s="28">
        <f t="shared" si="26"/>
        <v>47.8735161646155</v>
      </c>
      <c r="Y250" s="26">
        <f t="shared" si="27"/>
        <v>42.4073911535678</v>
      </c>
    </row>
    <row r="251" spans="1:25">
      <c r="A251" s="8" t="s">
        <v>279</v>
      </c>
      <c r="B251" s="8">
        <v>4</v>
      </c>
      <c r="C251" s="16">
        <v>75</v>
      </c>
      <c r="D251" s="17">
        <v>25</v>
      </c>
      <c r="E251" s="6">
        <f t="shared" si="21"/>
        <v>50</v>
      </c>
      <c r="F251" s="18">
        <v>48.3126440147789</v>
      </c>
      <c r="G251" s="19">
        <v>60</v>
      </c>
      <c r="H251" s="19">
        <v>30</v>
      </c>
      <c r="I251" s="19">
        <v>25</v>
      </c>
      <c r="J251" s="19">
        <v>50</v>
      </c>
      <c r="K251" s="9">
        <f t="shared" si="22"/>
        <v>41.25</v>
      </c>
      <c r="L251" s="19">
        <v>20</v>
      </c>
      <c r="M251" s="8" t="s">
        <v>32</v>
      </c>
      <c r="N251" s="19">
        <v>40</v>
      </c>
      <c r="O251" s="19">
        <v>50</v>
      </c>
      <c r="P251" s="9">
        <f t="shared" si="23"/>
        <v>27.5</v>
      </c>
      <c r="Q251" s="26">
        <v>92.1410659930377</v>
      </c>
      <c r="R251" s="26">
        <v>94.3581847352876</v>
      </c>
      <c r="S251" s="27">
        <f t="shared" si="24"/>
        <v>93.2496253641627</v>
      </c>
      <c r="T251" s="18">
        <v>90.1027190946057</v>
      </c>
      <c r="U251" s="19">
        <v>20</v>
      </c>
      <c r="V251" s="19">
        <v>75</v>
      </c>
      <c r="W251" s="7">
        <f t="shared" si="25"/>
        <v>47.5</v>
      </c>
      <c r="X251" s="28">
        <f t="shared" si="26"/>
        <v>61.4536164407981</v>
      </c>
      <c r="Y251" s="26">
        <f t="shared" si="27"/>
        <v>50.9330726218769</v>
      </c>
    </row>
    <row r="252" spans="1:25">
      <c r="A252" s="8" t="s">
        <v>280</v>
      </c>
      <c r="B252" s="8">
        <v>4</v>
      </c>
      <c r="C252" s="16">
        <v>50</v>
      </c>
      <c r="D252" s="16">
        <v>25</v>
      </c>
      <c r="E252" s="6">
        <f t="shared" si="21"/>
        <v>37.5</v>
      </c>
      <c r="F252" s="18">
        <v>39.3357809520844</v>
      </c>
      <c r="G252" s="19">
        <v>40</v>
      </c>
      <c r="H252" s="8" t="s">
        <v>32</v>
      </c>
      <c r="I252" s="19">
        <v>50</v>
      </c>
      <c r="J252" s="19">
        <v>25</v>
      </c>
      <c r="K252" s="9">
        <f t="shared" si="22"/>
        <v>28.75</v>
      </c>
      <c r="L252" s="19">
        <v>80</v>
      </c>
      <c r="M252" s="8" t="s">
        <v>32</v>
      </c>
      <c r="N252" s="8" t="s">
        <v>32</v>
      </c>
      <c r="O252" s="19">
        <v>25</v>
      </c>
      <c r="P252" s="9">
        <f t="shared" si="23"/>
        <v>26.25</v>
      </c>
      <c r="Q252" s="26">
        <v>48.2390999128733</v>
      </c>
      <c r="R252" s="26">
        <v>37.939588788751</v>
      </c>
      <c r="S252" s="27">
        <f t="shared" si="24"/>
        <v>43.0893443508121</v>
      </c>
      <c r="T252" s="18">
        <v>45.1987469533995</v>
      </c>
      <c r="U252" s="8" t="s">
        <v>32</v>
      </c>
      <c r="V252" s="19">
        <v>25</v>
      </c>
      <c r="W252" s="7">
        <f t="shared" si="25"/>
        <v>12.5</v>
      </c>
      <c r="X252" s="28">
        <f t="shared" si="26"/>
        <v>35.5716549717767</v>
      </c>
      <c r="Y252" s="26">
        <f t="shared" si="27"/>
        <v>30.4069055810968</v>
      </c>
    </row>
    <row r="253" spans="1:25">
      <c r="A253" s="8" t="s">
        <v>281</v>
      </c>
      <c r="B253" s="8">
        <v>4</v>
      </c>
      <c r="C253" s="16">
        <v>50</v>
      </c>
      <c r="D253" s="16">
        <v>50</v>
      </c>
      <c r="E253" s="6">
        <f t="shared" si="21"/>
        <v>50</v>
      </c>
      <c r="F253" s="18">
        <v>54.2324657052465</v>
      </c>
      <c r="G253" s="19">
        <v>40</v>
      </c>
      <c r="H253" s="19">
        <v>40</v>
      </c>
      <c r="I253" s="19">
        <v>50</v>
      </c>
      <c r="J253" s="8" t="s">
        <v>32</v>
      </c>
      <c r="K253" s="9">
        <f t="shared" si="22"/>
        <v>32.5</v>
      </c>
      <c r="L253" s="19">
        <v>60</v>
      </c>
      <c r="M253" s="19">
        <v>40</v>
      </c>
      <c r="N253" s="19">
        <v>40</v>
      </c>
      <c r="O253" s="8" t="s">
        <v>32</v>
      </c>
      <c r="P253" s="9">
        <f t="shared" si="23"/>
        <v>35</v>
      </c>
      <c r="Q253" s="26">
        <v>51.9356704999287</v>
      </c>
      <c r="R253" s="26">
        <v>33.3445354273609</v>
      </c>
      <c r="S253" s="27">
        <f t="shared" si="24"/>
        <v>42.6401029636448</v>
      </c>
      <c r="T253" s="18">
        <v>46.249558432881</v>
      </c>
      <c r="U253" s="8" t="s">
        <v>32</v>
      </c>
      <c r="V253" s="19">
        <v>50</v>
      </c>
      <c r="W253" s="7">
        <f t="shared" si="25"/>
        <v>25</v>
      </c>
      <c r="X253" s="28">
        <f t="shared" si="26"/>
        <v>41.8463165142017</v>
      </c>
      <c r="Y253" s="26">
        <f t="shared" si="27"/>
        <v>38.5964048276255</v>
      </c>
    </row>
    <row r="254" spans="1:25">
      <c r="A254" s="8" t="s">
        <v>282</v>
      </c>
      <c r="B254" s="8">
        <v>4</v>
      </c>
      <c r="C254" s="16">
        <v>50</v>
      </c>
      <c r="D254" s="16">
        <v>25</v>
      </c>
      <c r="E254" s="6">
        <f t="shared" si="21"/>
        <v>37.5</v>
      </c>
      <c r="F254" s="18">
        <v>37.4982582139749</v>
      </c>
      <c r="G254" s="19">
        <v>80</v>
      </c>
      <c r="H254" s="19">
        <v>40</v>
      </c>
      <c r="I254" s="19">
        <v>25</v>
      </c>
      <c r="J254" s="19">
        <v>25</v>
      </c>
      <c r="K254" s="9">
        <f t="shared" si="22"/>
        <v>42.5</v>
      </c>
      <c r="L254" s="19">
        <v>40</v>
      </c>
      <c r="M254" s="8" t="s">
        <v>32</v>
      </c>
      <c r="N254" s="8" t="s">
        <v>32</v>
      </c>
      <c r="O254" s="8" t="s">
        <v>32</v>
      </c>
      <c r="P254" s="9">
        <f t="shared" si="23"/>
        <v>10</v>
      </c>
      <c r="Q254" s="26">
        <v>50.3089503300572</v>
      </c>
      <c r="R254" s="26">
        <v>44.0505737520394</v>
      </c>
      <c r="S254" s="27">
        <f t="shared" si="24"/>
        <v>47.1797620410483</v>
      </c>
      <c r="T254" s="18">
        <v>47.1775706530431</v>
      </c>
      <c r="U254" s="8" t="s">
        <v>32</v>
      </c>
      <c r="V254" s="19">
        <v>50</v>
      </c>
      <c r="W254" s="7">
        <f t="shared" si="25"/>
        <v>25</v>
      </c>
      <c r="X254" s="28">
        <f t="shared" si="26"/>
        <v>38.3706799040122</v>
      </c>
      <c r="Y254" s="26">
        <f t="shared" si="27"/>
        <v>32.4351657734036</v>
      </c>
    </row>
    <row r="255" spans="1:25">
      <c r="A255" s="8" t="s">
        <v>283</v>
      </c>
      <c r="B255" s="8">
        <v>4</v>
      </c>
      <c r="C255" s="16">
        <v>75</v>
      </c>
      <c r="D255" s="16">
        <v>50</v>
      </c>
      <c r="E255" s="6">
        <f t="shared" si="21"/>
        <v>62.5</v>
      </c>
      <c r="F255" s="18">
        <v>67.7905821315581</v>
      </c>
      <c r="G255" s="19">
        <v>100</v>
      </c>
      <c r="H255" s="19">
        <v>100</v>
      </c>
      <c r="I255" s="19">
        <v>100</v>
      </c>
      <c r="J255" s="19">
        <v>75</v>
      </c>
      <c r="K255" s="9">
        <f t="shared" si="22"/>
        <v>93.75</v>
      </c>
      <c r="L255" s="19">
        <v>80</v>
      </c>
      <c r="M255" s="19">
        <v>100</v>
      </c>
      <c r="N255" s="19">
        <v>70</v>
      </c>
      <c r="O255" s="19">
        <v>100</v>
      </c>
      <c r="P255" s="9">
        <f t="shared" si="23"/>
        <v>87.5</v>
      </c>
      <c r="Q255" s="26">
        <v>56.9345386604397</v>
      </c>
      <c r="R255" s="26">
        <v>41.336842470305</v>
      </c>
      <c r="S255" s="27">
        <f t="shared" si="24"/>
        <v>49.1356905653724</v>
      </c>
      <c r="T255" s="18">
        <v>53.2949930698032</v>
      </c>
      <c r="U255" s="19">
        <v>60</v>
      </c>
      <c r="V255" s="19">
        <v>100</v>
      </c>
      <c r="W255" s="7">
        <f t="shared" si="25"/>
        <v>80</v>
      </c>
      <c r="X255" s="28">
        <f t="shared" si="26"/>
        <v>70.3761136542329</v>
      </c>
      <c r="Y255" s="26">
        <f t="shared" si="27"/>
        <v>76.4671150402723</v>
      </c>
    </row>
    <row r="256" spans="1:25">
      <c r="A256" s="8" t="s">
        <v>284</v>
      </c>
      <c r="B256" s="8">
        <v>4</v>
      </c>
      <c r="C256" s="16">
        <v>50</v>
      </c>
      <c r="D256" s="16">
        <v>25</v>
      </c>
      <c r="E256" s="6">
        <f t="shared" si="21"/>
        <v>37.5</v>
      </c>
      <c r="F256" s="18">
        <v>40.6743492789349</v>
      </c>
      <c r="G256" s="19">
        <v>100</v>
      </c>
      <c r="H256" s="19">
        <v>60</v>
      </c>
      <c r="I256" s="19">
        <v>75</v>
      </c>
      <c r="J256" s="19">
        <v>75</v>
      </c>
      <c r="K256" s="9">
        <f t="shared" si="22"/>
        <v>77.5</v>
      </c>
      <c r="L256" s="19">
        <v>80</v>
      </c>
      <c r="M256" s="19">
        <v>100</v>
      </c>
      <c r="N256" s="19">
        <v>70</v>
      </c>
      <c r="O256" s="19">
        <v>50</v>
      </c>
      <c r="P256" s="9">
        <f t="shared" si="23"/>
        <v>75</v>
      </c>
      <c r="Q256" s="26">
        <v>40.1235558072991</v>
      </c>
      <c r="R256" s="26">
        <v>32.088304235231</v>
      </c>
      <c r="S256" s="27">
        <f t="shared" si="24"/>
        <v>36.105930021265</v>
      </c>
      <c r="T256" s="18">
        <v>39.1622722326857</v>
      </c>
      <c r="U256" s="19">
        <v>100</v>
      </c>
      <c r="V256" s="19">
        <v>75</v>
      </c>
      <c r="W256" s="7">
        <f t="shared" si="25"/>
        <v>87.5</v>
      </c>
      <c r="X256" s="28">
        <f t="shared" si="26"/>
        <v>55.5497787488613</v>
      </c>
      <c r="Y256" s="26">
        <f t="shared" si="27"/>
        <v>63.9673243023241</v>
      </c>
    </row>
    <row r="257" spans="1:25">
      <c r="A257" s="8" t="s">
        <v>285</v>
      </c>
      <c r="B257" s="8">
        <v>4</v>
      </c>
      <c r="C257" s="16">
        <v>50</v>
      </c>
      <c r="D257" s="17">
        <v>50</v>
      </c>
      <c r="E257" s="6">
        <f t="shared" si="21"/>
        <v>50</v>
      </c>
      <c r="F257" s="18">
        <v>54.2324657052465</v>
      </c>
      <c r="G257" s="19">
        <v>40</v>
      </c>
      <c r="H257" s="19">
        <v>100</v>
      </c>
      <c r="I257" s="19">
        <v>50</v>
      </c>
      <c r="J257" s="19">
        <v>25</v>
      </c>
      <c r="K257" s="9">
        <f t="shared" si="22"/>
        <v>53.75</v>
      </c>
      <c r="L257" s="19">
        <v>80</v>
      </c>
      <c r="M257" s="19">
        <v>100</v>
      </c>
      <c r="N257" s="19">
        <v>30</v>
      </c>
      <c r="O257" s="19">
        <v>50</v>
      </c>
      <c r="P257" s="9">
        <f t="shared" si="23"/>
        <v>65</v>
      </c>
      <c r="Q257" s="26">
        <v>17.7782284157987</v>
      </c>
      <c r="R257" s="26">
        <v>0.412971727282476</v>
      </c>
      <c r="S257" s="27">
        <f t="shared" si="24"/>
        <v>9.09560007154061</v>
      </c>
      <c r="T257" s="18">
        <v>9.86553637896927</v>
      </c>
      <c r="U257" s="19">
        <v>60</v>
      </c>
      <c r="V257" s="19">
        <v>75</v>
      </c>
      <c r="W257" s="7">
        <f t="shared" si="25"/>
        <v>67.5</v>
      </c>
      <c r="X257" s="28">
        <f t="shared" si="26"/>
        <v>38.792707692637</v>
      </c>
      <c r="Y257" s="26">
        <f t="shared" si="27"/>
        <v>50.0696004168432</v>
      </c>
    </row>
    <row r="258" spans="1:25">
      <c r="A258" s="8" t="s">
        <v>286</v>
      </c>
      <c r="B258" s="8">
        <v>4</v>
      </c>
      <c r="C258" s="17">
        <v>25</v>
      </c>
      <c r="D258" s="17">
        <v>50</v>
      </c>
      <c r="E258" s="6">
        <f t="shared" si="21"/>
        <v>37.5</v>
      </c>
      <c r="F258" s="18">
        <v>39.6181988801295</v>
      </c>
      <c r="G258" s="19">
        <v>100</v>
      </c>
      <c r="H258" s="19">
        <v>40</v>
      </c>
      <c r="I258" s="19">
        <v>50</v>
      </c>
      <c r="J258" s="19">
        <v>50</v>
      </c>
      <c r="K258" s="9">
        <f t="shared" si="22"/>
        <v>60</v>
      </c>
      <c r="L258" s="19">
        <v>80</v>
      </c>
      <c r="M258" s="19">
        <v>100</v>
      </c>
      <c r="N258" s="19">
        <v>70</v>
      </c>
      <c r="O258" s="19">
        <v>100</v>
      </c>
      <c r="P258" s="9">
        <f t="shared" si="23"/>
        <v>87.5</v>
      </c>
      <c r="Q258" s="26">
        <v>44.0263969076481</v>
      </c>
      <c r="R258" s="26">
        <v>34.4339381231382</v>
      </c>
      <c r="S258" s="27">
        <f t="shared" si="24"/>
        <v>39.2301675153931</v>
      </c>
      <c r="T258" s="18">
        <v>41.4460954326838</v>
      </c>
      <c r="U258" s="19">
        <v>80</v>
      </c>
      <c r="V258" s="19">
        <v>100</v>
      </c>
      <c r="W258" s="7">
        <f t="shared" si="25"/>
        <v>90</v>
      </c>
      <c r="X258" s="28">
        <f t="shared" si="26"/>
        <v>54.2520779490994</v>
      </c>
      <c r="Y258" s="26">
        <f t="shared" si="27"/>
        <v>63.7128588625627</v>
      </c>
    </row>
    <row r="259" spans="1:25">
      <c r="A259" s="8" t="s">
        <v>287</v>
      </c>
      <c r="B259" s="8">
        <v>4</v>
      </c>
      <c r="C259" s="16">
        <v>50</v>
      </c>
      <c r="D259" s="17">
        <v>25</v>
      </c>
      <c r="E259" s="6">
        <f t="shared" ref="E259:E299" si="28">SUM(C259:D259)/2</f>
        <v>37.5</v>
      </c>
      <c r="F259" s="18">
        <v>38.68146840204</v>
      </c>
      <c r="G259" s="19">
        <v>60</v>
      </c>
      <c r="H259" s="19">
        <v>70</v>
      </c>
      <c r="I259" s="19">
        <v>25</v>
      </c>
      <c r="J259" s="19">
        <v>75</v>
      </c>
      <c r="K259" s="9">
        <f t="shared" ref="K259:K299" si="29">SUM(G259:J259)/4</f>
        <v>57.5</v>
      </c>
      <c r="L259" s="19">
        <v>80</v>
      </c>
      <c r="M259" s="19">
        <v>100</v>
      </c>
      <c r="N259" s="19">
        <v>40</v>
      </c>
      <c r="O259" s="19">
        <v>75</v>
      </c>
      <c r="P259" s="9">
        <f t="shared" ref="P259:P299" si="30">SUM(L259:O259)/4</f>
        <v>73.75</v>
      </c>
      <c r="Q259" s="26">
        <v>52.4358119503953</v>
      </c>
      <c r="R259" s="26">
        <v>44.8071031772786</v>
      </c>
      <c r="S259" s="27">
        <f t="shared" ref="S259:S299" si="31">(Q259+R259)/2</f>
        <v>48.6214575638369</v>
      </c>
      <c r="T259" s="18">
        <v>50.1533166511117</v>
      </c>
      <c r="U259" s="19">
        <v>80</v>
      </c>
      <c r="V259" s="19">
        <v>50</v>
      </c>
      <c r="W259" s="7">
        <f t="shared" ref="W259:W299" si="32">SUM(U259:V259)/2</f>
        <v>65</v>
      </c>
      <c r="X259" s="28">
        <f t="shared" ref="X259:X299" si="33">0.2*F259+0.2*K259+0.1*P259+0.4*T259+0.1*W259</f>
        <v>53.1726203408527</v>
      </c>
      <c r="Y259" s="26">
        <f t="shared" ref="Y259:Y299" si="34">(F259+K259+P259+T259+W259)*0.2</f>
        <v>57.0169570106303</v>
      </c>
    </row>
    <row r="260" spans="1:25">
      <c r="A260" s="8" t="s">
        <v>288</v>
      </c>
      <c r="B260" s="8">
        <v>4</v>
      </c>
      <c r="C260" s="16">
        <v>25</v>
      </c>
      <c r="D260" s="17">
        <v>50</v>
      </c>
      <c r="E260" s="6">
        <f t="shared" si="28"/>
        <v>37.5</v>
      </c>
      <c r="F260" s="18">
        <v>36.2917832695991</v>
      </c>
      <c r="G260" s="19">
        <v>80</v>
      </c>
      <c r="H260" s="19">
        <v>100</v>
      </c>
      <c r="I260" s="19">
        <v>100</v>
      </c>
      <c r="J260" s="19">
        <v>50</v>
      </c>
      <c r="K260" s="9">
        <f t="shared" si="29"/>
        <v>82.5</v>
      </c>
      <c r="L260" s="19">
        <v>100</v>
      </c>
      <c r="M260" s="19">
        <v>60</v>
      </c>
      <c r="N260" s="19">
        <v>40</v>
      </c>
      <c r="O260" s="19">
        <v>75</v>
      </c>
      <c r="P260" s="9">
        <f t="shared" si="30"/>
        <v>68.75</v>
      </c>
      <c r="Q260" s="26">
        <v>55.3375128396487</v>
      </c>
      <c r="R260" s="26">
        <v>51.2014160815579</v>
      </c>
      <c r="S260" s="27">
        <f t="shared" si="31"/>
        <v>53.2694644606033</v>
      </c>
      <c r="T260" s="18">
        <v>51.553169575782</v>
      </c>
      <c r="U260" s="19">
        <v>80</v>
      </c>
      <c r="V260" s="19">
        <v>50</v>
      </c>
      <c r="W260" s="7">
        <f t="shared" si="32"/>
        <v>65</v>
      </c>
      <c r="X260" s="28">
        <f t="shared" si="33"/>
        <v>57.7546244842326</v>
      </c>
      <c r="Y260" s="26">
        <f t="shared" si="34"/>
        <v>60.8189905690762</v>
      </c>
    </row>
    <row r="261" spans="1:25">
      <c r="A261" s="8" t="s">
        <v>289</v>
      </c>
      <c r="B261" s="8">
        <v>4</v>
      </c>
      <c r="C261" s="16">
        <v>100</v>
      </c>
      <c r="D261" s="16">
        <v>75</v>
      </c>
      <c r="E261" s="6">
        <f t="shared" si="28"/>
        <v>87.5</v>
      </c>
      <c r="F261" s="18">
        <v>94.9068149841814</v>
      </c>
      <c r="G261" s="19">
        <v>100</v>
      </c>
      <c r="H261" s="19">
        <v>60</v>
      </c>
      <c r="I261" s="19">
        <v>100</v>
      </c>
      <c r="J261" s="19">
        <v>50</v>
      </c>
      <c r="K261" s="9">
        <f t="shared" si="29"/>
        <v>77.5</v>
      </c>
      <c r="L261" s="19">
        <v>100</v>
      </c>
      <c r="M261" s="19">
        <v>60</v>
      </c>
      <c r="N261" s="19">
        <v>100</v>
      </c>
      <c r="O261" s="19">
        <v>50</v>
      </c>
      <c r="P261" s="9">
        <f t="shared" si="30"/>
        <v>77.5</v>
      </c>
      <c r="Q261" s="26">
        <v>45.4269005019196</v>
      </c>
      <c r="R261" s="26">
        <v>36.536275421254</v>
      </c>
      <c r="S261" s="27">
        <f t="shared" si="31"/>
        <v>40.9815879615868</v>
      </c>
      <c r="T261" s="18">
        <v>44.450651273466</v>
      </c>
      <c r="U261" s="19">
        <v>80</v>
      </c>
      <c r="V261" s="19">
        <v>50</v>
      </c>
      <c r="W261" s="7">
        <f t="shared" si="32"/>
        <v>65</v>
      </c>
      <c r="X261" s="28">
        <f t="shared" si="33"/>
        <v>66.5116235062227</v>
      </c>
      <c r="Y261" s="26">
        <f t="shared" si="34"/>
        <v>71.8714932515295</v>
      </c>
    </row>
    <row r="262" spans="1:25">
      <c r="A262" s="8" t="s">
        <v>290</v>
      </c>
      <c r="B262" s="8">
        <v>4</v>
      </c>
      <c r="C262" s="16">
        <v>50</v>
      </c>
      <c r="D262" s="16">
        <v>50</v>
      </c>
      <c r="E262" s="6">
        <f t="shared" si="28"/>
        <v>50</v>
      </c>
      <c r="F262" s="18">
        <v>45.9409647665323</v>
      </c>
      <c r="G262" s="19">
        <v>80</v>
      </c>
      <c r="H262" s="8" t="s">
        <v>32</v>
      </c>
      <c r="I262" s="19">
        <v>50</v>
      </c>
      <c r="J262" s="19">
        <v>75</v>
      </c>
      <c r="K262" s="9">
        <f t="shared" si="29"/>
        <v>51.25</v>
      </c>
      <c r="L262" s="19">
        <v>80</v>
      </c>
      <c r="M262" s="19">
        <v>30</v>
      </c>
      <c r="N262" s="19">
        <v>40</v>
      </c>
      <c r="O262" s="19">
        <v>100</v>
      </c>
      <c r="P262" s="9">
        <f t="shared" si="30"/>
        <v>62.5</v>
      </c>
      <c r="Q262" s="26">
        <v>83.9792761812814</v>
      </c>
      <c r="R262" s="26">
        <v>76.8996153170563</v>
      </c>
      <c r="S262" s="27">
        <f t="shared" si="31"/>
        <v>80.4394457491689</v>
      </c>
      <c r="T262" s="18">
        <v>73.9093148600391</v>
      </c>
      <c r="U262" s="19">
        <v>80</v>
      </c>
      <c r="V262" s="19">
        <v>75</v>
      </c>
      <c r="W262" s="7">
        <f t="shared" si="32"/>
        <v>77.5</v>
      </c>
      <c r="X262" s="28">
        <f t="shared" si="33"/>
        <v>63.0019188973221</v>
      </c>
      <c r="Y262" s="26">
        <f t="shared" si="34"/>
        <v>62.2200559253143</v>
      </c>
    </row>
    <row r="263" spans="1:25">
      <c r="A263" s="8" t="s">
        <v>291</v>
      </c>
      <c r="B263" s="8">
        <v>4</v>
      </c>
      <c r="C263" s="16">
        <v>50</v>
      </c>
      <c r="D263" s="16">
        <v>25</v>
      </c>
      <c r="E263" s="6">
        <f t="shared" si="28"/>
        <v>37.5</v>
      </c>
      <c r="F263" s="18">
        <v>40.6743492789349</v>
      </c>
      <c r="G263" s="19">
        <v>100</v>
      </c>
      <c r="H263" s="19">
        <v>100</v>
      </c>
      <c r="I263" s="19">
        <v>100</v>
      </c>
      <c r="J263" s="19">
        <v>100</v>
      </c>
      <c r="K263" s="9">
        <f t="shared" si="29"/>
        <v>100</v>
      </c>
      <c r="L263" s="19">
        <v>100</v>
      </c>
      <c r="M263" s="19">
        <v>100</v>
      </c>
      <c r="N263" s="19">
        <v>70</v>
      </c>
      <c r="O263" s="19">
        <v>75</v>
      </c>
      <c r="P263" s="9">
        <f t="shared" si="30"/>
        <v>86.25</v>
      </c>
      <c r="Q263" s="26">
        <v>44.4003250062585</v>
      </c>
      <c r="R263" s="26">
        <v>36.5669871628446</v>
      </c>
      <c r="S263" s="27">
        <f t="shared" si="31"/>
        <v>40.4836560845516</v>
      </c>
      <c r="T263" s="18">
        <v>43.9105698045687</v>
      </c>
      <c r="U263" s="19">
        <v>80</v>
      </c>
      <c r="V263" s="19">
        <v>100</v>
      </c>
      <c r="W263" s="7">
        <f t="shared" si="32"/>
        <v>90</v>
      </c>
      <c r="X263" s="28">
        <f t="shared" si="33"/>
        <v>63.3240977776145</v>
      </c>
      <c r="Y263" s="26">
        <f t="shared" si="34"/>
        <v>72.1669838167007</v>
      </c>
    </row>
    <row r="264" spans="1:25">
      <c r="A264" s="8" t="s">
        <v>292</v>
      </c>
      <c r="B264" s="8">
        <v>4</v>
      </c>
      <c r="C264" s="16">
        <v>50</v>
      </c>
      <c r="D264" s="16">
        <v>75</v>
      </c>
      <c r="E264" s="6">
        <f t="shared" si="28"/>
        <v>62.5</v>
      </c>
      <c r="F264" s="18">
        <v>63.1445689888531</v>
      </c>
      <c r="G264" s="8" t="s">
        <v>32</v>
      </c>
      <c r="H264" s="8" t="s">
        <v>32</v>
      </c>
      <c r="I264" s="19">
        <v>50</v>
      </c>
      <c r="J264" s="19">
        <v>50</v>
      </c>
      <c r="K264" s="9">
        <f t="shared" si="29"/>
        <v>25</v>
      </c>
      <c r="L264" s="19">
        <v>40</v>
      </c>
      <c r="M264" s="8" t="s">
        <v>32</v>
      </c>
      <c r="N264" s="8" t="s">
        <v>32</v>
      </c>
      <c r="O264" s="19">
        <v>75</v>
      </c>
      <c r="P264" s="9">
        <f t="shared" si="30"/>
        <v>28.75</v>
      </c>
      <c r="Q264" s="26">
        <v>61.4936074359791</v>
      </c>
      <c r="R264" s="26">
        <v>46.3293388137543</v>
      </c>
      <c r="S264" s="27">
        <f t="shared" si="31"/>
        <v>53.9114731248667</v>
      </c>
      <c r="T264" s="18">
        <v>54.4674677443816</v>
      </c>
      <c r="U264" s="19">
        <v>20</v>
      </c>
      <c r="V264" s="8" t="s">
        <v>32</v>
      </c>
      <c r="W264" s="7">
        <f t="shared" si="32"/>
        <v>10</v>
      </c>
      <c r="X264" s="28">
        <f t="shared" si="33"/>
        <v>43.2909008955233</v>
      </c>
      <c r="Y264" s="26">
        <f t="shared" si="34"/>
        <v>36.2724073466469</v>
      </c>
    </row>
    <row r="265" spans="1:25">
      <c r="A265" s="8" t="s">
        <v>293</v>
      </c>
      <c r="B265" s="8">
        <v>4</v>
      </c>
      <c r="C265" s="16">
        <v>50</v>
      </c>
      <c r="D265" s="17">
        <v>25</v>
      </c>
      <c r="E265" s="6">
        <f t="shared" si="28"/>
        <v>37.5</v>
      </c>
      <c r="F265" s="18">
        <v>38.592910881963</v>
      </c>
      <c r="G265" s="19">
        <v>60</v>
      </c>
      <c r="H265" s="8" t="s">
        <v>32</v>
      </c>
      <c r="I265" s="19">
        <v>25</v>
      </c>
      <c r="J265" s="19">
        <v>25</v>
      </c>
      <c r="K265" s="9">
        <f t="shared" si="29"/>
        <v>27.5</v>
      </c>
      <c r="L265" s="8" t="s">
        <v>32</v>
      </c>
      <c r="M265" s="8" t="s">
        <v>32</v>
      </c>
      <c r="N265" s="19">
        <v>40</v>
      </c>
      <c r="O265" s="19">
        <v>25</v>
      </c>
      <c r="P265" s="9">
        <f t="shared" si="30"/>
        <v>16.25</v>
      </c>
      <c r="Q265" s="26">
        <v>68.0240480344768</v>
      </c>
      <c r="R265" s="26">
        <v>64.1035281524005</v>
      </c>
      <c r="S265" s="27">
        <f t="shared" si="31"/>
        <v>66.0637880934387</v>
      </c>
      <c r="T265" s="18">
        <v>67.9891703043991</v>
      </c>
      <c r="U265" s="19">
        <v>60</v>
      </c>
      <c r="V265" s="19">
        <v>25</v>
      </c>
      <c r="W265" s="7">
        <f t="shared" si="32"/>
        <v>42.5</v>
      </c>
      <c r="X265" s="28">
        <f t="shared" si="33"/>
        <v>46.2892502981523</v>
      </c>
      <c r="Y265" s="26">
        <f t="shared" si="34"/>
        <v>38.5664162372724</v>
      </c>
    </row>
    <row r="266" spans="1:25">
      <c r="A266" s="8" t="s">
        <v>294</v>
      </c>
      <c r="B266" s="8">
        <v>4</v>
      </c>
      <c r="C266" s="16">
        <v>25</v>
      </c>
      <c r="D266" s="17">
        <v>0</v>
      </c>
      <c r="E266" s="6">
        <f t="shared" si="28"/>
        <v>12.5</v>
      </c>
      <c r="F266" s="18">
        <v>12.9296957177664</v>
      </c>
      <c r="G266" s="19">
        <v>40</v>
      </c>
      <c r="H266" s="8" t="s">
        <v>32</v>
      </c>
      <c r="I266" s="19">
        <v>75</v>
      </c>
      <c r="J266" s="8" t="s">
        <v>32</v>
      </c>
      <c r="K266" s="9">
        <f t="shared" si="29"/>
        <v>28.75</v>
      </c>
      <c r="L266" s="19">
        <v>20</v>
      </c>
      <c r="M266" s="8" t="s">
        <v>32</v>
      </c>
      <c r="N266" s="19">
        <v>40</v>
      </c>
      <c r="O266" s="8" t="s">
        <v>32</v>
      </c>
      <c r="P266" s="9">
        <f t="shared" si="30"/>
        <v>15</v>
      </c>
      <c r="Q266" s="26">
        <v>47.6801222752425</v>
      </c>
      <c r="R266" s="26">
        <v>37.6861378009336</v>
      </c>
      <c r="S266" s="27">
        <f t="shared" si="31"/>
        <v>42.6831300380881</v>
      </c>
      <c r="T266" s="18">
        <v>44.1503906939466</v>
      </c>
      <c r="U266" s="19">
        <v>40</v>
      </c>
      <c r="V266" s="19">
        <v>75</v>
      </c>
      <c r="W266" s="7">
        <f t="shared" si="32"/>
        <v>57.5</v>
      </c>
      <c r="X266" s="28">
        <f t="shared" si="33"/>
        <v>33.2460954211319</v>
      </c>
      <c r="Y266" s="26">
        <f t="shared" si="34"/>
        <v>31.6660172823426</v>
      </c>
    </row>
    <row r="267" spans="1:25">
      <c r="A267" s="8" t="s">
        <v>295</v>
      </c>
      <c r="B267" s="8">
        <v>4</v>
      </c>
      <c r="C267" s="16">
        <v>50</v>
      </c>
      <c r="D267" s="16">
        <v>75</v>
      </c>
      <c r="E267" s="6">
        <f t="shared" si="28"/>
        <v>62.5</v>
      </c>
      <c r="F267" s="18">
        <v>67.7905821315581</v>
      </c>
      <c r="G267" s="19">
        <v>20</v>
      </c>
      <c r="H267" s="8" t="s">
        <v>32</v>
      </c>
      <c r="I267" s="19">
        <v>50</v>
      </c>
      <c r="J267" s="8" t="s">
        <v>32</v>
      </c>
      <c r="K267" s="9">
        <f t="shared" si="29"/>
        <v>17.5</v>
      </c>
      <c r="L267" s="8" t="s">
        <v>32</v>
      </c>
      <c r="M267" s="8" t="s">
        <v>32</v>
      </c>
      <c r="N267" s="8" t="s">
        <v>32</v>
      </c>
      <c r="O267" s="8" t="s">
        <v>32</v>
      </c>
      <c r="P267" s="9">
        <f t="shared" si="30"/>
        <v>0</v>
      </c>
      <c r="Q267" s="26">
        <v>36.9759449632532</v>
      </c>
      <c r="R267" s="26">
        <v>27.0815058934095</v>
      </c>
      <c r="S267" s="27">
        <f t="shared" si="31"/>
        <v>32.0287254283313</v>
      </c>
      <c r="T267" s="18">
        <v>34.7399350674947</v>
      </c>
      <c r="U267" s="8" t="s">
        <v>32</v>
      </c>
      <c r="V267" s="19">
        <v>25</v>
      </c>
      <c r="W267" s="7">
        <f t="shared" si="32"/>
        <v>12.5</v>
      </c>
      <c r="X267" s="28">
        <f t="shared" si="33"/>
        <v>32.2040904533095</v>
      </c>
      <c r="Y267" s="26">
        <f t="shared" si="34"/>
        <v>26.5061034398106</v>
      </c>
    </row>
    <row r="268" spans="1:25">
      <c r="A268" s="8" t="s">
        <v>296</v>
      </c>
      <c r="B268" s="8">
        <v>4</v>
      </c>
      <c r="C268" s="17">
        <v>25</v>
      </c>
      <c r="D268" s="17">
        <v>25</v>
      </c>
      <c r="E268" s="6">
        <f t="shared" si="28"/>
        <v>25</v>
      </c>
      <c r="F268" s="18">
        <v>23.3064782543251</v>
      </c>
      <c r="G268" s="19">
        <v>100</v>
      </c>
      <c r="H268" s="19">
        <v>100</v>
      </c>
      <c r="I268" s="19">
        <v>100</v>
      </c>
      <c r="J268" s="19">
        <v>50</v>
      </c>
      <c r="K268" s="9">
        <f t="shared" si="29"/>
        <v>87.5</v>
      </c>
      <c r="L268" s="19">
        <v>80</v>
      </c>
      <c r="M268" s="19">
        <v>30</v>
      </c>
      <c r="N268" s="19">
        <v>70</v>
      </c>
      <c r="O268" s="19">
        <v>75</v>
      </c>
      <c r="P268" s="9">
        <f t="shared" si="30"/>
        <v>63.75</v>
      </c>
      <c r="Q268" s="26">
        <v>61.7877585004996</v>
      </c>
      <c r="R268" s="26">
        <v>55.8947207159669</v>
      </c>
      <c r="S268" s="27">
        <f t="shared" si="31"/>
        <v>58.8412396082332</v>
      </c>
      <c r="T268" s="18">
        <v>54.8552828554728</v>
      </c>
      <c r="U268" s="19">
        <v>60</v>
      </c>
      <c r="V268" s="19">
        <v>100</v>
      </c>
      <c r="W268" s="7">
        <f t="shared" si="32"/>
        <v>80</v>
      </c>
      <c r="X268" s="28">
        <f t="shared" si="33"/>
        <v>58.4784087930542</v>
      </c>
      <c r="Y268" s="26">
        <f t="shared" si="34"/>
        <v>61.8823522219596</v>
      </c>
    </row>
    <row r="269" spans="1:25">
      <c r="A269" s="8" t="s">
        <v>297</v>
      </c>
      <c r="B269" s="8">
        <v>4</v>
      </c>
      <c r="C269" s="16">
        <v>75</v>
      </c>
      <c r="D269" s="16">
        <v>100</v>
      </c>
      <c r="E269" s="6">
        <f t="shared" si="28"/>
        <v>87.5</v>
      </c>
      <c r="F269" s="18">
        <v>88.9904947739421</v>
      </c>
      <c r="G269" s="19">
        <v>40</v>
      </c>
      <c r="H269" s="19">
        <v>70</v>
      </c>
      <c r="I269" s="19">
        <v>100</v>
      </c>
      <c r="J269" s="19">
        <v>75</v>
      </c>
      <c r="K269" s="9">
        <f t="shared" si="29"/>
        <v>71.25</v>
      </c>
      <c r="L269" s="19">
        <v>80</v>
      </c>
      <c r="M269" s="19">
        <v>100</v>
      </c>
      <c r="N269" s="19">
        <v>40</v>
      </c>
      <c r="O269" s="19">
        <v>100</v>
      </c>
      <c r="P269" s="9">
        <f t="shared" si="30"/>
        <v>80</v>
      </c>
      <c r="Q269" s="26">
        <v>79.3536499699705</v>
      </c>
      <c r="R269" s="26">
        <v>66.9024435726618</v>
      </c>
      <c r="S269" s="27">
        <f t="shared" si="31"/>
        <v>73.1280467713162</v>
      </c>
      <c r="T269" s="18">
        <v>74.3737264460732</v>
      </c>
      <c r="U269" s="19">
        <v>60</v>
      </c>
      <c r="V269" s="19">
        <v>50</v>
      </c>
      <c r="W269" s="7">
        <f t="shared" si="32"/>
        <v>55</v>
      </c>
      <c r="X269" s="28">
        <f t="shared" si="33"/>
        <v>75.2975895332177</v>
      </c>
      <c r="Y269" s="26">
        <f t="shared" si="34"/>
        <v>73.9228442440031</v>
      </c>
    </row>
    <row r="270" spans="1:25">
      <c r="A270" s="8" t="s">
        <v>298</v>
      </c>
      <c r="B270" s="8">
        <v>4</v>
      </c>
      <c r="C270" s="16">
        <v>25</v>
      </c>
      <c r="D270" s="17">
        <v>25</v>
      </c>
      <c r="E270" s="6">
        <f t="shared" si="28"/>
        <v>25</v>
      </c>
      <c r="F270" s="18">
        <v>24.4593403737061</v>
      </c>
      <c r="G270" s="19">
        <v>20</v>
      </c>
      <c r="H270" s="8" t="s">
        <v>32</v>
      </c>
      <c r="I270" s="19">
        <v>25</v>
      </c>
      <c r="J270" s="19">
        <v>75</v>
      </c>
      <c r="K270" s="9">
        <f t="shared" si="29"/>
        <v>30</v>
      </c>
      <c r="L270" s="19">
        <v>80</v>
      </c>
      <c r="M270" s="8" t="s">
        <v>32</v>
      </c>
      <c r="N270" s="19">
        <v>70</v>
      </c>
      <c r="O270" s="19">
        <v>25</v>
      </c>
      <c r="P270" s="9">
        <f t="shared" si="30"/>
        <v>43.75</v>
      </c>
      <c r="Q270" s="26">
        <v>63.2977360922639</v>
      </c>
      <c r="R270" s="26">
        <v>54.13300458237</v>
      </c>
      <c r="S270" s="27">
        <f t="shared" si="31"/>
        <v>58.7153703373169</v>
      </c>
      <c r="T270" s="18">
        <v>57.4455691299456</v>
      </c>
      <c r="U270" s="19">
        <v>20</v>
      </c>
      <c r="V270" s="19">
        <v>75</v>
      </c>
      <c r="W270" s="7">
        <f t="shared" si="32"/>
        <v>47.5</v>
      </c>
      <c r="X270" s="28">
        <f t="shared" si="33"/>
        <v>42.9950957267194</v>
      </c>
      <c r="Y270" s="26">
        <f t="shared" si="34"/>
        <v>40.6309819007303</v>
      </c>
    </row>
    <row r="271" spans="1:25">
      <c r="A271" s="8" t="s">
        <v>299</v>
      </c>
      <c r="B271" s="8">
        <v>4</v>
      </c>
      <c r="C271" s="16">
        <v>50</v>
      </c>
      <c r="D271" s="16">
        <v>25</v>
      </c>
      <c r="E271" s="6">
        <f t="shared" si="28"/>
        <v>37.5</v>
      </c>
      <c r="F271" s="18">
        <v>39.7668412008019</v>
      </c>
      <c r="G271" s="19">
        <v>100</v>
      </c>
      <c r="H271" s="19">
        <v>30</v>
      </c>
      <c r="I271" s="19">
        <v>100</v>
      </c>
      <c r="J271" s="19">
        <v>75</v>
      </c>
      <c r="K271" s="9">
        <f t="shared" si="29"/>
        <v>76.25</v>
      </c>
      <c r="L271" s="19">
        <v>80</v>
      </c>
      <c r="M271" s="19">
        <v>60</v>
      </c>
      <c r="N271" s="19">
        <v>40</v>
      </c>
      <c r="O271" s="19">
        <v>25</v>
      </c>
      <c r="P271" s="9">
        <f t="shared" si="30"/>
        <v>51.25</v>
      </c>
      <c r="Q271" s="26">
        <v>43.5565712881384</v>
      </c>
      <c r="R271" s="26">
        <v>33.4203658785677</v>
      </c>
      <c r="S271" s="27">
        <f t="shared" si="31"/>
        <v>38.4884685833531</v>
      </c>
      <c r="T271" s="18">
        <v>40.8150618191001</v>
      </c>
      <c r="U271" s="8" t="s">
        <v>32</v>
      </c>
      <c r="V271" s="19">
        <v>50</v>
      </c>
      <c r="W271" s="7">
        <f t="shared" si="32"/>
        <v>25</v>
      </c>
      <c r="X271" s="28">
        <f t="shared" si="33"/>
        <v>47.1543929678004</v>
      </c>
      <c r="Y271" s="26">
        <f t="shared" si="34"/>
        <v>46.6163806039804</v>
      </c>
    </row>
    <row r="272" spans="1:25">
      <c r="A272" s="8" t="s">
        <v>300</v>
      </c>
      <c r="B272" s="8">
        <v>4</v>
      </c>
      <c r="C272" s="16">
        <v>50</v>
      </c>
      <c r="D272" s="16">
        <v>50</v>
      </c>
      <c r="E272" s="6">
        <f t="shared" si="28"/>
        <v>50</v>
      </c>
      <c r="F272" s="18">
        <v>54.2324657052465</v>
      </c>
      <c r="G272" s="19">
        <v>100</v>
      </c>
      <c r="H272" s="19">
        <v>100</v>
      </c>
      <c r="I272" s="19">
        <v>100</v>
      </c>
      <c r="J272" s="19">
        <v>100</v>
      </c>
      <c r="K272" s="9">
        <f t="shared" si="29"/>
        <v>100</v>
      </c>
      <c r="L272" s="19">
        <v>80</v>
      </c>
      <c r="M272" s="19">
        <v>100</v>
      </c>
      <c r="N272" s="19">
        <v>100</v>
      </c>
      <c r="O272" s="19">
        <v>100</v>
      </c>
      <c r="P272" s="9">
        <f t="shared" si="30"/>
        <v>95</v>
      </c>
      <c r="Q272" s="26">
        <v>32.4907935119438</v>
      </c>
      <c r="R272" s="26">
        <v>14.6642411838179</v>
      </c>
      <c r="S272" s="27">
        <f t="shared" si="31"/>
        <v>23.5775173478809</v>
      </c>
      <c r="T272" s="18">
        <v>25.5733380196761</v>
      </c>
      <c r="U272" s="19">
        <v>60</v>
      </c>
      <c r="V272" s="19">
        <v>100</v>
      </c>
      <c r="W272" s="7">
        <f t="shared" si="32"/>
        <v>80</v>
      </c>
      <c r="X272" s="28">
        <f t="shared" si="33"/>
        <v>58.5758283489197</v>
      </c>
      <c r="Y272" s="26">
        <f t="shared" si="34"/>
        <v>70.9611607449845</v>
      </c>
    </row>
    <row r="273" spans="1:25">
      <c r="A273" s="8" t="s">
        <v>301</v>
      </c>
      <c r="B273" s="8">
        <v>4</v>
      </c>
      <c r="C273" s="16">
        <v>100</v>
      </c>
      <c r="D273" s="16">
        <v>75</v>
      </c>
      <c r="E273" s="6">
        <f t="shared" si="28"/>
        <v>87.5</v>
      </c>
      <c r="F273" s="18">
        <v>94.9068149841814</v>
      </c>
      <c r="G273" s="19">
        <v>100</v>
      </c>
      <c r="H273" s="19">
        <v>100</v>
      </c>
      <c r="I273" s="19">
        <v>75</v>
      </c>
      <c r="J273" s="19">
        <v>50</v>
      </c>
      <c r="K273" s="9">
        <f t="shared" si="29"/>
        <v>81.25</v>
      </c>
      <c r="L273" s="19">
        <v>80</v>
      </c>
      <c r="M273" s="19">
        <v>100</v>
      </c>
      <c r="N273" s="19">
        <v>70</v>
      </c>
      <c r="O273" s="19">
        <v>75</v>
      </c>
      <c r="P273" s="9">
        <f t="shared" si="30"/>
        <v>81.25</v>
      </c>
      <c r="Q273" s="26">
        <v>44.9807706058598</v>
      </c>
      <c r="R273" s="26">
        <v>35.263716893459</v>
      </c>
      <c r="S273" s="27">
        <f t="shared" si="31"/>
        <v>40.1222437496594</v>
      </c>
      <c r="T273" s="18">
        <v>43.5185641634189</v>
      </c>
      <c r="U273" s="19">
        <v>60</v>
      </c>
      <c r="V273" s="19">
        <v>75</v>
      </c>
      <c r="W273" s="7">
        <f t="shared" si="32"/>
        <v>67.5</v>
      </c>
      <c r="X273" s="28">
        <f t="shared" si="33"/>
        <v>67.5137886622038</v>
      </c>
      <c r="Y273" s="26">
        <f t="shared" si="34"/>
        <v>73.6850758295201</v>
      </c>
    </row>
    <row r="274" spans="1:25">
      <c r="A274" s="8" t="s">
        <v>302</v>
      </c>
      <c r="B274" s="8">
        <v>4</v>
      </c>
      <c r="C274" s="16">
        <v>100</v>
      </c>
      <c r="D274" s="16">
        <v>75</v>
      </c>
      <c r="E274" s="6">
        <f t="shared" si="28"/>
        <v>87.5</v>
      </c>
      <c r="F274" s="18">
        <v>88.3449641414743</v>
      </c>
      <c r="G274" s="8" t="s">
        <v>32</v>
      </c>
      <c r="H274" s="19">
        <v>70</v>
      </c>
      <c r="I274" s="19">
        <v>50</v>
      </c>
      <c r="J274" s="8" t="s">
        <v>32</v>
      </c>
      <c r="K274" s="9">
        <f t="shared" si="29"/>
        <v>30</v>
      </c>
      <c r="L274" s="8" t="s">
        <v>32</v>
      </c>
      <c r="M274" s="19">
        <v>30</v>
      </c>
      <c r="N274" s="8" t="s">
        <v>32</v>
      </c>
      <c r="O274" s="8" t="s">
        <v>32</v>
      </c>
      <c r="P274" s="9">
        <f t="shared" si="30"/>
        <v>7.5</v>
      </c>
      <c r="Q274" s="26">
        <v>60.5224985991984</v>
      </c>
      <c r="R274" s="26">
        <v>53.7002621984747</v>
      </c>
      <c r="S274" s="27">
        <f t="shared" si="31"/>
        <v>57.1113803988365</v>
      </c>
      <c r="T274" s="18">
        <v>57.6628897532035</v>
      </c>
      <c r="U274" s="19">
        <v>60</v>
      </c>
      <c r="V274" s="8" t="s">
        <v>32</v>
      </c>
      <c r="W274" s="7">
        <f t="shared" si="32"/>
        <v>30</v>
      </c>
      <c r="X274" s="28">
        <f t="shared" si="33"/>
        <v>50.4841487295763</v>
      </c>
      <c r="Y274" s="26">
        <f t="shared" si="34"/>
        <v>42.7015707789356</v>
      </c>
    </row>
    <row r="275" spans="1:25">
      <c r="A275" s="8" t="s">
        <v>303</v>
      </c>
      <c r="B275" s="8">
        <v>4</v>
      </c>
      <c r="C275" s="16">
        <v>50</v>
      </c>
      <c r="D275" s="16">
        <v>50</v>
      </c>
      <c r="E275" s="6">
        <f t="shared" si="28"/>
        <v>50</v>
      </c>
      <c r="F275" s="18">
        <v>50.960862847501</v>
      </c>
      <c r="G275" s="19">
        <v>60</v>
      </c>
      <c r="H275" s="8" t="s">
        <v>32</v>
      </c>
      <c r="I275" s="19">
        <v>100</v>
      </c>
      <c r="J275" s="19">
        <v>25</v>
      </c>
      <c r="K275" s="9">
        <f t="shared" si="29"/>
        <v>46.25</v>
      </c>
      <c r="L275" s="19">
        <v>100</v>
      </c>
      <c r="M275" s="19">
        <v>30</v>
      </c>
      <c r="N275" s="19">
        <v>70</v>
      </c>
      <c r="O275" s="19">
        <v>75</v>
      </c>
      <c r="P275" s="9">
        <f t="shared" si="30"/>
        <v>68.75</v>
      </c>
      <c r="Q275" s="26">
        <v>68.8848912921807</v>
      </c>
      <c r="R275" s="26">
        <v>59.6828003433978</v>
      </c>
      <c r="S275" s="27">
        <f t="shared" si="31"/>
        <v>64.2838458177893</v>
      </c>
      <c r="T275" s="18">
        <v>65.5192050006052</v>
      </c>
      <c r="U275" s="19">
        <v>40</v>
      </c>
      <c r="V275" s="19">
        <v>100</v>
      </c>
      <c r="W275" s="7">
        <f t="shared" si="32"/>
        <v>70</v>
      </c>
      <c r="X275" s="28">
        <f t="shared" si="33"/>
        <v>59.5248545697423</v>
      </c>
      <c r="Y275" s="26">
        <f t="shared" si="34"/>
        <v>60.2960135696212</v>
      </c>
    </row>
    <row r="276" spans="1:25">
      <c r="A276" s="8" t="s">
        <v>304</v>
      </c>
      <c r="B276" s="8">
        <v>4</v>
      </c>
      <c r="C276" s="16">
        <v>25</v>
      </c>
      <c r="D276" s="16">
        <v>25</v>
      </c>
      <c r="E276" s="6">
        <f t="shared" si="28"/>
        <v>25</v>
      </c>
      <c r="F276" s="18">
        <v>24.9143109696042</v>
      </c>
      <c r="G276" s="19">
        <v>100</v>
      </c>
      <c r="H276" s="19">
        <v>100</v>
      </c>
      <c r="I276" s="19">
        <v>100</v>
      </c>
      <c r="J276" s="19">
        <v>50</v>
      </c>
      <c r="K276" s="9">
        <f t="shared" si="29"/>
        <v>87.5</v>
      </c>
      <c r="L276" s="19">
        <v>100</v>
      </c>
      <c r="M276" s="19">
        <v>100</v>
      </c>
      <c r="N276" s="19">
        <v>100</v>
      </c>
      <c r="O276" s="19">
        <v>100</v>
      </c>
      <c r="P276" s="9">
        <f t="shared" si="30"/>
        <v>100</v>
      </c>
      <c r="Q276" s="26">
        <v>41.7485885808377</v>
      </c>
      <c r="R276" s="26">
        <v>31.5050132098005</v>
      </c>
      <c r="S276" s="27">
        <f t="shared" si="31"/>
        <v>36.6268008953191</v>
      </c>
      <c r="T276" s="18">
        <v>36.5012602931102</v>
      </c>
      <c r="U276" s="19">
        <v>100</v>
      </c>
      <c r="V276" s="19">
        <v>100</v>
      </c>
      <c r="W276" s="7">
        <f t="shared" si="32"/>
        <v>100</v>
      </c>
      <c r="X276" s="28">
        <f t="shared" si="33"/>
        <v>57.0833663111649</v>
      </c>
      <c r="Y276" s="26">
        <f t="shared" si="34"/>
        <v>69.7831142525429</v>
      </c>
    </row>
    <row r="277" spans="1:25">
      <c r="A277" s="8" t="s">
        <v>305</v>
      </c>
      <c r="B277" s="8">
        <v>4</v>
      </c>
      <c r="C277" s="16">
        <v>100</v>
      </c>
      <c r="D277" s="16">
        <v>75</v>
      </c>
      <c r="E277" s="6">
        <f t="shared" si="28"/>
        <v>87.5</v>
      </c>
      <c r="F277" s="18">
        <v>87.7468423882654</v>
      </c>
      <c r="G277" s="19">
        <v>100</v>
      </c>
      <c r="H277" s="19">
        <v>100</v>
      </c>
      <c r="I277" s="19">
        <v>100</v>
      </c>
      <c r="J277" s="19">
        <v>100</v>
      </c>
      <c r="K277" s="9">
        <f t="shared" si="29"/>
        <v>100</v>
      </c>
      <c r="L277" s="19">
        <v>100</v>
      </c>
      <c r="M277" s="19">
        <v>100</v>
      </c>
      <c r="N277" s="19">
        <v>100</v>
      </c>
      <c r="O277" s="19">
        <v>100</v>
      </c>
      <c r="P277" s="9">
        <f t="shared" si="30"/>
        <v>100</v>
      </c>
      <c r="Q277" s="26">
        <v>65.258543618549</v>
      </c>
      <c r="R277" s="26">
        <v>53.6209849994844</v>
      </c>
      <c r="S277" s="27">
        <f t="shared" si="31"/>
        <v>59.4397643090167</v>
      </c>
      <c r="T277" s="18">
        <v>59.6074472047878</v>
      </c>
      <c r="U277" s="19">
        <v>100</v>
      </c>
      <c r="V277" s="19">
        <v>100</v>
      </c>
      <c r="W277" s="7">
        <f t="shared" si="32"/>
        <v>100</v>
      </c>
      <c r="X277" s="28">
        <f t="shared" si="33"/>
        <v>81.3923473595682</v>
      </c>
      <c r="Y277" s="26">
        <f t="shared" si="34"/>
        <v>89.4708579186106</v>
      </c>
    </row>
    <row r="278" spans="1:25">
      <c r="A278" s="8" t="s">
        <v>306</v>
      </c>
      <c r="B278" s="8">
        <v>4</v>
      </c>
      <c r="C278" s="16">
        <v>50</v>
      </c>
      <c r="D278" s="16">
        <v>25</v>
      </c>
      <c r="E278" s="6">
        <f t="shared" si="28"/>
        <v>37.5</v>
      </c>
      <c r="F278" s="18">
        <v>40.6743492789349</v>
      </c>
      <c r="G278" s="19">
        <v>100</v>
      </c>
      <c r="H278" s="19">
        <v>70</v>
      </c>
      <c r="I278" s="19">
        <v>75</v>
      </c>
      <c r="J278" s="19">
        <v>50</v>
      </c>
      <c r="K278" s="9">
        <f t="shared" si="29"/>
        <v>73.75</v>
      </c>
      <c r="L278" s="19">
        <v>100</v>
      </c>
      <c r="M278" s="19">
        <v>70</v>
      </c>
      <c r="N278" s="19">
        <v>40</v>
      </c>
      <c r="O278" s="19">
        <v>75</v>
      </c>
      <c r="P278" s="9">
        <f t="shared" si="30"/>
        <v>71.25</v>
      </c>
      <c r="Q278" s="26">
        <v>51.4302664924085</v>
      </c>
      <c r="R278" s="26">
        <v>36.7461114635773</v>
      </c>
      <c r="S278" s="27">
        <f t="shared" si="31"/>
        <v>44.0881889779929</v>
      </c>
      <c r="T278" s="18">
        <v>47.8202239351085</v>
      </c>
      <c r="U278" s="8" t="s">
        <v>32</v>
      </c>
      <c r="V278" s="19">
        <v>100</v>
      </c>
      <c r="W278" s="7">
        <f t="shared" si="32"/>
        <v>50</v>
      </c>
      <c r="X278" s="28">
        <f t="shared" si="33"/>
        <v>54.1379594298304</v>
      </c>
      <c r="Y278" s="26">
        <f t="shared" si="34"/>
        <v>56.6989146428087</v>
      </c>
    </row>
    <row r="279" spans="1:25">
      <c r="A279" s="8" t="s">
        <v>307</v>
      </c>
      <c r="B279" s="8">
        <v>4</v>
      </c>
      <c r="C279" s="17">
        <v>0</v>
      </c>
      <c r="D279" s="16">
        <v>25</v>
      </c>
      <c r="E279" s="6">
        <f t="shared" si="28"/>
        <v>12.5</v>
      </c>
      <c r="F279" s="18">
        <v>12.3182807192848</v>
      </c>
      <c r="G279" s="19">
        <v>100</v>
      </c>
      <c r="H279" s="19">
        <v>100</v>
      </c>
      <c r="I279" s="19">
        <v>75</v>
      </c>
      <c r="J279" s="19">
        <v>100</v>
      </c>
      <c r="K279" s="9">
        <f t="shared" si="29"/>
        <v>93.75</v>
      </c>
      <c r="L279" s="19">
        <v>100</v>
      </c>
      <c r="M279" s="19">
        <v>100</v>
      </c>
      <c r="N279" s="19">
        <v>100</v>
      </c>
      <c r="O279" s="19">
        <v>100</v>
      </c>
      <c r="P279" s="9">
        <f t="shared" si="30"/>
        <v>100</v>
      </c>
      <c r="Q279" s="26">
        <v>46.6739217897867</v>
      </c>
      <c r="R279" s="26">
        <v>38.4638726442432</v>
      </c>
      <c r="S279" s="27">
        <f t="shared" si="31"/>
        <v>42.5688972170149</v>
      </c>
      <c r="T279" s="18">
        <v>41.9500500663658</v>
      </c>
      <c r="U279" s="19">
        <v>80</v>
      </c>
      <c r="V279" s="19">
        <v>75</v>
      </c>
      <c r="W279" s="7">
        <f t="shared" si="32"/>
        <v>77.5</v>
      </c>
      <c r="X279" s="28">
        <f t="shared" si="33"/>
        <v>55.7436761704033</v>
      </c>
      <c r="Y279" s="26">
        <f t="shared" si="34"/>
        <v>65.1036661571301</v>
      </c>
    </row>
    <row r="280" spans="1:25">
      <c r="A280" s="8" t="s">
        <v>308</v>
      </c>
      <c r="B280" s="8">
        <v>4</v>
      </c>
      <c r="C280" s="16">
        <v>25</v>
      </c>
      <c r="D280" s="16">
        <v>50</v>
      </c>
      <c r="E280" s="6">
        <f t="shared" si="28"/>
        <v>37.5</v>
      </c>
      <c r="F280" s="18">
        <v>38.1595379895761</v>
      </c>
      <c r="G280" s="19">
        <v>60</v>
      </c>
      <c r="H280" s="19">
        <v>40</v>
      </c>
      <c r="I280" s="19">
        <v>75</v>
      </c>
      <c r="J280" s="19">
        <v>75</v>
      </c>
      <c r="K280" s="9">
        <f t="shared" si="29"/>
        <v>62.5</v>
      </c>
      <c r="L280" s="19">
        <v>100</v>
      </c>
      <c r="M280" s="19">
        <v>100</v>
      </c>
      <c r="N280" s="19">
        <v>100</v>
      </c>
      <c r="O280" s="19">
        <v>75</v>
      </c>
      <c r="P280" s="9">
        <f t="shared" si="30"/>
        <v>93.75</v>
      </c>
      <c r="Q280" s="26">
        <v>56.7956422032067</v>
      </c>
      <c r="R280" s="26">
        <v>48.7279532704077</v>
      </c>
      <c r="S280" s="27">
        <f t="shared" si="31"/>
        <v>52.7617977368072</v>
      </c>
      <c r="T280" s="18">
        <v>53.6897553369607</v>
      </c>
      <c r="U280" s="19">
        <v>100</v>
      </c>
      <c r="V280" s="19">
        <v>50</v>
      </c>
      <c r="W280" s="7">
        <f t="shared" si="32"/>
        <v>75</v>
      </c>
      <c r="X280" s="28">
        <f t="shared" si="33"/>
        <v>58.4828097326995</v>
      </c>
      <c r="Y280" s="26">
        <f t="shared" si="34"/>
        <v>64.6198586653074</v>
      </c>
    </row>
    <row r="281" spans="1:25">
      <c r="A281" s="8" t="s">
        <v>309</v>
      </c>
      <c r="B281" s="8">
        <v>4</v>
      </c>
      <c r="C281" s="16">
        <v>50</v>
      </c>
      <c r="D281" s="16">
        <v>50</v>
      </c>
      <c r="E281" s="6">
        <f t="shared" si="28"/>
        <v>50</v>
      </c>
      <c r="F281" s="18">
        <v>45.9409647665323</v>
      </c>
      <c r="G281" s="19">
        <v>100</v>
      </c>
      <c r="H281" s="19">
        <v>100</v>
      </c>
      <c r="I281" s="19">
        <v>100</v>
      </c>
      <c r="J281" s="19">
        <v>75</v>
      </c>
      <c r="K281" s="9">
        <f t="shared" si="29"/>
        <v>93.75</v>
      </c>
      <c r="L281" s="19">
        <v>100</v>
      </c>
      <c r="M281" s="19">
        <v>100</v>
      </c>
      <c r="N281" s="19">
        <v>100</v>
      </c>
      <c r="O281" s="19">
        <v>100</v>
      </c>
      <c r="P281" s="9">
        <f t="shared" si="30"/>
        <v>100</v>
      </c>
      <c r="Q281" s="26">
        <v>59.0245404224335</v>
      </c>
      <c r="R281" s="26">
        <v>54.7657729205898</v>
      </c>
      <c r="S281" s="27">
        <f t="shared" si="31"/>
        <v>56.8951566715116</v>
      </c>
      <c r="T281" s="18">
        <v>52.276367760645</v>
      </c>
      <c r="U281" s="19">
        <v>100</v>
      </c>
      <c r="V281" s="19">
        <v>25</v>
      </c>
      <c r="W281" s="7">
        <f t="shared" si="32"/>
        <v>62.5</v>
      </c>
      <c r="X281" s="28">
        <f t="shared" si="33"/>
        <v>65.0987400575645</v>
      </c>
      <c r="Y281" s="26">
        <f t="shared" si="34"/>
        <v>70.8934665054355</v>
      </c>
    </row>
    <row r="282" spans="1:25">
      <c r="A282" s="8" t="s">
        <v>310</v>
      </c>
      <c r="B282" s="8">
        <v>4</v>
      </c>
      <c r="C282" s="16">
        <v>75</v>
      </c>
      <c r="D282" s="16">
        <v>75</v>
      </c>
      <c r="E282" s="6">
        <f t="shared" si="28"/>
        <v>75</v>
      </c>
      <c r="F282" s="18">
        <v>76.6829738740335</v>
      </c>
      <c r="G282" s="19">
        <v>80</v>
      </c>
      <c r="H282" s="19">
        <v>100</v>
      </c>
      <c r="I282" s="19">
        <v>75</v>
      </c>
      <c r="J282" s="19">
        <v>25</v>
      </c>
      <c r="K282" s="9">
        <f t="shared" si="29"/>
        <v>70</v>
      </c>
      <c r="L282" s="19">
        <v>40</v>
      </c>
      <c r="M282" s="19">
        <v>30</v>
      </c>
      <c r="N282" s="19">
        <v>70</v>
      </c>
      <c r="O282" s="19">
        <v>25</v>
      </c>
      <c r="P282" s="9">
        <f t="shared" si="30"/>
        <v>41.25</v>
      </c>
      <c r="Q282" s="26">
        <v>64.7861118048527</v>
      </c>
      <c r="R282" s="26">
        <v>56.2081132747132</v>
      </c>
      <c r="S282" s="27">
        <f t="shared" si="31"/>
        <v>60.497112539783</v>
      </c>
      <c r="T282" s="18">
        <v>61.8546466712352</v>
      </c>
      <c r="U282" s="8" t="s">
        <v>32</v>
      </c>
      <c r="V282" s="19">
        <v>50</v>
      </c>
      <c r="W282" s="7">
        <f t="shared" si="32"/>
        <v>25</v>
      </c>
      <c r="X282" s="28">
        <f t="shared" si="33"/>
        <v>60.7034534433008</v>
      </c>
      <c r="Y282" s="26">
        <f t="shared" si="34"/>
        <v>54.9575241090538</v>
      </c>
    </row>
    <row r="283" spans="1:25">
      <c r="A283" s="8" t="s">
        <v>311</v>
      </c>
      <c r="B283" s="8">
        <v>4</v>
      </c>
      <c r="C283" s="16">
        <v>75</v>
      </c>
      <c r="D283" s="16">
        <v>75</v>
      </c>
      <c r="E283" s="6">
        <f t="shared" si="28"/>
        <v>75</v>
      </c>
      <c r="F283" s="18">
        <v>74.8500851193909</v>
      </c>
      <c r="G283" s="19">
        <v>60</v>
      </c>
      <c r="H283" s="19">
        <v>100</v>
      </c>
      <c r="I283" s="19">
        <v>100</v>
      </c>
      <c r="J283" s="19">
        <v>50</v>
      </c>
      <c r="K283" s="9">
        <f t="shared" si="29"/>
        <v>77.5</v>
      </c>
      <c r="L283" s="19">
        <v>40</v>
      </c>
      <c r="M283" s="8" t="s">
        <v>32</v>
      </c>
      <c r="N283" s="8" t="s">
        <v>32</v>
      </c>
      <c r="O283" s="19">
        <v>25</v>
      </c>
      <c r="P283" s="9">
        <f t="shared" si="30"/>
        <v>16.25</v>
      </c>
      <c r="Q283" s="26">
        <v>44.3367795272388</v>
      </c>
      <c r="R283" s="26">
        <v>30.6251261058762</v>
      </c>
      <c r="S283" s="27">
        <f t="shared" si="31"/>
        <v>37.4809528165575</v>
      </c>
      <c r="T283" s="18">
        <v>37.4060334490027</v>
      </c>
      <c r="U283" s="19">
        <v>20</v>
      </c>
      <c r="V283" s="19">
        <v>50</v>
      </c>
      <c r="W283" s="7">
        <f t="shared" si="32"/>
        <v>35</v>
      </c>
      <c r="X283" s="28">
        <f t="shared" si="33"/>
        <v>50.5574304034793</v>
      </c>
      <c r="Y283" s="26">
        <f t="shared" si="34"/>
        <v>48.2012237136787</v>
      </c>
    </row>
    <row r="284" spans="1:25">
      <c r="A284" s="8" t="s">
        <v>312</v>
      </c>
      <c r="B284" s="8">
        <v>4</v>
      </c>
      <c r="C284" s="16">
        <v>100</v>
      </c>
      <c r="D284" s="16">
        <v>50</v>
      </c>
      <c r="E284" s="6">
        <f t="shared" si="28"/>
        <v>75</v>
      </c>
      <c r="F284" s="18">
        <v>76.1689157794845</v>
      </c>
      <c r="G284" s="19">
        <v>60</v>
      </c>
      <c r="H284" s="19">
        <v>40</v>
      </c>
      <c r="I284" s="19">
        <v>25</v>
      </c>
      <c r="J284" s="8" t="s">
        <v>32</v>
      </c>
      <c r="K284" s="9">
        <f t="shared" si="29"/>
        <v>31.25</v>
      </c>
      <c r="L284" s="19">
        <v>40</v>
      </c>
      <c r="M284" s="8" t="s">
        <v>32</v>
      </c>
      <c r="N284" s="19">
        <v>40</v>
      </c>
      <c r="O284" s="8" t="s">
        <v>32</v>
      </c>
      <c r="P284" s="9">
        <f t="shared" si="30"/>
        <v>20</v>
      </c>
      <c r="Q284" s="26">
        <v>46.5190820169141</v>
      </c>
      <c r="R284" s="26">
        <v>35.4200411232927</v>
      </c>
      <c r="S284" s="27">
        <f t="shared" si="31"/>
        <v>40.9695615701034</v>
      </c>
      <c r="T284" s="18">
        <v>41.6080944634082</v>
      </c>
      <c r="U284" s="8" t="s">
        <v>32</v>
      </c>
      <c r="V284" s="19">
        <v>25</v>
      </c>
      <c r="W284" s="7">
        <f t="shared" si="32"/>
        <v>12.5</v>
      </c>
      <c r="X284" s="28">
        <f t="shared" si="33"/>
        <v>41.3770209412602</v>
      </c>
      <c r="Y284" s="26">
        <f t="shared" si="34"/>
        <v>36.3054020485785</v>
      </c>
    </row>
    <row r="285" spans="1:25">
      <c r="A285" s="8" t="s">
        <v>313</v>
      </c>
      <c r="B285" s="8">
        <v>4</v>
      </c>
      <c r="C285" s="16">
        <v>50</v>
      </c>
      <c r="D285" s="16">
        <v>50</v>
      </c>
      <c r="E285" s="6">
        <f t="shared" si="28"/>
        <v>50</v>
      </c>
      <c r="F285" s="18">
        <v>51.8736737353285</v>
      </c>
      <c r="G285" s="19">
        <v>80</v>
      </c>
      <c r="H285" s="19">
        <v>100</v>
      </c>
      <c r="I285" s="19">
        <v>100</v>
      </c>
      <c r="J285" s="19">
        <v>25</v>
      </c>
      <c r="K285" s="9">
        <f t="shared" si="29"/>
        <v>76.25</v>
      </c>
      <c r="L285" s="19">
        <v>40</v>
      </c>
      <c r="M285" s="19">
        <v>30</v>
      </c>
      <c r="N285" s="19">
        <v>100</v>
      </c>
      <c r="O285" s="19">
        <v>25</v>
      </c>
      <c r="P285" s="9">
        <f t="shared" si="30"/>
        <v>48.75</v>
      </c>
      <c r="Q285" s="26">
        <v>81.4092897217365</v>
      </c>
      <c r="R285" s="26">
        <v>76.8402522721618</v>
      </c>
      <c r="S285" s="27">
        <f t="shared" si="31"/>
        <v>79.1247709969492</v>
      </c>
      <c r="T285" s="18">
        <v>82.0898511015665</v>
      </c>
      <c r="U285" s="19">
        <v>40</v>
      </c>
      <c r="V285" s="19">
        <v>25</v>
      </c>
      <c r="W285" s="7">
        <f t="shared" si="32"/>
        <v>32.5</v>
      </c>
      <c r="X285" s="28">
        <f t="shared" si="33"/>
        <v>66.5856751876923</v>
      </c>
      <c r="Y285" s="26">
        <f t="shared" si="34"/>
        <v>58.292704967379</v>
      </c>
    </row>
    <row r="286" spans="1:25">
      <c r="A286" s="8" t="s">
        <v>314</v>
      </c>
      <c r="B286" s="8">
        <v>4</v>
      </c>
      <c r="C286" s="17">
        <v>0</v>
      </c>
      <c r="D286" s="17">
        <v>0</v>
      </c>
      <c r="E286" s="6">
        <f t="shared" si="28"/>
        <v>0</v>
      </c>
      <c r="F286" s="18">
        <v>0</v>
      </c>
      <c r="G286" s="19">
        <v>100</v>
      </c>
      <c r="H286" s="19">
        <v>70</v>
      </c>
      <c r="I286" s="19">
        <v>75</v>
      </c>
      <c r="J286" s="19">
        <v>100</v>
      </c>
      <c r="K286" s="9">
        <f t="shared" si="29"/>
        <v>86.25</v>
      </c>
      <c r="L286" s="19">
        <v>100</v>
      </c>
      <c r="M286" s="19">
        <v>30</v>
      </c>
      <c r="N286" s="19">
        <v>70</v>
      </c>
      <c r="O286" s="19">
        <v>75</v>
      </c>
      <c r="P286" s="9">
        <f t="shared" si="30"/>
        <v>68.75</v>
      </c>
      <c r="Q286" s="29">
        <v>100</v>
      </c>
      <c r="R286" s="26">
        <v>91.8345917846306</v>
      </c>
      <c r="S286" s="27">
        <f t="shared" si="31"/>
        <v>95.9172958923153</v>
      </c>
      <c r="T286" s="18">
        <v>91.5392106384387</v>
      </c>
      <c r="U286" s="19">
        <v>80</v>
      </c>
      <c r="V286" s="19">
        <v>100</v>
      </c>
      <c r="W286" s="7">
        <f t="shared" si="32"/>
        <v>90</v>
      </c>
      <c r="X286" s="28">
        <f t="shared" si="33"/>
        <v>69.7406842553755</v>
      </c>
      <c r="Y286" s="26">
        <f t="shared" si="34"/>
        <v>67.3078421276877</v>
      </c>
    </row>
    <row r="287" spans="1:25">
      <c r="A287" s="8" t="s">
        <v>315</v>
      </c>
      <c r="B287" s="8">
        <v>4</v>
      </c>
      <c r="C287" s="16">
        <v>75</v>
      </c>
      <c r="D287" s="16">
        <v>75</v>
      </c>
      <c r="E287" s="6">
        <f t="shared" si="28"/>
        <v>75</v>
      </c>
      <c r="F287" s="18">
        <v>72.7006328426568</v>
      </c>
      <c r="G287" s="19">
        <v>100</v>
      </c>
      <c r="H287" s="19">
        <v>70</v>
      </c>
      <c r="I287" s="19">
        <v>75</v>
      </c>
      <c r="J287" s="19">
        <v>50</v>
      </c>
      <c r="K287" s="9">
        <f t="shared" si="29"/>
        <v>73.75</v>
      </c>
      <c r="L287" s="19">
        <v>100</v>
      </c>
      <c r="M287" s="19">
        <v>100</v>
      </c>
      <c r="N287" s="19">
        <v>70</v>
      </c>
      <c r="O287" s="19">
        <v>75</v>
      </c>
      <c r="P287" s="9">
        <f t="shared" si="30"/>
        <v>86.25</v>
      </c>
      <c r="Q287" s="29">
        <v>100</v>
      </c>
      <c r="R287" s="26">
        <v>82.2938878940807</v>
      </c>
      <c r="S287" s="27">
        <f t="shared" si="31"/>
        <v>91.1469439470404</v>
      </c>
      <c r="T287" s="18">
        <v>88.35254008832</v>
      </c>
      <c r="U287" s="19">
        <v>40</v>
      </c>
      <c r="V287" s="19">
        <v>100</v>
      </c>
      <c r="W287" s="7">
        <f t="shared" si="32"/>
        <v>70</v>
      </c>
      <c r="X287" s="28">
        <f t="shared" si="33"/>
        <v>80.2561426038594</v>
      </c>
      <c r="Y287" s="26">
        <f t="shared" si="34"/>
        <v>78.2106345861954</v>
      </c>
    </row>
    <row r="288" spans="1:25">
      <c r="A288" s="8" t="s">
        <v>316</v>
      </c>
      <c r="B288" s="8">
        <v>4</v>
      </c>
      <c r="C288" s="16">
        <v>75</v>
      </c>
      <c r="D288" s="17">
        <v>25</v>
      </c>
      <c r="E288" s="6">
        <f t="shared" si="28"/>
        <v>50</v>
      </c>
      <c r="F288" s="18">
        <v>54.2324657052465</v>
      </c>
      <c r="G288" s="19">
        <v>100</v>
      </c>
      <c r="H288" s="19">
        <v>70</v>
      </c>
      <c r="I288" s="19">
        <v>100</v>
      </c>
      <c r="J288" s="19">
        <v>75</v>
      </c>
      <c r="K288" s="9">
        <f t="shared" si="29"/>
        <v>86.25</v>
      </c>
      <c r="L288" s="19">
        <v>100</v>
      </c>
      <c r="M288" s="19">
        <v>100</v>
      </c>
      <c r="N288" s="19">
        <v>100</v>
      </c>
      <c r="O288" s="19">
        <v>100</v>
      </c>
      <c r="P288" s="9">
        <f t="shared" si="30"/>
        <v>100</v>
      </c>
      <c r="Q288" s="26">
        <v>17.4055501704102</v>
      </c>
      <c r="R288" s="29">
        <v>0</v>
      </c>
      <c r="S288" s="27">
        <f t="shared" si="31"/>
        <v>8.70277508520509</v>
      </c>
      <c r="T288" s="18">
        <v>9.43945902697717</v>
      </c>
      <c r="U288" s="19">
        <v>100</v>
      </c>
      <c r="V288" s="19">
        <v>100</v>
      </c>
      <c r="W288" s="7">
        <f t="shared" si="32"/>
        <v>100</v>
      </c>
      <c r="X288" s="28">
        <f t="shared" si="33"/>
        <v>51.8722767518402</v>
      </c>
      <c r="Y288" s="26">
        <f t="shared" si="34"/>
        <v>69.9843849464447</v>
      </c>
    </row>
    <row r="289" spans="1:25">
      <c r="A289" s="8" t="s">
        <v>317</v>
      </c>
      <c r="B289" s="8">
        <v>4</v>
      </c>
      <c r="C289" s="16">
        <v>50</v>
      </c>
      <c r="D289" s="16">
        <v>50</v>
      </c>
      <c r="E289" s="6">
        <f t="shared" si="28"/>
        <v>50</v>
      </c>
      <c r="F289" s="18">
        <v>50.7300484770495</v>
      </c>
      <c r="G289" s="19">
        <v>60</v>
      </c>
      <c r="H289" s="19">
        <v>70</v>
      </c>
      <c r="I289" s="19">
        <v>75</v>
      </c>
      <c r="J289" s="19">
        <v>75</v>
      </c>
      <c r="K289" s="9">
        <f t="shared" si="29"/>
        <v>70</v>
      </c>
      <c r="L289" s="19">
        <v>60</v>
      </c>
      <c r="M289" s="19">
        <v>30</v>
      </c>
      <c r="N289" s="19">
        <v>70</v>
      </c>
      <c r="O289" s="19">
        <v>100</v>
      </c>
      <c r="P289" s="9">
        <f t="shared" si="30"/>
        <v>65</v>
      </c>
      <c r="Q289" s="26">
        <v>44.197949848342</v>
      </c>
      <c r="R289" s="26">
        <v>35.5611809015192</v>
      </c>
      <c r="S289" s="27">
        <f t="shared" si="31"/>
        <v>39.8795653749306</v>
      </c>
      <c r="T289" s="18">
        <v>40.4618456942779</v>
      </c>
      <c r="U289" s="19">
        <v>100</v>
      </c>
      <c r="V289" s="19">
        <v>50</v>
      </c>
      <c r="W289" s="7">
        <f t="shared" si="32"/>
        <v>75</v>
      </c>
      <c r="X289" s="28">
        <f t="shared" si="33"/>
        <v>54.3307479731211</v>
      </c>
      <c r="Y289" s="26">
        <f t="shared" si="34"/>
        <v>60.2383788342655</v>
      </c>
    </row>
    <row r="290" spans="1:25">
      <c r="A290" s="8" t="s">
        <v>318</v>
      </c>
      <c r="B290" s="8">
        <v>4</v>
      </c>
      <c r="C290" s="16">
        <v>50</v>
      </c>
      <c r="D290" s="16">
        <v>25</v>
      </c>
      <c r="E290" s="6">
        <f t="shared" si="28"/>
        <v>37.5</v>
      </c>
      <c r="F290" s="18">
        <v>35.9243073404196</v>
      </c>
      <c r="G290" s="19">
        <v>100</v>
      </c>
      <c r="H290" s="19">
        <v>30</v>
      </c>
      <c r="I290" s="19">
        <v>100</v>
      </c>
      <c r="J290" s="19">
        <v>75</v>
      </c>
      <c r="K290" s="9">
        <f t="shared" si="29"/>
        <v>76.25</v>
      </c>
      <c r="L290" s="19">
        <v>100</v>
      </c>
      <c r="M290" s="19">
        <v>60</v>
      </c>
      <c r="N290" s="19">
        <v>70</v>
      </c>
      <c r="O290" s="19">
        <v>100</v>
      </c>
      <c r="P290" s="9">
        <f t="shared" si="30"/>
        <v>82.5</v>
      </c>
      <c r="Q290" s="26">
        <v>52.5309265054838</v>
      </c>
      <c r="R290" s="26">
        <v>44.1445469055973</v>
      </c>
      <c r="S290" s="27">
        <f t="shared" si="31"/>
        <v>48.3377367055406</v>
      </c>
      <c r="T290" s="18">
        <v>46.3066589213365</v>
      </c>
      <c r="U290" s="19">
        <v>100</v>
      </c>
      <c r="V290" s="19">
        <v>100</v>
      </c>
      <c r="W290" s="7">
        <f t="shared" si="32"/>
        <v>100</v>
      </c>
      <c r="X290" s="28">
        <f t="shared" si="33"/>
        <v>59.2075250366185</v>
      </c>
      <c r="Y290" s="26">
        <f t="shared" si="34"/>
        <v>68.1961932523512</v>
      </c>
    </row>
    <row r="291" spans="1:25">
      <c r="A291" s="8" t="s">
        <v>319</v>
      </c>
      <c r="B291" s="8">
        <v>4</v>
      </c>
      <c r="C291" s="16">
        <v>75</v>
      </c>
      <c r="D291" s="16">
        <v>25</v>
      </c>
      <c r="E291" s="6">
        <f t="shared" si="28"/>
        <v>50</v>
      </c>
      <c r="F291" s="18">
        <v>54.2324657052465</v>
      </c>
      <c r="G291" s="19">
        <v>80</v>
      </c>
      <c r="H291" s="19">
        <v>100</v>
      </c>
      <c r="I291" s="19">
        <v>100</v>
      </c>
      <c r="J291" s="19">
        <v>100</v>
      </c>
      <c r="K291" s="9">
        <f t="shared" si="29"/>
        <v>95</v>
      </c>
      <c r="L291" s="19">
        <v>60</v>
      </c>
      <c r="M291" s="19">
        <v>70</v>
      </c>
      <c r="N291" s="19">
        <v>40</v>
      </c>
      <c r="O291" s="19">
        <v>100</v>
      </c>
      <c r="P291" s="9">
        <f t="shared" si="30"/>
        <v>67.5</v>
      </c>
      <c r="Q291" s="26">
        <v>30.7404428071368</v>
      </c>
      <c r="R291" s="26">
        <v>12.0032299855161</v>
      </c>
      <c r="S291" s="27">
        <f t="shared" si="31"/>
        <v>21.3718363963265</v>
      </c>
      <c r="T291" s="18">
        <v>23.1809476884383</v>
      </c>
      <c r="U291" s="19">
        <v>60</v>
      </c>
      <c r="V291" s="19">
        <v>50</v>
      </c>
      <c r="W291" s="7">
        <f t="shared" si="32"/>
        <v>55</v>
      </c>
      <c r="X291" s="28">
        <f t="shared" si="33"/>
        <v>51.3688722164246</v>
      </c>
      <c r="Y291" s="26">
        <f t="shared" si="34"/>
        <v>58.982682678737</v>
      </c>
    </row>
    <row r="292" spans="1:25">
      <c r="A292" s="8" t="s">
        <v>320</v>
      </c>
      <c r="B292" s="8">
        <v>4</v>
      </c>
      <c r="C292" s="16">
        <v>50</v>
      </c>
      <c r="D292" s="16">
        <v>25</v>
      </c>
      <c r="E292" s="6">
        <f t="shared" si="28"/>
        <v>37.5</v>
      </c>
      <c r="F292" s="18">
        <v>34.928634631925</v>
      </c>
      <c r="G292" s="19">
        <v>100</v>
      </c>
      <c r="H292" s="19">
        <v>40</v>
      </c>
      <c r="I292" s="19">
        <v>50</v>
      </c>
      <c r="J292" s="19">
        <v>25</v>
      </c>
      <c r="K292" s="9">
        <f t="shared" si="29"/>
        <v>53.75</v>
      </c>
      <c r="L292" s="19">
        <v>80</v>
      </c>
      <c r="M292" s="8" t="s">
        <v>32</v>
      </c>
      <c r="N292" s="8" t="s">
        <v>32</v>
      </c>
      <c r="O292" s="19">
        <v>25</v>
      </c>
      <c r="P292" s="9">
        <f t="shared" si="30"/>
        <v>26.25</v>
      </c>
      <c r="Q292" s="29">
        <v>100</v>
      </c>
      <c r="R292" s="26">
        <v>85.8245663068893</v>
      </c>
      <c r="S292" s="27">
        <f t="shared" si="31"/>
        <v>92.9122831534447</v>
      </c>
      <c r="T292" s="18">
        <v>86.5413117622567</v>
      </c>
      <c r="U292" s="19">
        <v>40</v>
      </c>
      <c r="V292" s="19">
        <v>25</v>
      </c>
      <c r="W292" s="7">
        <f t="shared" si="32"/>
        <v>32.5</v>
      </c>
      <c r="X292" s="28">
        <f t="shared" si="33"/>
        <v>58.2272516312877</v>
      </c>
      <c r="Y292" s="26">
        <f t="shared" si="34"/>
        <v>46.7939892788363</v>
      </c>
    </row>
    <row r="293" spans="1:25">
      <c r="A293" s="8" t="s">
        <v>321</v>
      </c>
      <c r="B293" s="8">
        <v>4</v>
      </c>
      <c r="C293" s="16">
        <v>25</v>
      </c>
      <c r="D293" s="16">
        <v>25</v>
      </c>
      <c r="E293" s="6">
        <f t="shared" si="28"/>
        <v>25</v>
      </c>
      <c r="F293" s="18">
        <v>23.0982871860834</v>
      </c>
      <c r="G293" s="19">
        <v>80</v>
      </c>
      <c r="H293" s="19">
        <v>40</v>
      </c>
      <c r="I293" s="19">
        <v>75</v>
      </c>
      <c r="J293" s="19">
        <v>75</v>
      </c>
      <c r="K293" s="9">
        <f t="shared" si="29"/>
        <v>67.5</v>
      </c>
      <c r="L293" s="19">
        <v>100</v>
      </c>
      <c r="M293" s="19">
        <v>70</v>
      </c>
      <c r="N293" s="19">
        <v>40</v>
      </c>
      <c r="O293" s="19">
        <v>75</v>
      </c>
      <c r="P293" s="9">
        <f t="shared" si="30"/>
        <v>71.25</v>
      </c>
      <c r="Q293" s="26">
        <v>59.8713675744284</v>
      </c>
      <c r="R293" s="26">
        <v>55.9081770155398</v>
      </c>
      <c r="S293" s="27">
        <f t="shared" si="31"/>
        <v>57.8897722949841</v>
      </c>
      <c r="T293" s="18">
        <v>53.4861834242607</v>
      </c>
      <c r="U293" s="19">
        <v>60</v>
      </c>
      <c r="V293" s="8" t="s">
        <v>32</v>
      </c>
      <c r="W293" s="7">
        <f t="shared" si="32"/>
        <v>30</v>
      </c>
      <c r="X293" s="28">
        <f t="shared" si="33"/>
        <v>49.639130806921</v>
      </c>
      <c r="Y293" s="26">
        <f t="shared" si="34"/>
        <v>49.0668941220688</v>
      </c>
    </row>
    <row r="294" spans="1:25">
      <c r="A294" s="8" t="s">
        <v>322</v>
      </c>
      <c r="B294" s="8">
        <v>4</v>
      </c>
      <c r="C294" s="16">
        <v>50</v>
      </c>
      <c r="D294" s="16">
        <v>25</v>
      </c>
      <c r="E294" s="6">
        <f t="shared" si="28"/>
        <v>37.5</v>
      </c>
      <c r="F294" s="18">
        <v>34.4557235748992</v>
      </c>
      <c r="G294" s="19">
        <v>20</v>
      </c>
      <c r="H294" s="8" t="s">
        <v>32</v>
      </c>
      <c r="I294" s="19">
        <v>75</v>
      </c>
      <c r="J294" s="19">
        <v>25</v>
      </c>
      <c r="K294" s="9">
        <f t="shared" si="29"/>
        <v>30</v>
      </c>
      <c r="L294" s="19">
        <v>40</v>
      </c>
      <c r="M294" s="19">
        <v>100</v>
      </c>
      <c r="N294" s="19">
        <v>100</v>
      </c>
      <c r="O294" s="19">
        <v>75</v>
      </c>
      <c r="P294" s="9">
        <f t="shared" si="30"/>
        <v>78.75</v>
      </c>
      <c r="Q294" s="29">
        <v>100</v>
      </c>
      <c r="R294" s="26">
        <v>93.6922690331341</v>
      </c>
      <c r="S294" s="27">
        <f t="shared" si="31"/>
        <v>96.846134516567</v>
      </c>
      <c r="T294" s="18">
        <v>88.9840970720091</v>
      </c>
      <c r="U294" s="19">
        <v>20</v>
      </c>
      <c r="V294" s="8" t="s">
        <v>32</v>
      </c>
      <c r="W294" s="7">
        <f t="shared" si="32"/>
        <v>10</v>
      </c>
      <c r="X294" s="28">
        <f t="shared" si="33"/>
        <v>57.3597835437835</v>
      </c>
      <c r="Y294" s="26">
        <f t="shared" si="34"/>
        <v>48.4379641293817</v>
      </c>
    </row>
    <row r="295" spans="1:25">
      <c r="A295" s="8" t="s">
        <v>323</v>
      </c>
      <c r="B295" s="8">
        <v>4</v>
      </c>
      <c r="C295" s="17">
        <v>50</v>
      </c>
      <c r="D295" s="17">
        <v>50</v>
      </c>
      <c r="E295" s="6">
        <f t="shared" si="28"/>
        <v>50</v>
      </c>
      <c r="F295" s="18">
        <v>53.905605765916</v>
      </c>
      <c r="G295" s="19">
        <v>100</v>
      </c>
      <c r="H295" s="19">
        <v>100</v>
      </c>
      <c r="I295" s="19">
        <v>100</v>
      </c>
      <c r="J295" s="19">
        <v>75</v>
      </c>
      <c r="K295" s="9">
        <f t="shared" si="29"/>
        <v>93.75</v>
      </c>
      <c r="L295" s="19">
        <v>100</v>
      </c>
      <c r="M295" s="19">
        <v>60</v>
      </c>
      <c r="N295" s="19">
        <v>100</v>
      </c>
      <c r="O295" s="19">
        <v>100</v>
      </c>
      <c r="P295" s="9">
        <f t="shared" si="30"/>
        <v>90</v>
      </c>
      <c r="Q295" s="26">
        <v>30.685424682166</v>
      </c>
      <c r="R295" s="26">
        <v>14.6892493835007</v>
      </c>
      <c r="S295" s="27">
        <f t="shared" si="31"/>
        <v>22.6873370328333</v>
      </c>
      <c r="T295" s="18">
        <v>24.4594929194076</v>
      </c>
      <c r="U295" s="19">
        <v>60</v>
      </c>
      <c r="V295" s="19">
        <v>100</v>
      </c>
      <c r="W295" s="7">
        <f t="shared" si="32"/>
        <v>80</v>
      </c>
      <c r="X295" s="28">
        <f t="shared" si="33"/>
        <v>56.3149183209462</v>
      </c>
      <c r="Y295" s="26">
        <f t="shared" si="34"/>
        <v>68.4230197370647</v>
      </c>
    </row>
    <row r="296" spans="1:25">
      <c r="A296" s="8" t="s">
        <v>324</v>
      </c>
      <c r="B296" s="8">
        <v>4</v>
      </c>
      <c r="C296" s="17">
        <v>0</v>
      </c>
      <c r="D296" s="17">
        <v>0</v>
      </c>
      <c r="E296" s="6">
        <f t="shared" si="28"/>
        <v>0</v>
      </c>
      <c r="F296" s="18">
        <v>0</v>
      </c>
      <c r="G296" s="8" t="s">
        <v>32</v>
      </c>
      <c r="H296" s="8" t="s">
        <v>32</v>
      </c>
      <c r="I296" s="8" t="s">
        <v>32</v>
      </c>
      <c r="J296" s="8" t="s">
        <v>32</v>
      </c>
      <c r="K296" s="9">
        <f t="shared" si="29"/>
        <v>0</v>
      </c>
      <c r="L296" s="8" t="s">
        <v>32</v>
      </c>
      <c r="M296" s="8" t="s">
        <v>32</v>
      </c>
      <c r="N296" s="8" t="s">
        <v>32</v>
      </c>
      <c r="O296" s="8" t="s">
        <v>32</v>
      </c>
      <c r="P296" s="9">
        <f t="shared" si="30"/>
        <v>0</v>
      </c>
      <c r="Q296" s="29">
        <v>100</v>
      </c>
      <c r="R296" s="26">
        <v>64.9374903628415</v>
      </c>
      <c r="S296" s="27">
        <f t="shared" si="31"/>
        <v>82.4687451814208</v>
      </c>
      <c r="T296" s="18">
        <v>89.4496678961223</v>
      </c>
      <c r="U296" s="8" t="s">
        <v>32</v>
      </c>
      <c r="V296" s="8" t="s">
        <v>32</v>
      </c>
      <c r="W296" s="7">
        <f t="shared" si="32"/>
        <v>0</v>
      </c>
      <c r="X296" s="28">
        <f t="shared" si="33"/>
        <v>35.7798671584489</v>
      </c>
      <c r="Y296" s="26">
        <f t="shared" si="34"/>
        <v>17.8899335792245</v>
      </c>
    </row>
    <row r="297" spans="1:25">
      <c r="A297" s="8" t="s">
        <v>325</v>
      </c>
      <c r="B297" s="8">
        <v>4</v>
      </c>
      <c r="C297" s="16">
        <v>50</v>
      </c>
      <c r="D297" s="16">
        <v>25</v>
      </c>
      <c r="E297" s="6">
        <f t="shared" si="28"/>
        <v>37.5</v>
      </c>
      <c r="F297" s="18">
        <v>34.4557235748992</v>
      </c>
      <c r="G297" s="8" t="s">
        <v>32</v>
      </c>
      <c r="H297" s="8" t="s">
        <v>32</v>
      </c>
      <c r="I297" s="19">
        <v>25</v>
      </c>
      <c r="J297" s="19">
        <v>25</v>
      </c>
      <c r="K297" s="9">
        <f t="shared" si="29"/>
        <v>12.5</v>
      </c>
      <c r="L297" s="8" t="s">
        <v>32</v>
      </c>
      <c r="M297" s="19">
        <v>60</v>
      </c>
      <c r="N297" s="8" t="s">
        <v>32</v>
      </c>
      <c r="O297" s="19">
        <v>50</v>
      </c>
      <c r="P297" s="9">
        <f t="shared" si="30"/>
        <v>27.5</v>
      </c>
      <c r="Q297" s="29">
        <v>100</v>
      </c>
      <c r="R297" s="29">
        <v>100</v>
      </c>
      <c r="S297" s="27">
        <f t="shared" si="31"/>
        <v>100</v>
      </c>
      <c r="T297" s="18">
        <v>91.8819295330646</v>
      </c>
      <c r="U297" s="19">
        <v>40</v>
      </c>
      <c r="V297" s="8" t="s">
        <v>32</v>
      </c>
      <c r="W297" s="7">
        <f t="shared" si="32"/>
        <v>20</v>
      </c>
      <c r="X297" s="28">
        <f t="shared" si="33"/>
        <v>50.8939165282057</v>
      </c>
      <c r="Y297" s="26">
        <f t="shared" si="34"/>
        <v>37.2675306215928</v>
      </c>
    </row>
    <row r="298" spans="1:25">
      <c r="A298" s="8" t="s">
        <v>326</v>
      </c>
      <c r="B298" s="8">
        <v>4</v>
      </c>
      <c r="C298" s="17">
        <v>25</v>
      </c>
      <c r="D298" s="17">
        <v>25</v>
      </c>
      <c r="E298" s="6">
        <f t="shared" si="28"/>
        <v>25</v>
      </c>
      <c r="F298" s="18">
        <v>26.5404411801398</v>
      </c>
      <c r="G298" s="19">
        <v>60</v>
      </c>
      <c r="H298" s="19">
        <v>40</v>
      </c>
      <c r="I298" s="19">
        <v>75</v>
      </c>
      <c r="J298" s="19">
        <v>75</v>
      </c>
      <c r="K298" s="9">
        <f t="shared" si="29"/>
        <v>62.5</v>
      </c>
      <c r="L298" s="19">
        <v>80</v>
      </c>
      <c r="M298" s="19">
        <v>100</v>
      </c>
      <c r="N298" s="19">
        <v>100</v>
      </c>
      <c r="O298" s="19">
        <v>75</v>
      </c>
      <c r="P298" s="9">
        <f t="shared" si="30"/>
        <v>88.75</v>
      </c>
      <c r="Q298" s="26">
        <v>77.6058189164065</v>
      </c>
      <c r="R298" s="26">
        <v>59.4850008663694</v>
      </c>
      <c r="S298" s="27">
        <f t="shared" si="31"/>
        <v>68.545409891388</v>
      </c>
      <c r="T298" s="18">
        <v>72.7690167756381</v>
      </c>
      <c r="U298" s="19">
        <v>60</v>
      </c>
      <c r="V298" s="19">
        <v>25</v>
      </c>
      <c r="W298" s="7">
        <f t="shared" si="32"/>
        <v>42.5</v>
      </c>
      <c r="X298" s="28">
        <f t="shared" si="33"/>
        <v>60.0406949462832</v>
      </c>
      <c r="Y298" s="26">
        <f t="shared" si="34"/>
        <v>58.6118915911556</v>
      </c>
    </row>
    <row r="299" spans="1:25">
      <c r="A299" s="8" t="s">
        <v>327</v>
      </c>
      <c r="B299" s="8">
        <v>4</v>
      </c>
      <c r="C299" s="16">
        <v>25</v>
      </c>
      <c r="D299" s="17">
        <v>50</v>
      </c>
      <c r="E299" s="6">
        <f t="shared" si="28"/>
        <v>37.5</v>
      </c>
      <c r="F299" s="18">
        <v>37.3593858247676</v>
      </c>
      <c r="G299" s="8" t="s">
        <v>32</v>
      </c>
      <c r="H299" s="8" t="s">
        <v>32</v>
      </c>
      <c r="I299" s="19">
        <v>25</v>
      </c>
      <c r="J299" s="19">
        <v>25</v>
      </c>
      <c r="K299" s="9">
        <f t="shared" si="29"/>
        <v>12.5</v>
      </c>
      <c r="L299" s="19">
        <v>40</v>
      </c>
      <c r="M299" s="19">
        <v>30</v>
      </c>
      <c r="N299" s="8" t="s">
        <v>32</v>
      </c>
      <c r="O299" s="19">
        <v>25</v>
      </c>
      <c r="P299" s="9">
        <f t="shared" si="30"/>
        <v>23.75</v>
      </c>
      <c r="Q299" s="26">
        <v>83.1444712150779</v>
      </c>
      <c r="R299" s="26">
        <v>80.1257423418485</v>
      </c>
      <c r="S299" s="27">
        <f t="shared" si="31"/>
        <v>81.6351067784632</v>
      </c>
      <c r="T299" s="18">
        <v>81.3289986928721</v>
      </c>
      <c r="U299" s="8" t="s">
        <v>32</v>
      </c>
      <c r="V299" s="8" t="s">
        <v>32</v>
      </c>
      <c r="W299" s="7">
        <f t="shared" si="32"/>
        <v>0</v>
      </c>
      <c r="X299" s="28">
        <f t="shared" si="33"/>
        <v>44.8784766421024</v>
      </c>
      <c r="Y299" s="26">
        <f t="shared" si="34"/>
        <v>30.987676903528</v>
      </c>
    </row>
  </sheetData>
  <sortState ref="A2:Y299">
    <sortCondition ref="A2:A299" customList="重庆市,成都市,上海市,北京市,天津市,广州市,西安市,哈尔滨市,武汉市,郑州市,青岛市,杭州市,济南市,沈阳市,长沙市,南京市,深圳市,大连市,昆明市,佛山市,东莞市,保定市,临沂市,邯郸市,石家庄市,徐州市,赣州市,潍坊市,济宁市,湛江市,长春市,温州市,遵义市,盐城市,南宁市,邢台市,合肥市,上饶市,衡阳市,泉州市,苏州市,南通市,洛阳市,唐山市,福州市,南充市,新乡市,烟台市,聊城市,宁波市,台州市,襄阳市,汕头市,泰安市,开封市,岳阳市,淮安市,宜宾市,桂林市,南昌市,连云港市,绵阳市,齐齐哈尔市,无锡市,张家口市,咸阳市,赤峰市,扬州市,绍兴市,贵阳市,淄博市,枣庄市,惠州市,江门市,吉林市,株洲市,柳州市,太原市,淮南市,常州市,芜湖市,宜昌市,莆田市,十堰市,长治市,兰州市,鞍山市,大同市,秦皇岛市,锦州市,厦门市,大庆市,呼和浩特市,包头市,海口市,西宁市,银川市,抚顺市,中山市,珠海市,乌鲁木齐市,周口市,南阳市,阜阳市,菏泽市,商丘市,毕节市,信阳市,茂名市,邵阳市,沧州市,玉林市,揭阳市,曲靖市,亳州市,宿州市,达州市,永州市,安阳市,荆州市,宜春市,德州市,常德市,宿迁市,六安市,平顶山市,贵港市,梅州市,郴州市,安庆市,漳州市,九江市,怀化市,运城市,许昌市,泸州市,孝感市,金华市,廊坊市,泰州市,益阳市,衡水市,肇庆市,清远市,娄底市,濮阳市,抚州市,临汾市,钦州市,内江市,滨州市,蚌埠市,榆林市,德阳市,汉中市,承德市,宝鸡市,嘉兴市,焦作市,河源市,天水市,六盘水市,遂宁市,梧州市,乐山市,眉山市,韶关市,晋中市,朝阳市,龙岩市,自贡市,日照市,安顺市,阳江市,荆门市,湘潭市,潮州市,黄石市,葫芦岛市,湖州市,镇江市,漯河市,衢州市,威海市,牡丹江市,丹东市,营口市,佳木斯市,马鞍山市,晋城市,玉溪市,淮北市,萍乡市,东营市,北海市,阜新市,辽阳市,景德镇市,鹤壁市,铜陵市,鄂尔多斯市,鸡西市,本溪市,阳泉市,盘锦市,新余市,攀枝花市,鹤岗市,舟山市,三亚市,拉萨市,乌海市,驻马店市,黄冈市,昭通市,吉安市,渭南市,绥化市,滁州市,广安市,铜仁市,河池市,百色市,吕梁市,巴中市,宁德市,汕尾市,资阳市,通辽市,南平市,忻州市,咸宁市,定西市,云浮市,安康市,广元市,三明市,陇南市,铁岭市,宣城市,松原市,丽水市,庆阳市,来宾市,保山市,乌兰察布市,普洱市,崇左市,呼伦贝尔市,贺州市,商洛市,随州市,临沧市,延安市,平凉市,三门峡市,通化市,四平市,武威市,白城市,白银市,海东市,巴彦淖尔市,张家界市,朔州市,池州市,黑河市,雅安市,黄山市,固原市,吴忠市,双鸭山市,张掖市,鹰潭市,丽江市,中卫市,辽源市,白山市,鄂州市,伊春市,儋州市,防城港市,酒泉市,日喀则市,昌都市,铜川市,七台河市,石嘴山市,金昌市,山南市,克拉玛依市,林芝市,嘉峪关市,三沙市,那曲市,吐鲁番市,哈密市"/>
  </sortState>
  <mergeCells count="5">
    <mergeCell ref="C1:F1"/>
    <mergeCell ref="G1:K1"/>
    <mergeCell ref="L1:P1"/>
    <mergeCell ref="Q1:T1"/>
    <mergeCell ref="U1:W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8"/>
  <sheetViews>
    <sheetView workbookViewId="0">
      <selection activeCell="K11" sqref="K11"/>
    </sheetView>
  </sheetViews>
  <sheetFormatPr defaultColWidth="9" defaultRowHeight="13.5" outlineLevelCol="5"/>
  <cols>
    <col min="2" max="2" width="9" style="1"/>
    <col min="3" max="3" width="10.25" customWidth="1"/>
    <col min="4" max="4" width="12.625"/>
    <col min="5" max="5" width="10.25" customWidth="1"/>
    <col min="6" max="6" width="12.625"/>
  </cols>
  <sheetData>
    <row r="1" spans="1:6">
      <c r="A1" t="s">
        <v>5</v>
      </c>
      <c r="B1" s="1" t="s">
        <v>328</v>
      </c>
      <c r="C1" t="s">
        <v>9</v>
      </c>
      <c r="D1" t="s">
        <v>10</v>
      </c>
      <c r="E1" t="s">
        <v>23</v>
      </c>
      <c r="F1" t="s">
        <v>24</v>
      </c>
    </row>
    <row r="2" spans="1:6">
      <c r="A2" t="s">
        <v>30</v>
      </c>
      <c r="B2" s="1">
        <v>1.00454332110856</v>
      </c>
      <c r="C2">
        <v>37.5</v>
      </c>
      <c r="D2" s="1">
        <f>B2*C2</f>
        <v>37.670374541571</v>
      </c>
      <c r="E2" s="1">
        <v>52.6642565476519</v>
      </c>
      <c r="F2" s="1">
        <f>B2*E2</f>
        <v>52.9035271760915</v>
      </c>
    </row>
    <row r="3" spans="1:6">
      <c r="A3" t="s">
        <v>31</v>
      </c>
      <c r="B3" s="1">
        <v>1.01400998629859</v>
      </c>
      <c r="C3">
        <v>75</v>
      </c>
      <c r="D3" s="1">
        <f t="shared" ref="D3:D66" si="0">B3*C3</f>
        <v>76.0507489723943</v>
      </c>
      <c r="E3" s="1">
        <v>31.0092646253164</v>
      </c>
      <c r="F3" s="1">
        <f t="shared" ref="F3:F66" si="1">B3*E3</f>
        <v>31.4437039978464</v>
      </c>
    </row>
    <row r="4" spans="1:6">
      <c r="A4" t="s">
        <v>33</v>
      </c>
      <c r="B4" s="1">
        <v>0.918819295330646</v>
      </c>
      <c r="C4">
        <v>75</v>
      </c>
      <c r="D4" s="1">
        <f t="shared" si="0"/>
        <v>68.9114471497984</v>
      </c>
      <c r="E4" s="1">
        <v>54.5941064845791</v>
      </c>
      <c r="F4" s="1">
        <f t="shared" si="1"/>
        <v>50.1621184493672</v>
      </c>
    </row>
    <row r="5" spans="1:6">
      <c r="A5" t="s">
        <v>34</v>
      </c>
      <c r="B5" s="1">
        <v>0.969965238238462</v>
      </c>
      <c r="C5">
        <v>87.5</v>
      </c>
      <c r="D5" s="1">
        <f t="shared" si="0"/>
        <v>84.8719583458654</v>
      </c>
      <c r="E5" s="1">
        <v>38.7651173732963</v>
      </c>
      <c r="F5" s="1">
        <f t="shared" si="1"/>
        <v>37.6008163083313</v>
      </c>
    </row>
    <row r="6" spans="1:6">
      <c r="A6" t="s">
        <v>35</v>
      </c>
      <c r="B6" s="1">
        <v>0.918819295330646</v>
      </c>
      <c r="C6">
        <v>62.5</v>
      </c>
      <c r="D6" s="1">
        <f t="shared" si="0"/>
        <v>57.4262059581654</v>
      </c>
      <c r="E6" s="1">
        <v>60.3633978919221</v>
      </c>
      <c r="F6" s="1">
        <f t="shared" si="1"/>
        <v>55.4630547148192</v>
      </c>
    </row>
    <row r="7" spans="1:6">
      <c r="A7" t="s">
        <v>36</v>
      </c>
      <c r="B7" s="1">
        <v>0.918819295330646</v>
      </c>
      <c r="C7">
        <v>75</v>
      </c>
      <c r="D7" s="1">
        <f t="shared" si="0"/>
        <v>68.9114471497984</v>
      </c>
      <c r="E7" s="1">
        <v>40.2248859853266</v>
      </c>
      <c r="F7" s="1">
        <f t="shared" si="1"/>
        <v>36.9594013957934</v>
      </c>
    </row>
    <row r="8" spans="1:6">
      <c r="A8" t="s">
        <v>37</v>
      </c>
      <c r="B8" s="1">
        <v>1.04739337695614</v>
      </c>
      <c r="C8">
        <v>25</v>
      </c>
      <c r="D8" s="1">
        <f t="shared" si="0"/>
        <v>26.1848344239035</v>
      </c>
      <c r="E8" s="1">
        <v>23.372481698072</v>
      </c>
      <c r="F8" s="1">
        <f t="shared" si="1"/>
        <v>24.4801825335892</v>
      </c>
    </row>
    <row r="9" spans="1:6">
      <c r="A9" t="s">
        <v>38</v>
      </c>
      <c r="B9" s="1">
        <v>0.937315792823583</v>
      </c>
      <c r="C9">
        <v>50</v>
      </c>
      <c r="D9" s="1">
        <f t="shared" si="0"/>
        <v>46.8657896411791</v>
      </c>
      <c r="E9" s="1">
        <v>65.5664448164503</v>
      </c>
      <c r="F9" s="1">
        <f t="shared" si="1"/>
        <v>61.4564642057548</v>
      </c>
    </row>
    <row r="10" spans="1:6">
      <c r="A10" t="s">
        <v>39</v>
      </c>
      <c r="B10" s="1">
        <v>0.918819295330646</v>
      </c>
      <c r="C10">
        <v>100</v>
      </c>
      <c r="D10" s="1">
        <f t="shared" si="0"/>
        <v>91.8819295330646</v>
      </c>
      <c r="E10" s="1">
        <v>56.4434873774156</v>
      </c>
      <c r="F10" s="1">
        <f t="shared" si="1"/>
        <v>51.8613652981212</v>
      </c>
    </row>
    <row r="11" spans="1:6">
      <c r="A11" t="s">
        <v>40</v>
      </c>
      <c r="B11" s="1">
        <v>0.987598289192701</v>
      </c>
      <c r="C11">
        <v>37.5</v>
      </c>
      <c r="D11" s="1">
        <f t="shared" si="0"/>
        <v>37.0349358447263</v>
      </c>
      <c r="E11" s="1">
        <v>32.804341890759</v>
      </c>
      <c r="F11" s="1">
        <f t="shared" si="1"/>
        <v>32.397511929406</v>
      </c>
    </row>
    <row r="12" spans="1:6">
      <c r="A12" t="s">
        <v>41</v>
      </c>
      <c r="B12" s="1">
        <v>0.962495858501952</v>
      </c>
      <c r="C12">
        <v>37.5</v>
      </c>
      <c r="D12" s="1">
        <f t="shared" si="0"/>
        <v>36.0935946938232</v>
      </c>
      <c r="E12" s="1">
        <v>41.5352073865129</v>
      </c>
      <c r="F12" s="1">
        <f t="shared" si="1"/>
        <v>39.9774650915384</v>
      </c>
    </row>
    <row r="13" spans="1:6">
      <c r="A13" t="s">
        <v>42</v>
      </c>
      <c r="B13" s="1">
        <v>0.92318592305661</v>
      </c>
      <c r="C13">
        <v>100</v>
      </c>
      <c r="D13" s="1">
        <f t="shared" si="0"/>
        <v>92.318592305661</v>
      </c>
      <c r="E13" s="1">
        <v>51.7310504145421</v>
      </c>
      <c r="F13" s="1">
        <f t="shared" si="1"/>
        <v>47.7573775276371</v>
      </c>
    </row>
    <row r="14" spans="1:6">
      <c r="A14" t="s">
        <v>43</v>
      </c>
      <c r="B14" s="1">
        <v>0.982735336807688</v>
      </c>
      <c r="C14">
        <v>75</v>
      </c>
      <c r="D14" s="1">
        <f t="shared" si="0"/>
        <v>73.7051502605766</v>
      </c>
      <c r="E14" s="1">
        <v>36.8089938683136</v>
      </c>
      <c r="F14" s="1">
        <f t="shared" si="1"/>
        <v>36.1734989867292</v>
      </c>
    </row>
    <row r="15" spans="1:6">
      <c r="A15" t="s">
        <v>44</v>
      </c>
      <c r="B15" s="1">
        <v>0.953525723346601</v>
      </c>
      <c r="C15">
        <v>75</v>
      </c>
      <c r="D15" s="1">
        <f t="shared" si="0"/>
        <v>71.5144292509951</v>
      </c>
      <c r="E15" s="1">
        <v>43.8981442770694</v>
      </c>
      <c r="F15" s="1">
        <f t="shared" si="1"/>
        <v>41.858009775366</v>
      </c>
    </row>
    <row r="16" spans="1:6">
      <c r="A16" t="s">
        <v>45</v>
      </c>
      <c r="B16" s="1">
        <v>1.0045855138805</v>
      </c>
      <c r="C16">
        <v>87.5</v>
      </c>
      <c r="D16" s="1">
        <f t="shared" si="0"/>
        <v>87.9012324645438</v>
      </c>
      <c r="E16" s="1">
        <v>35.0613489364225</v>
      </c>
      <c r="F16" s="1">
        <f t="shared" si="1"/>
        <v>35.2221232386395</v>
      </c>
    </row>
    <row r="17" spans="1:6">
      <c r="A17" t="s">
        <v>46</v>
      </c>
      <c r="B17" s="1">
        <v>0.918819295330646</v>
      </c>
      <c r="C17">
        <v>50</v>
      </c>
      <c r="D17" s="1">
        <f t="shared" si="0"/>
        <v>45.9409647665323</v>
      </c>
      <c r="E17" s="1">
        <v>47.0415659861319</v>
      </c>
      <c r="F17" s="1">
        <f t="shared" si="1"/>
        <v>43.2226985106278</v>
      </c>
    </row>
    <row r="18" spans="1:6">
      <c r="A18" t="s">
        <v>47</v>
      </c>
      <c r="B18" s="1">
        <v>0.956222247219308</v>
      </c>
      <c r="C18">
        <v>50</v>
      </c>
      <c r="D18" s="1">
        <f t="shared" si="0"/>
        <v>47.8111123609654</v>
      </c>
      <c r="E18" s="1">
        <v>15.8974905124553</v>
      </c>
      <c r="F18" s="1">
        <f t="shared" si="1"/>
        <v>15.2015341029676</v>
      </c>
    </row>
    <row r="19" spans="1:6">
      <c r="A19" t="s">
        <v>48</v>
      </c>
      <c r="B19" s="1">
        <v>0.918819295330646</v>
      </c>
      <c r="C19">
        <v>62.5</v>
      </c>
      <c r="D19" s="1">
        <f t="shared" si="0"/>
        <v>57.4262059581654</v>
      </c>
      <c r="E19" s="1">
        <v>59.9087862569932</v>
      </c>
      <c r="F19" s="1">
        <f t="shared" si="1"/>
        <v>55.0453487727648</v>
      </c>
    </row>
    <row r="20" spans="1:6">
      <c r="A20" t="s">
        <v>49</v>
      </c>
      <c r="B20" s="1">
        <v>0.975064203021698</v>
      </c>
      <c r="C20">
        <v>37.5</v>
      </c>
      <c r="D20" s="1">
        <f t="shared" si="0"/>
        <v>36.5649076133137</v>
      </c>
      <c r="E20" s="1">
        <v>47.3987964103136</v>
      </c>
      <c r="F20" s="1">
        <f t="shared" si="1"/>
        <v>46.2168696460102</v>
      </c>
    </row>
    <row r="21" spans="1:6">
      <c r="A21" t="s">
        <v>50</v>
      </c>
      <c r="B21" s="1">
        <v>0.918819295330646</v>
      </c>
      <c r="C21">
        <v>100</v>
      </c>
      <c r="D21" s="1">
        <f t="shared" si="0"/>
        <v>91.8819295330646</v>
      </c>
      <c r="E21" s="1">
        <v>40.3979468678807</v>
      </c>
      <c r="F21" s="1">
        <f t="shared" si="1"/>
        <v>37.118413073951</v>
      </c>
    </row>
    <row r="22" spans="1:6">
      <c r="A22" t="s">
        <v>51</v>
      </c>
      <c r="B22" s="1">
        <v>0.918819295330646</v>
      </c>
      <c r="C22">
        <v>62.5</v>
      </c>
      <c r="D22" s="1">
        <f t="shared" si="0"/>
        <v>57.4262059581654</v>
      </c>
      <c r="E22" s="1">
        <v>34.5513874993872</v>
      </c>
      <c r="F22" s="1">
        <f t="shared" si="1"/>
        <v>31.746481514883</v>
      </c>
    </row>
    <row r="23" spans="1:6">
      <c r="A23" t="s">
        <v>52</v>
      </c>
      <c r="B23" s="1">
        <v>1.0637823659798</v>
      </c>
      <c r="C23">
        <v>25</v>
      </c>
      <c r="D23" s="1">
        <f t="shared" si="0"/>
        <v>26.594559149495</v>
      </c>
      <c r="E23" s="1">
        <v>39.041079297927</v>
      </c>
      <c r="F23" s="1">
        <f t="shared" si="1"/>
        <v>41.5312117059537</v>
      </c>
    </row>
    <row r="24" spans="1:6">
      <c r="A24" t="s">
        <v>53</v>
      </c>
      <c r="B24" s="1">
        <v>0.980243581470748</v>
      </c>
      <c r="C24">
        <v>50</v>
      </c>
      <c r="D24" s="1">
        <f t="shared" si="0"/>
        <v>49.0121790735374</v>
      </c>
      <c r="E24" s="1">
        <v>48.2753934746127</v>
      </c>
      <c r="F24" s="1">
        <f t="shared" si="1"/>
        <v>47.321644596464</v>
      </c>
    </row>
    <row r="25" spans="1:6">
      <c r="A25" t="s">
        <v>54</v>
      </c>
      <c r="B25" s="1">
        <v>1.08464931410493</v>
      </c>
      <c r="C25">
        <v>37.5</v>
      </c>
      <c r="D25" s="1">
        <f t="shared" si="0"/>
        <v>40.6743492789349</v>
      </c>
      <c r="E25" s="1">
        <v>28.0142045370558</v>
      </c>
      <c r="F25" s="1">
        <f t="shared" si="1"/>
        <v>30.3855877363128</v>
      </c>
    </row>
    <row r="26" spans="1:6">
      <c r="A26" t="s">
        <v>55</v>
      </c>
      <c r="B26" s="1">
        <v>1.03115117595326</v>
      </c>
      <c r="C26">
        <v>37.5</v>
      </c>
      <c r="D26" s="1">
        <f t="shared" si="0"/>
        <v>38.6681690982472</v>
      </c>
      <c r="E26" s="1">
        <v>34.4066832107108</v>
      </c>
      <c r="F26" s="1">
        <f t="shared" si="1"/>
        <v>35.4784918533757</v>
      </c>
    </row>
    <row r="27" spans="1:6">
      <c r="A27" t="s">
        <v>56</v>
      </c>
      <c r="B27" s="1">
        <v>0.964160100507286</v>
      </c>
      <c r="C27">
        <v>100</v>
      </c>
      <c r="D27" s="1">
        <f t="shared" si="0"/>
        <v>96.4160100507286</v>
      </c>
      <c r="E27" s="1">
        <v>47.2672300811006</v>
      </c>
      <c r="F27" s="1">
        <f t="shared" si="1"/>
        <v>45.573177305695</v>
      </c>
    </row>
    <row r="28" spans="1:6">
      <c r="A28" t="s">
        <v>57</v>
      </c>
      <c r="B28" s="1">
        <v>1.0706284028957</v>
      </c>
      <c r="C28">
        <v>50</v>
      </c>
      <c r="D28" s="1">
        <f t="shared" si="0"/>
        <v>53.531420144785</v>
      </c>
      <c r="E28" s="1">
        <v>45.7807136968932</v>
      </c>
      <c r="F28" s="1">
        <f t="shared" si="1"/>
        <v>49.0141323887301</v>
      </c>
    </row>
    <row r="29" spans="1:6">
      <c r="A29" t="s">
        <v>58</v>
      </c>
      <c r="B29" s="1">
        <v>0.918819295330646</v>
      </c>
      <c r="C29">
        <v>50</v>
      </c>
      <c r="D29" s="1">
        <f t="shared" si="0"/>
        <v>45.9409647665323</v>
      </c>
      <c r="E29" s="1">
        <v>63.3119476262538</v>
      </c>
      <c r="F29" s="1">
        <f t="shared" si="1"/>
        <v>58.1722391039653</v>
      </c>
    </row>
    <row r="30" spans="1:6">
      <c r="A30" t="s">
        <v>59</v>
      </c>
      <c r="B30" s="1">
        <v>0.918819295330646</v>
      </c>
      <c r="C30">
        <v>75</v>
      </c>
      <c r="D30" s="1">
        <f t="shared" si="0"/>
        <v>68.9114471497984</v>
      </c>
      <c r="E30" s="1">
        <v>65.2983600228797</v>
      </c>
      <c r="F30" s="1">
        <f t="shared" si="1"/>
        <v>59.9973931424691</v>
      </c>
    </row>
    <row r="31" spans="1:6">
      <c r="A31" t="s">
        <v>60</v>
      </c>
      <c r="B31" s="1">
        <v>0.953459208547292</v>
      </c>
      <c r="C31">
        <v>87.5</v>
      </c>
      <c r="D31" s="1">
        <f t="shared" si="0"/>
        <v>83.427680747888</v>
      </c>
      <c r="E31" s="1">
        <v>53.8520245895583</v>
      </c>
      <c r="F31" s="1">
        <f t="shared" si="1"/>
        <v>51.3457087438295</v>
      </c>
    </row>
    <row r="32" spans="1:6">
      <c r="A32" t="s">
        <v>61</v>
      </c>
      <c r="B32" s="1">
        <v>0.952789817127313</v>
      </c>
      <c r="C32">
        <v>62.5</v>
      </c>
      <c r="D32" s="1">
        <f t="shared" si="0"/>
        <v>59.5493635704571</v>
      </c>
      <c r="E32" s="1">
        <v>55.8528999680656</v>
      </c>
      <c r="F32" s="1">
        <f t="shared" si="1"/>
        <v>53.2160743466033</v>
      </c>
    </row>
    <row r="33" spans="1:6">
      <c r="A33" t="s">
        <v>62</v>
      </c>
      <c r="B33" s="1">
        <v>0.971650348967648</v>
      </c>
      <c r="C33">
        <v>50</v>
      </c>
      <c r="D33" s="1">
        <f t="shared" si="0"/>
        <v>48.5825174483824</v>
      </c>
      <c r="E33" s="1">
        <v>45.4420291705621</v>
      </c>
      <c r="F33" s="1">
        <f t="shared" si="1"/>
        <v>44.1537635013747</v>
      </c>
    </row>
    <row r="34" spans="1:6">
      <c r="A34" t="s">
        <v>63</v>
      </c>
      <c r="B34" s="1">
        <v>1.08464931410493</v>
      </c>
      <c r="C34">
        <v>87.5</v>
      </c>
      <c r="D34" s="1">
        <f t="shared" si="0"/>
        <v>94.9068149841814</v>
      </c>
      <c r="E34" s="1">
        <v>34.1281784122251</v>
      </c>
      <c r="F34" s="1">
        <f t="shared" si="1"/>
        <v>37.0171053064706</v>
      </c>
    </row>
    <row r="35" spans="1:6">
      <c r="A35" t="s">
        <v>64</v>
      </c>
      <c r="B35" s="1">
        <v>0.918819295330646</v>
      </c>
      <c r="C35">
        <v>87.5</v>
      </c>
      <c r="D35" s="1">
        <f t="shared" si="0"/>
        <v>80.3966883414315</v>
      </c>
      <c r="E35" s="1">
        <v>63.8711308345389</v>
      </c>
      <c r="F35" s="1">
        <f t="shared" si="1"/>
        <v>58.6860274253626</v>
      </c>
    </row>
    <row r="36" spans="1:6">
      <c r="A36" t="s">
        <v>65</v>
      </c>
      <c r="B36" s="1">
        <v>1.00785627172721</v>
      </c>
      <c r="C36">
        <v>37.5</v>
      </c>
      <c r="D36" s="1">
        <f t="shared" si="0"/>
        <v>37.7946101897704</v>
      </c>
      <c r="E36" s="1">
        <v>43.1523454537137</v>
      </c>
      <c r="F36" s="1">
        <f t="shared" si="1"/>
        <v>43.4913620052646</v>
      </c>
    </row>
    <row r="37" spans="1:6">
      <c r="A37" t="s">
        <v>66</v>
      </c>
      <c r="B37" s="1">
        <v>1.08464931410493</v>
      </c>
      <c r="C37">
        <v>25</v>
      </c>
      <c r="D37" s="1">
        <f t="shared" si="0"/>
        <v>27.1162328526233</v>
      </c>
      <c r="E37" s="1">
        <v>23.5588388113824</v>
      </c>
      <c r="F37" s="1">
        <f t="shared" si="1"/>
        <v>25.5530783578746</v>
      </c>
    </row>
    <row r="38" spans="1:6">
      <c r="A38" t="s">
        <v>67</v>
      </c>
      <c r="B38" s="1">
        <v>0.918819295330646</v>
      </c>
      <c r="C38">
        <v>75</v>
      </c>
      <c r="D38" s="1">
        <f t="shared" si="0"/>
        <v>68.9114471497984</v>
      </c>
      <c r="E38" s="1">
        <v>61.4683508606295</v>
      </c>
      <c r="F38" s="1">
        <f t="shared" si="1"/>
        <v>56.4783068229005</v>
      </c>
    </row>
    <row r="39" spans="1:6">
      <c r="A39" t="s">
        <v>68</v>
      </c>
      <c r="B39" s="1">
        <v>0.954002364275376</v>
      </c>
      <c r="C39">
        <v>25</v>
      </c>
      <c r="D39" s="1">
        <f t="shared" si="0"/>
        <v>23.8500591068844</v>
      </c>
      <c r="E39" s="1">
        <v>60.4345814210125</v>
      </c>
      <c r="F39" s="1">
        <f t="shared" si="1"/>
        <v>57.6547335596386</v>
      </c>
    </row>
    <row r="40" spans="1:6">
      <c r="A40" t="s">
        <v>69</v>
      </c>
      <c r="B40" s="1">
        <v>0.997200209115609</v>
      </c>
      <c r="C40">
        <v>75</v>
      </c>
      <c r="D40" s="1">
        <f t="shared" si="0"/>
        <v>74.7900156836707</v>
      </c>
      <c r="E40" s="1">
        <v>48.6965516868844</v>
      </c>
      <c r="F40" s="1">
        <f t="shared" si="1"/>
        <v>48.5602115253702</v>
      </c>
    </row>
    <row r="41" spans="1:6">
      <c r="A41" t="s">
        <v>70</v>
      </c>
      <c r="B41" s="1">
        <v>1.02526432757426</v>
      </c>
      <c r="C41">
        <v>50</v>
      </c>
      <c r="D41" s="1">
        <f t="shared" si="0"/>
        <v>51.263216378713</v>
      </c>
      <c r="E41" s="1">
        <v>38.490882083849</v>
      </c>
      <c r="F41" s="1">
        <f t="shared" si="1"/>
        <v>39.4633283374376</v>
      </c>
    </row>
    <row r="42" spans="1:6">
      <c r="A42" t="s">
        <v>71</v>
      </c>
      <c r="B42" s="1">
        <v>0.918819295330646</v>
      </c>
      <c r="C42">
        <v>75</v>
      </c>
      <c r="D42" s="1">
        <f t="shared" si="0"/>
        <v>68.9114471497984</v>
      </c>
      <c r="E42" s="1">
        <v>72.9410948096788</v>
      </c>
      <c r="F42" s="1">
        <f t="shared" si="1"/>
        <v>67.0196853336749</v>
      </c>
    </row>
    <row r="43" spans="1:6">
      <c r="A43" t="s">
        <v>72</v>
      </c>
      <c r="B43" s="1">
        <v>0.918819295330646</v>
      </c>
      <c r="C43">
        <v>50</v>
      </c>
      <c r="D43" s="1">
        <f t="shared" si="0"/>
        <v>45.9409647665323</v>
      </c>
      <c r="E43" s="1">
        <v>58.3901942117962</v>
      </c>
      <c r="F43" s="1">
        <f t="shared" si="1"/>
        <v>53.6500370999021</v>
      </c>
    </row>
    <row r="44" spans="1:6">
      <c r="A44" t="s">
        <v>73</v>
      </c>
      <c r="B44" s="1">
        <v>1.00923702945626</v>
      </c>
      <c r="C44">
        <v>62.5</v>
      </c>
      <c r="D44" s="1">
        <f t="shared" si="0"/>
        <v>63.0773143410163</v>
      </c>
      <c r="E44" s="1">
        <v>42.9587701412433</v>
      </c>
      <c r="F44" s="1">
        <f t="shared" si="1"/>
        <v>43.3555815664426</v>
      </c>
    </row>
    <row r="45" spans="1:6">
      <c r="A45" t="s">
        <v>74</v>
      </c>
      <c r="B45" s="1">
        <v>0.918819295330646</v>
      </c>
      <c r="C45">
        <v>37.5</v>
      </c>
      <c r="D45" s="1">
        <f t="shared" si="0"/>
        <v>34.4557235748992</v>
      </c>
      <c r="E45" s="1">
        <v>65.097888731178</v>
      </c>
      <c r="F45" s="1">
        <f t="shared" si="1"/>
        <v>59.8131962514938</v>
      </c>
    </row>
    <row r="46" spans="1:6">
      <c r="A46" t="s">
        <v>75</v>
      </c>
      <c r="B46" s="1">
        <v>0.972271067452188</v>
      </c>
      <c r="C46">
        <v>50</v>
      </c>
      <c r="D46" s="1">
        <f t="shared" si="0"/>
        <v>48.6135533726094</v>
      </c>
      <c r="E46" s="1">
        <v>43.3595509324785</v>
      </c>
      <c r="F46" s="1">
        <f t="shared" si="1"/>
        <v>42.1572368693684</v>
      </c>
    </row>
    <row r="47" spans="1:6">
      <c r="A47" t="s">
        <v>76</v>
      </c>
      <c r="B47" s="1">
        <v>0.979461992269392</v>
      </c>
      <c r="C47">
        <v>25</v>
      </c>
      <c r="D47" s="1">
        <f t="shared" si="0"/>
        <v>24.4865498067348</v>
      </c>
      <c r="E47" s="1">
        <v>48.5465091680492</v>
      </c>
      <c r="F47" s="1">
        <f t="shared" si="1"/>
        <v>47.5494605874617</v>
      </c>
    </row>
    <row r="48" spans="1:6">
      <c r="A48" t="s">
        <v>77</v>
      </c>
      <c r="B48" s="1">
        <v>1.01482120530703</v>
      </c>
      <c r="C48">
        <v>62.5</v>
      </c>
      <c r="D48" s="1">
        <f t="shared" si="0"/>
        <v>63.4263253316894</v>
      </c>
      <c r="E48" s="1">
        <v>37.9430965993609</v>
      </c>
      <c r="F48" s="1">
        <f t="shared" si="1"/>
        <v>38.5054590240445</v>
      </c>
    </row>
    <row r="49" spans="1:6">
      <c r="A49" t="s">
        <v>78</v>
      </c>
      <c r="B49" s="1">
        <v>0.956844186199842</v>
      </c>
      <c r="C49">
        <v>75</v>
      </c>
      <c r="D49" s="1">
        <f t="shared" si="0"/>
        <v>71.7633139649882</v>
      </c>
      <c r="E49" s="1">
        <v>51.0720696600922</v>
      </c>
      <c r="F49" s="1">
        <f t="shared" si="1"/>
        <v>48.8680129314526</v>
      </c>
    </row>
    <row r="50" spans="1:6">
      <c r="A50" t="s">
        <v>79</v>
      </c>
      <c r="B50" s="1">
        <v>1.06692062494336</v>
      </c>
      <c r="C50">
        <v>87.5</v>
      </c>
      <c r="D50" s="1">
        <f t="shared" si="0"/>
        <v>93.355554682544</v>
      </c>
      <c r="E50" s="1">
        <v>30.3171847081371</v>
      </c>
      <c r="F50" s="1">
        <f t="shared" si="1"/>
        <v>32.3460296553289</v>
      </c>
    </row>
    <row r="51" spans="1:6">
      <c r="A51" t="s">
        <v>80</v>
      </c>
      <c r="B51" s="1">
        <v>0.918819295330646</v>
      </c>
      <c r="C51">
        <v>75</v>
      </c>
      <c r="D51" s="1">
        <f t="shared" si="0"/>
        <v>68.9114471497984</v>
      </c>
      <c r="E51" s="1">
        <v>53.7434657087619</v>
      </c>
      <c r="F51" s="1">
        <f t="shared" si="1"/>
        <v>49.3805332911513</v>
      </c>
    </row>
    <row r="52" spans="1:6">
      <c r="A52" t="s">
        <v>81</v>
      </c>
      <c r="B52" s="1">
        <v>0.958426750872049</v>
      </c>
      <c r="C52">
        <v>62.5</v>
      </c>
      <c r="D52" s="1">
        <f t="shared" si="0"/>
        <v>59.9016719295031</v>
      </c>
      <c r="E52" s="1">
        <v>48.3123434132626</v>
      </c>
      <c r="F52" s="1">
        <f t="shared" si="1"/>
        <v>46.3038423245879</v>
      </c>
    </row>
    <row r="53" spans="1:6">
      <c r="A53" t="s">
        <v>82</v>
      </c>
      <c r="B53" s="1">
        <v>0.973274596624579</v>
      </c>
      <c r="C53">
        <v>37.5</v>
      </c>
      <c r="D53" s="1">
        <f t="shared" si="0"/>
        <v>36.4977973734217</v>
      </c>
      <c r="E53" s="1">
        <v>53.991238605592</v>
      </c>
      <c r="F53" s="1">
        <f t="shared" si="1"/>
        <v>52.548300975119</v>
      </c>
    </row>
    <row r="54" spans="1:6">
      <c r="A54" t="s">
        <v>83</v>
      </c>
      <c r="B54" s="1">
        <v>0.918819295330646</v>
      </c>
      <c r="C54">
        <v>87.5</v>
      </c>
      <c r="D54" s="1">
        <f t="shared" si="0"/>
        <v>80.3966883414315</v>
      </c>
      <c r="E54" s="1">
        <v>41.9052920296497</v>
      </c>
      <c r="F54" s="1">
        <f t="shared" si="1"/>
        <v>38.5033908933077</v>
      </c>
    </row>
    <row r="55" spans="1:6">
      <c r="A55" t="s">
        <v>84</v>
      </c>
      <c r="B55" s="1">
        <v>0.939305120808545</v>
      </c>
      <c r="C55">
        <v>62.5</v>
      </c>
      <c r="D55" s="1">
        <f t="shared" si="0"/>
        <v>58.7065700505341</v>
      </c>
      <c r="E55" s="1">
        <v>50.4054166104924</v>
      </c>
      <c r="F55" s="1">
        <f t="shared" si="1"/>
        <v>47.3460659387236</v>
      </c>
    </row>
    <row r="56" spans="1:6">
      <c r="A56" t="s">
        <v>85</v>
      </c>
      <c r="B56" s="1">
        <v>1.05116729607506</v>
      </c>
      <c r="C56">
        <v>62.5</v>
      </c>
      <c r="D56" s="1">
        <f t="shared" si="0"/>
        <v>65.6979560046912</v>
      </c>
      <c r="E56" s="1">
        <v>28.6160533956414</v>
      </c>
      <c r="F56" s="1">
        <f t="shared" si="1"/>
        <v>30.080259472236</v>
      </c>
    </row>
    <row r="57" spans="1:6">
      <c r="A57" t="s">
        <v>86</v>
      </c>
      <c r="B57" s="1">
        <v>0.918819295330646</v>
      </c>
      <c r="C57">
        <v>75</v>
      </c>
      <c r="D57" s="1">
        <f t="shared" si="0"/>
        <v>68.9114471497984</v>
      </c>
      <c r="E57" s="1">
        <v>65.9631521770559</v>
      </c>
      <c r="F57" s="1">
        <f t="shared" si="1"/>
        <v>60.6082170011107</v>
      </c>
    </row>
    <row r="58" spans="1:6">
      <c r="A58" t="s">
        <v>87</v>
      </c>
      <c r="B58" s="1">
        <v>0.918819295330646</v>
      </c>
      <c r="C58">
        <v>37.5</v>
      </c>
      <c r="D58" s="1">
        <f t="shared" si="0"/>
        <v>34.4557235748992</v>
      </c>
      <c r="E58" s="1">
        <v>71.0497372165968</v>
      </c>
      <c r="F58" s="1">
        <f t="shared" si="1"/>
        <v>65.281869482781</v>
      </c>
    </row>
    <row r="59" spans="1:6">
      <c r="A59" t="s">
        <v>88</v>
      </c>
      <c r="B59" s="1">
        <v>1.00318086919922</v>
      </c>
      <c r="C59">
        <v>62.5</v>
      </c>
      <c r="D59" s="1">
        <f t="shared" si="0"/>
        <v>62.6988043249512</v>
      </c>
      <c r="E59" s="1">
        <v>45.6684260267725</v>
      </c>
      <c r="F59" s="1">
        <f t="shared" si="1"/>
        <v>45.813691316498</v>
      </c>
    </row>
    <row r="60" spans="1:6">
      <c r="A60" t="s">
        <v>89</v>
      </c>
      <c r="B60" s="1">
        <v>1.08464931410493</v>
      </c>
      <c r="C60">
        <v>37.5</v>
      </c>
      <c r="D60" s="1">
        <f t="shared" si="0"/>
        <v>40.6743492789349</v>
      </c>
      <c r="E60" s="1">
        <v>39.3232485931107</v>
      </c>
      <c r="F60" s="1">
        <f t="shared" si="1"/>
        <v>42.6519346148952</v>
      </c>
    </row>
    <row r="61" spans="1:6">
      <c r="A61" t="s">
        <v>90</v>
      </c>
      <c r="B61" s="1">
        <v>0.918819295330646</v>
      </c>
      <c r="C61">
        <v>37.5</v>
      </c>
      <c r="D61" s="1">
        <f t="shared" si="0"/>
        <v>34.4557235748992</v>
      </c>
      <c r="E61" s="1">
        <v>57.0244679967783</v>
      </c>
      <c r="F61" s="1">
        <f t="shared" si="1"/>
        <v>52.3951815014048</v>
      </c>
    </row>
    <row r="62" spans="1:6">
      <c r="A62" t="s">
        <v>91</v>
      </c>
      <c r="B62" s="1">
        <v>0.918819295330646</v>
      </c>
      <c r="C62">
        <v>62.5</v>
      </c>
      <c r="D62" s="1">
        <f t="shared" si="0"/>
        <v>57.4262059581654</v>
      </c>
      <c r="E62" s="1">
        <v>59.3210263088423</v>
      </c>
      <c r="F62" s="1">
        <f t="shared" si="1"/>
        <v>54.5053035913812</v>
      </c>
    </row>
    <row r="63" spans="1:6">
      <c r="A63" t="s">
        <v>92</v>
      </c>
      <c r="B63" s="1">
        <v>1.01543362192409</v>
      </c>
      <c r="C63">
        <v>25</v>
      </c>
      <c r="D63" s="1">
        <f t="shared" si="0"/>
        <v>25.3858405481023</v>
      </c>
      <c r="E63" s="1">
        <v>47.3699818803041</v>
      </c>
      <c r="F63" s="1">
        <f t="shared" si="1"/>
        <v>48.1010722711957</v>
      </c>
    </row>
    <row r="64" spans="1:6">
      <c r="A64" t="s">
        <v>93</v>
      </c>
      <c r="B64" s="1">
        <v>0.962960441126</v>
      </c>
      <c r="C64">
        <v>50</v>
      </c>
      <c r="D64" s="1">
        <f t="shared" si="0"/>
        <v>48.1480220563</v>
      </c>
      <c r="E64" s="1">
        <v>66.7683860935572</v>
      </c>
      <c r="F64" s="1">
        <f t="shared" si="1"/>
        <v>64.2953145259229</v>
      </c>
    </row>
    <row r="65" spans="1:6">
      <c r="A65" t="s">
        <v>94</v>
      </c>
      <c r="B65" s="1">
        <v>0.918819295330646</v>
      </c>
      <c r="C65">
        <v>50</v>
      </c>
      <c r="D65" s="1">
        <f t="shared" si="0"/>
        <v>45.9409647665323</v>
      </c>
      <c r="E65" s="1">
        <v>59.1360932847762</v>
      </c>
      <c r="F65" s="1">
        <f t="shared" si="1"/>
        <v>54.3353835605254</v>
      </c>
    </row>
    <row r="66" spans="1:6">
      <c r="A66" t="s">
        <v>95</v>
      </c>
      <c r="B66" s="1">
        <v>1.07274811082081</v>
      </c>
      <c r="C66">
        <v>37.5</v>
      </c>
      <c r="D66" s="1">
        <f t="shared" si="0"/>
        <v>40.2280541557804</v>
      </c>
      <c r="E66" s="1">
        <v>46.7003460842302</v>
      </c>
      <c r="F66" s="1">
        <f t="shared" si="1"/>
        <v>50.0977080365359</v>
      </c>
    </row>
    <row r="67" spans="1:6">
      <c r="A67" t="s">
        <v>96</v>
      </c>
      <c r="B67" s="1">
        <v>1.08464931410493</v>
      </c>
      <c r="C67">
        <v>37.5</v>
      </c>
      <c r="D67" s="1">
        <f t="shared" ref="D67:D130" si="2">B67*C67</f>
        <v>40.6743492789349</v>
      </c>
      <c r="E67" s="1">
        <v>25.1618819611523</v>
      </c>
      <c r="F67" s="1">
        <f t="shared" ref="F67:F130" si="3">B67*E67</f>
        <v>27.291818010753</v>
      </c>
    </row>
    <row r="68" spans="1:6">
      <c r="A68" t="s">
        <v>97</v>
      </c>
      <c r="B68" s="1">
        <v>1.06559404491065</v>
      </c>
      <c r="C68">
        <v>37.5</v>
      </c>
      <c r="D68" s="1">
        <f t="shared" si="2"/>
        <v>39.9597766841494</v>
      </c>
      <c r="E68" s="1">
        <v>59.1870084631203</v>
      </c>
      <c r="F68" s="1">
        <f t="shared" si="3"/>
        <v>63.0693237543773</v>
      </c>
    </row>
    <row r="69" spans="1:6">
      <c r="A69" t="s">
        <v>98</v>
      </c>
      <c r="B69" s="1">
        <v>0.918819295330646</v>
      </c>
      <c r="C69">
        <v>100</v>
      </c>
      <c r="D69" s="1">
        <f t="shared" si="2"/>
        <v>91.8819295330646</v>
      </c>
      <c r="E69" s="1">
        <v>62.2341801880607</v>
      </c>
      <c r="F69" s="1">
        <f t="shared" si="3"/>
        <v>57.1819655858744</v>
      </c>
    </row>
    <row r="70" spans="1:6">
      <c r="A70" t="s">
        <v>99</v>
      </c>
      <c r="B70" s="1">
        <v>0.94396991766977</v>
      </c>
      <c r="C70">
        <v>50</v>
      </c>
      <c r="D70" s="1">
        <f t="shared" si="2"/>
        <v>47.1984958834885</v>
      </c>
      <c r="E70" s="1">
        <v>46.8257307906784</v>
      </c>
      <c r="F70" s="1">
        <f t="shared" si="3"/>
        <v>44.2020812393035</v>
      </c>
    </row>
    <row r="71" spans="1:6">
      <c r="A71" t="s">
        <v>100</v>
      </c>
      <c r="B71" s="1">
        <v>1.00677285488133</v>
      </c>
      <c r="C71">
        <v>37.5</v>
      </c>
      <c r="D71" s="1">
        <f t="shared" si="2"/>
        <v>37.7539820580499</v>
      </c>
      <c r="E71" s="1">
        <v>32.0526575530251</v>
      </c>
      <c r="F71" s="1">
        <f t="shared" si="3"/>
        <v>32.2697455511927</v>
      </c>
    </row>
    <row r="72" spans="1:6">
      <c r="A72" t="s">
        <v>101</v>
      </c>
      <c r="B72" s="1">
        <v>1.03086158773758</v>
      </c>
      <c r="C72">
        <v>50</v>
      </c>
      <c r="D72" s="1">
        <f t="shared" si="2"/>
        <v>51.543079386879</v>
      </c>
      <c r="E72" s="1">
        <v>27.0286062631222</v>
      </c>
      <c r="F72" s="1">
        <f t="shared" si="3"/>
        <v>27.862751966736</v>
      </c>
    </row>
    <row r="73" spans="1:6">
      <c r="A73" t="s">
        <v>102</v>
      </c>
      <c r="B73" s="1">
        <v>1.01198366388253</v>
      </c>
      <c r="C73">
        <v>37.5</v>
      </c>
      <c r="D73" s="1">
        <f t="shared" si="2"/>
        <v>37.9493873955949</v>
      </c>
      <c r="E73" s="1">
        <v>31.2783636170992</v>
      </c>
      <c r="F73" s="1">
        <f t="shared" si="3"/>
        <v>31.6531930134821</v>
      </c>
    </row>
    <row r="74" spans="1:6">
      <c r="A74" t="s">
        <v>103</v>
      </c>
      <c r="B74" s="1">
        <v>0.981662560210453</v>
      </c>
      <c r="C74">
        <v>87.5</v>
      </c>
      <c r="D74" s="1">
        <f t="shared" si="2"/>
        <v>85.8954740184146</v>
      </c>
      <c r="E74" s="1">
        <v>42.5616425530283</v>
      </c>
      <c r="F74" s="1">
        <f t="shared" si="3"/>
        <v>41.7811709953679</v>
      </c>
    </row>
    <row r="75" spans="1:6">
      <c r="A75" t="s">
        <v>104</v>
      </c>
      <c r="B75" s="1">
        <v>0.930267899429091</v>
      </c>
      <c r="C75">
        <v>75</v>
      </c>
      <c r="D75" s="1">
        <f t="shared" si="2"/>
        <v>69.7700924571818</v>
      </c>
      <c r="E75" s="1">
        <v>52.6222149326864</v>
      </c>
      <c r="F75" s="1">
        <f t="shared" si="3"/>
        <v>48.9527573487363</v>
      </c>
    </row>
    <row r="76" spans="1:6">
      <c r="A76" t="s">
        <v>105</v>
      </c>
      <c r="B76" s="1">
        <v>0.963620306195669</v>
      </c>
      <c r="C76">
        <v>75</v>
      </c>
      <c r="D76" s="1">
        <f t="shared" si="2"/>
        <v>72.2715229646752</v>
      </c>
      <c r="E76" s="1">
        <v>60.6036514065922</v>
      </c>
      <c r="F76" s="1">
        <f t="shared" si="3"/>
        <v>58.3989091249959</v>
      </c>
    </row>
    <row r="77" spans="1:6">
      <c r="A77" t="s">
        <v>106</v>
      </c>
      <c r="B77" s="1">
        <v>1.02041154542169</v>
      </c>
      <c r="C77">
        <v>25</v>
      </c>
      <c r="D77" s="1">
        <f t="shared" si="2"/>
        <v>25.5102886355422</v>
      </c>
      <c r="E77" s="1">
        <v>39.697562910788</v>
      </c>
      <c r="F77" s="1">
        <f t="shared" si="3"/>
        <v>40.507851519272</v>
      </c>
    </row>
    <row r="78" spans="1:6">
      <c r="A78" t="s">
        <v>107</v>
      </c>
      <c r="B78" s="1">
        <v>1.03693544871147</v>
      </c>
      <c r="C78">
        <v>50</v>
      </c>
      <c r="D78" s="1">
        <f t="shared" si="2"/>
        <v>51.8467724355735</v>
      </c>
      <c r="E78" s="1">
        <v>40.6554459885254</v>
      </c>
      <c r="F78" s="1">
        <f t="shared" si="3"/>
        <v>42.1570731286765</v>
      </c>
    </row>
    <row r="79" spans="1:6">
      <c r="A79" t="s">
        <v>108</v>
      </c>
      <c r="B79" s="1">
        <v>1.03161478818715</v>
      </c>
      <c r="C79">
        <v>50</v>
      </c>
      <c r="D79" s="1">
        <f t="shared" si="2"/>
        <v>51.5807394093575</v>
      </c>
      <c r="E79" s="1">
        <v>25.8138190107248</v>
      </c>
      <c r="F79" s="1">
        <f t="shared" si="3"/>
        <v>26.6299174310503</v>
      </c>
    </row>
    <row r="80" spans="1:6">
      <c r="A80" t="s">
        <v>109</v>
      </c>
      <c r="B80" s="1">
        <v>0.918819295330646</v>
      </c>
      <c r="C80">
        <v>50</v>
      </c>
      <c r="D80" s="1">
        <f t="shared" si="2"/>
        <v>45.9409647665323</v>
      </c>
      <c r="E80" s="1">
        <v>56.1761790563764</v>
      </c>
      <c r="F80" s="1">
        <f t="shared" si="3"/>
        <v>51.6157572549479</v>
      </c>
    </row>
    <row r="81" spans="1:6">
      <c r="A81" t="s">
        <v>110</v>
      </c>
      <c r="B81" s="1">
        <v>0.918819295330646</v>
      </c>
      <c r="C81">
        <v>50</v>
      </c>
      <c r="D81" s="1">
        <f t="shared" si="2"/>
        <v>45.9409647665323</v>
      </c>
      <c r="E81" s="1">
        <v>50.7617698652361</v>
      </c>
      <c r="F81" s="1">
        <f t="shared" si="3"/>
        <v>46.6408936173127</v>
      </c>
    </row>
    <row r="82" spans="1:6">
      <c r="A82" t="s">
        <v>111</v>
      </c>
      <c r="B82" s="1">
        <v>0.918819295330646</v>
      </c>
      <c r="C82">
        <v>50</v>
      </c>
      <c r="D82" s="1">
        <f t="shared" si="2"/>
        <v>45.9409647665323</v>
      </c>
      <c r="E82" s="1">
        <v>54.2141451089762</v>
      </c>
      <c r="F82" s="1">
        <f t="shared" si="3"/>
        <v>49.8130026059829</v>
      </c>
    </row>
    <row r="83" spans="1:6">
      <c r="A83" t="s">
        <v>112</v>
      </c>
      <c r="B83" s="1">
        <v>0.955665967197732</v>
      </c>
      <c r="C83">
        <v>75</v>
      </c>
      <c r="D83" s="1">
        <f t="shared" si="2"/>
        <v>71.6749475398299</v>
      </c>
      <c r="E83" s="1">
        <v>59.0879334903243</v>
      </c>
      <c r="F83" s="1">
        <f t="shared" si="3"/>
        <v>56.468327108746</v>
      </c>
    </row>
    <row r="84" spans="1:6">
      <c r="A84" t="s">
        <v>113</v>
      </c>
      <c r="B84" s="1">
        <v>0.975827736059457</v>
      </c>
      <c r="C84">
        <v>37.5</v>
      </c>
      <c r="D84" s="1">
        <f t="shared" si="2"/>
        <v>36.5935401022296</v>
      </c>
      <c r="E84" s="1">
        <v>34.9751414851062</v>
      </c>
      <c r="F84" s="1">
        <f t="shared" si="3"/>
        <v>34.1297131337704</v>
      </c>
    </row>
    <row r="85" spans="1:6">
      <c r="A85" t="s">
        <v>114</v>
      </c>
      <c r="B85" s="1">
        <v>0.965200367876198</v>
      </c>
      <c r="C85">
        <v>100</v>
      </c>
      <c r="D85" s="1">
        <f t="shared" si="2"/>
        <v>96.5200367876198</v>
      </c>
      <c r="E85" s="1">
        <v>59.3912909958162</v>
      </c>
      <c r="F85" s="1">
        <f t="shared" si="3"/>
        <v>57.3244959178041</v>
      </c>
    </row>
    <row r="86" spans="1:6">
      <c r="A86" t="s">
        <v>115</v>
      </c>
      <c r="B86" s="1">
        <v>1.08464931410493</v>
      </c>
      <c r="C86">
        <v>37.5</v>
      </c>
      <c r="D86" s="1">
        <f t="shared" si="2"/>
        <v>40.6743492789349</v>
      </c>
      <c r="E86" s="1">
        <v>32.5271393687277</v>
      </c>
      <c r="F86" s="1">
        <f t="shared" si="3"/>
        <v>35.280539406086</v>
      </c>
    </row>
    <row r="87" spans="1:6">
      <c r="A87" t="s">
        <v>116</v>
      </c>
      <c r="B87" s="1">
        <v>1.08464931410493</v>
      </c>
      <c r="C87">
        <v>62.5</v>
      </c>
      <c r="D87" s="1">
        <f t="shared" si="2"/>
        <v>67.7905821315581</v>
      </c>
      <c r="E87" s="1">
        <v>26.3044791934133</v>
      </c>
      <c r="F87" s="1">
        <f t="shared" si="3"/>
        <v>28.5311353150231</v>
      </c>
    </row>
    <row r="88" spans="1:6">
      <c r="A88" t="s">
        <v>117</v>
      </c>
      <c r="B88" s="1">
        <v>1.02797821805863</v>
      </c>
      <c r="C88">
        <v>62.5</v>
      </c>
      <c r="D88" s="1">
        <f t="shared" si="2"/>
        <v>64.2486386286644</v>
      </c>
      <c r="E88" s="1">
        <v>35.5344337771244</v>
      </c>
      <c r="F88" s="1">
        <f t="shared" si="3"/>
        <v>36.5286239139308</v>
      </c>
    </row>
    <row r="89" spans="1:6">
      <c r="A89" t="s">
        <v>118</v>
      </c>
      <c r="B89" s="1">
        <v>1.08464931410493</v>
      </c>
      <c r="C89">
        <v>50</v>
      </c>
      <c r="D89" s="1">
        <f t="shared" si="2"/>
        <v>54.2324657052465</v>
      </c>
      <c r="E89" s="1">
        <v>28.6425208777127</v>
      </c>
      <c r="F89" s="1">
        <f t="shared" si="3"/>
        <v>31.0670906242472</v>
      </c>
    </row>
    <row r="90" spans="1:6">
      <c r="A90" t="s">
        <v>119</v>
      </c>
      <c r="B90" s="1">
        <v>0.984733490723236</v>
      </c>
      <c r="C90">
        <v>62.5</v>
      </c>
      <c r="D90" s="1">
        <f t="shared" si="2"/>
        <v>61.5458431702023</v>
      </c>
      <c r="E90" s="1">
        <v>41.6549382505707</v>
      </c>
      <c r="F90" s="1">
        <f t="shared" si="3"/>
        <v>41.0190127493454</v>
      </c>
    </row>
    <row r="91" spans="1:6">
      <c r="A91" t="s">
        <v>120</v>
      </c>
      <c r="B91" s="1">
        <v>0.942501847952515</v>
      </c>
      <c r="C91">
        <v>25</v>
      </c>
      <c r="D91" s="1">
        <f t="shared" si="2"/>
        <v>23.5625461988129</v>
      </c>
      <c r="E91" s="1">
        <v>53.6541954508765</v>
      </c>
      <c r="F91" s="1">
        <f t="shared" si="3"/>
        <v>50.5691783628565</v>
      </c>
    </row>
    <row r="92" spans="1:6">
      <c r="A92" t="s">
        <v>121</v>
      </c>
      <c r="B92" s="1">
        <v>0.974679721433126</v>
      </c>
      <c r="C92">
        <v>87.5</v>
      </c>
      <c r="D92" s="1">
        <f t="shared" si="2"/>
        <v>85.2844756253985</v>
      </c>
      <c r="E92" s="1">
        <v>18.1396091789705</v>
      </c>
      <c r="F92" s="1">
        <f t="shared" si="3"/>
        <v>17.6803092214647</v>
      </c>
    </row>
    <row r="93" spans="1:6">
      <c r="A93" t="s">
        <v>122</v>
      </c>
      <c r="B93" s="1">
        <v>0.918819295330646</v>
      </c>
      <c r="C93">
        <v>62.5</v>
      </c>
      <c r="D93" s="1">
        <f t="shared" si="2"/>
        <v>57.4262059581654</v>
      </c>
      <c r="E93" s="1">
        <v>77.5223783553897</v>
      </c>
      <c r="F93" s="1">
        <f t="shared" si="3"/>
        <v>71.2290570528549</v>
      </c>
    </row>
    <row r="94" spans="1:6">
      <c r="A94" t="s">
        <v>123</v>
      </c>
      <c r="B94" s="1">
        <v>1.08214244117766</v>
      </c>
      <c r="C94">
        <v>37.5</v>
      </c>
      <c r="D94" s="1">
        <f t="shared" si="2"/>
        <v>40.5803415441622</v>
      </c>
      <c r="E94" s="1">
        <v>32.513620509674</v>
      </c>
      <c r="F94" s="1">
        <f t="shared" si="3"/>
        <v>35.1843686698626</v>
      </c>
    </row>
    <row r="95" spans="1:6">
      <c r="A95" t="s">
        <v>124</v>
      </c>
      <c r="B95" s="1">
        <v>1.00029916282865</v>
      </c>
      <c r="C95">
        <v>62.5</v>
      </c>
      <c r="D95" s="1">
        <f t="shared" si="2"/>
        <v>62.5186976767906</v>
      </c>
      <c r="E95" s="1">
        <v>52.0122470843749</v>
      </c>
      <c r="F95" s="1">
        <f t="shared" si="3"/>
        <v>52.0278072153371</v>
      </c>
    </row>
    <row r="96" spans="1:6">
      <c r="A96" t="s">
        <v>125</v>
      </c>
      <c r="B96" s="1">
        <v>0.987156141189304</v>
      </c>
      <c r="C96">
        <v>75</v>
      </c>
      <c r="D96" s="1">
        <f t="shared" si="2"/>
        <v>74.0367105891978</v>
      </c>
      <c r="E96" s="1">
        <v>23.6811375839672</v>
      </c>
      <c r="F96" s="1">
        <f t="shared" si="3"/>
        <v>23.3769803963621</v>
      </c>
    </row>
    <row r="97" spans="1:6">
      <c r="A97" t="s">
        <v>126</v>
      </c>
      <c r="B97" s="1">
        <v>1.0109943948386</v>
      </c>
      <c r="C97">
        <v>50</v>
      </c>
      <c r="D97" s="1">
        <f t="shared" si="2"/>
        <v>50.54971974193</v>
      </c>
      <c r="E97" s="1">
        <v>35.2568460594039</v>
      </c>
      <c r="F97" s="1">
        <f t="shared" si="3"/>
        <v>35.6444737457447</v>
      </c>
    </row>
    <row r="98" spans="1:6">
      <c r="A98" t="s">
        <v>127</v>
      </c>
      <c r="B98" s="1">
        <v>1.00309194378635</v>
      </c>
      <c r="C98">
        <v>37.5</v>
      </c>
      <c r="D98" s="1">
        <f t="shared" si="2"/>
        <v>37.6159478919881</v>
      </c>
      <c r="E98" s="1">
        <v>38.9396399592375</v>
      </c>
      <c r="F98" s="1">
        <f t="shared" si="3"/>
        <v>39.0600391370522</v>
      </c>
    </row>
    <row r="99" spans="1:6">
      <c r="A99" t="s">
        <v>128</v>
      </c>
      <c r="B99" s="1">
        <v>0.99135023572742</v>
      </c>
      <c r="C99">
        <v>50</v>
      </c>
      <c r="D99" s="1">
        <f t="shared" si="2"/>
        <v>49.567511786371</v>
      </c>
      <c r="E99" s="1">
        <v>45.1219031091098</v>
      </c>
      <c r="F99" s="1">
        <f t="shared" si="3"/>
        <v>44.7316092836858</v>
      </c>
    </row>
    <row r="100" spans="1:6">
      <c r="A100" t="s">
        <v>129</v>
      </c>
      <c r="B100" s="1">
        <v>0.918819295330646</v>
      </c>
      <c r="C100">
        <v>75</v>
      </c>
      <c r="D100" s="1">
        <f t="shared" si="2"/>
        <v>68.9114471497984</v>
      </c>
      <c r="E100" s="1">
        <v>40.7846858971488</v>
      </c>
      <c r="F100" s="1">
        <f t="shared" si="3"/>
        <v>37.4737563563</v>
      </c>
    </row>
    <row r="101" spans="1:6">
      <c r="A101" t="s">
        <v>130</v>
      </c>
      <c r="B101" s="1">
        <v>0.918819295330646</v>
      </c>
      <c r="C101">
        <v>50</v>
      </c>
      <c r="D101" s="1">
        <f t="shared" si="2"/>
        <v>45.9409647665323</v>
      </c>
      <c r="E101" s="1">
        <v>43.813946321127</v>
      </c>
      <c r="F101" s="1">
        <f t="shared" si="3"/>
        <v>40.2570992844327</v>
      </c>
    </row>
    <row r="102" spans="1:6">
      <c r="A102" t="s">
        <v>131</v>
      </c>
      <c r="B102" s="1">
        <v>0.919706337597339</v>
      </c>
      <c r="C102">
        <v>62.5</v>
      </c>
      <c r="D102" s="1">
        <f t="shared" si="2"/>
        <v>57.4816460998337</v>
      </c>
      <c r="E102" s="1">
        <v>54.8525118307828</v>
      </c>
      <c r="F102" s="1">
        <f t="shared" si="3"/>
        <v>50.4482027639039</v>
      </c>
    </row>
    <row r="103" spans="1:6">
      <c r="A103" t="s">
        <v>132</v>
      </c>
      <c r="B103" s="1">
        <v>1.08464931410493</v>
      </c>
      <c r="C103">
        <v>62.5</v>
      </c>
      <c r="D103" s="1">
        <f t="shared" si="2"/>
        <v>67.7905821315581</v>
      </c>
      <c r="E103" s="1">
        <v>28.4953919884322</v>
      </c>
      <c r="F103" s="1">
        <f t="shared" si="3"/>
        <v>30.9075073754042</v>
      </c>
    </row>
    <row r="104" spans="1:6">
      <c r="A104" t="s">
        <v>133</v>
      </c>
      <c r="B104" s="1">
        <v>0.963227923216727</v>
      </c>
      <c r="C104">
        <v>37.5</v>
      </c>
      <c r="D104" s="1">
        <f t="shared" si="2"/>
        <v>36.1210471206273</v>
      </c>
      <c r="E104" s="1">
        <v>62.447926422421</v>
      </c>
      <c r="F104" s="1">
        <f t="shared" si="3"/>
        <v>60.1515864770595</v>
      </c>
    </row>
    <row r="105" spans="1:6">
      <c r="A105" t="s">
        <v>134</v>
      </c>
      <c r="B105" s="1">
        <v>0.982490995973123</v>
      </c>
      <c r="C105">
        <v>62.5</v>
      </c>
      <c r="D105" s="1">
        <f t="shared" si="2"/>
        <v>61.4056872483202</v>
      </c>
      <c r="E105" s="1">
        <v>47.2198920219591</v>
      </c>
      <c r="F105" s="1">
        <f t="shared" si="3"/>
        <v>46.3931187423979</v>
      </c>
    </row>
    <row r="106" spans="1:6">
      <c r="A106" t="s">
        <v>135</v>
      </c>
      <c r="B106" s="1">
        <v>1.02664578134046</v>
      </c>
      <c r="C106">
        <v>37.5</v>
      </c>
      <c r="D106" s="1">
        <f t="shared" si="2"/>
        <v>38.4992168002672</v>
      </c>
      <c r="E106" s="1">
        <v>42.228096495292</v>
      </c>
      <c r="F106" s="1">
        <f t="shared" si="3"/>
        <v>43.3532971209294</v>
      </c>
    </row>
    <row r="107" spans="1:6">
      <c r="A107" t="s">
        <v>136</v>
      </c>
      <c r="B107" s="1">
        <v>1.08464931410493</v>
      </c>
      <c r="C107">
        <v>75</v>
      </c>
      <c r="D107" s="1">
        <f t="shared" si="2"/>
        <v>81.3486985578698</v>
      </c>
      <c r="E107" s="1">
        <v>29.2818609001949</v>
      </c>
      <c r="F107" s="1">
        <f t="shared" si="3"/>
        <v>31.7605503411124</v>
      </c>
    </row>
    <row r="108" spans="1:6">
      <c r="A108" t="s">
        <v>137</v>
      </c>
      <c r="B108" s="1">
        <v>1.08464931410493</v>
      </c>
      <c r="C108">
        <v>50</v>
      </c>
      <c r="D108" s="1">
        <f t="shared" si="2"/>
        <v>54.2324657052465</v>
      </c>
      <c r="E108" s="1">
        <v>42.2624898233421</v>
      </c>
      <c r="F108" s="1">
        <f t="shared" si="3"/>
        <v>45.8399805992546</v>
      </c>
    </row>
    <row r="109" spans="1:6">
      <c r="A109" t="s">
        <v>138</v>
      </c>
      <c r="B109" s="1">
        <v>0.964040227895756</v>
      </c>
      <c r="C109">
        <v>75</v>
      </c>
      <c r="D109" s="1">
        <f t="shared" si="2"/>
        <v>72.3030170921817</v>
      </c>
      <c r="E109" s="1">
        <v>57.9760264198418</v>
      </c>
      <c r="F109" s="1">
        <f t="shared" si="3"/>
        <v>55.8912217222747</v>
      </c>
    </row>
    <row r="110" spans="1:6">
      <c r="A110" t="s">
        <v>139</v>
      </c>
      <c r="B110" s="1">
        <v>1.03547736900451</v>
      </c>
      <c r="C110">
        <v>87.5</v>
      </c>
      <c r="D110" s="1">
        <f t="shared" si="2"/>
        <v>90.6042697878946</v>
      </c>
      <c r="E110" s="1">
        <v>39.5374660471784</v>
      </c>
      <c r="F110" s="1">
        <f t="shared" si="3"/>
        <v>40.9401513196375</v>
      </c>
    </row>
    <row r="111" spans="1:6">
      <c r="A111" t="s">
        <v>140</v>
      </c>
      <c r="B111" s="1">
        <v>1.0827770513345</v>
      </c>
      <c r="C111">
        <v>25</v>
      </c>
      <c r="D111" s="1">
        <f t="shared" si="2"/>
        <v>27.0694262833625</v>
      </c>
      <c r="E111" s="1">
        <v>41.4840338848191</v>
      </c>
      <c r="F111" s="1">
        <f t="shared" si="3"/>
        <v>44.917959887265</v>
      </c>
    </row>
    <row r="112" spans="1:6">
      <c r="A112" t="s">
        <v>141</v>
      </c>
      <c r="B112" s="1">
        <v>0.918819295330646</v>
      </c>
      <c r="C112">
        <v>50</v>
      </c>
      <c r="D112" s="1">
        <f t="shared" si="2"/>
        <v>45.9409647665323</v>
      </c>
      <c r="E112" s="1">
        <v>63.6002595413289</v>
      </c>
      <c r="F112" s="1">
        <f t="shared" si="3"/>
        <v>58.43714565461</v>
      </c>
    </row>
    <row r="113" spans="1:6">
      <c r="A113" t="s">
        <v>142</v>
      </c>
      <c r="B113" s="1">
        <v>1.08290154932778</v>
      </c>
      <c r="C113">
        <v>25</v>
      </c>
      <c r="D113" s="1">
        <f t="shared" si="2"/>
        <v>27.0725387331945</v>
      </c>
      <c r="E113" s="1">
        <v>34.8646964993478</v>
      </c>
      <c r="F113" s="1">
        <f t="shared" si="3"/>
        <v>37.7550338559865</v>
      </c>
    </row>
    <row r="114" spans="1:6">
      <c r="A114" t="s">
        <v>143</v>
      </c>
      <c r="B114" s="1">
        <v>0.994915324209727</v>
      </c>
      <c r="C114">
        <v>87.5</v>
      </c>
      <c r="D114" s="1">
        <f t="shared" si="2"/>
        <v>87.0550908683511</v>
      </c>
      <c r="E114" s="1">
        <v>36.611158009161</v>
      </c>
      <c r="F114" s="1">
        <f t="shared" si="3"/>
        <v>36.4250021403779</v>
      </c>
    </row>
    <row r="115" spans="1:6">
      <c r="A115" t="s">
        <v>144</v>
      </c>
      <c r="B115" s="1">
        <v>1.08464931410493</v>
      </c>
      <c r="C115">
        <v>75</v>
      </c>
      <c r="D115" s="1">
        <f t="shared" si="2"/>
        <v>81.3486985578698</v>
      </c>
      <c r="E115" s="1">
        <v>34.3443791072129</v>
      </c>
      <c r="F115" s="1">
        <f t="shared" si="3"/>
        <v>37.2516072419981</v>
      </c>
    </row>
    <row r="116" spans="1:6">
      <c r="A116" t="s">
        <v>145</v>
      </c>
      <c r="B116" s="1">
        <v>1.07339109240218</v>
      </c>
      <c r="C116">
        <v>37.5</v>
      </c>
      <c r="D116" s="1">
        <f t="shared" si="2"/>
        <v>40.2521659650817</v>
      </c>
      <c r="E116" s="1">
        <v>31.9055117900155</v>
      </c>
      <c r="F116" s="1">
        <f t="shared" si="3"/>
        <v>34.2470921539354</v>
      </c>
    </row>
    <row r="117" spans="1:6">
      <c r="A117" t="s">
        <v>146</v>
      </c>
      <c r="B117" s="1">
        <v>1.08464931410493</v>
      </c>
      <c r="C117">
        <v>87.5</v>
      </c>
      <c r="D117" s="1">
        <f t="shared" si="2"/>
        <v>94.9068149841814</v>
      </c>
      <c r="E117" s="1">
        <v>30.515784293463</v>
      </c>
      <c r="F117" s="1">
        <f t="shared" si="3"/>
        <v>33.0989245032786</v>
      </c>
    </row>
    <row r="118" spans="1:6">
      <c r="A118" t="s">
        <v>147</v>
      </c>
      <c r="B118" s="1">
        <v>1.03790887245995</v>
      </c>
      <c r="C118">
        <v>75</v>
      </c>
      <c r="D118" s="1">
        <f t="shared" si="2"/>
        <v>77.8431654344962</v>
      </c>
      <c r="E118" s="1">
        <v>43.2565379816544</v>
      </c>
      <c r="F118" s="1">
        <f t="shared" si="3"/>
        <v>44.8963445630599</v>
      </c>
    </row>
    <row r="119" spans="1:6">
      <c r="A119" t="s">
        <v>148</v>
      </c>
      <c r="B119" s="1">
        <v>1.04750262017</v>
      </c>
      <c r="C119">
        <v>50</v>
      </c>
      <c r="D119" s="1">
        <f t="shared" si="2"/>
        <v>52.3751310085</v>
      </c>
      <c r="E119" s="1">
        <v>48.0721738816622</v>
      </c>
      <c r="F119" s="1">
        <f t="shared" si="3"/>
        <v>50.355728098309</v>
      </c>
    </row>
    <row r="120" spans="1:6">
      <c r="A120" t="s">
        <v>149</v>
      </c>
      <c r="B120" s="1">
        <v>1.08464931410493</v>
      </c>
      <c r="C120">
        <v>50</v>
      </c>
      <c r="D120" s="1">
        <f t="shared" si="2"/>
        <v>54.2324657052465</v>
      </c>
      <c r="E120" s="1">
        <v>22.1394940209394</v>
      </c>
      <c r="F120" s="1">
        <f t="shared" si="3"/>
        <v>24.0135870044421</v>
      </c>
    </row>
    <row r="121" spans="1:6">
      <c r="A121" t="s">
        <v>150</v>
      </c>
      <c r="B121" s="1">
        <v>0.918819295330646</v>
      </c>
      <c r="C121">
        <v>100</v>
      </c>
      <c r="D121" s="1">
        <f t="shared" si="2"/>
        <v>91.8819295330646</v>
      </c>
      <c r="E121" s="1">
        <v>73.8149226141442</v>
      </c>
      <c r="F121" s="1">
        <f t="shared" si="3"/>
        <v>67.8225751812141</v>
      </c>
    </row>
    <row r="122" spans="1:6">
      <c r="A122" t="s">
        <v>151</v>
      </c>
      <c r="B122" s="1">
        <v>0.999534247801851</v>
      </c>
      <c r="C122">
        <v>62.5</v>
      </c>
      <c r="D122" s="1">
        <f t="shared" si="2"/>
        <v>62.4708904876157</v>
      </c>
      <c r="E122" s="1">
        <v>53.5941389511803</v>
      </c>
      <c r="F122" s="1">
        <f t="shared" si="3"/>
        <v>53.5691773631559</v>
      </c>
    </row>
    <row r="123" spans="1:6">
      <c r="A123" t="s">
        <v>152</v>
      </c>
      <c r="B123" s="1">
        <v>1.02868813400773</v>
      </c>
      <c r="C123">
        <v>62.5</v>
      </c>
      <c r="D123" s="1">
        <f t="shared" si="2"/>
        <v>64.2930083754831</v>
      </c>
      <c r="E123" s="1">
        <v>41.1405543995083</v>
      </c>
      <c r="F123" s="1">
        <f t="shared" si="3"/>
        <v>42.3208001372737</v>
      </c>
    </row>
    <row r="124" spans="1:6">
      <c r="A124" t="s">
        <v>153</v>
      </c>
      <c r="B124" s="1">
        <v>0.929290120855874</v>
      </c>
      <c r="C124">
        <v>37.5</v>
      </c>
      <c r="D124" s="1">
        <f t="shared" si="2"/>
        <v>34.8483795320953</v>
      </c>
      <c r="E124" s="1">
        <v>64.0765351625356</v>
      </c>
      <c r="F124" s="1">
        <f t="shared" si="3"/>
        <v>59.5456911052184</v>
      </c>
    </row>
    <row r="125" spans="1:6">
      <c r="A125" t="s">
        <v>154</v>
      </c>
      <c r="B125" s="1">
        <v>0.918819295330646</v>
      </c>
      <c r="C125">
        <v>75</v>
      </c>
      <c r="D125" s="1">
        <f t="shared" si="2"/>
        <v>68.9114471497984</v>
      </c>
      <c r="E125" s="1">
        <v>70.9462473585735</v>
      </c>
      <c r="F125" s="1">
        <f t="shared" si="3"/>
        <v>65.1867810043583</v>
      </c>
    </row>
    <row r="126" spans="1:6">
      <c r="A126" t="s">
        <v>155</v>
      </c>
      <c r="B126" s="1">
        <v>0.950344179234756</v>
      </c>
      <c r="C126">
        <v>62.5</v>
      </c>
      <c r="D126" s="1">
        <f t="shared" si="2"/>
        <v>59.3965112021722</v>
      </c>
      <c r="E126" s="1">
        <v>58.4524660219321</v>
      </c>
      <c r="F126" s="1">
        <f t="shared" si="3"/>
        <v>55.5499608458605</v>
      </c>
    </row>
    <row r="127" spans="1:6">
      <c r="A127" t="s">
        <v>156</v>
      </c>
      <c r="B127" s="1">
        <v>0.97285730490052</v>
      </c>
      <c r="C127">
        <v>100</v>
      </c>
      <c r="D127" s="1">
        <f t="shared" si="2"/>
        <v>97.285730490052</v>
      </c>
      <c r="E127" s="1">
        <v>45.2037261704586</v>
      </c>
      <c r="F127" s="1">
        <f t="shared" si="3"/>
        <v>43.9767752136535</v>
      </c>
    </row>
    <row r="128" spans="1:6">
      <c r="A128" t="s">
        <v>157</v>
      </c>
      <c r="B128" s="1">
        <v>0.987707046690754</v>
      </c>
      <c r="C128">
        <v>87.5</v>
      </c>
      <c r="D128" s="1">
        <f t="shared" si="2"/>
        <v>86.424366585441</v>
      </c>
      <c r="E128" s="1">
        <v>47.7544750515833</v>
      </c>
      <c r="F128" s="1">
        <f t="shared" si="3"/>
        <v>47.1674315194667</v>
      </c>
    </row>
    <row r="129" spans="1:6">
      <c r="A129" t="s">
        <v>158</v>
      </c>
      <c r="B129" s="1">
        <v>1.08266270738227</v>
      </c>
      <c r="C129">
        <v>87.5</v>
      </c>
      <c r="D129" s="1">
        <f t="shared" si="2"/>
        <v>94.7329868959486</v>
      </c>
      <c r="E129" s="1">
        <v>37.992490445864</v>
      </c>
      <c r="F129" s="1">
        <f t="shared" si="3"/>
        <v>41.1330525663142</v>
      </c>
    </row>
    <row r="130" spans="1:6">
      <c r="A130" t="s">
        <v>159</v>
      </c>
      <c r="B130" s="1">
        <v>1.03185006142571</v>
      </c>
      <c r="C130">
        <v>62.5</v>
      </c>
      <c r="D130" s="1">
        <f t="shared" si="2"/>
        <v>64.4906288391069</v>
      </c>
      <c r="E130" s="1">
        <v>47.3278471454454</v>
      </c>
      <c r="F130" s="1">
        <f t="shared" si="3"/>
        <v>48.8352419841744</v>
      </c>
    </row>
    <row r="131" spans="1:6">
      <c r="A131" t="s">
        <v>160</v>
      </c>
      <c r="B131" s="1">
        <v>0.918819295330646</v>
      </c>
      <c r="C131">
        <v>37.5</v>
      </c>
      <c r="D131" s="1">
        <f t="shared" ref="D131:D194" si="4">B131*C131</f>
        <v>34.4557235748992</v>
      </c>
      <c r="E131" s="1">
        <v>71.247227876011</v>
      </c>
      <c r="F131" s="1">
        <f t="shared" ref="F131:F194" si="5">B131*E131</f>
        <v>65.4633277112983</v>
      </c>
    </row>
    <row r="132" spans="1:6">
      <c r="A132" t="s">
        <v>161</v>
      </c>
      <c r="B132" s="1">
        <v>0.993243429412161</v>
      </c>
      <c r="C132">
        <v>75</v>
      </c>
      <c r="D132" s="1">
        <f t="shared" si="4"/>
        <v>74.4932572059121</v>
      </c>
      <c r="E132" s="1">
        <v>48.9038705057607</v>
      </c>
      <c r="F132" s="1">
        <f t="shared" si="5"/>
        <v>48.57344805267</v>
      </c>
    </row>
    <row r="133" spans="1:6">
      <c r="A133" t="s">
        <v>162</v>
      </c>
      <c r="B133" s="1">
        <v>0.918819295330646</v>
      </c>
      <c r="C133">
        <v>75</v>
      </c>
      <c r="D133" s="1">
        <f t="shared" si="4"/>
        <v>68.9114471497984</v>
      </c>
      <c r="E133" s="1">
        <v>71.7251489412644</v>
      </c>
      <c r="F133" s="1">
        <f t="shared" si="5"/>
        <v>65.9024508076982</v>
      </c>
    </row>
    <row r="134" spans="1:6">
      <c r="A134" t="s">
        <v>163</v>
      </c>
      <c r="B134" s="1">
        <v>1.0036961722865</v>
      </c>
      <c r="C134">
        <v>50</v>
      </c>
      <c r="D134" s="1">
        <f t="shared" si="4"/>
        <v>50.184808614325</v>
      </c>
      <c r="E134" s="1">
        <v>57.7747446968406</v>
      </c>
      <c r="F134" s="1">
        <f t="shared" si="5"/>
        <v>57.9882901070487</v>
      </c>
    </row>
    <row r="135" spans="1:6">
      <c r="A135" t="s">
        <v>164</v>
      </c>
      <c r="B135" s="1">
        <v>0.988645826389905</v>
      </c>
      <c r="C135">
        <v>50</v>
      </c>
      <c r="D135" s="1">
        <f t="shared" si="4"/>
        <v>49.4322913194952</v>
      </c>
      <c r="E135" s="1">
        <v>51.717109212526</v>
      </c>
      <c r="F135" s="1">
        <f t="shared" si="5"/>
        <v>51.1299041759147</v>
      </c>
    </row>
    <row r="136" spans="1:6">
      <c r="A136" t="s">
        <v>165</v>
      </c>
      <c r="B136" s="1">
        <v>1.08464931410493</v>
      </c>
      <c r="C136">
        <v>50</v>
      </c>
      <c r="D136" s="1">
        <f t="shared" si="4"/>
        <v>54.2324657052465</v>
      </c>
      <c r="E136" s="1">
        <v>14.9611599659742</v>
      </c>
      <c r="F136" s="1">
        <f t="shared" si="5"/>
        <v>16.2276118953081</v>
      </c>
    </row>
    <row r="137" spans="1:6">
      <c r="A137" t="s">
        <v>166</v>
      </c>
      <c r="B137" s="1">
        <v>1.02259429967908</v>
      </c>
      <c r="C137">
        <v>62.5</v>
      </c>
      <c r="D137" s="1">
        <f t="shared" si="4"/>
        <v>63.9121437299425</v>
      </c>
      <c r="E137" s="1">
        <v>41.8572615874073</v>
      </c>
      <c r="F137" s="1">
        <f t="shared" si="5"/>
        <v>42.8029970994589</v>
      </c>
    </row>
    <row r="138" spans="1:6">
      <c r="A138" t="s">
        <v>167</v>
      </c>
      <c r="B138" s="1">
        <v>0.931491643766555</v>
      </c>
      <c r="C138">
        <v>50</v>
      </c>
      <c r="D138" s="1">
        <f t="shared" si="4"/>
        <v>46.5745821883278</v>
      </c>
      <c r="E138" s="1">
        <v>56.4346107973021</v>
      </c>
      <c r="F138" s="1">
        <f t="shared" si="5"/>
        <v>52.5683683769047</v>
      </c>
    </row>
    <row r="139" spans="1:6">
      <c r="A139" t="s">
        <v>168</v>
      </c>
      <c r="B139" s="1">
        <v>1.01155279504613</v>
      </c>
      <c r="C139">
        <v>25</v>
      </c>
      <c r="D139" s="1">
        <f t="shared" si="4"/>
        <v>25.2888198761533</v>
      </c>
      <c r="E139" s="1">
        <v>43.5084621949904</v>
      </c>
      <c r="F139" s="1">
        <f t="shared" si="5"/>
        <v>44.0111065415014</v>
      </c>
    </row>
    <row r="140" spans="1:6">
      <c r="A140" t="s">
        <v>169</v>
      </c>
      <c r="B140" s="1">
        <v>1.03121532932252</v>
      </c>
      <c r="C140">
        <v>25</v>
      </c>
      <c r="D140" s="1">
        <f t="shared" si="4"/>
        <v>25.780383233063</v>
      </c>
      <c r="E140" s="1">
        <v>34.927374194478</v>
      </c>
      <c r="F140" s="1">
        <f t="shared" si="5"/>
        <v>36.0176436823295</v>
      </c>
    </row>
    <row r="141" spans="1:6">
      <c r="A141" t="s">
        <v>170</v>
      </c>
      <c r="B141" s="1">
        <v>0.918819295330646</v>
      </c>
      <c r="C141">
        <v>62.5</v>
      </c>
      <c r="D141" s="1">
        <f t="shared" si="4"/>
        <v>57.4262059581654</v>
      </c>
      <c r="E141" s="1">
        <v>52.7380046249405</v>
      </c>
      <c r="F141" s="1">
        <f t="shared" si="5"/>
        <v>48.4566962466322</v>
      </c>
    </row>
    <row r="142" spans="1:6">
      <c r="A142" t="s">
        <v>171</v>
      </c>
      <c r="B142" s="1">
        <v>0.925781704253144</v>
      </c>
      <c r="C142">
        <v>50</v>
      </c>
      <c r="D142" s="1">
        <f t="shared" si="4"/>
        <v>46.2890852126572</v>
      </c>
      <c r="E142" s="1">
        <v>63.1414671350394</v>
      </c>
      <c r="F142" s="1">
        <f t="shared" si="5"/>
        <v>58.4552150533207</v>
      </c>
    </row>
    <row r="143" spans="1:6">
      <c r="A143" t="s">
        <v>172</v>
      </c>
      <c r="B143" s="1">
        <v>1.06259706322768</v>
      </c>
      <c r="C143">
        <v>50</v>
      </c>
      <c r="D143" s="1">
        <f t="shared" si="4"/>
        <v>53.129853161384</v>
      </c>
      <c r="E143" s="1">
        <v>32.4638630832474</v>
      </c>
      <c r="F143" s="1">
        <f t="shared" si="5"/>
        <v>34.4960055732842</v>
      </c>
    </row>
    <row r="144" spans="1:6">
      <c r="A144" t="s">
        <v>173</v>
      </c>
      <c r="B144" s="1">
        <v>0.977321579557729</v>
      </c>
      <c r="C144">
        <v>87.5</v>
      </c>
      <c r="D144" s="1">
        <f t="shared" si="4"/>
        <v>85.5156382113013</v>
      </c>
      <c r="E144" s="1">
        <v>52.9795041965568</v>
      </c>
      <c r="F144" s="1">
        <f t="shared" si="5"/>
        <v>51.7780127255643</v>
      </c>
    </row>
    <row r="145" spans="1:6">
      <c r="A145" t="s">
        <v>174</v>
      </c>
      <c r="B145" s="1">
        <v>1.0245168685289</v>
      </c>
      <c r="C145">
        <v>87.5</v>
      </c>
      <c r="D145" s="1">
        <f t="shared" si="4"/>
        <v>89.6452259962787</v>
      </c>
      <c r="E145" s="1">
        <v>47.530540007814</v>
      </c>
      <c r="F145" s="1">
        <f t="shared" si="5"/>
        <v>48.6958400082931</v>
      </c>
    </row>
    <row r="146" spans="1:6">
      <c r="A146" t="s">
        <v>175</v>
      </c>
      <c r="B146" s="1">
        <v>1.05516845387811</v>
      </c>
      <c r="C146">
        <v>50</v>
      </c>
      <c r="D146" s="1">
        <f t="shared" si="4"/>
        <v>52.7584226939055</v>
      </c>
      <c r="E146" s="1">
        <v>35.0384515394768</v>
      </c>
      <c r="F146" s="1">
        <f t="shared" si="5"/>
        <v>36.9714687371928</v>
      </c>
    </row>
    <row r="147" spans="1:6">
      <c r="A147" t="s">
        <v>176</v>
      </c>
      <c r="B147" s="1">
        <v>0.999418713316081</v>
      </c>
      <c r="C147">
        <v>100</v>
      </c>
      <c r="D147" s="1">
        <f t="shared" si="4"/>
        <v>99.9418713316081</v>
      </c>
      <c r="E147" s="1">
        <v>35.4246064361057</v>
      </c>
      <c r="F147" s="1">
        <f t="shared" si="5"/>
        <v>35.4040145841013</v>
      </c>
    </row>
    <row r="148" spans="1:6">
      <c r="A148" t="s">
        <v>177</v>
      </c>
      <c r="B148" s="1">
        <v>1.01464663253505</v>
      </c>
      <c r="C148">
        <v>50</v>
      </c>
      <c r="D148" s="1">
        <f t="shared" si="4"/>
        <v>50.7323316267525</v>
      </c>
      <c r="E148" s="1">
        <v>49.6911821955091</v>
      </c>
      <c r="F148" s="1">
        <f t="shared" si="5"/>
        <v>50.418990681359</v>
      </c>
    </row>
    <row r="149" spans="1:6">
      <c r="A149" t="s">
        <v>178</v>
      </c>
      <c r="B149" s="1">
        <v>1.08464931410493</v>
      </c>
      <c r="C149">
        <v>62.5</v>
      </c>
      <c r="D149" s="1">
        <f t="shared" si="4"/>
        <v>67.7905821315581</v>
      </c>
      <c r="E149" s="1">
        <v>30.386731558984</v>
      </c>
      <c r="F149" s="1">
        <f t="shared" si="5"/>
        <v>32.9589475433427</v>
      </c>
    </row>
    <row r="150" spans="1:6">
      <c r="A150" t="s">
        <v>179</v>
      </c>
      <c r="B150" s="1">
        <v>1.02898631745126</v>
      </c>
      <c r="C150">
        <v>75</v>
      </c>
      <c r="D150" s="1">
        <f t="shared" si="4"/>
        <v>77.1739738088445</v>
      </c>
      <c r="E150" s="1">
        <v>42.9959985980928</v>
      </c>
      <c r="F150" s="1">
        <f t="shared" si="5"/>
        <v>44.242294262591</v>
      </c>
    </row>
    <row r="151" spans="1:6">
      <c r="A151" t="s">
        <v>180</v>
      </c>
      <c r="B151" s="1">
        <v>1.01117566308523</v>
      </c>
      <c r="C151">
        <v>50</v>
      </c>
      <c r="D151" s="1">
        <f t="shared" si="4"/>
        <v>50.5587831542615</v>
      </c>
      <c r="E151" s="1">
        <v>37.0540254123056</v>
      </c>
      <c r="F151" s="1">
        <f t="shared" si="5"/>
        <v>37.4681287162651</v>
      </c>
    </row>
    <row r="152" spans="1:6">
      <c r="A152" t="s">
        <v>181</v>
      </c>
      <c r="B152" s="1">
        <v>0.918819295330646</v>
      </c>
      <c r="C152">
        <v>87.5</v>
      </c>
      <c r="D152" s="1">
        <f t="shared" si="4"/>
        <v>80.3966883414315</v>
      </c>
      <c r="E152" s="1">
        <v>70.8901540962415</v>
      </c>
      <c r="F152" s="1">
        <f t="shared" si="5"/>
        <v>65.1352414325895</v>
      </c>
    </row>
    <row r="153" spans="1:6">
      <c r="A153" t="s">
        <v>182</v>
      </c>
      <c r="B153" s="1">
        <v>0.924873119090003</v>
      </c>
      <c r="C153">
        <v>75</v>
      </c>
      <c r="D153" s="1">
        <f t="shared" si="4"/>
        <v>69.3654839317502</v>
      </c>
      <c r="E153" s="1">
        <v>52.8985187221159</v>
      </c>
      <c r="F153" s="1">
        <f t="shared" si="5"/>
        <v>48.9244180057642</v>
      </c>
    </row>
    <row r="154" spans="1:6">
      <c r="A154" t="s">
        <v>183</v>
      </c>
      <c r="B154" s="1">
        <v>1.07602631685032</v>
      </c>
      <c r="C154">
        <v>62.5</v>
      </c>
      <c r="D154" s="1">
        <f t="shared" si="4"/>
        <v>67.251644803145</v>
      </c>
      <c r="E154" s="1">
        <v>49.7713318337687</v>
      </c>
      <c r="F154" s="1">
        <f t="shared" si="5"/>
        <v>53.5552628778252</v>
      </c>
    </row>
    <row r="155" spans="1:6">
      <c r="A155" t="s">
        <v>184</v>
      </c>
      <c r="B155" s="1">
        <v>1.06385774635475</v>
      </c>
      <c r="C155">
        <v>75</v>
      </c>
      <c r="D155" s="1">
        <f t="shared" si="4"/>
        <v>79.7893309766063</v>
      </c>
      <c r="E155" s="1">
        <v>28.786373531502</v>
      </c>
      <c r="F155" s="1">
        <f t="shared" si="5"/>
        <v>30.6246064709498</v>
      </c>
    </row>
    <row r="156" spans="1:6">
      <c r="A156" t="s">
        <v>185</v>
      </c>
      <c r="B156" s="1">
        <v>1.08464931410493</v>
      </c>
      <c r="C156">
        <v>87.5</v>
      </c>
      <c r="D156" s="1">
        <f t="shared" si="4"/>
        <v>94.9068149841814</v>
      </c>
      <c r="E156" s="1">
        <v>39.2852554975718</v>
      </c>
      <c r="F156" s="1">
        <f t="shared" si="5"/>
        <v>42.6107254298782</v>
      </c>
    </row>
    <row r="157" spans="1:6">
      <c r="A157" t="s">
        <v>186</v>
      </c>
      <c r="B157" s="1">
        <v>1.08464931410493</v>
      </c>
      <c r="C157">
        <v>25</v>
      </c>
      <c r="D157" s="1">
        <f t="shared" si="4"/>
        <v>27.1162328526233</v>
      </c>
      <c r="E157" s="1">
        <v>44.8042877952804</v>
      </c>
      <c r="F157" s="1">
        <f t="shared" si="5"/>
        <v>48.5969400261107</v>
      </c>
    </row>
    <row r="158" spans="1:6">
      <c r="A158" t="s">
        <v>187</v>
      </c>
      <c r="B158" s="1">
        <v>1.04845081596347</v>
      </c>
      <c r="C158">
        <v>50</v>
      </c>
      <c r="D158" s="1">
        <f t="shared" si="4"/>
        <v>52.4225407981735</v>
      </c>
      <c r="E158" s="1">
        <v>43.3428346799658</v>
      </c>
      <c r="F158" s="1">
        <f t="shared" si="5"/>
        <v>45.4428303863799</v>
      </c>
    </row>
    <row r="159" spans="1:6">
      <c r="A159" t="s">
        <v>188</v>
      </c>
      <c r="B159" s="1">
        <v>0.918819295330646</v>
      </c>
      <c r="C159">
        <v>62.5</v>
      </c>
      <c r="D159" s="1">
        <f t="shared" si="4"/>
        <v>57.4262059581654</v>
      </c>
      <c r="E159" s="1">
        <v>68.3139721728582</v>
      </c>
      <c r="F159" s="1">
        <f t="shared" si="5"/>
        <v>62.7681957731029</v>
      </c>
    </row>
    <row r="160" spans="1:6">
      <c r="A160" t="s">
        <v>189</v>
      </c>
      <c r="B160" s="1">
        <v>1.04872999766238</v>
      </c>
      <c r="C160">
        <v>25</v>
      </c>
      <c r="D160" s="1">
        <f t="shared" si="4"/>
        <v>26.2182499415595</v>
      </c>
      <c r="E160" s="1">
        <v>25.4318343596449</v>
      </c>
      <c r="F160" s="1">
        <f t="shared" si="5"/>
        <v>26.6711275885404</v>
      </c>
    </row>
    <row r="161" spans="1:6">
      <c r="A161" t="s">
        <v>190</v>
      </c>
      <c r="B161" s="1">
        <v>0.979073082952097</v>
      </c>
      <c r="C161">
        <v>75</v>
      </c>
      <c r="D161" s="1">
        <f t="shared" si="4"/>
        <v>73.4304812214073</v>
      </c>
      <c r="E161" s="1">
        <v>54.8137344802415</v>
      </c>
      <c r="F161" s="1">
        <f t="shared" si="5"/>
        <v>53.6666520056877</v>
      </c>
    </row>
    <row r="162" spans="1:6">
      <c r="A162" t="s">
        <v>191</v>
      </c>
      <c r="B162" s="1">
        <v>1.08464931410493</v>
      </c>
      <c r="C162">
        <v>25</v>
      </c>
      <c r="D162" s="1">
        <f t="shared" si="4"/>
        <v>27.1162328526233</v>
      </c>
      <c r="E162" s="1">
        <v>26.2282964045934</v>
      </c>
      <c r="F162" s="1">
        <f t="shared" si="5"/>
        <v>28.448503705383</v>
      </c>
    </row>
    <row r="163" spans="1:6">
      <c r="A163" t="s">
        <v>192</v>
      </c>
      <c r="B163" s="1">
        <v>1.08464931410493</v>
      </c>
      <c r="C163">
        <v>50</v>
      </c>
      <c r="D163" s="1">
        <f t="shared" si="4"/>
        <v>54.2324657052465</v>
      </c>
      <c r="E163" s="1">
        <v>28.1751273576626</v>
      </c>
      <c r="F163" s="1">
        <f t="shared" si="5"/>
        <v>30.5601325633078</v>
      </c>
    </row>
    <row r="164" spans="1:6">
      <c r="A164" t="s">
        <v>193</v>
      </c>
      <c r="B164" s="1">
        <v>0.984018686480029</v>
      </c>
      <c r="C164">
        <v>37.5</v>
      </c>
      <c r="D164" s="1">
        <f t="shared" si="4"/>
        <v>36.9007007430011</v>
      </c>
      <c r="E164" s="1">
        <v>39.9316031743876</v>
      </c>
      <c r="F164" s="1">
        <f t="shared" si="5"/>
        <v>39.2934437047026</v>
      </c>
    </row>
    <row r="165" spans="1:6">
      <c r="A165" t="s">
        <v>194</v>
      </c>
      <c r="B165" s="1">
        <v>1.00312545081604</v>
      </c>
      <c r="C165">
        <v>37.5</v>
      </c>
      <c r="D165" s="1">
        <f t="shared" si="4"/>
        <v>37.6172044056015</v>
      </c>
      <c r="E165" s="1">
        <v>48.1208991999333</v>
      </c>
      <c r="F165" s="1">
        <f t="shared" si="5"/>
        <v>48.2712987036063</v>
      </c>
    </row>
    <row r="166" spans="1:6">
      <c r="A166" t="s">
        <v>195</v>
      </c>
      <c r="B166" s="1">
        <v>0.983590390410639</v>
      </c>
      <c r="C166">
        <v>50</v>
      </c>
      <c r="D166" s="1">
        <f t="shared" si="4"/>
        <v>49.1795195205319</v>
      </c>
      <c r="E166" s="1">
        <v>50.9255490634339</v>
      </c>
      <c r="F166" s="1">
        <f t="shared" si="5"/>
        <v>50.0898806851791</v>
      </c>
    </row>
    <row r="167" spans="1:6">
      <c r="A167" t="s">
        <v>196</v>
      </c>
      <c r="B167" s="1">
        <v>0.981576719610555</v>
      </c>
      <c r="C167">
        <v>25</v>
      </c>
      <c r="D167" s="1">
        <f t="shared" si="4"/>
        <v>24.5394179902639</v>
      </c>
      <c r="E167" s="1">
        <v>44.4974662029699</v>
      </c>
      <c r="F167" s="1">
        <f t="shared" si="5"/>
        <v>43.6776769064928</v>
      </c>
    </row>
    <row r="168" spans="1:6">
      <c r="A168" t="s">
        <v>197</v>
      </c>
      <c r="B168" s="1">
        <v>1.05330149364059</v>
      </c>
      <c r="C168">
        <v>62.5</v>
      </c>
      <c r="D168" s="1">
        <f t="shared" si="4"/>
        <v>65.8313433525369</v>
      </c>
      <c r="E168" s="1">
        <v>43.5802187802092</v>
      </c>
      <c r="F168" s="1">
        <f t="shared" si="5"/>
        <v>45.903109534378</v>
      </c>
    </row>
    <row r="169" spans="1:6">
      <c r="A169" t="s">
        <v>198</v>
      </c>
      <c r="B169" s="1">
        <v>1.08464931410493</v>
      </c>
      <c r="C169">
        <v>75</v>
      </c>
      <c r="D169" s="1">
        <f t="shared" si="4"/>
        <v>81.3486985578698</v>
      </c>
      <c r="E169" s="1">
        <v>30.6485643410793</v>
      </c>
      <c r="F169" s="1">
        <f t="shared" si="5"/>
        <v>33.2429442908525</v>
      </c>
    </row>
    <row r="170" spans="1:6">
      <c r="A170" t="s">
        <v>199</v>
      </c>
      <c r="B170" s="1">
        <v>1.07366767100917</v>
      </c>
      <c r="C170">
        <v>25</v>
      </c>
      <c r="D170" s="1">
        <f t="shared" si="4"/>
        <v>26.8416917752292</v>
      </c>
      <c r="E170" s="1">
        <v>42.5897425346974</v>
      </c>
      <c r="F170" s="1">
        <f t="shared" si="5"/>
        <v>45.7272296761087</v>
      </c>
    </row>
    <row r="171" spans="1:6">
      <c r="A171" t="s">
        <v>200</v>
      </c>
      <c r="B171" s="1">
        <v>1.08464931410493</v>
      </c>
      <c r="C171">
        <v>37.5</v>
      </c>
      <c r="D171" s="1">
        <f t="shared" si="4"/>
        <v>40.6743492789349</v>
      </c>
      <c r="E171" s="1">
        <v>33.0942597662078</v>
      </c>
      <c r="F171" s="1">
        <f t="shared" si="5"/>
        <v>35.8956661562277</v>
      </c>
    </row>
    <row r="172" spans="1:6">
      <c r="A172" t="s">
        <v>201</v>
      </c>
      <c r="B172" s="1">
        <v>0.99782125359866</v>
      </c>
      <c r="C172">
        <v>37.5</v>
      </c>
      <c r="D172" s="1">
        <f t="shared" si="4"/>
        <v>37.4182970099498</v>
      </c>
      <c r="E172" s="1">
        <v>35.0318124882978</v>
      </c>
      <c r="F172" s="1">
        <f t="shared" si="5"/>
        <v>34.9554870529065</v>
      </c>
    </row>
    <row r="173" spans="1:6">
      <c r="A173" t="s">
        <v>202</v>
      </c>
      <c r="B173" s="1">
        <v>0.963931619443163</v>
      </c>
      <c r="C173">
        <v>75</v>
      </c>
      <c r="D173" s="1">
        <f t="shared" si="4"/>
        <v>72.2948714582372</v>
      </c>
      <c r="E173" s="1">
        <v>42.924489362389</v>
      </c>
      <c r="F173" s="1">
        <f t="shared" si="5"/>
        <v>41.3762725448585</v>
      </c>
    </row>
    <row r="174" spans="1:6">
      <c r="A174" t="s">
        <v>203</v>
      </c>
      <c r="B174" s="1">
        <v>1.0744079777247</v>
      </c>
      <c r="C174">
        <v>62.5</v>
      </c>
      <c r="D174" s="1">
        <f t="shared" si="4"/>
        <v>67.1504986077938</v>
      </c>
      <c r="E174" s="1">
        <v>33.824715649411</v>
      </c>
      <c r="F174" s="1">
        <f t="shared" si="5"/>
        <v>36.3415443379967</v>
      </c>
    </row>
    <row r="175" spans="1:6">
      <c r="A175" t="s">
        <v>204</v>
      </c>
      <c r="B175" s="1">
        <v>0.998408404846027</v>
      </c>
      <c r="C175">
        <v>50</v>
      </c>
      <c r="D175" s="1">
        <f t="shared" si="4"/>
        <v>49.9204202423013</v>
      </c>
      <c r="E175" s="1">
        <v>42.3320394081344</v>
      </c>
      <c r="F175" s="1">
        <f t="shared" si="5"/>
        <v>42.2646639393546</v>
      </c>
    </row>
    <row r="176" spans="1:6">
      <c r="A176" t="s">
        <v>205</v>
      </c>
      <c r="B176" s="1">
        <v>0.93156870217895</v>
      </c>
      <c r="C176">
        <v>75</v>
      </c>
      <c r="D176" s="1">
        <f t="shared" si="4"/>
        <v>69.8676526634213</v>
      </c>
      <c r="E176" s="1">
        <v>61.0288113932244</v>
      </c>
      <c r="F176" s="1">
        <f t="shared" si="5"/>
        <v>56.85253062511</v>
      </c>
    </row>
    <row r="177" spans="1:6">
      <c r="A177" t="s">
        <v>206</v>
      </c>
      <c r="B177" s="1">
        <v>0.980372681396199</v>
      </c>
      <c r="C177">
        <v>25</v>
      </c>
      <c r="D177" s="1">
        <f t="shared" si="4"/>
        <v>24.509317034905</v>
      </c>
      <c r="E177" s="1">
        <v>40.0841993776089</v>
      </c>
      <c r="F177" s="1">
        <f t="shared" si="5"/>
        <v>39.2974540254463</v>
      </c>
    </row>
    <row r="178" spans="1:6">
      <c r="A178" t="s">
        <v>207</v>
      </c>
      <c r="B178" s="1">
        <v>0.945290040896887</v>
      </c>
      <c r="C178">
        <v>75</v>
      </c>
      <c r="D178" s="1">
        <f t="shared" si="4"/>
        <v>70.8967530672665</v>
      </c>
      <c r="E178" s="1">
        <v>39.4993460241441</v>
      </c>
      <c r="F178" s="1">
        <f t="shared" si="5"/>
        <v>37.3383384185635</v>
      </c>
    </row>
    <row r="179" spans="1:6">
      <c r="A179" t="s">
        <v>208</v>
      </c>
      <c r="B179" s="1">
        <v>0.918819295330646</v>
      </c>
      <c r="C179">
        <v>25</v>
      </c>
      <c r="D179" s="1">
        <f t="shared" si="4"/>
        <v>22.9704823832661</v>
      </c>
      <c r="E179" s="1">
        <v>57.9664294209055</v>
      </c>
      <c r="F179" s="1">
        <f t="shared" si="5"/>
        <v>53.26067383335</v>
      </c>
    </row>
    <row r="180" spans="1:6">
      <c r="A180" t="s">
        <v>209</v>
      </c>
      <c r="B180" s="1">
        <v>0.99691470651603</v>
      </c>
      <c r="C180">
        <v>37.5</v>
      </c>
      <c r="D180" s="1">
        <f t="shared" si="4"/>
        <v>37.3843014943511</v>
      </c>
      <c r="E180" s="1">
        <v>46.6758324787695</v>
      </c>
      <c r="F180" s="1">
        <f t="shared" si="5"/>
        <v>46.5318238369638</v>
      </c>
    </row>
    <row r="181" spans="1:6">
      <c r="A181" t="s">
        <v>210</v>
      </c>
      <c r="B181" s="1">
        <v>0.940267613012438</v>
      </c>
      <c r="C181">
        <v>75</v>
      </c>
      <c r="D181" s="1">
        <f t="shared" si="4"/>
        <v>70.5200709759329</v>
      </c>
      <c r="E181" s="1">
        <v>49.0985945112061</v>
      </c>
      <c r="F181" s="1">
        <f t="shared" si="5"/>
        <v>46.1658182633173</v>
      </c>
    </row>
    <row r="182" spans="1:6">
      <c r="A182" t="s">
        <v>211</v>
      </c>
      <c r="B182" s="1">
        <v>0.918819295330646</v>
      </c>
      <c r="C182">
        <v>25</v>
      </c>
      <c r="D182" s="1">
        <f t="shared" si="4"/>
        <v>22.9704823832661</v>
      </c>
      <c r="E182" s="1">
        <v>52.5122097474564</v>
      </c>
      <c r="F182" s="1">
        <f t="shared" si="5"/>
        <v>48.249231556413</v>
      </c>
    </row>
    <row r="183" spans="1:6">
      <c r="A183" t="s">
        <v>212</v>
      </c>
      <c r="B183" s="1">
        <v>1.08464931410493</v>
      </c>
      <c r="C183">
        <v>25</v>
      </c>
      <c r="D183" s="1">
        <f t="shared" si="4"/>
        <v>27.1162328526233</v>
      </c>
      <c r="E183" s="1">
        <v>12.2382195811182</v>
      </c>
      <c r="F183" s="1">
        <f t="shared" si="5"/>
        <v>13.2741764745254</v>
      </c>
    </row>
    <row r="184" spans="1:6">
      <c r="A184" t="s">
        <v>213</v>
      </c>
      <c r="B184" s="1">
        <v>1.01001562423438</v>
      </c>
      <c r="C184">
        <v>50</v>
      </c>
      <c r="D184" s="1">
        <f t="shared" si="4"/>
        <v>50.500781211719</v>
      </c>
      <c r="E184" s="1">
        <v>43.4556308658024</v>
      </c>
      <c r="F184" s="1">
        <f t="shared" si="5"/>
        <v>43.8908661354222</v>
      </c>
    </row>
    <row r="185" spans="1:6">
      <c r="A185" t="s">
        <v>214</v>
      </c>
      <c r="B185" s="1">
        <v>0.934196322589325</v>
      </c>
      <c r="C185">
        <v>50</v>
      </c>
      <c r="D185" s="1">
        <f t="shared" si="4"/>
        <v>46.7098161294662</v>
      </c>
      <c r="E185" s="1">
        <v>50.8938526706126</v>
      </c>
      <c r="F185" s="1">
        <f t="shared" si="5"/>
        <v>47.5448500072892</v>
      </c>
    </row>
    <row r="186" spans="1:6">
      <c r="A186" t="s">
        <v>215</v>
      </c>
      <c r="B186" s="1">
        <v>1.00291456992937</v>
      </c>
      <c r="C186">
        <v>75</v>
      </c>
      <c r="D186" s="1">
        <f t="shared" si="4"/>
        <v>75.2185927447027</v>
      </c>
      <c r="E186" s="1">
        <v>60.830565933813</v>
      </c>
      <c r="F186" s="1">
        <f t="shared" si="5"/>
        <v>61.0078608720702</v>
      </c>
    </row>
    <row r="187" spans="1:6">
      <c r="A187" t="s">
        <v>216</v>
      </c>
      <c r="B187" s="1">
        <v>0.977296294380105</v>
      </c>
      <c r="C187">
        <v>37.5</v>
      </c>
      <c r="D187" s="1">
        <f t="shared" si="4"/>
        <v>36.6486110392539</v>
      </c>
      <c r="E187" s="1">
        <v>54.2104899937558</v>
      </c>
      <c r="F187" s="1">
        <f t="shared" si="5"/>
        <v>52.9797109874273</v>
      </c>
    </row>
    <row r="188" spans="1:6">
      <c r="A188" t="s">
        <v>217</v>
      </c>
      <c r="B188" s="1">
        <v>0.918819295330646</v>
      </c>
      <c r="C188">
        <v>50</v>
      </c>
      <c r="D188" s="1">
        <f t="shared" si="4"/>
        <v>45.9409647665323</v>
      </c>
      <c r="E188" s="1">
        <v>52.9938723772494</v>
      </c>
      <c r="F188" s="1">
        <f t="shared" si="5"/>
        <v>48.6917924745065</v>
      </c>
    </row>
    <row r="189" spans="1:6">
      <c r="A189" t="s">
        <v>218</v>
      </c>
      <c r="B189" s="1">
        <v>0.927465492682029</v>
      </c>
      <c r="C189">
        <v>75</v>
      </c>
      <c r="D189" s="1">
        <f t="shared" si="4"/>
        <v>69.5599119511522</v>
      </c>
      <c r="E189" s="1">
        <v>73.0438810809466</v>
      </c>
      <c r="F189" s="1">
        <f t="shared" si="5"/>
        <v>67.7456791541477</v>
      </c>
    </row>
    <row r="190" spans="1:6">
      <c r="A190" t="s">
        <v>219</v>
      </c>
      <c r="B190" s="1">
        <v>0.918819295330646</v>
      </c>
      <c r="C190">
        <v>62.5</v>
      </c>
      <c r="D190" s="1">
        <f t="shared" si="4"/>
        <v>57.4262059581654</v>
      </c>
      <c r="E190" s="1">
        <v>52.8256055412784</v>
      </c>
      <c r="F190" s="1">
        <f t="shared" si="5"/>
        <v>48.5371856588521</v>
      </c>
    </row>
    <row r="191" spans="1:6">
      <c r="A191" t="s">
        <v>220</v>
      </c>
      <c r="B191" s="1">
        <v>1.08464931410493</v>
      </c>
      <c r="C191">
        <v>50</v>
      </c>
      <c r="D191" s="1">
        <f t="shared" si="4"/>
        <v>54.2324657052465</v>
      </c>
      <c r="E191" s="1">
        <v>22.1316323174592</v>
      </c>
      <c r="F191" s="1">
        <f t="shared" si="5"/>
        <v>24.0050598131547</v>
      </c>
    </row>
    <row r="192" spans="1:6">
      <c r="A192" t="s">
        <v>221</v>
      </c>
      <c r="B192" s="1">
        <v>0.971292341685923</v>
      </c>
      <c r="C192">
        <v>100</v>
      </c>
      <c r="D192" s="1">
        <f t="shared" si="4"/>
        <v>97.1292341685923</v>
      </c>
      <c r="E192" s="1">
        <v>57.079658523976</v>
      </c>
      <c r="F192" s="1">
        <f t="shared" si="5"/>
        <v>55.4410351903855</v>
      </c>
    </row>
    <row r="193" spans="1:6">
      <c r="A193" t="s">
        <v>222</v>
      </c>
      <c r="B193" s="1">
        <v>0.985629275042558</v>
      </c>
      <c r="C193">
        <v>50</v>
      </c>
      <c r="D193" s="1">
        <f t="shared" si="4"/>
        <v>49.2814637521279</v>
      </c>
      <c r="E193" s="1">
        <v>31.106561861847</v>
      </c>
      <c r="F193" s="1">
        <f t="shared" si="5"/>
        <v>30.6595380169588</v>
      </c>
    </row>
    <row r="194" spans="1:6">
      <c r="A194" t="s">
        <v>223</v>
      </c>
      <c r="B194" s="1">
        <v>1.08464931410493</v>
      </c>
      <c r="C194">
        <v>25</v>
      </c>
      <c r="D194" s="1">
        <f t="shared" si="4"/>
        <v>27.1162328526233</v>
      </c>
      <c r="E194" s="1">
        <v>11.3902623859099</v>
      </c>
      <c r="F194" s="1">
        <f t="shared" si="5"/>
        <v>12.3544402843523</v>
      </c>
    </row>
    <row r="195" spans="1:6">
      <c r="A195" t="s">
        <v>224</v>
      </c>
      <c r="B195" s="1">
        <v>0.918819295330646</v>
      </c>
      <c r="C195">
        <v>75</v>
      </c>
      <c r="D195" s="1">
        <f t="shared" ref="D195:D258" si="6">B195*C195</f>
        <v>68.9114471497984</v>
      </c>
      <c r="E195" s="1">
        <v>72.1770982272668</v>
      </c>
      <c r="F195" s="1">
        <f t="shared" ref="F195:F258" si="7">B195*E195</f>
        <v>66.3177105321881</v>
      </c>
    </row>
    <row r="196" spans="1:6">
      <c r="A196" t="s">
        <v>225</v>
      </c>
      <c r="B196" s="1">
        <v>0.9448162490409</v>
      </c>
      <c r="C196">
        <v>75</v>
      </c>
      <c r="D196" s="1">
        <f t="shared" si="6"/>
        <v>70.8612186780675</v>
      </c>
      <c r="E196" s="1">
        <v>44.5312269492233</v>
      </c>
      <c r="F196" s="1">
        <f t="shared" si="7"/>
        <v>42.0738268113542</v>
      </c>
    </row>
    <row r="197" spans="1:6">
      <c r="A197" t="s">
        <v>226</v>
      </c>
      <c r="B197" s="1">
        <v>1.08429897106585</v>
      </c>
      <c r="C197">
        <v>50</v>
      </c>
      <c r="D197" s="1">
        <f t="shared" si="6"/>
        <v>54.2149485532925</v>
      </c>
      <c r="E197" s="1">
        <v>32.3831254855198</v>
      </c>
      <c r="F197" s="1">
        <f t="shared" si="7"/>
        <v>35.1129896438455</v>
      </c>
    </row>
    <row r="198" spans="1:6">
      <c r="A198" t="s">
        <v>227</v>
      </c>
      <c r="B198" s="1">
        <v>0.975093604056812</v>
      </c>
      <c r="C198">
        <v>37.5</v>
      </c>
      <c r="D198" s="1">
        <f t="shared" si="6"/>
        <v>36.5660101521305</v>
      </c>
      <c r="E198" s="1">
        <v>40.1627640193361</v>
      </c>
      <c r="F198" s="1">
        <f t="shared" si="7"/>
        <v>39.1624543164977</v>
      </c>
    </row>
    <row r="199" spans="1:6">
      <c r="A199" t="s">
        <v>228</v>
      </c>
      <c r="B199" s="1">
        <v>1.03816876578648</v>
      </c>
      <c r="C199">
        <v>50</v>
      </c>
      <c r="D199" s="1">
        <f t="shared" si="6"/>
        <v>51.908438289324</v>
      </c>
      <c r="E199" s="1">
        <v>32.5107159627017</v>
      </c>
      <c r="F199" s="1">
        <f t="shared" si="7"/>
        <v>33.7516098658328</v>
      </c>
    </row>
    <row r="200" spans="1:6">
      <c r="A200" t="s">
        <v>229</v>
      </c>
      <c r="B200" s="1">
        <v>1.08464931410493</v>
      </c>
      <c r="C200">
        <v>75</v>
      </c>
      <c r="D200" s="1">
        <f t="shared" si="6"/>
        <v>81.3486985578698</v>
      </c>
      <c r="E200" s="1">
        <v>10.1873566853993</v>
      </c>
      <c r="F200" s="1">
        <f t="shared" si="7"/>
        <v>11.0497094413606</v>
      </c>
    </row>
    <row r="201" spans="1:6">
      <c r="A201" t="s">
        <v>230</v>
      </c>
      <c r="B201" s="1">
        <v>0.918819295330646</v>
      </c>
      <c r="C201">
        <v>62.5</v>
      </c>
      <c r="D201" s="1">
        <f t="shared" si="6"/>
        <v>57.4262059581654</v>
      </c>
      <c r="E201" s="1">
        <v>59.2464489205503</v>
      </c>
      <c r="F201" s="1">
        <f t="shared" si="7"/>
        <v>54.4367804480231</v>
      </c>
    </row>
    <row r="202" spans="1:6">
      <c r="A202" t="s">
        <v>231</v>
      </c>
      <c r="B202" s="1">
        <v>1.05664971110846</v>
      </c>
      <c r="C202">
        <v>62.5</v>
      </c>
      <c r="D202" s="1">
        <f t="shared" si="6"/>
        <v>66.0406069442787</v>
      </c>
      <c r="E202" s="1">
        <v>62.4290043091948</v>
      </c>
      <c r="F202" s="1">
        <f t="shared" si="7"/>
        <v>65.9655893680995</v>
      </c>
    </row>
    <row r="203" spans="1:6">
      <c r="A203" t="s">
        <v>232</v>
      </c>
      <c r="B203" s="1">
        <v>0.918819295330646</v>
      </c>
      <c r="C203">
        <v>75</v>
      </c>
      <c r="D203" s="1">
        <f t="shared" si="6"/>
        <v>68.9114471497984</v>
      </c>
      <c r="E203" s="1">
        <v>77.2142647112085</v>
      </c>
      <c r="F203" s="1">
        <f t="shared" si="7"/>
        <v>70.9459562914266</v>
      </c>
    </row>
    <row r="204" spans="1:6">
      <c r="A204" t="s">
        <v>233</v>
      </c>
      <c r="B204" s="1">
        <v>0.969483546894218</v>
      </c>
      <c r="C204">
        <v>25</v>
      </c>
      <c r="D204" s="1">
        <f t="shared" si="6"/>
        <v>24.2370886723555</v>
      </c>
      <c r="E204" s="1">
        <v>47.9686622765954</v>
      </c>
      <c r="F204" s="1">
        <f t="shared" si="7"/>
        <v>46.5048288436845</v>
      </c>
    </row>
    <row r="205" spans="1:6">
      <c r="A205" t="s">
        <v>234</v>
      </c>
      <c r="B205" s="1">
        <v>1.08464931410493</v>
      </c>
      <c r="C205">
        <v>37.5</v>
      </c>
      <c r="D205" s="1">
        <f t="shared" si="6"/>
        <v>40.6743492789349</v>
      </c>
      <c r="E205" s="1">
        <v>8.2010816929702</v>
      </c>
      <c r="F205" s="1">
        <f t="shared" si="7"/>
        <v>8.89529763319862</v>
      </c>
    </row>
    <row r="206" spans="1:6">
      <c r="A206" t="s">
        <v>235</v>
      </c>
      <c r="B206" s="1">
        <v>0.918819295330646</v>
      </c>
      <c r="C206">
        <v>37.5</v>
      </c>
      <c r="D206" s="1">
        <f t="shared" si="6"/>
        <v>34.4557235748992</v>
      </c>
      <c r="E206" s="1">
        <v>52.6928355360556</v>
      </c>
      <c r="F206" s="1">
        <f t="shared" si="7"/>
        <v>48.4151940162122</v>
      </c>
    </row>
    <row r="207" spans="1:6">
      <c r="A207" t="s">
        <v>236</v>
      </c>
      <c r="B207" s="1">
        <v>0.976105850621488</v>
      </c>
      <c r="C207">
        <v>25</v>
      </c>
      <c r="D207" s="1">
        <f t="shared" si="6"/>
        <v>24.4026462655372</v>
      </c>
      <c r="E207" s="1">
        <v>35.5543792161555</v>
      </c>
      <c r="F207" s="1">
        <f t="shared" si="7"/>
        <v>34.7048375681044</v>
      </c>
    </row>
    <row r="208" spans="1:6">
      <c r="A208" t="s">
        <v>237</v>
      </c>
      <c r="B208" s="1">
        <v>1.01207109337062</v>
      </c>
      <c r="C208">
        <v>12.5</v>
      </c>
      <c r="D208" s="1">
        <f t="shared" si="6"/>
        <v>12.6508886671328</v>
      </c>
      <c r="E208" s="1">
        <v>39.7669874402438</v>
      </c>
      <c r="F208" s="1">
        <f t="shared" si="7"/>
        <v>40.2470184587033</v>
      </c>
    </row>
    <row r="209" spans="1:6">
      <c r="A209" t="s">
        <v>238</v>
      </c>
      <c r="B209" s="1">
        <v>0.956316140829263</v>
      </c>
      <c r="C209">
        <v>75</v>
      </c>
      <c r="D209" s="1">
        <f t="shared" si="6"/>
        <v>71.7237105621947</v>
      </c>
      <c r="E209" s="1">
        <v>59.4391540662942</v>
      </c>
      <c r="F209" s="1">
        <f t="shared" si="7"/>
        <v>56.8426224308345</v>
      </c>
    </row>
    <row r="210" spans="1:6">
      <c r="A210" t="s">
        <v>239</v>
      </c>
      <c r="B210" s="1">
        <v>0.918819295330646</v>
      </c>
      <c r="C210">
        <v>37.5</v>
      </c>
      <c r="D210" s="1">
        <f t="shared" si="6"/>
        <v>34.4557235748992</v>
      </c>
      <c r="E210" s="1">
        <v>41.846317573355</v>
      </c>
      <c r="F210" s="1">
        <f t="shared" si="7"/>
        <v>38.4492040249325</v>
      </c>
    </row>
    <row r="211" spans="1:6">
      <c r="A211" t="s">
        <v>240</v>
      </c>
      <c r="B211" s="1">
        <v>1.0182269612133</v>
      </c>
      <c r="C211">
        <v>25</v>
      </c>
      <c r="D211" s="1">
        <f t="shared" si="6"/>
        <v>25.4556740303325</v>
      </c>
      <c r="E211" s="1">
        <v>22.1191455432792</v>
      </c>
      <c r="F211" s="1">
        <f t="shared" si="7"/>
        <v>22.5223103511679</v>
      </c>
    </row>
    <row r="212" spans="1:6">
      <c r="A212" t="s">
        <v>241</v>
      </c>
      <c r="B212" s="1">
        <v>0.944777181385695</v>
      </c>
      <c r="C212">
        <v>75</v>
      </c>
      <c r="D212" s="1">
        <f t="shared" si="6"/>
        <v>70.8582886039271</v>
      </c>
      <c r="E212" s="1">
        <v>69.6778579093935</v>
      </c>
      <c r="F212" s="1">
        <f t="shared" si="7"/>
        <v>65.8300502006297</v>
      </c>
    </row>
    <row r="213" spans="1:6">
      <c r="A213" t="s">
        <v>242</v>
      </c>
      <c r="B213" s="1">
        <v>0.931570609965076</v>
      </c>
      <c r="C213">
        <v>75</v>
      </c>
      <c r="D213" s="1">
        <f t="shared" si="6"/>
        <v>69.8677957473807</v>
      </c>
      <c r="E213" s="1">
        <v>38.3692508851072</v>
      </c>
      <c r="F213" s="1">
        <f t="shared" si="7"/>
        <v>35.7436664509424</v>
      </c>
    </row>
    <row r="214" spans="1:6">
      <c r="A214" t="s">
        <v>243</v>
      </c>
      <c r="B214" s="1">
        <v>1.00676865107745</v>
      </c>
      <c r="C214">
        <v>87.5</v>
      </c>
      <c r="D214" s="1">
        <f t="shared" si="6"/>
        <v>88.0922569692769</v>
      </c>
      <c r="E214" s="1">
        <v>51.034420279871</v>
      </c>
      <c r="F214" s="1">
        <f t="shared" si="7"/>
        <v>51.3798544636853</v>
      </c>
    </row>
    <row r="215" spans="1:6">
      <c r="A215" t="s">
        <v>244</v>
      </c>
      <c r="B215" s="1">
        <v>0.930634048324609</v>
      </c>
      <c r="C215">
        <v>62.5</v>
      </c>
      <c r="D215" s="1">
        <f t="shared" si="6"/>
        <v>58.1646280202881</v>
      </c>
      <c r="E215" s="1">
        <v>68.9508078716718</v>
      </c>
      <c r="F215" s="1">
        <f t="shared" si="7"/>
        <v>64.1679694648663</v>
      </c>
    </row>
    <row r="216" spans="1:6">
      <c r="A216" t="s">
        <v>245</v>
      </c>
      <c r="B216" s="1">
        <v>1.05106733316621</v>
      </c>
      <c r="C216">
        <v>62.5</v>
      </c>
      <c r="D216" s="1">
        <f t="shared" si="6"/>
        <v>65.6917083228881</v>
      </c>
      <c r="E216" s="1">
        <v>50.3273713776103</v>
      </c>
      <c r="F216" s="1">
        <f t="shared" si="7"/>
        <v>52.8974560191304</v>
      </c>
    </row>
    <row r="217" spans="1:6">
      <c r="A217" t="s">
        <v>246</v>
      </c>
      <c r="B217" s="1">
        <v>1.0000464519425</v>
      </c>
      <c r="C217">
        <v>87.5</v>
      </c>
      <c r="D217" s="1">
        <f t="shared" si="6"/>
        <v>87.5040645449688</v>
      </c>
      <c r="E217" s="1">
        <v>58.9400480167377</v>
      </c>
      <c r="F217" s="1">
        <f t="shared" si="7"/>
        <v>58.9427858964591</v>
      </c>
    </row>
    <row r="218" spans="1:6">
      <c r="A218" t="s">
        <v>247</v>
      </c>
      <c r="B218" s="1">
        <v>1.0211326625107</v>
      </c>
      <c r="C218">
        <v>62.5</v>
      </c>
      <c r="D218" s="1">
        <f t="shared" si="6"/>
        <v>63.8207914069188</v>
      </c>
      <c r="E218" s="1">
        <v>46.7058604073267</v>
      </c>
      <c r="F218" s="1">
        <f t="shared" si="7"/>
        <v>47.6928795925866</v>
      </c>
    </row>
    <row r="219" spans="1:6">
      <c r="A219" t="s">
        <v>248</v>
      </c>
      <c r="B219" s="1">
        <v>0.925505516470642</v>
      </c>
      <c r="C219">
        <v>100</v>
      </c>
      <c r="D219" s="1">
        <f t="shared" si="6"/>
        <v>92.5505516470642</v>
      </c>
      <c r="E219" s="1">
        <v>78.5526467656372</v>
      </c>
      <c r="F219" s="1">
        <f t="shared" si="7"/>
        <v>72.7009079149669</v>
      </c>
    </row>
    <row r="220" spans="1:6">
      <c r="A220" t="s">
        <v>249</v>
      </c>
      <c r="B220" s="1">
        <v>0.924399723886761</v>
      </c>
      <c r="C220">
        <v>50</v>
      </c>
      <c r="D220" s="1">
        <f t="shared" si="6"/>
        <v>46.219986194338</v>
      </c>
      <c r="E220" s="1">
        <v>65.2189356569436</v>
      </c>
      <c r="F220" s="1">
        <f t="shared" si="7"/>
        <v>60.2883661134671</v>
      </c>
    </row>
    <row r="221" spans="1:6">
      <c r="A221" t="s">
        <v>250</v>
      </c>
      <c r="B221" s="1">
        <v>1.01356989097922</v>
      </c>
      <c r="C221">
        <v>62.5</v>
      </c>
      <c r="D221" s="1">
        <f t="shared" si="6"/>
        <v>63.3481181862012</v>
      </c>
      <c r="E221" s="1">
        <v>40.407902060414</v>
      </c>
      <c r="F221" s="1">
        <f t="shared" si="7"/>
        <v>40.9562328860728</v>
      </c>
    </row>
    <row r="222" spans="1:6">
      <c r="A222" t="s">
        <v>251</v>
      </c>
      <c r="B222" s="1">
        <v>1.08018835643361</v>
      </c>
      <c r="C222">
        <v>25</v>
      </c>
      <c r="D222" s="1">
        <f t="shared" si="6"/>
        <v>27.0047089108403</v>
      </c>
      <c r="E222" s="1">
        <v>42.3757567233588</v>
      </c>
      <c r="F222" s="1">
        <f t="shared" si="7"/>
        <v>45.7737990076354</v>
      </c>
    </row>
    <row r="223" spans="1:6">
      <c r="A223" t="s">
        <v>252</v>
      </c>
      <c r="B223" s="1">
        <v>1.05727361606173</v>
      </c>
      <c r="C223">
        <v>25</v>
      </c>
      <c r="D223" s="1">
        <f t="shared" si="6"/>
        <v>26.4318404015432</v>
      </c>
      <c r="E223" s="1">
        <v>52.8573525436541</v>
      </c>
      <c r="F223" s="1">
        <f t="shared" si="7"/>
        <v>55.8846842592788</v>
      </c>
    </row>
    <row r="224" spans="1:6">
      <c r="A224" t="s">
        <v>253</v>
      </c>
      <c r="B224" s="1">
        <v>1.05896946828795</v>
      </c>
      <c r="C224">
        <v>50</v>
      </c>
      <c r="D224" s="1">
        <f t="shared" si="6"/>
        <v>52.9484734143975</v>
      </c>
      <c r="E224" s="1">
        <v>53.0950006174352</v>
      </c>
      <c r="F224" s="1">
        <f t="shared" si="7"/>
        <v>56.2259845725938</v>
      </c>
    </row>
    <row r="225" spans="1:6">
      <c r="A225" t="s">
        <v>254</v>
      </c>
      <c r="B225" s="1">
        <v>1.08205519214666</v>
      </c>
      <c r="C225">
        <v>50</v>
      </c>
      <c r="D225" s="1">
        <f t="shared" si="6"/>
        <v>54.102759607333</v>
      </c>
      <c r="E225" s="1">
        <v>45.277400268206</v>
      </c>
      <c r="F225" s="1">
        <f t="shared" si="7"/>
        <v>48.9926460471149</v>
      </c>
    </row>
    <row r="226" spans="1:6">
      <c r="A226" t="s">
        <v>255</v>
      </c>
      <c r="B226" s="1">
        <v>1.08464931410493</v>
      </c>
      <c r="C226">
        <v>87.5</v>
      </c>
      <c r="D226" s="1">
        <f t="shared" si="6"/>
        <v>94.9068149841814</v>
      </c>
      <c r="E226" s="1">
        <v>35.5255254779709</v>
      </c>
      <c r="F226" s="1">
        <f t="shared" si="7"/>
        <v>38.5327368428984</v>
      </c>
    </row>
    <row r="227" spans="1:6">
      <c r="A227" t="s">
        <v>256</v>
      </c>
      <c r="B227" s="1">
        <v>0.998902760088473</v>
      </c>
      <c r="C227">
        <v>50</v>
      </c>
      <c r="D227" s="1">
        <f t="shared" si="6"/>
        <v>49.9451380044236</v>
      </c>
      <c r="E227" s="1">
        <v>52.1139133566567</v>
      </c>
      <c r="F227" s="1">
        <f t="shared" si="7"/>
        <v>52.0567318909759</v>
      </c>
    </row>
    <row r="228" spans="1:6">
      <c r="A228" t="s">
        <v>257</v>
      </c>
      <c r="B228" s="1">
        <v>0.942583520339646</v>
      </c>
      <c r="C228">
        <v>37.5</v>
      </c>
      <c r="D228" s="1">
        <f t="shared" si="6"/>
        <v>35.3468820127367</v>
      </c>
      <c r="E228" s="1">
        <v>51.4497311612026</v>
      </c>
      <c r="F228" s="1">
        <f t="shared" si="7"/>
        <v>48.4956687184547</v>
      </c>
    </row>
    <row r="229" spans="1:6">
      <c r="A229" t="s">
        <v>258</v>
      </c>
      <c r="B229" s="1">
        <v>1.02567965583711</v>
      </c>
      <c r="C229">
        <v>62.5</v>
      </c>
      <c r="D229" s="1">
        <f t="shared" si="6"/>
        <v>64.1049784898194</v>
      </c>
      <c r="E229" s="1">
        <v>37.1103762958543</v>
      </c>
      <c r="F229" s="1">
        <f t="shared" si="7"/>
        <v>38.0633579871174</v>
      </c>
    </row>
    <row r="230" spans="1:6">
      <c r="A230" t="s">
        <v>259</v>
      </c>
      <c r="B230" s="1">
        <v>1.04983023350004</v>
      </c>
      <c r="C230">
        <v>25</v>
      </c>
      <c r="D230" s="1">
        <f t="shared" si="6"/>
        <v>26.245755837501</v>
      </c>
      <c r="E230" s="1">
        <v>61.1031942298365</v>
      </c>
      <c r="F230" s="1">
        <f t="shared" si="7"/>
        <v>64.1479806659075</v>
      </c>
    </row>
    <row r="231" spans="1:6">
      <c r="A231" t="s">
        <v>260</v>
      </c>
      <c r="B231" s="1">
        <v>1.06862848070608</v>
      </c>
      <c r="C231">
        <v>37.5</v>
      </c>
      <c r="D231" s="1">
        <f t="shared" si="6"/>
        <v>40.073568026478</v>
      </c>
      <c r="E231" s="1">
        <v>48.2221310251279</v>
      </c>
      <c r="F231" s="1">
        <f t="shared" si="7"/>
        <v>51.5315426137919</v>
      </c>
    </row>
    <row r="232" spans="1:6">
      <c r="A232" t="s">
        <v>261</v>
      </c>
      <c r="B232" s="1">
        <v>1.08464931410493</v>
      </c>
      <c r="C232">
        <v>62.5</v>
      </c>
      <c r="D232" s="1">
        <f t="shared" si="6"/>
        <v>67.7905821315581</v>
      </c>
      <c r="E232" s="1">
        <v>45.4351074082281</v>
      </c>
      <c r="F232" s="1">
        <f t="shared" si="7"/>
        <v>49.2811580866184</v>
      </c>
    </row>
    <row r="233" spans="1:6">
      <c r="A233" t="s">
        <v>262</v>
      </c>
      <c r="B233" s="1">
        <v>0.923151372082422</v>
      </c>
      <c r="C233">
        <v>50</v>
      </c>
      <c r="D233" s="1">
        <f t="shared" si="6"/>
        <v>46.1575686041211</v>
      </c>
      <c r="E233" s="1">
        <v>61.8479711111531</v>
      </c>
      <c r="F233" s="1">
        <f t="shared" si="7"/>
        <v>57.095039391775</v>
      </c>
    </row>
    <row r="234" spans="1:6">
      <c r="A234" t="s">
        <v>263</v>
      </c>
      <c r="B234" s="1">
        <v>1.08464931410493</v>
      </c>
      <c r="C234">
        <v>37.5</v>
      </c>
      <c r="D234" s="1">
        <f t="shared" si="6"/>
        <v>40.6743492789349</v>
      </c>
      <c r="E234" s="1">
        <v>34.9528556640066</v>
      </c>
      <c r="F234" s="1">
        <f t="shared" si="7"/>
        <v>37.9115909219734</v>
      </c>
    </row>
    <row r="235" spans="1:6">
      <c r="A235" t="s">
        <v>264</v>
      </c>
      <c r="B235" s="1">
        <v>1.0382915254639</v>
      </c>
      <c r="C235">
        <v>75</v>
      </c>
      <c r="D235" s="1">
        <f t="shared" si="6"/>
        <v>77.8718644097925</v>
      </c>
      <c r="E235" s="1">
        <v>39.8805248751874</v>
      </c>
      <c r="F235" s="1">
        <f t="shared" si="7"/>
        <v>41.4076110089593</v>
      </c>
    </row>
    <row r="236" spans="1:6">
      <c r="A236" t="s">
        <v>265</v>
      </c>
      <c r="B236" s="1">
        <v>1.08131551105416</v>
      </c>
      <c r="C236">
        <v>37.5</v>
      </c>
      <c r="D236" s="1">
        <f t="shared" si="6"/>
        <v>40.549331664531</v>
      </c>
      <c r="E236" s="1">
        <v>46.9779209596608</v>
      </c>
      <c r="F236" s="1">
        <f t="shared" si="7"/>
        <v>50.7979546107576</v>
      </c>
    </row>
    <row r="237" spans="1:6">
      <c r="A237" t="s">
        <v>266</v>
      </c>
      <c r="B237" s="1">
        <v>1.00891713760378</v>
      </c>
      <c r="C237">
        <v>50</v>
      </c>
      <c r="D237" s="1">
        <f t="shared" si="6"/>
        <v>50.445856880189</v>
      </c>
      <c r="E237" s="1">
        <v>51.6889267268804</v>
      </c>
      <c r="F237" s="1">
        <f t="shared" si="7"/>
        <v>52.1498439990956</v>
      </c>
    </row>
    <row r="238" spans="1:6">
      <c r="A238" t="s">
        <v>267</v>
      </c>
      <c r="B238" s="1">
        <v>1.08464931410493</v>
      </c>
      <c r="C238">
        <v>87.5</v>
      </c>
      <c r="D238" s="1">
        <f t="shared" si="6"/>
        <v>94.9068149841814</v>
      </c>
      <c r="E238" s="1">
        <v>45.3306096418102</v>
      </c>
      <c r="F238" s="1">
        <f t="shared" si="7"/>
        <v>49.1678146559477</v>
      </c>
    </row>
    <row r="239" spans="1:6">
      <c r="A239" t="s">
        <v>268</v>
      </c>
      <c r="B239" s="1">
        <v>1.06651748968497</v>
      </c>
      <c r="C239">
        <v>25</v>
      </c>
      <c r="D239" s="1">
        <f t="shared" si="6"/>
        <v>26.6629372421243</v>
      </c>
      <c r="E239" s="1">
        <v>54.1375343806262</v>
      </c>
      <c r="F239" s="1">
        <f t="shared" si="7"/>
        <v>57.7386272653592</v>
      </c>
    </row>
    <row r="240" spans="1:6">
      <c r="A240" t="s">
        <v>269</v>
      </c>
      <c r="B240" s="1">
        <v>1.00271107307753</v>
      </c>
      <c r="C240">
        <v>62.5</v>
      </c>
      <c r="D240" s="1">
        <f t="shared" si="6"/>
        <v>62.6694420673456</v>
      </c>
      <c r="E240" s="1">
        <v>53.4782095055574</v>
      </c>
      <c r="F240" s="1">
        <f t="shared" si="7"/>
        <v>53.6231928395825</v>
      </c>
    </row>
    <row r="241" spans="1:6">
      <c r="A241" t="s">
        <v>270</v>
      </c>
      <c r="B241" s="1">
        <v>0.964824407851672</v>
      </c>
      <c r="C241">
        <v>87.5</v>
      </c>
      <c r="D241" s="1">
        <f t="shared" si="6"/>
        <v>84.4221356870213</v>
      </c>
      <c r="E241" s="1">
        <v>59.4609297790521</v>
      </c>
      <c r="F241" s="1">
        <f t="shared" si="7"/>
        <v>57.3693563643838</v>
      </c>
    </row>
    <row r="242" spans="1:6">
      <c r="A242" t="s">
        <v>271</v>
      </c>
      <c r="B242" s="1">
        <v>0.918819295330646</v>
      </c>
      <c r="C242">
        <v>37.5</v>
      </c>
      <c r="D242" s="1">
        <f t="shared" si="6"/>
        <v>34.4557235748992</v>
      </c>
      <c r="E242" s="1">
        <v>75.4858978589851</v>
      </c>
      <c r="F242" s="1">
        <f t="shared" si="7"/>
        <v>69.3578994781938</v>
      </c>
    </row>
    <row r="243" spans="1:6">
      <c r="A243" t="s">
        <v>272</v>
      </c>
      <c r="B243" s="1">
        <v>1.04929929753516</v>
      </c>
      <c r="C243">
        <v>62.5</v>
      </c>
      <c r="D243" s="1">
        <f t="shared" si="6"/>
        <v>65.5812060959475</v>
      </c>
      <c r="E243" s="1">
        <v>46.684266773013</v>
      </c>
      <c r="F243" s="1">
        <f t="shared" si="7"/>
        <v>48.9857683308666</v>
      </c>
    </row>
    <row r="244" spans="1:6">
      <c r="A244" t="s">
        <v>273</v>
      </c>
      <c r="B244" s="1">
        <v>1.08464931410493</v>
      </c>
      <c r="C244">
        <v>50</v>
      </c>
      <c r="D244" s="1">
        <f t="shared" si="6"/>
        <v>54.2324657052465</v>
      </c>
      <c r="E244" s="1">
        <v>15.8937766336923</v>
      </c>
      <c r="F244" s="1">
        <f t="shared" si="7"/>
        <v>17.2391739242713</v>
      </c>
    </row>
    <row r="245" spans="1:6">
      <c r="A245" t="s">
        <v>274</v>
      </c>
      <c r="B245" s="1">
        <v>1.04313280695745</v>
      </c>
      <c r="C245">
        <v>50</v>
      </c>
      <c r="D245" s="1">
        <f t="shared" si="6"/>
        <v>52.1566403478725</v>
      </c>
      <c r="E245" s="1">
        <v>44.6755709010457</v>
      </c>
      <c r="F245" s="1">
        <f t="shared" si="7"/>
        <v>46.6025536764344</v>
      </c>
    </row>
    <row r="246" spans="1:6">
      <c r="A246" t="s">
        <v>275</v>
      </c>
      <c r="B246" s="1">
        <v>1.08464931410493</v>
      </c>
      <c r="C246">
        <v>50</v>
      </c>
      <c r="D246" s="1">
        <f t="shared" si="6"/>
        <v>54.2324657052465</v>
      </c>
      <c r="E246" s="1">
        <v>42.042696124632</v>
      </c>
      <c r="F246" s="1">
        <f t="shared" si="7"/>
        <v>45.6015815147041</v>
      </c>
    </row>
    <row r="247" spans="1:6">
      <c r="A247" t="s">
        <v>276</v>
      </c>
      <c r="B247" s="1">
        <v>1.03629405792982</v>
      </c>
      <c r="C247">
        <v>37.5</v>
      </c>
      <c r="D247" s="1">
        <f t="shared" si="6"/>
        <v>38.8610271723683</v>
      </c>
      <c r="E247" s="1">
        <v>63.052369055324</v>
      </c>
      <c r="F247" s="1">
        <f t="shared" si="7"/>
        <v>65.3407953904303</v>
      </c>
    </row>
    <row r="248" spans="1:6">
      <c r="A248" t="s">
        <v>277</v>
      </c>
      <c r="B248" s="1">
        <v>1.07747174861298</v>
      </c>
      <c r="C248">
        <v>37.5</v>
      </c>
      <c r="D248" s="1">
        <f t="shared" si="6"/>
        <v>40.4051905729867</v>
      </c>
      <c r="E248" s="1">
        <v>55.903258098245</v>
      </c>
      <c r="F248" s="1">
        <f t="shared" si="7"/>
        <v>60.2341812562788</v>
      </c>
    </row>
    <row r="249" spans="1:6">
      <c r="A249" t="s">
        <v>278</v>
      </c>
      <c r="B249" s="1">
        <v>1.06275107616801</v>
      </c>
      <c r="C249">
        <v>75</v>
      </c>
      <c r="D249" s="1">
        <f t="shared" si="6"/>
        <v>79.7063307126007</v>
      </c>
      <c r="E249" s="1">
        <v>48.0645244222392</v>
      </c>
      <c r="F249" s="1">
        <f t="shared" si="7"/>
        <v>51.0806250552383</v>
      </c>
    </row>
    <row r="250" spans="1:6">
      <c r="A250" t="s">
        <v>279</v>
      </c>
      <c r="B250" s="1">
        <v>0.966252880295578</v>
      </c>
      <c r="C250">
        <v>50</v>
      </c>
      <c r="D250" s="1">
        <f t="shared" si="6"/>
        <v>48.3126440147789</v>
      </c>
      <c r="E250" s="1">
        <v>93.2496253641627</v>
      </c>
      <c r="F250" s="1">
        <f t="shared" si="7"/>
        <v>90.1027190946057</v>
      </c>
    </row>
    <row r="251" spans="1:6">
      <c r="A251" t="s">
        <v>280</v>
      </c>
      <c r="B251" s="1">
        <v>1.04895415872225</v>
      </c>
      <c r="C251">
        <v>37.5</v>
      </c>
      <c r="D251" s="1">
        <f t="shared" si="6"/>
        <v>39.3357809520844</v>
      </c>
      <c r="E251" s="1">
        <v>43.0893443508121</v>
      </c>
      <c r="F251" s="1">
        <f t="shared" si="7"/>
        <v>45.1987469533995</v>
      </c>
    </row>
    <row r="252" spans="1:6">
      <c r="A252" t="s">
        <v>281</v>
      </c>
      <c r="B252" s="1">
        <v>1.08464931410493</v>
      </c>
      <c r="C252">
        <v>50</v>
      </c>
      <c r="D252" s="1">
        <f t="shared" si="6"/>
        <v>54.2324657052465</v>
      </c>
      <c r="E252" s="1">
        <v>42.6401029636448</v>
      </c>
      <c r="F252" s="1">
        <f t="shared" si="7"/>
        <v>46.249558432881</v>
      </c>
    </row>
    <row r="253" spans="1:6">
      <c r="A253" t="s">
        <v>282</v>
      </c>
      <c r="B253" s="1">
        <v>0.999953552372663</v>
      </c>
      <c r="C253">
        <v>37.5</v>
      </c>
      <c r="D253" s="1">
        <f t="shared" si="6"/>
        <v>37.4982582139749</v>
      </c>
      <c r="E253" s="1">
        <v>47.1797620410483</v>
      </c>
      <c r="F253" s="1">
        <f t="shared" si="7"/>
        <v>47.1775706530431</v>
      </c>
    </row>
    <row r="254" spans="1:6">
      <c r="A254" t="s">
        <v>283</v>
      </c>
      <c r="B254" s="1">
        <v>1.08464931410493</v>
      </c>
      <c r="C254">
        <v>62.5</v>
      </c>
      <c r="D254" s="1">
        <f t="shared" si="6"/>
        <v>67.7905821315581</v>
      </c>
      <c r="E254" s="1">
        <v>49.1356905653724</v>
      </c>
      <c r="F254" s="1">
        <f t="shared" si="7"/>
        <v>53.2949930698032</v>
      </c>
    </row>
    <row r="255" spans="1:6">
      <c r="A255" t="s">
        <v>284</v>
      </c>
      <c r="B255" s="1">
        <v>1.08464931410493</v>
      </c>
      <c r="C255">
        <v>37.5</v>
      </c>
      <c r="D255" s="1">
        <f t="shared" si="6"/>
        <v>40.6743492789349</v>
      </c>
      <c r="E255" s="1">
        <v>36.105930021265</v>
      </c>
      <c r="F255" s="1">
        <f t="shared" si="7"/>
        <v>39.1622722326857</v>
      </c>
    </row>
    <row r="256" spans="1:6">
      <c r="A256" t="s">
        <v>285</v>
      </c>
      <c r="B256" s="1">
        <v>1.08464931410493</v>
      </c>
      <c r="C256">
        <v>50</v>
      </c>
      <c r="D256" s="1">
        <f t="shared" si="6"/>
        <v>54.2324657052465</v>
      </c>
      <c r="E256" s="1">
        <v>9.09560007154061</v>
      </c>
      <c r="F256" s="1">
        <f t="shared" si="7"/>
        <v>9.86553637896927</v>
      </c>
    </row>
    <row r="257" spans="1:6">
      <c r="A257" t="s">
        <v>286</v>
      </c>
      <c r="B257" s="1">
        <v>1.05648530347012</v>
      </c>
      <c r="C257">
        <v>37.5</v>
      </c>
      <c r="D257" s="1">
        <f t="shared" si="6"/>
        <v>39.6181988801295</v>
      </c>
      <c r="E257" s="1">
        <v>39.2301675153931</v>
      </c>
      <c r="F257" s="1">
        <f t="shared" si="7"/>
        <v>41.4460954326838</v>
      </c>
    </row>
    <row r="258" spans="1:6">
      <c r="A258" t="s">
        <v>287</v>
      </c>
      <c r="B258" s="1">
        <v>1.0315058240544</v>
      </c>
      <c r="C258">
        <v>37.5</v>
      </c>
      <c r="D258" s="1">
        <f t="shared" si="6"/>
        <v>38.68146840204</v>
      </c>
      <c r="E258" s="1">
        <v>48.6214575638369</v>
      </c>
      <c r="F258" s="1">
        <f t="shared" si="7"/>
        <v>50.1533166511117</v>
      </c>
    </row>
    <row r="259" spans="1:6">
      <c r="A259" t="s">
        <v>288</v>
      </c>
      <c r="B259" s="1">
        <v>0.967780887189308</v>
      </c>
      <c r="C259">
        <v>37.5</v>
      </c>
      <c r="D259" s="1">
        <f t="shared" ref="D259:D298" si="8">B259*C259</f>
        <v>36.2917832695991</v>
      </c>
      <c r="E259" s="1">
        <v>53.2694644606033</v>
      </c>
      <c r="F259" s="1">
        <f t="shared" ref="F259:F298" si="9">B259*E259</f>
        <v>51.553169575782</v>
      </c>
    </row>
    <row r="260" spans="1:6">
      <c r="A260" t="s">
        <v>289</v>
      </c>
      <c r="B260" s="1">
        <v>1.08464931410493</v>
      </c>
      <c r="C260">
        <v>87.5</v>
      </c>
      <c r="D260" s="1">
        <f t="shared" si="8"/>
        <v>94.9068149841814</v>
      </c>
      <c r="E260" s="1">
        <v>40.9815879615868</v>
      </c>
      <c r="F260" s="1">
        <f t="shared" si="9"/>
        <v>44.450651273466</v>
      </c>
    </row>
    <row r="261" spans="1:6">
      <c r="A261" t="s">
        <v>290</v>
      </c>
      <c r="B261" s="1">
        <v>0.918819295330646</v>
      </c>
      <c r="C261">
        <v>50</v>
      </c>
      <c r="D261" s="1">
        <f t="shared" si="8"/>
        <v>45.9409647665323</v>
      </c>
      <c r="E261" s="1">
        <v>80.4394457491689</v>
      </c>
      <c r="F261" s="1">
        <f t="shared" si="9"/>
        <v>73.9093148600391</v>
      </c>
    </row>
    <row r="262" spans="1:6">
      <c r="A262" t="s">
        <v>291</v>
      </c>
      <c r="B262" s="1">
        <v>1.08464931410493</v>
      </c>
      <c r="C262">
        <v>37.5</v>
      </c>
      <c r="D262" s="1">
        <f t="shared" si="8"/>
        <v>40.6743492789349</v>
      </c>
      <c r="E262" s="1">
        <v>40.4836560845516</v>
      </c>
      <c r="F262" s="1">
        <f t="shared" si="9"/>
        <v>43.9105698045687</v>
      </c>
    </row>
    <row r="263" spans="1:6">
      <c r="A263" t="s">
        <v>292</v>
      </c>
      <c r="B263" s="1">
        <v>1.01031310382165</v>
      </c>
      <c r="C263">
        <v>62.5</v>
      </c>
      <c r="D263" s="1">
        <f t="shared" si="8"/>
        <v>63.1445689888531</v>
      </c>
      <c r="E263" s="1">
        <v>53.9114731248667</v>
      </c>
      <c r="F263" s="1">
        <f t="shared" si="9"/>
        <v>54.4674677443816</v>
      </c>
    </row>
    <row r="264" spans="1:6">
      <c r="A264" t="s">
        <v>293</v>
      </c>
      <c r="B264" s="1">
        <v>1.02914429018568</v>
      </c>
      <c r="C264">
        <v>37.5</v>
      </c>
      <c r="D264" s="1">
        <f t="shared" si="8"/>
        <v>38.592910881963</v>
      </c>
      <c r="E264" s="1">
        <v>66.0637880934387</v>
      </c>
      <c r="F264" s="1">
        <f t="shared" si="9"/>
        <v>67.9891703043991</v>
      </c>
    </row>
    <row r="265" spans="1:6">
      <c r="A265" t="s">
        <v>294</v>
      </c>
      <c r="B265" s="1">
        <v>1.03437565742131</v>
      </c>
      <c r="C265">
        <v>12.5</v>
      </c>
      <c r="D265" s="1">
        <f t="shared" si="8"/>
        <v>12.9296957177664</v>
      </c>
      <c r="E265" s="1">
        <v>42.6831300380881</v>
      </c>
      <c r="F265" s="1">
        <f t="shared" si="9"/>
        <v>44.1503906939466</v>
      </c>
    </row>
    <row r="266" spans="1:6">
      <c r="A266" t="s">
        <v>295</v>
      </c>
      <c r="B266" s="1">
        <v>1.08464931410493</v>
      </c>
      <c r="C266">
        <v>62.5</v>
      </c>
      <c r="D266" s="1">
        <f t="shared" si="8"/>
        <v>67.7905821315581</v>
      </c>
      <c r="E266" s="1">
        <v>32.0287254283313</v>
      </c>
      <c r="F266" s="1">
        <f t="shared" si="9"/>
        <v>34.7399350674947</v>
      </c>
    </row>
    <row r="267" spans="1:6">
      <c r="A267" t="s">
        <v>296</v>
      </c>
      <c r="B267" s="1">
        <v>0.932259130173004</v>
      </c>
      <c r="C267">
        <v>25</v>
      </c>
      <c r="D267" s="1">
        <f t="shared" si="8"/>
        <v>23.3064782543251</v>
      </c>
      <c r="E267" s="1">
        <v>58.8412396082332</v>
      </c>
      <c r="F267" s="1">
        <f t="shared" si="9"/>
        <v>54.8552828554728</v>
      </c>
    </row>
    <row r="268" spans="1:6">
      <c r="A268" t="s">
        <v>297</v>
      </c>
      <c r="B268" s="1">
        <v>1.01703422598791</v>
      </c>
      <c r="C268">
        <v>87.5</v>
      </c>
      <c r="D268" s="1">
        <f t="shared" si="8"/>
        <v>88.9904947739421</v>
      </c>
      <c r="E268" s="1">
        <v>73.1280467713162</v>
      </c>
      <c r="F268" s="1">
        <f t="shared" si="9"/>
        <v>74.3737264460732</v>
      </c>
    </row>
    <row r="269" spans="1:6">
      <c r="A269" t="s">
        <v>298</v>
      </c>
      <c r="B269" s="1">
        <v>0.978373614948242</v>
      </c>
      <c r="C269">
        <v>25</v>
      </c>
      <c r="D269" s="1">
        <f t="shared" si="8"/>
        <v>24.4593403737061</v>
      </c>
      <c r="E269" s="1">
        <v>58.7153703373169</v>
      </c>
      <c r="F269" s="1">
        <f t="shared" si="9"/>
        <v>57.4455691299456</v>
      </c>
    </row>
    <row r="270" spans="1:6">
      <c r="A270" t="s">
        <v>299</v>
      </c>
      <c r="B270" s="1">
        <v>1.06044909868805</v>
      </c>
      <c r="C270">
        <v>37.5</v>
      </c>
      <c r="D270" s="1">
        <f t="shared" si="8"/>
        <v>39.7668412008019</v>
      </c>
      <c r="E270" s="1">
        <v>38.4884685833531</v>
      </c>
      <c r="F270" s="1">
        <f t="shared" si="9"/>
        <v>40.8150618191001</v>
      </c>
    </row>
    <row r="271" spans="1:6">
      <c r="A271" t="s">
        <v>300</v>
      </c>
      <c r="B271" s="1">
        <v>1.08464931410493</v>
      </c>
      <c r="C271">
        <v>50</v>
      </c>
      <c r="D271" s="1">
        <f t="shared" si="8"/>
        <v>54.2324657052465</v>
      </c>
      <c r="E271" s="1">
        <v>23.5775173478809</v>
      </c>
      <c r="F271" s="1">
        <f t="shared" si="9"/>
        <v>25.5733380196761</v>
      </c>
    </row>
    <row r="272" spans="1:6">
      <c r="A272" t="s">
        <v>301</v>
      </c>
      <c r="B272" s="1">
        <v>1.08464931410493</v>
      </c>
      <c r="C272">
        <v>87.5</v>
      </c>
      <c r="D272" s="1">
        <f t="shared" si="8"/>
        <v>94.9068149841814</v>
      </c>
      <c r="E272" s="1">
        <v>40.1222437496594</v>
      </c>
      <c r="F272" s="1">
        <f t="shared" si="9"/>
        <v>43.5185641634189</v>
      </c>
    </row>
    <row r="273" spans="1:6">
      <c r="A273" t="s">
        <v>302</v>
      </c>
      <c r="B273" s="1">
        <v>1.00965673304542</v>
      </c>
      <c r="C273">
        <v>87.5</v>
      </c>
      <c r="D273" s="1">
        <f t="shared" si="8"/>
        <v>88.3449641414743</v>
      </c>
      <c r="E273" s="1">
        <v>57.1113803988365</v>
      </c>
      <c r="F273" s="1">
        <f t="shared" si="9"/>
        <v>57.6628897532035</v>
      </c>
    </row>
    <row r="274" spans="1:6">
      <c r="A274" t="s">
        <v>303</v>
      </c>
      <c r="B274" s="1">
        <v>1.01921725695002</v>
      </c>
      <c r="C274">
        <v>50</v>
      </c>
      <c r="D274" s="1">
        <f t="shared" si="8"/>
        <v>50.960862847501</v>
      </c>
      <c r="E274" s="1">
        <v>64.2838458177893</v>
      </c>
      <c r="F274" s="1">
        <f t="shared" si="9"/>
        <v>65.5192050006052</v>
      </c>
    </row>
    <row r="275" spans="1:6">
      <c r="A275" t="s">
        <v>304</v>
      </c>
      <c r="B275" s="1">
        <v>0.996572438784167</v>
      </c>
      <c r="C275">
        <v>25</v>
      </c>
      <c r="D275" s="1">
        <f t="shared" si="8"/>
        <v>24.9143109696042</v>
      </c>
      <c r="E275" s="1">
        <v>36.6268008953191</v>
      </c>
      <c r="F275" s="1">
        <f t="shared" si="9"/>
        <v>36.5012602931102</v>
      </c>
    </row>
    <row r="276" spans="1:6">
      <c r="A276" t="s">
        <v>305</v>
      </c>
      <c r="B276" s="1">
        <v>1.00282105586589</v>
      </c>
      <c r="C276">
        <v>87.5</v>
      </c>
      <c r="D276" s="1">
        <f t="shared" si="8"/>
        <v>87.7468423882654</v>
      </c>
      <c r="E276" s="1">
        <v>59.4397643090167</v>
      </c>
      <c r="F276" s="1">
        <f t="shared" si="9"/>
        <v>59.6074472047878</v>
      </c>
    </row>
    <row r="277" spans="1:6">
      <c r="A277" t="s">
        <v>306</v>
      </c>
      <c r="B277" s="1">
        <v>1.08464931410493</v>
      </c>
      <c r="C277">
        <v>37.5</v>
      </c>
      <c r="D277" s="1">
        <f t="shared" si="8"/>
        <v>40.6743492789349</v>
      </c>
      <c r="E277" s="1">
        <v>44.0881889779929</v>
      </c>
      <c r="F277" s="1">
        <f t="shared" si="9"/>
        <v>47.8202239351085</v>
      </c>
    </row>
    <row r="278" spans="1:6">
      <c r="A278" t="s">
        <v>307</v>
      </c>
      <c r="B278" s="1">
        <v>0.985462457542787</v>
      </c>
      <c r="C278">
        <v>12.5</v>
      </c>
      <c r="D278" s="1">
        <f t="shared" si="8"/>
        <v>12.3182807192848</v>
      </c>
      <c r="E278" s="1">
        <v>42.5688972170149</v>
      </c>
      <c r="F278" s="1">
        <f t="shared" si="9"/>
        <v>41.9500500663658</v>
      </c>
    </row>
    <row r="279" spans="1:6">
      <c r="A279" t="s">
        <v>308</v>
      </c>
      <c r="B279" s="1">
        <v>1.01758767972203</v>
      </c>
      <c r="C279">
        <v>37.5</v>
      </c>
      <c r="D279" s="1">
        <f t="shared" si="8"/>
        <v>38.1595379895761</v>
      </c>
      <c r="E279" s="1">
        <v>52.7617977368072</v>
      </c>
      <c r="F279" s="1">
        <f t="shared" si="9"/>
        <v>53.6897553369607</v>
      </c>
    </row>
    <row r="280" spans="1:6">
      <c r="A280" t="s">
        <v>309</v>
      </c>
      <c r="B280" s="1">
        <v>0.918819295330646</v>
      </c>
      <c r="C280">
        <v>50</v>
      </c>
      <c r="D280" s="1">
        <f t="shared" si="8"/>
        <v>45.9409647665323</v>
      </c>
      <c r="E280" s="1">
        <v>56.8951566715116</v>
      </c>
      <c r="F280" s="1">
        <f t="shared" si="9"/>
        <v>52.276367760645</v>
      </c>
    </row>
    <row r="281" spans="1:6">
      <c r="A281" t="s">
        <v>310</v>
      </c>
      <c r="B281" s="1">
        <v>1.02243965165378</v>
      </c>
      <c r="C281">
        <v>75</v>
      </c>
      <c r="D281" s="1">
        <f t="shared" si="8"/>
        <v>76.6829738740335</v>
      </c>
      <c r="E281" s="1">
        <v>60.497112539783</v>
      </c>
      <c r="F281" s="1">
        <f t="shared" si="9"/>
        <v>61.8546466712352</v>
      </c>
    </row>
    <row r="282" spans="1:6">
      <c r="A282" t="s">
        <v>311</v>
      </c>
      <c r="B282" s="1">
        <v>0.998001134925212</v>
      </c>
      <c r="C282">
        <v>75</v>
      </c>
      <c r="D282" s="1">
        <f t="shared" si="8"/>
        <v>74.8500851193909</v>
      </c>
      <c r="E282" s="1">
        <v>37.4809528165575</v>
      </c>
      <c r="F282" s="1">
        <f t="shared" si="9"/>
        <v>37.4060334490027</v>
      </c>
    </row>
    <row r="283" spans="1:6">
      <c r="A283" t="s">
        <v>312</v>
      </c>
      <c r="B283" s="1">
        <v>1.01558554372646</v>
      </c>
      <c r="C283">
        <v>75</v>
      </c>
      <c r="D283" s="1">
        <f t="shared" si="8"/>
        <v>76.1689157794845</v>
      </c>
      <c r="E283" s="1">
        <v>40.9695615701034</v>
      </c>
      <c r="F283" s="1">
        <f t="shared" si="9"/>
        <v>41.6080944634082</v>
      </c>
    </row>
    <row r="284" spans="1:6">
      <c r="A284" t="s">
        <v>313</v>
      </c>
      <c r="B284" s="1">
        <v>1.03747347470657</v>
      </c>
      <c r="C284">
        <v>50</v>
      </c>
      <c r="D284" s="1">
        <f t="shared" si="8"/>
        <v>51.8736737353285</v>
      </c>
      <c r="E284" s="1">
        <v>79.1247709969492</v>
      </c>
      <c r="F284" s="1">
        <f t="shared" si="9"/>
        <v>82.0898511015665</v>
      </c>
    </row>
    <row r="285" spans="1:6">
      <c r="A285" t="s">
        <v>314</v>
      </c>
      <c r="B285" s="1">
        <v>0.95435562258978</v>
      </c>
      <c r="C285">
        <v>0</v>
      </c>
      <c r="D285" s="1">
        <f t="shared" si="8"/>
        <v>0</v>
      </c>
      <c r="E285" s="1">
        <v>95.9172958923153</v>
      </c>
      <c r="F285" s="1">
        <f t="shared" si="9"/>
        <v>91.5392106384387</v>
      </c>
    </row>
    <row r="286" spans="1:6">
      <c r="A286" t="s">
        <v>315</v>
      </c>
      <c r="B286" s="1">
        <v>0.969341771235424</v>
      </c>
      <c r="C286">
        <v>75</v>
      </c>
      <c r="D286" s="1">
        <f t="shared" si="8"/>
        <v>72.7006328426568</v>
      </c>
      <c r="E286" s="1">
        <v>91.1469439470404</v>
      </c>
      <c r="F286" s="1">
        <f t="shared" si="9"/>
        <v>88.35254008832</v>
      </c>
    </row>
    <row r="287" spans="1:6">
      <c r="A287" t="s">
        <v>316</v>
      </c>
      <c r="B287" s="1">
        <v>1.08464931410493</v>
      </c>
      <c r="C287">
        <v>50</v>
      </c>
      <c r="D287" s="1">
        <f t="shared" si="8"/>
        <v>54.2324657052465</v>
      </c>
      <c r="E287" s="1">
        <v>8.70277508520509</v>
      </c>
      <c r="F287" s="1">
        <f t="shared" si="9"/>
        <v>9.43945902697717</v>
      </c>
    </row>
    <row r="288" spans="1:6">
      <c r="A288" t="s">
        <v>317</v>
      </c>
      <c r="B288" s="1">
        <v>1.01460096954099</v>
      </c>
      <c r="C288">
        <v>50</v>
      </c>
      <c r="D288" s="1">
        <f t="shared" si="8"/>
        <v>50.7300484770495</v>
      </c>
      <c r="E288" s="1">
        <v>39.8795653749306</v>
      </c>
      <c r="F288" s="1">
        <f t="shared" si="9"/>
        <v>40.4618456942779</v>
      </c>
    </row>
    <row r="289" spans="1:6">
      <c r="A289" t="s">
        <v>318</v>
      </c>
      <c r="B289" s="1">
        <v>0.957981529077856</v>
      </c>
      <c r="C289">
        <v>37.5</v>
      </c>
      <c r="D289" s="1">
        <f t="shared" si="8"/>
        <v>35.9243073404196</v>
      </c>
      <c r="E289" s="1">
        <v>48.3377367055406</v>
      </c>
      <c r="F289" s="1">
        <f t="shared" si="9"/>
        <v>46.3066589213365</v>
      </c>
    </row>
    <row r="290" spans="1:6">
      <c r="A290" t="s">
        <v>319</v>
      </c>
      <c r="B290" s="1">
        <v>1.08464931410493</v>
      </c>
      <c r="C290">
        <v>50</v>
      </c>
      <c r="D290" s="1">
        <f t="shared" si="8"/>
        <v>54.2324657052465</v>
      </c>
      <c r="E290" s="1">
        <v>21.3718363963265</v>
      </c>
      <c r="F290" s="1">
        <f t="shared" si="9"/>
        <v>23.1809476884383</v>
      </c>
    </row>
    <row r="291" spans="1:6">
      <c r="A291" t="s">
        <v>320</v>
      </c>
      <c r="B291" s="1">
        <v>0.931430256851333</v>
      </c>
      <c r="C291">
        <v>37.5</v>
      </c>
      <c r="D291" s="1">
        <f t="shared" si="8"/>
        <v>34.928634631925</v>
      </c>
      <c r="E291" s="1">
        <v>92.9122831534447</v>
      </c>
      <c r="F291" s="1">
        <f t="shared" si="9"/>
        <v>86.5413117622567</v>
      </c>
    </row>
    <row r="292" spans="1:6">
      <c r="A292" t="s">
        <v>321</v>
      </c>
      <c r="B292" s="1">
        <v>0.923931487443337</v>
      </c>
      <c r="C292">
        <v>25</v>
      </c>
      <c r="D292" s="1">
        <f t="shared" si="8"/>
        <v>23.0982871860834</v>
      </c>
      <c r="E292" s="1">
        <v>57.8897722949841</v>
      </c>
      <c r="F292" s="1">
        <f t="shared" si="9"/>
        <v>53.4861834242607</v>
      </c>
    </row>
    <row r="293" spans="1:6">
      <c r="A293" t="s">
        <v>322</v>
      </c>
      <c r="B293" s="1">
        <v>0.918819295330646</v>
      </c>
      <c r="C293">
        <v>37.5</v>
      </c>
      <c r="D293" s="1">
        <f t="shared" si="8"/>
        <v>34.4557235748992</v>
      </c>
      <c r="E293" s="1">
        <v>96.846134516567</v>
      </c>
      <c r="F293" s="1">
        <f t="shared" si="9"/>
        <v>88.9840970720091</v>
      </c>
    </row>
    <row r="294" spans="1:6">
      <c r="A294" t="s">
        <v>323</v>
      </c>
      <c r="B294" s="1">
        <v>1.07811211531832</v>
      </c>
      <c r="C294">
        <v>50</v>
      </c>
      <c r="D294" s="1">
        <f t="shared" si="8"/>
        <v>53.905605765916</v>
      </c>
      <c r="E294" s="1">
        <v>22.6873370328333</v>
      </c>
      <c r="F294" s="1">
        <f t="shared" si="9"/>
        <v>24.4594929194076</v>
      </c>
    </row>
    <row r="295" spans="1:6">
      <c r="A295" t="s">
        <v>324</v>
      </c>
      <c r="B295" s="1">
        <v>1.08464931410493</v>
      </c>
      <c r="C295">
        <v>0</v>
      </c>
      <c r="D295" s="1">
        <f t="shared" si="8"/>
        <v>0</v>
      </c>
      <c r="E295" s="1">
        <v>82.4687451814208</v>
      </c>
      <c r="F295" s="1">
        <f t="shared" si="9"/>
        <v>89.4496678961223</v>
      </c>
    </row>
    <row r="296" spans="1:6">
      <c r="A296" t="s">
        <v>325</v>
      </c>
      <c r="B296" s="1">
        <v>0.918819295330646</v>
      </c>
      <c r="C296">
        <v>37.5</v>
      </c>
      <c r="D296" s="1">
        <f t="shared" si="8"/>
        <v>34.4557235748992</v>
      </c>
      <c r="E296" s="1">
        <v>100</v>
      </c>
      <c r="F296" s="1">
        <f t="shared" si="9"/>
        <v>91.8819295330646</v>
      </c>
    </row>
    <row r="297" spans="1:6">
      <c r="A297" t="s">
        <v>326</v>
      </c>
      <c r="B297" s="1">
        <v>1.06161764720559</v>
      </c>
      <c r="C297">
        <v>25</v>
      </c>
      <c r="D297" s="1">
        <f t="shared" si="8"/>
        <v>26.5404411801398</v>
      </c>
      <c r="E297" s="1">
        <v>68.545409891388</v>
      </c>
      <c r="F297" s="1">
        <f t="shared" si="9"/>
        <v>72.7690167756381</v>
      </c>
    </row>
    <row r="298" spans="1:6">
      <c r="A298" t="s">
        <v>327</v>
      </c>
      <c r="B298" s="1">
        <v>0.996250288660469</v>
      </c>
      <c r="C298">
        <v>37.5</v>
      </c>
      <c r="D298" s="1">
        <f t="shared" si="8"/>
        <v>37.3593858247676</v>
      </c>
      <c r="E298" s="1">
        <v>81.6351067784632</v>
      </c>
      <c r="F298" s="1">
        <f t="shared" si="9"/>
        <v>81.3289986928721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得分变量数据</vt:lpstr>
      <vt:lpstr>修正系数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908</dc:creator>
  <cp:lastModifiedBy>908</cp:lastModifiedBy>
  <dcterms:created xsi:type="dcterms:W3CDTF">2023-08-17T01:10:00Z</dcterms:created>
  <dcterms:modified xsi:type="dcterms:W3CDTF">2023-08-23T08:17:29Z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B9F33713684D48C895BD7A3F4FEA1024_11</vt:lpwstr>
  </property>
  <property fmtid="{D5CDD505-2E9C-101B-9397-08002B2CF9AE}" pid="3" name="KSOProductBuildVer">
    <vt:lpwstr>2052-12.1.0.15355</vt:lpwstr>
  </property>
</Properties>
</file>