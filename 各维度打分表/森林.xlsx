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onedrive\OneDrive - zju.edu.cn\工作\浙大城院\文字材料\蓝皮书2.0\可视化图片素材\各维度打分表\"/>
    </mc:Choice>
  </mc:AlternateContent>
  <xr:revisionPtr revIDLastSave="0" documentId="13_ncr:1_{9D328A20-77CC-44F1-BFB7-BF324D0F5591}" xr6:coauthVersionLast="47" xr6:coauthVersionMax="47" xr10:uidLastSave="{00000000-0000-0000-0000-000000000000}"/>
  <bookViews>
    <workbookView xWindow="-30828" yWindow="-108" windowWidth="30936" windowHeight="16776" tabRatio="965" xr2:uid="{00000000-000D-0000-FFFF-FFFF00000000}"/>
  </bookViews>
  <sheets>
    <sheet name="森林得分" sheetId="23" r:id="rId1"/>
    <sheet name="1.0 排序" sheetId="30" r:id="rId2"/>
    <sheet name="森林排序" sheetId="24" r:id="rId3"/>
    <sheet name="Top 25%" sheetId="27" r:id="rId4"/>
    <sheet name="上下四分之间" sheetId="28" r:id="rId5"/>
    <sheet name="Last 25%" sheetId="29" r:id="rId6"/>
    <sheet name="P" sheetId="11" r:id="rId7"/>
    <sheet name="I" sheetId="18" r:id="rId8"/>
    <sheet name="C" sheetId="15" r:id="rId9"/>
    <sheet name="O" sheetId="9" r:id="rId10"/>
    <sheet name="F" sheetId="16" r:id="rId11"/>
  </sheets>
  <externalReferences>
    <externalReference r:id="rId12"/>
    <externalReference r:id="rId13"/>
    <externalReference r:id="rId14"/>
  </externalReferences>
  <definedNames>
    <definedName name="_xlnm._FilterDatabase" localSheetId="1" hidden="1">'1.0 排序'!$M$1:$M$38</definedName>
    <definedName name="_xlnm._FilterDatabase" localSheetId="8" hidden="1">'C'!$E$1:$E$300</definedName>
    <definedName name="_xlnm._FilterDatabase" localSheetId="10" hidden="1">F!$E$1:$E$300</definedName>
    <definedName name="_xlnm._FilterDatabase" localSheetId="7" hidden="1">I!$F$1:$F$300</definedName>
    <definedName name="_xlnm._FilterDatabase" localSheetId="9" hidden="1">O!#REF!</definedName>
    <definedName name="_xlnm._FilterDatabase" localSheetId="3" hidden="1">'Top 25%'!$H$31:$L$35</definedName>
    <definedName name="_xlnm._FilterDatabase" localSheetId="0" hidden="1">森林得分!$F$1:$F$299</definedName>
    <definedName name="_xlnm._FilterDatabase" localSheetId="2" hidden="1">森林排序!$M$1:$M$299</definedName>
    <definedName name="_xlchart.v1.0" hidden="1">森林排序!$M$3:$M$298</definedName>
    <definedName name="_xlchart.v1.1" hidden="1">森林排序!$B$2:$B$298</definedName>
    <definedName name="_xlchart.v1.2" hidden="1">森林排序!$C$2:$C$298</definedName>
    <definedName name="_xlchart.v1.3" hidden="1">森林排序!$D$2:$D$298</definedName>
    <definedName name="_xlchart.v1.4" hidden="1">森林排序!$E$2:$E$298</definedName>
    <definedName name="_xlchart.v1.5" hidden="1">森林排序!$F$2:$F$298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3" l="1"/>
  <c r="A150" i="28" l="1"/>
  <c r="O76" i="27"/>
  <c r="A77" i="27"/>
  <c r="D238" i="15" l="1"/>
  <c r="D223" i="15"/>
  <c r="D183" i="15"/>
  <c r="D102" i="15"/>
  <c r="D96" i="15"/>
  <c r="C238" i="15"/>
  <c r="C223" i="15"/>
  <c r="C183" i="15"/>
  <c r="C102" i="15"/>
  <c r="C96" i="15"/>
  <c r="B238" i="15"/>
  <c r="B223" i="15"/>
  <c r="B183" i="15"/>
  <c r="B102" i="15"/>
  <c r="B96" i="15"/>
  <c r="D62" i="15"/>
  <c r="C62" i="15"/>
  <c r="B62" i="15"/>
  <c r="E223" i="18"/>
  <c r="E183" i="18"/>
  <c r="E96" i="18"/>
  <c r="D223" i="18"/>
  <c r="D183" i="18"/>
  <c r="D96" i="18"/>
  <c r="C223" i="18"/>
  <c r="C183" i="18"/>
  <c r="C96" i="18"/>
  <c r="E62" i="18"/>
  <c r="D62" i="18"/>
  <c r="C62" i="18"/>
  <c r="B223" i="18"/>
  <c r="B183" i="18"/>
  <c r="B96" i="18"/>
  <c r="B62" i="18"/>
  <c r="D279" i="16"/>
  <c r="D267" i="16"/>
  <c r="D258" i="16"/>
  <c r="D253" i="16"/>
  <c r="D249" i="16"/>
  <c r="D197" i="16"/>
  <c r="D172" i="16"/>
  <c r="D99" i="16"/>
  <c r="D62" i="16"/>
  <c r="C279" i="16"/>
  <c r="C267" i="16"/>
  <c r="C258" i="16"/>
  <c r="C253" i="16"/>
  <c r="C249" i="16"/>
  <c r="C197" i="16"/>
  <c r="C172" i="16"/>
  <c r="C99" i="16"/>
  <c r="C62" i="16"/>
  <c r="D53" i="16"/>
  <c r="C53" i="16"/>
  <c r="B279" i="16"/>
  <c r="B267" i="16"/>
  <c r="B258" i="16"/>
  <c r="B253" i="16"/>
  <c r="B249" i="16"/>
  <c r="B197" i="16"/>
  <c r="B172" i="16"/>
  <c r="B99" i="16"/>
  <c r="B62" i="16"/>
  <c r="B53" i="16"/>
  <c r="O3" i="29" l="1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2" i="29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2" i="28"/>
  <c r="O3" i="27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3" i="27"/>
  <c r="O74" i="27"/>
  <c r="O75" i="27"/>
  <c r="O2" i="27"/>
  <c r="Q4" i="30" l="1"/>
  <c r="Q5" i="30"/>
  <c r="Q7" i="30"/>
  <c r="Q10" i="30"/>
  <c r="Q20" i="30"/>
  <c r="Q21" i="30"/>
  <c r="Q23" i="30"/>
  <c r="Q26" i="30"/>
  <c r="Q36" i="30"/>
  <c r="Q37" i="30"/>
  <c r="O3" i="30"/>
  <c r="Q3" i="30" s="1"/>
  <c r="O4" i="30"/>
  <c r="O5" i="30"/>
  <c r="O6" i="30"/>
  <c r="Q6" i="30" s="1"/>
  <c r="O7" i="30"/>
  <c r="O8" i="30"/>
  <c r="Q8" i="30" s="1"/>
  <c r="O9" i="30"/>
  <c r="Q9" i="30" s="1"/>
  <c r="O10" i="30"/>
  <c r="O11" i="30"/>
  <c r="Q11" i="30" s="1"/>
  <c r="O12" i="30"/>
  <c r="Q12" i="30" s="1"/>
  <c r="O13" i="30"/>
  <c r="Q13" i="30" s="1"/>
  <c r="O14" i="30"/>
  <c r="Q14" i="30" s="1"/>
  <c r="O15" i="30"/>
  <c r="Q15" i="30" s="1"/>
  <c r="O16" i="30"/>
  <c r="Q16" i="30" s="1"/>
  <c r="O17" i="30"/>
  <c r="Q17" i="30" s="1"/>
  <c r="O18" i="30"/>
  <c r="Q18" i="30" s="1"/>
  <c r="O19" i="30"/>
  <c r="Q19" i="30" s="1"/>
  <c r="O20" i="30"/>
  <c r="O21" i="30"/>
  <c r="O22" i="30"/>
  <c r="Q22" i="30" s="1"/>
  <c r="O23" i="30"/>
  <c r="O24" i="30"/>
  <c r="Q24" i="30" s="1"/>
  <c r="O25" i="30"/>
  <c r="Q25" i="30" s="1"/>
  <c r="O26" i="30"/>
  <c r="O27" i="30"/>
  <c r="Q27" i="30" s="1"/>
  <c r="O28" i="30"/>
  <c r="Q28" i="30" s="1"/>
  <c r="O29" i="30"/>
  <c r="Q29" i="30" s="1"/>
  <c r="O30" i="30"/>
  <c r="Q30" i="30" s="1"/>
  <c r="O31" i="30"/>
  <c r="Q31" i="30" s="1"/>
  <c r="O32" i="30"/>
  <c r="Q32" i="30" s="1"/>
  <c r="O33" i="30"/>
  <c r="Q33" i="30" s="1"/>
  <c r="O34" i="30"/>
  <c r="Q34" i="30" s="1"/>
  <c r="O35" i="30"/>
  <c r="Q35" i="30" s="1"/>
  <c r="O36" i="30"/>
  <c r="O37" i="30"/>
  <c r="O2" i="30"/>
  <c r="Q2" i="30" s="1"/>
  <c r="A75" i="29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89" i="23"/>
  <c r="M290" i="23"/>
  <c r="M291" i="23"/>
  <c r="M292" i="23"/>
  <c r="M293" i="23"/>
  <c r="M294" i="23"/>
  <c r="M296" i="23"/>
  <c r="M297" i="23"/>
  <c r="M298" i="23"/>
  <c r="M299" i="23"/>
  <c r="O4" i="23"/>
  <c r="O5" i="23"/>
  <c r="O6" i="23"/>
  <c r="O7" i="23"/>
  <c r="O8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O61" i="23"/>
  <c r="O62" i="23"/>
  <c r="O63" i="23"/>
  <c r="O64" i="23"/>
  <c r="O65" i="23"/>
  <c r="O66" i="23"/>
  <c r="O67" i="23"/>
  <c r="O68" i="23"/>
  <c r="O69" i="23"/>
  <c r="O70" i="23"/>
  <c r="O71" i="23"/>
  <c r="O72" i="23"/>
  <c r="O73" i="23"/>
  <c r="O74" i="23"/>
  <c r="O75" i="23"/>
  <c r="O76" i="23"/>
  <c r="O77" i="23"/>
  <c r="O78" i="23"/>
  <c r="O79" i="23"/>
  <c r="O80" i="23"/>
  <c r="O81" i="23"/>
  <c r="O82" i="23"/>
  <c r="O83" i="23"/>
  <c r="O84" i="23"/>
  <c r="O85" i="23"/>
  <c r="O86" i="23"/>
  <c r="O87" i="23"/>
  <c r="O88" i="23"/>
  <c r="O89" i="23"/>
  <c r="O90" i="23"/>
  <c r="O91" i="23"/>
  <c r="O92" i="23"/>
  <c r="O93" i="23"/>
  <c r="O94" i="23"/>
  <c r="O95" i="23"/>
  <c r="O96" i="23"/>
  <c r="O97" i="23"/>
  <c r="O98" i="23"/>
  <c r="O99" i="23"/>
  <c r="O100" i="23"/>
  <c r="O101" i="23"/>
  <c r="O102" i="23"/>
  <c r="O103" i="23"/>
  <c r="O104" i="23"/>
  <c r="O105" i="23"/>
  <c r="O106" i="23"/>
  <c r="O107" i="23"/>
  <c r="O108" i="23"/>
  <c r="O109" i="23"/>
  <c r="O110" i="23"/>
  <c r="O111" i="23"/>
  <c r="O112" i="23"/>
  <c r="O113" i="23"/>
  <c r="O114" i="23"/>
  <c r="O115" i="23"/>
  <c r="O116" i="23"/>
  <c r="O117" i="23"/>
  <c r="O118" i="23"/>
  <c r="O119" i="23"/>
  <c r="O120" i="23"/>
  <c r="O121" i="23"/>
  <c r="O122" i="23"/>
  <c r="O123" i="23"/>
  <c r="O124" i="23"/>
  <c r="O125" i="23"/>
  <c r="O126" i="23"/>
  <c r="O127" i="23"/>
  <c r="O128" i="23"/>
  <c r="O129" i="23"/>
  <c r="O130" i="23"/>
  <c r="O131" i="23"/>
  <c r="O132" i="23"/>
  <c r="O133" i="23"/>
  <c r="O134" i="23"/>
  <c r="O135" i="23"/>
  <c r="O136" i="23"/>
  <c r="O137" i="23"/>
  <c r="O138" i="23"/>
  <c r="O139" i="23"/>
  <c r="O140" i="23"/>
  <c r="O141" i="23"/>
  <c r="O142" i="23"/>
  <c r="O143" i="23"/>
  <c r="O144" i="23"/>
  <c r="O145" i="23"/>
  <c r="O146" i="23"/>
  <c r="O147" i="23"/>
  <c r="O148" i="23"/>
  <c r="O149" i="23"/>
  <c r="O150" i="23"/>
  <c r="O151" i="23"/>
  <c r="O152" i="23"/>
  <c r="O153" i="23"/>
  <c r="O154" i="23"/>
  <c r="O155" i="23"/>
  <c r="O156" i="23"/>
  <c r="O157" i="23"/>
  <c r="O158" i="23"/>
  <c r="O159" i="23"/>
  <c r="O160" i="23"/>
  <c r="O161" i="23"/>
  <c r="O162" i="23"/>
  <c r="O163" i="23"/>
  <c r="O164" i="23"/>
  <c r="O165" i="23"/>
  <c r="O166" i="23"/>
  <c r="O167" i="23"/>
  <c r="O168" i="23"/>
  <c r="O169" i="23"/>
  <c r="O170" i="23"/>
  <c r="O171" i="23"/>
  <c r="O172" i="23"/>
  <c r="O173" i="23"/>
  <c r="O174" i="23"/>
  <c r="O175" i="23"/>
  <c r="O176" i="23"/>
  <c r="O177" i="23"/>
  <c r="O178" i="23"/>
  <c r="O179" i="23"/>
  <c r="O180" i="23"/>
  <c r="O181" i="23"/>
  <c r="O182" i="23"/>
  <c r="O183" i="23"/>
  <c r="O184" i="23"/>
  <c r="O185" i="23"/>
  <c r="O186" i="23"/>
  <c r="O187" i="23"/>
  <c r="O188" i="23"/>
  <c r="O189" i="23"/>
  <c r="O190" i="23"/>
  <c r="O191" i="23"/>
  <c r="O192" i="23"/>
  <c r="O193" i="23"/>
  <c r="O194" i="23"/>
  <c r="O195" i="23"/>
  <c r="O196" i="23"/>
  <c r="O197" i="23"/>
  <c r="O198" i="23"/>
  <c r="O199" i="23"/>
  <c r="O200" i="23"/>
  <c r="O201" i="23"/>
  <c r="O202" i="23"/>
  <c r="O203" i="23"/>
  <c r="O204" i="23"/>
  <c r="O205" i="23"/>
  <c r="O206" i="23"/>
  <c r="O207" i="23"/>
  <c r="O208" i="23"/>
  <c r="O209" i="23"/>
  <c r="O210" i="23"/>
  <c r="O211" i="23"/>
  <c r="O212" i="23"/>
  <c r="O213" i="23"/>
  <c r="O214" i="23"/>
  <c r="O215" i="23"/>
  <c r="O216" i="23"/>
  <c r="O217" i="23"/>
  <c r="O218" i="23"/>
  <c r="O219" i="23"/>
  <c r="O220" i="23"/>
  <c r="O221" i="23"/>
  <c r="O222" i="23"/>
  <c r="O223" i="23"/>
  <c r="O224" i="23"/>
  <c r="O225" i="23"/>
  <c r="O226" i="23"/>
  <c r="O227" i="23"/>
  <c r="O228" i="23"/>
  <c r="O229" i="23"/>
  <c r="O230" i="23"/>
  <c r="O231" i="23"/>
  <c r="O232" i="23"/>
  <c r="O233" i="23"/>
  <c r="O234" i="23"/>
  <c r="O235" i="23"/>
  <c r="O236" i="23"/>
  <c r="O237" i="23"/>
  <c r="O238" i="23"/>
  <c r="O239" i="23"/>
  <c r="O240" i="23"/>
  <c r="O241" i="23"/>
  <c r="O242" i="23"/>
  <c r="O243" i="23"/>
  <c r="O244" i="23"/>
  <c r="O245" i="23"/>
  <c r="O246" i="23"/>
  <c r="O247" i="23"/>
  <c r="O248" i="23"/>
  <c r="O249" i="23"/>
  <c r="O250" i="23"/>
  <c r="O251" i="23"/>
  <c r="O252" i="23"/>
  <c r="O253" i="23"/>
  <c r="O254" i="23"/>
  <c r="O255" i="23"/>
  <c r="O256" i="23"/>
  <c r="O257" i="23"/>
  <c r="O258" i="23"/>
  <c r="O259" i="23"/>
  <c r="O260" i="23"/>
  <c r="O261" i="23"/>
  <c r="O262" i="23"/>
  <c r="O263" i="23"/>
  <c r="O264" i="23"/>
  <c r="O265" i="23"/>
  <c r="O266" i="23"/>
  <c r="O267" i="23"/>
  <c r="O268" i="23"/>
  <c r="O269" i="23"/>
  <c r="O270" i="23"/>
  <c r="O271" i="23"/>
  <c r="O272" i="23"/>
  <c r="O273" i="23"/>
  <c r="O274" i="23"/>
  <c r="O275" i="23"/>
  <c r="O276" i="23"/>
  <c r="O277" i="23"/>
  <c r="O278" i="23"/>
  <c r="O279" i="23"/>
  <c r="O280" i="23"/>
  <c r="O281" i="23"/>
  <c r="O282" i="23"/>
  <c r="O283" i="23"/>
  <c r="O284" i="23"/>
  <c r="O285" i="23"/>
  <c r="O286" i="23"/>
  <c r="O287" i="23"/>
  <c r="O288" i="23"/>
  <c r="O289" i="23"/>
  <c r="O290" i="23"/>
  <c r="O291" i="23"/>
  <c r="O292" i="23"/>
  <c r="O293" i="23"/>
  <c r="O294" i="23"/>
  <c r="O296" i="23"/>
  <c r="O297" i="23"/>
  <c r="O298" i="23"/>
  <c r="O299" i="23"/>
  <c r="O3" i="23"/>
  <c r="N4" i="23"/>
  <c r="N5" i="23"/>
  <c r="N6" i="23"/>
  <c r="N7" i="23"/>
  <c r="N8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N61" i="23"/>
  <c r="N62" i="23"/>
  <c r="N63" i="23"/>
  <c r="N64" i="23"/>
  <c r="N65" i="23"/>
  <c r="N66" i="23"/>
  <c r="N67" i="23"/>
  <c r="N68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83" i="23"/>
  <c r="N84" i="23"/>
  <c r="N85" i="23"/>
  <c r="N86" i="23"/>
  <c r="N87" i="23"/>
  <c r="N88" i="23"/>
  <c r="N89" i="23"/>
  <c r="N90" i="23"/>
  <c r="N91" i="23"/>
  <c r="N92" i="23"/>
  <c r="N93" i="23"/>
  <c r="N94" i="23"/>
  <c r="N95" i="23"/>
  <c r="N96" i="23"/>
  <c r="N97" i="23"/>
  <c r="N98" i="23"/>
  <c r="N99" i="23"/>
  <c r="N100" i="23"/>
  <c r="N101" i="23"/>
  <c r="N102" i="23"/>
  <c r="N103" i="23"/>
  <c r="N104" i="23"/>
  <c r="N105" i="23"/>
  <c r="N106" i="23"/>
  <c r="N107" i="23"/>
  <c r="N108" i="23"/>
  <c r="N109" i="23"/>
  <c r="N110" i="23"/>
  <c r="N111" i="23"/>
  <c r="N112" i="23"/>
  <c r="N113" i="23"/>
  <c r="N114" i="23"/>
  <c r="N115" i="23"/>
  <c r="N116" i="23"/>
  <c r="N117" i="23"/>
  <c r="N118" i="23"/>
  <c r="N119" i="23"/>
  <c r="N120" i="23"/>
  <c r="N121" i="23"/>
  <c r="N122" i="23"/>
  <c r="N123" i="23"/>
  <c r="N124" i="23"/>
  <c r="N125" i="23"/>
  <c r="N126" i="23"/>
  <c r="N127" i="23"/>
  <c r="N128" i="23"/>
  <c r="N129" i="23"/>
  <c r="N130" i="23"/>
  <c r="N131" i="23"/>
  <c r="N132" i="23"/>
  <c r="N133" i="23"/>
  <c r="N134" i="23"/>
  <c r="N135" i="23"/>
  <c r="N136" i="23"/>
  <c r="N137" i="23"/>
  <c r="N138" i="23"/>
  <c r="N139" i="23"/>
  <c r="N140" i="23"/>
  <c r="N141" i="23"/>
  <c r="N142" i="23"/>
  <c r="N143" i="23"/>
  <c r="N144" i="23"/>
  <c r="N145" i="23"/>
  <c r="N146" i="23"/>
  <c r="N147" i="23"/>
  <c r="N148" i="23"/>
  <c r="N149" i="23"/>
  <c r="N150" i="23"/>
  <c r="N151" i="23"/>
  <c r="N152" i="23"/>
  <c r="N153" i="23"/>
  <c r="N154" i="23"/>
  <c r="N155" i="23"/>
  <c r="N156" i="23"/>
  <c r="N157" i="23"/>
  <c r="N158" i="23"/>
  <c r="N159" i="23"/>
  <c r="N160" i="23"/>
  <c r="N161" i="23"/>
  <c r="N162" i="23"/>
  <c r="N163" i="23"/>
  <c r="N164" i="23"/>
  <c r="N165" i="23"/>
  <c r="N166" i="23"/>
  <c r="N167" i="23"/>
  <c r="N168" i="23"/>
  <c r="N169" i="23"/>
  <c r="N170" i="23"/>
  <c r="N171" i="23"/>
  <c r="N172" i="23"/>
  <c r="N173" i="23"/>
  <c r="N174" i="23"/>
  <c r="N175" i="23"/>
  <c r="N176" i="23"/>
  <c r="N177" i="23"/>
  <c r="N178" i="23"/>
  <c r="N179" i="23"/>
  <c r="N180" i="23"/>
  <c r="N181" i="23"/>
  <c r="N182" i="23"/>
  <c r="N183" i="23"/>
  <c r="N184" i="23"/>
  <c r="N185" i="23"/>
  <c r="N186" i="23"/>
  <c r="N187" i="23"/>
  <c r="N188" i="23"/>
  <c r="N189" i="23"/>
  <c r="N190" i="23"/>
  <c r="N191" i="23"/>
  <c r="N192" i="23"/>
  <c r="N193" i="23"/>
  <c r="N194" i="23"/>
  <c r="N195" i="23"/>
  <c r="N196" i="23"/>
  <c r="N197" i="23"/>
  <c r="N198" i="23"/>
  <c r="N199" i="23"/>
  <c r="N200" i="23"/>
  <c r="N201" i="23"/>
  <c r="N202" i="23"/>
  <c r="N203" i="23"/>
  <c r="N204" i="23"/>
  <c r="N205" i="23"/>
  <c r="N206" i="23"/>
  <c r="N207" i="23"/>
  <c r="N208" i="23"/>
  <c r="N209" i="23"/>
  <c r="N210" i="23"/>
  <c r="N211" i="23"/>
  <c r="N212" i="23"/>
  <c r="N213" i="23"/>
  <c r="N214" i="23"/>
  <c r="N215" i="23"/>
  <c r="N216" i="23"/>
  <c r="N217" i="23"/>
  <c r="N218" i="23"/>
  <c r="N219" i="23"/>
  <c r="N220" i="23"/>
  <c r="N221" i="23"/>
  <c r="N222" i="23"/>
  <c r="N223" i="23"/>
  <c r="N224" i="23"/>
  <c r="N225" i="23"/>
  <c r="N226" i="23"/>
  <c r="N227" i="23"/>
  <c r="N228" i="23"/>
  <c r="N229" i="23"/>
  <c r="N230" i="23"/>
  <c r="N231" i="23"/>
  <c r="N232" i="23"/>
  <c r="N233" i="23"/>
  <c r="N234" i="23"/>
  <c r="N235" i="23"/>
  <c r="N236" i="23"/>
  <c r="N237" i="23"/>
  <c r="N238" i="23"/>
  <c r="N239" i="23"/>
  <c r="N240" i="23"/>
  <c r="N241" i="23"/>
  <c r="N242" i="23"/>
  <c r="N243" i="23"/>
  <c r="N244" i="23"/>
  <c r="N245" i="23"/>
  <c r="N246" i="23"/>
  <c r="N247" i="23"/>
  <c r="N248" i="23"/>
  <c r="N249" i="23"/>
  <c r="N250" i="23"/>
  <c r="N251" i="23"/>
  <c r="N252" i="23"/>
  <c r="N253" i="23"/>
  <c r="N254" i="23"/>
  <c r="N255" i="23"/>
  <c r="N256" i="23"/>
  <c r="N257" i="23"/>
  <c r="N258" i="23"/>
  <c r="N259" i="23"/>
  <c r="N260" i="23"/>
  <c r="N261" i="23"/>
  <c r="N262" i="23"/>
  <c r="N263" i="23"/>
  <c r="N264" i="23"/>
  <c r="N265" i="23"/>
  <c r="N266" i="23"/>
  <c r="N267" i="23"/>
  <c r="N268" i="23"/>
  <c r="N269" i="23"/>
  <c r="N270" i="23"/>
  <c r="N271" i="23"/>
  <c r="N272" i="23"/>
  <c r="N273" i="23"/>
  <c r="N274" i="23"/>
  <c r="N275" i="23"/>
  <c r="N276" i="23"/>
  <c r="N277" i="23"/>
  <c r="N278" i="23"/>
  <c r="N279" i="23"/>
  <c r="N280" i="23"/>
  <c r="N281" i="23"/>
  <c r="N282" i="23"/>
  <c r="N283" i="23"/>
  <c r="N284" i="23"/>
  <c r="N285" i="23"/>
  <c r="N286" i="23"/>
  <c r="N287" i="23"/>
  <c r="N288" i="23"/>
  <c r="N289" i="23"/>
  <c r="N290" i="23"/>
  <c r="N291" i="23"/>
  <c r="N292" i="23"/>
  <c r="N293" i="23"/>
  <c r="N294" i="23"/>
  <c r="N296" i="23"/>
  <c r="N297" i="23"/>
  <c r="N298" i="23"/>
  <c r="N299" i="23"/>
  <c r="G2" i="9" l="1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5" i="9"/>
  <c r="G296" i="9"/>
  <c r="G297" i="9"/>
  <c r="G298" i="9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" i="16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" i="15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" i="18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" i="11"/>
  <c r="G299" i="9" l="1"/>
  <c r="A295" i="9"/>
  <c r="A294" i="9"/>
  <c r="A290" i="9"/>
  <c r="A288" i="9"/>
  <c r="A287" i="9"/>
  <c r="A279" i="9"/>
  <c r="A273" i="9"/>
  <c r="A266" i="9"/>
  <c r="A249" i="9"/>
  <c r="A244" i="9"/>
  <c r="A243" i="9"/>
  <c r="A239" i="9"/>
  <c r="A238" i="9"/>
  <c r="A230" i="9"/>
  <c r="A225" i="9"/>
  <c r="A206" i="9"/>
  <c r="A187" i="9"/>
  <c r="A135" i="9"/>
  <c r="A129" i="9"/>
  <c r="A125" i="9"/>
  <c r="A124" i="9"/>
  <c r="A103" i="9"/>
  <c r="A61" i="9"/>
  <c r="A48" i="9"/>
  <c r="A28" i="9"/>
  <c r="A27" i="9"/>
  <c r="A15" i="9"/>
  <c r="C299" i="9" l="1"/>
  <c r="D299" i="9"/>
  <c r="A299" i="9"/>
  <c r="A299" i="18" l="1"/>
  <c r="A299" i="11"/>
  <c r="A299" i="16"/>
  <c r="A299" i="15"/>
  <c r="E299" i="18" l="1"/>
  <c r="E300" i="18" s="1"/>
  <c r="D299" i="18"/>
  <c r="D300" i="18" s="1"/>
  <c r="C299" i="18"/>
  <c r="C300" i="18" s="1"/>
  <c r="B299" i="18"/>
  <c r="B300" i="18" s="1"/>
  <c r="D299" i="16"/>
  <c r="D300" i="16" s="1"/>
  <c r="C299" i="16"/>
  <c r="C300" i="16" s="1"/>
  <c r="B299" i="16"/>
  <c r="B300" i="16" s="1"/>
  <c r="B299" i="15"/>
  <c r="B300" i="15" s="1"/>
  <c r="C299" i="15"/>
  <c r="C300" i="15" s="1"/>
  <c r="D299" i="15"/>
  <c r="D300" i="15" s="1"/>
  <c r="E299" i="9"/>
  <c r="F299" i="9"/>
  <c r="B299" i="9" l="1"/>
  <c r="D300" i="9" s="1"/>
  <c r="C300" i="9" l="1"/>
  <c r="E300" i="9"/>
  <c r="F300" i="9"/>
  <c r="B299" i="11" l="1"/>
  <c r="B300" i="11" s="1"/>
  <c r="C299" i="11"/>
  <c r="C300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90A895-6111-43CA-9A14-34983C8D00F8}" keepAlive="1" name="查询 - 表1" description="与工作簿中“表1”查询的连接。" type="5" refreshedVersion="0" background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<sst xmlns="http://schemas.openxmlformats.org/spreadsheetml/2006/main" count="2545" uniqueCount="719">
  <si>
    <r>
      <rPr>
        <b/>
        <sz val="11"/>
        <rFont val="宋体"/>
        <family val="3"/>
        <charset val="134"/>
      </rPr>
      <t>城市</t>
    </r>
  </si>
  <si>
    <r>
      <rPr>
        <sz val="11"/>
        <color theme="1"/>
        <rFont val="宋体"/>
        <family val="2"/>
      </rPr>
      <t>重庆市</t>
    </r>
  </si>
  <si>
    <r>
      <rPr>
        <sz val="11"/>
        <color theme="1"/>
        <rFont val="宋体"/>
        <family val="2"/>
      </rPr>
      <t>成都市</t>
    </r>
  </si>
  <si>
    <r>
      <rPr>
        <sz val="11"/>
        <color theme="1"/>
        <rFont val="宋体"/>
        <family val="2"/>
      </rPr>
      <t>上海市</t>
    </r>
  </si>
  <si>
    <r>
      <rPr>
        <sz val="11"/>
        <color theme="1"/>
        <rFont val="宋体"/>
        <family val="2"/>
      </rPr>
      <t>北京市</t>
    </r>
  </si>
  <si>
    <r>
      <rPr>
        <sz val="11"/>
        <color theme="1"/>
        <rFont val="宋体"/>
        <family val="2"/>
      </rPr>
      <t>周口市</t>
    </r>
  </si>
  <si>
    <r>
      <rPr>
        <sz val="11"/>
        <color theme="1"/>
        <rFont val="宋体"/>
        <family val="2"/>
      </rPr>
      <t>南阳市</t>
    </r>
  </si>
  <si>
    <r>
      <rPr>
        <sz val="11"/>
        <color theme="1"/>
        <rFont val="宋体"/>
        <family val="2"/>
      </rPr>
      <t>保定市</t>
    </r>
  </si>
  <si>
    <r>
      <rPr>
        <sz val="11"/>
        <color theme="1"/>
        <rFont val="宋体"/>
        <family val="2"/>
      </rPr>
      <t>临沂市</t>
    </r>
  </si>
  <si>
    <r>
      <rPr>
        <sz val="11"/>
        <color theme="1"/>
        <rFont val="宋体"/>
        <family val="2"/>
      </rPr>
      <t>天津市</t>
    </r>
  </si>
  <si>
    <r>
      <rPr>
        <sz val="11"/>
        <color theme="1"/>
        <rFont val="宋体"/>
        <family val="2"/>
      </rPr>
      <t>阜阳市</t>
    </r>
  </si>
  <si>
    <r>
      <rPr>
        <sz val="11"/>
        <color theme="1"/>
        <rFont val="宋体"/>
        <family val="2"/>
      </rPr>
      <t>邯郸市</t>
    </r>
  </si>
  <si>
    <r>
      <rPr>
        <sz val="11"/>
        <color theme="1"/>
        <rFont val="宋体"/>
        <family val="2"/>
      </rPr>
      <t>石家庄市</t>
    </r>
  </si>
  <si>
    <r>
      <rPr>
        <sz val="11"/>
        <color theme="1"/>
        <rFont val="宋体"/>
        <family val="2"/>
      </rPr>
      <t>徐州市</t>
    </r>
  </si>
  <si>
    <r>
      <rPr>
        <sz val="11"/>
        <color theme="1"/>
        <rFont val="宋体"/>
        <family val="2"/>
      </rPr>
      <t>商丘市</t>
    </r>
  </si>
  <si>
    <r>
      <rPr>
        <sz val="11"/>
        <color theme="1"/>
        <rFont val="宋体"/>
        <family val="2"/>
      </rPr>
      <t>广州市</t>
    </r>
  </si>
  <si>
    <r>
      <rPr>
        <sz val="11"/>
        <color theme="1"/>
        <rFont val="宋体"/>
        <family val="2"/>
      </rPr>
      <t>西安市</t>
    </r>
  </si>
  <si>
    <r>
      <rPr>
        <sz val="11"/>
        <color theme="1"/>
        <rFont val="宋体"/>
        <family val="2"/>
      </rPr>
      <t>赣州市</t>
    </r>
  </si>
  <si>
    <r>
      <rPr>
        <sz val="11"/>
        <color theme="1"/>
        <rFont val="宋体"/>
        <family val="2"/>
      </rPr>
      <t>驻马店市</t>
    </r>
  </si>
  <si>
    <r>
      <rPr>
        <sz val="11"/>
        <color theme="1"/>
        <rFont val="宋体"/>
        <family val="2"/>
      </rPr>
      <t>毕节市</t>
    </r>
  </si>
  <si>
    <r>
      <rPr>
        <sz val="11"/>
        <color theme="1"/>
        <rFont val="宋体"/>
        <family val="2"/>
      </rPr>
      <t>哈尔滨市</t>
    </r>
  </si>
  <si>
    <r>
      <rPr>
        <sz val="11"/>
        <color theme="1"/>
        <rFont val="宋体"/>
        <family val="2"/>
      </rPr>
      <t>武汉市</t>
    </r>
  </si>
  <si>
    <r>
      <rPr>
        <sz val="11"/>
        <color theme="1"/>
        <rFont val="宋体"/>
        <family val="2"/>
      </rPr>
      <t>潍坊市</t>
    </r>
  </si>
  <si>
    <r>
      <rPr>
        <sz val="11"/>
        <color theme="1"/>
        <rFont val="宋体"/>
        <family val="2"/>
      </rPr>
      <t>郑州市</t>
    </r>
  </si>
  <si>
    <r>
      <rPr>
        <sz val="11"/>
        <color theme="1"/>
        <rFont val="宋体"/>
        <family val="2"/>
      </rPr>
      <t>信阳市</t>
    </r>
  </si>
  <si>
    <r>
      <rPr>
        <sz val="11"/>
        <color theme="1"/>
        <rFont val="宋体"/>
        <family val="2"/>
      </rPr>
      <t>济宁市</t>
    </r>
  </si>
  <si>
    <r>
      <rPr>
        <sz val="11"/>
        <color theme="1"/>
        <rFont val="宋体"/>
        <family val="2"/>
      </rPr>
      <t>湛江市</t>
    </r>
  </si>
  <si>
    <r>
      <rPr>
        <sz val="11"/>
        <color theme="1"/>
        <rFont val="宋体"/>
        <family val="2"/>
      </rPr>
      <t>长春市</t>
    </r>
  </si>
  <si>
    <r>
      <rPr>
        <sz val="11"/>
        <color theme="1"/>
        <rFont val="宋体"/>
        <family val="2"/>
      </rPr>
      <t>青岛市</t>
    </r>
  </si>
  <si>
    <r>
      <rPr>
        <sz val="11"/>
        <color theme="1"/>
        <rFont val="宋体"/>
        <family val="2"/>
      </rPr>
      <t>杭州市</t>
    </r>
  </si>
  <si>
    <r>
      <rPr>
        <sz val="11"/>
        <color theme="1"/>
        <rFont val="宋体"/>
        <family val="2"/>
      </rPr>
      <t>温州市</t>
    </r>
  </si>
  <si>
    <r>
      <rPr>
        <sz val="11"/>
        <color theme="1"/>
        <rFont val="宋体"/>
        <family val="2"/>
      </rPr>
      <t>茂名市</t>
    </r>
  </si>
  <si>
    <r>
      <rPr>
        <sz val="11"/>
        <color theme="1"/>
        <rFont val="宋体"/>
        <family val="2"/>
      </rPr>
      <t>遵义市</t>
    </r>
  </si>
  <si>
    <r>
      <rPr>
        <sz val="11"/>
        <color theme="1"/>
        <rFont val="宋体"/>
        <family val="2"/>
      </rPr>
      <t>济南市</t>
    </r>
  </si>
  <si>
    <r>
      <rPr>
        <sz val="11"/>
        <color theme="1"/>
        <rFont val="宋体"/>
        <family val="2"/>
      </rPr>
      <t>邵阳市</t>
    </r>
  </si>
  <si>
    <r>
      <rPr>
        <sz val="11"/>
        <color theme="1"/>
        <rFont val="宋体"/>
        <family val="2"/>
      </rPr>
      <t>盐城市</t>
    </r>
  </si>
  <si>
    <r>
      <rPr>
        <sz val="11"/>
        <color theme="1"/>
        <rFont val="宋体"/>
        <family val="2"/>
      </rPr>
      <t>南宁市</t>
    </r>
  </si>
  <si>
    <r>
      <rPr>
        <sz val="11"/>
        <color theme="1"/>
        <rFont val="宋体"/>
        <family val="2"/>
      </rPr>
      <t>邢台市</t>
    </r>
  </si>
  <si>
    <r>
      <rPr>
        <sz val="11"/>
        <color theme="1"/>
        <rFont val="宋体"/>
        <family val="2"/>
      </rPr>
      <t>合肥市</t>
    </r>
  </si>
  <si>
    <r>
      <rPr>
        <sz val="11"/>
        <color theme="1"/>
        <rFont val="宋体"/>
        <family val="2"/>
      </rPr>
      <t>上饶市</t>
    </r>
  </si>
  <si>
    <r>
      <rPr>
        <sz val="11"/>
        <color theme="1"/>
        <rFont val="宋体"/>
        <family val="2"/>
      </rPr>
      <t>衡阳市</t>
    </r>
  </si>
  <si>
    <r>
      <rPr>
        <sz val="11"/>
        <color theme="1"/>
        <rFont val="宋体"/>
        <family val="2"/>
      </rPr>
      <t>沧州市</t>
    </r>
  </si>
  <si>
    <r>
      <rPr>
        <sz val="11"/>
        <color theme="1"/>
        <rFont val="宋体"/>
        <family val="2"/>
      </rPr>
      <t>泉州市</t>
    </r>
  </si>
  <si>
    <r>
      <rPr>
        <sz val="11"/>
        <color theme="1"/>
        <rFont val="宋体"/>
        <family val="2"/>
      </rPr>
      <t>沈阳市</t>
    </r>
  </si>
  <si>
    <r>
      <rPr>
        <sz val="11"/>
        <color theme="1"/>
        <rFont val="宋体"/>
        <family val="2"/>
      </rPr>
      <t>苏州市</t>
    </r>
  </si>
  <si>
    <r>
      <rPr>
        <sz val="11"/>
        <color theme="1"/>
        <rFont val="宋体"/>
        <family val="2"/>
      </rPr>
      <t>长沙市</t>
    </r>
  </si>
  <si>
    <r>
      <rPr>
        <sz val="11"/>
        <color theme="1"/>
        <rFont val="宋体"/>
        <family val="2"/>
      </rPr>
      <t>南通市</t>
    </r>
  </si>
  <si>
    <r>
      <rPr>
        <sz val="11"/>
        <color theme="1"/>
        <rFont val="宋体"/>
        <family val="2"/>
      </rPr>
      <t>洛阳市</t>
    </r>
  </si>
  <si>
    <r>
      <rPr>
        <sz val="11"/>
        <color theme="1"/>
        <rFont val="宋体"/>
        <family val="2"/>
      </rPr>
      <t>唐山市</t>
    </r>
  </si>
  <si>
    <r>
      <rPr>
        <sz val="11"/>
        <color theme="1"/>
        <rFont val="宋体"/>
        <family val="2"/>
      </rPr>
      <t>玉林市</t>
    </r>
  </si>
  <si>
    <r>
      <rPr>
        <sz val="11"/>
        <color theme="1"/>
        <rFont val="宋体"/>
        <family val="2"/>
      </rPr>
      <t>南京市</t>
    </r>
  </si>
  <si>
    <r>
      <rPr>
        <sz val="11"/>
        <color theme="1"/>
        <rFont val="宋体"/>
        <family val="2"/>
      </rPr>
      <t>黄冈市</t>
    </r>
  </si>
  <si>
    <r>
      <rPr>
        <sz val="11"/>
        <color theme="1"/>
        <rFont val="宋体"/>
        <family val="2"/>
      </rPr>
      <t>福州市</t>
    </r>
  </si>
  <si>
    <r>
      <rPr>
        <sz val="11"/>
        <color theme="1"/>
        <rFont val="宋体"/>
        <family val="2"/>
      </rPr>
      <t>南充市</t>
    </r>
  </si>
  <si>
    <r>
      <rPr>
        <sz val="11"/>
        <color theme="1"/>
        <rFont val="宋体"/>
        <family val="2"/>
      </rPr>
      <t>揭阳市</t>
    </r>
  </si>
  <si>
    <r>
      <rPr>
        <sz val="11"/>
        <color theme="1"/>
        <rFont val="宋体"/>
        <family val="2"/>
      </rPr>
      <t>曲靖市</t>
    </r>
  </si>
  <si>
    <r>
      <rPr>
        <sz val="11"/>
        <color theme="1"/>
        <rFont val="宋体"/>
        <family val="2"/>
      </rPr>
      <t>亳州市</t>
    </r>
  </si>
  <si>
    <r>
      <rPr>
        <sz val="11"/>
        <color theme="1"/>
        <rFont val="宋体"/>
        <family val="2"/>
      </rPr>
      <t>新乡市</t>
    </r>
  </si>
  <si>
    <r>
      <rPr>
        <sz val="11"/>
        <color theme="1"/>
        <rFont val="宋体"/>
        <family val="2"/>
      </rPr>
      <t>宿州市</t>
    </r>
  </si>
  <si>
    <r>
      <rPr>
        <sz val="11"/>
        <color theme="1"/>
        <rFont val="宋体"/>
        <family val="2"/>
      </rPr>
      <t>烟台市</t>
    </r>
  </si>
  <si>
    <r>
      <rPr>
        <sz val="11"/>
        <color theme="1"/>
        <rFont val="宋体"/>
        <family val="2"/>
      </rPr>
      <t>达州市</t>
    </r>
  </si>
  <si>
    <r>
      <rPr>
        <sz val="11"/>
        <color theme="1"/>
        <rFont val="宋体"/>
        <family val="2"/>
      </rPr>
      <t>聊城市</t>
    </r>
  </si>
  <si>
    <r>
      <rPr>
        <sz val="11"/>
        <color theme="1"/>
        <rFont val="宋体"/>
        <family val="2"/>
      </rPr>
      <t>永州市</t>
    </r>
  </si>
  <si>
    <r>
      <rPr>
        <sz val="11"/>
        <color theme="1"/>
        <rFont val="宋体"/>
        <family val="2"/>
      </rPr>
      <t>昭通市</t>
    </r>
  </si>
  <si>
    <r>
      <rPr>
        <sz val="11"/>
        <color theme="1"/>
        <rFont val="宋体"/>
        <family val="2"/>
      </rPr>
      <t>安阳市</t>
    </r>
  </si>
  <si>
    <r>
      <rPr>
        <sz val="11"/>
        <color theme="1"/>
        <rFont val="宋体"/>
        <family val="2"/>
      </rPr>
      <t>深圳市</t>
    </r>
  </si>
  <si>
    <r>
      <rPr>
        <sz val="11"/>
        <color theme="1"/>
        <rFont val="宋体"/>
        <family val="2"/>
      </rPr>
      <t>荆州市</t>
    </r>
  </si>
  <si>
    <r>
      <rPr>
        <sz val="11"/>
        <color theme="1"/>
        <rFont val="宋体"/>
        <family val="2"/>
      </rPr>
      <t>宁波市</t>
    </r>
  </si>
  <si>
    <r>
      <rPr>
        <sz val="11"/>
        <color theme="1"/>
        <rFont val="宋体"/>
        <family val="2"/>
      </rPr>
      <t>台州市</t>
    </r>
  </si>
  <si>
    <r>
      <rPr>
        <sz val="11"/>
        <color theme="1"/>
        <rFont val="宋体"/>
        <family val="2"/>
      </rPr>
      <t>大连市</t>
    </r>
  </si>
  <si>
    <r>
      <rPr>
        <sz val="11"/>
        <color theme="1"/>
        <rFont val="宋体"/>
        <family val="2"/>
      </rPr>
      <t>宜春市</t>
    </r>
  </si>
  <si>
    <r>
      <rPr>
        <sz val="11"/>
        <color theme="1"/>
        <rFont val="宋体"/>
        <family val="2"/>
      </rPr>
      <t>德州市</t>
    </r>
  </si>
  <si>
    <r>
      <rPr>
        <sz val="11"/>
        <color theme="1"/>
        <rFont val="宋体"/>
        <family val="2"/>
      </rPr>
      <t>常德市</t>
    </r>
  </si>
  <si>
    <r>
      <rPr>
        <sz val="11"/>
        <color theme="1"/>
        <rFont val="宋体"/>
        <family val="2"/>
      </rPr>
      <t>宿迁市</t>
    </r>
  </si>
  <si>
    <r>
      <rPr>
        <sz val="11"/>
        <color theme="1"/>
        <rFont val="宋体"/>
        <family val="2"/>
      </rPr>
      <t>昆明市</t>
    </r>
  </si>
  <si>
    <r>
      <rPr>
        <sz val="11"/>
        <color theme="1"/>
        <rFont val="宋体"/>
        <family val="2"/>
      </rPr>
      <t>襄阳市</t>
    </r>
  </si>
  <si>
    <r>
      <rPr>
        <sz val="11"/>
        <color theme="1"/>
        <rFont val="宋体"/>
        <family val="2"/>
      </rPr>
      <t>六安市</t>
    </r>
  </si>
  <si>
    <r>
      <rPr>
        <sz val="11"/>
        <color theme="1"/>
        <rFont val="宋体"/>
        <family val="2"/>
      </rPr>
      <t>汕头市</t>
    </r>
  </si>
  <si>
    <r>
      <rPr>
        <sz val="11"/>
        <color theme="1"/>
        <rFont val="宋体"/>
        <family val="2"/>
      </rPr>
      <t>平顶山市</t>
    </r>
  </si>
  <si>
    <r>
      <rPr>
        <sz val="11"/>
        <color theme="1"/>
        <rFont val="宋体"/>
        <family val="2"/>
      </rPr>
      <t>泰安市</t>
    </r>
  </si>
  <si>
    <r>
      <rPr>
        <sz val="11"/>
        <color theme="1"/>
        <rFont val="宋体"/>
        <family val="2"/>
      </rPr>
      <t>贵港市</t>
    </r>
  </si>
  <si>
    <r>
      <rPr>
        <sz val="11"/>
        <color theme="1"/>
        <rFont val="宋体"/>
        <family val="2"/>
      </rPr>
      <t>开封市</t>
    </r>
  </si>
  <si>
    <r>
      <rPr>
        <sz val="11"/>
        <color theme="1"/>
        <rFont val="宋体"/>
        <family val="2"/>
      </rPr>
      <t>岳阳市</t>
    </r>
  </si>
  <si>
    <r>
      <rPr>
        <sz val="11"/>
        <color theme="1"/>
        <rFont val="宋体"/>
        <family val="2"/>
      </rPr>
      <t>淮安市</t>
    </r>
  </si>
  <si>
    <r>
      <rPr>
        <sz val="11"/>
        <color theme="1"/>
        <rFont val="宋体"/>
        <family val="2"/>
      </rPr>
      <t>宜宾市</t>
    </r>
  </si>
  <si>
    <r>
      <rPr>
        <sz val="11"/>
        <color theme="1"/>
        <rFont val="宋体"/>
        <family val="2"/>
      </rPr>
      <t>梅州市</t>
    </r>
  </si>
  <si>
    <r>
      <rPr>
        <sz val="11"/>
        <color theme="1"/>
        <rFont val="宋体"/>
        <family val="2"/>
      </rPr>
      <t>桂林市</t>
    </r>
  </si>
  <si>
    <r>
      <rPr>
        <sz val="11"/>
        <color theme="1"/>
        <rFont val="宋体"/>
        <family val="2"/>
      </rPr>
      <t>南昌市</t>
    </r>
  </si>
  <si>
    <r>
      <rPr>
        <sz val="11"/>
        <color theme="1"/>
        <rFont val="宋体"/>
        <family val="2"/>
      </rPr>
      <t>吉安市</t>
    </r>
  </si>
  <si>
    <r>
      <rPr>
        <sz val="11"/>
        <color theme="1"/>
        <rFont val="宋体"/>
        <family val="2"/>
      </rPr>
      <t>渭南市</t>
    </r>
  </si>
  <si>
    <r>
      <rPr>
        <sz val="11"/>
        <color theme="1"/>
        <rFont val="宋体"/>
        <family val="2"/>
      </rPr>
      <t>连云港市</t>
    </r>
  </si>
  <si>
    <r>
      <rPr>
        <sz val="11"/>
        <color theme="1"/>
        <rFont val="宋体"/>
        <family val="2"/>
      </rPr>
      <t>郴州市</t>
    </r>
  </si>
  <si>
    <r>
      <rPr>
        <sz val="11"/>
        <color theme="1"/>
        <rFont val="宋体"/>
        <family val="2"/>
      </rPr>
      <t>绵阳市</t>
    </r>
  </si>
  <si>
    <r>
      <rPr>
        <sz val="11"/>
        <color theme="1"/>
        <rFont val="宋体"/>
        <family val="2"/>
      </rPr>
      <t>安庆市</t>
    </r>
  </si>
  <si>
    <r>
      <rPr>
        <sz val="11"/>
        <color theme="1"/>
        <rFont val="宋体"/>
        <family val="2"/>
      </rPr>
      <t>漳州市</t>
    </r>
  </si>
  <si>
    <r>
      <rPr>
        <sz val="11"/>
        <color theme="1"/>
        <rFont val="宋体"/>
        <family val="2"/>
      </rPr>
      <t>九江市</t>
    </r>
  </si>
  <si>
    <r>
      <rPr>
        <sz val="11"/>
        <color theme="1"/>
        <rFont val="宋体"/>
        <family val="2"/>
      </rPr>
      <t>怀化市</t>
    </r>
  </si>
  <si>
    <r>
      <rPr>
        <sz val="11"/>
        <color theme="1"/>
        <rFont val="宋体"/>
        <family val="2"/>
      </rPr>
      <t>齐齐哈尔市</t>
    </r>
  </si>
  <si>
    <r>
      <rPr>
        <sz val="11"/>
        <color theme="1"/>
        <rFont val="宋体"/>
        <family val="2"/>
      </rPr>
      <t>无锡市</t>
    </r>
  </si>
  <si>
    <r>
      <rPr>
        <sz val="11"/>
        <color theme="1"/>
        <rFont val="宋体"/>
        <family val="2"/>
      </rPr>
      <t>运城市</t>
    </r>
  </si>
  <si>
    <r>
      <rPr>
        <sz val="11"/>
        <color theme="1"/>
        <rFont val="宋体"/>
        <family val="2"/>
      </rPr>
      <t>绥化市</t>
    </r>
  </si>
  <si>
    <r>
      <rPr>
        <sz val="11"/>
        <color theme="1"/>
        <rFont val="宋体"/>
        <family val="2"/>
      </rPr>
      <t>许昌市</t>
    </r>
  </si>
  <si>
    <r>
      <rPr>
        <sz val="11"/>
        <color theme="1"/>
        <rFont val="宋体"/>
        <family val="2"/>
      </rPr>
      <t>泸州市</t>
    </r>
  </si>
  <si>
    <r>
      <rPr>
        <sz val="11"/>
        <color theme="1"/>
        <rFont val="宋体"/>
        <family val="2"/>
      </rPr>
      <t>孝感市</t>
    </r>
  </si>
  <si>
    <r>
      <rPr>
        <sz val="11"/>
        <color theme="1"/>
        <rFont val="宋体"/>
        <family val="2"/>
      </rPr>
      <t>金华市</t>
    </r>
  </si>
  <si>
    <r>
      <rPr>
        <sz val="11"/>
        <color theme="1"/>
        <rFont val="宋体"/>
        <family val="2"/>
      </rPr>
      <t>廊坊市</t>
    </r>
  </si>
  <si>
    <r>
      <rPr>
        <sz val="11"/>
        <color theme="1"/>
        <rFont val="宋体"/>
        <family val="2"/>
      </rPr>
      <t>泰州市</t>
    </r>
  </si>
  <si>
    <r>
      <rPr>
        <sz val="11"/>
        <color theme="1"/>
        <rFont val="宋体"/>
        <family val="2"/>
      </rPr>
      <t>佛山市</t>
    </r>
  </si>
  <si>
    <r>
      <rPr>
        <sz val="11"/>
        <color theme="1"/>
        <rFont val="宋体"/>
        <family val="2"/>
      </rPr>
      <t>益阳市</t>
    </r>
  </si>
  <si>
    <r>
      <rPr>
        <sz val="11"/>
        <color theme="1"/>
        <rFont val="宋体"/>
        <family val="2"/>
      </rPr>
      <t>衡水市</t>
    </r>
  </si>
  <si>
    <r>
      <rPr>
        <sz val="11"/>
        <color theme="1"/>
        <rFont val="宋体"/>
        <family val="2"/>
      </rPr>
      <t>张家口市</t>
    </r>
  </si>
  <si>
    <r>
      <rPr>
        <sz val="11"/>
        <color theme="1"/>
        <rFont val="宋体"/>
        <family val="2"/>
      </rPr>
      <t>肇庆市</t>
    </r>
  </si>
  <si>
    <r>
      <rPr>
        <sz val="11"/>
        <color theme="1"/>
        <rFont val="宋体"/>
        <family val="2"/>
      </rPr>
      <t>咸阳市</t>
    </r>
  </si>
  <si>
    <r>
      <rPr>
        <sz val="11"/>
        <color theme="1"/>
        <rFont val="宋体"/>
        <family val="2"/>
      </rPr>
      <t>赤峰市</t>
    </r>
  </si>
  <si>
    <r>
      <rPr>
        <sz val="11"/>
        <color theme="1"/>
        <rFont val="宋体"/>
        <family val="2"/>
      </rPr>
      <t>滁州市</t>
    </r>
  </si>
  <si>
    <r>
      <rPr>
        <sz val="11"/>
        <color theme="1"/>
        <rFont val="宋体"/>
        <family val="2"/>
      </rPr>
      <t>广安市</t>
    </r>
  </si>
  <si>
    <r>
      <rPr>
        <sz val="11"/>
        <color theme="1"/>
        <rFont val="宋体"/>
        <family val="2"/>
      </rPr>
      <t>扬州市</t>
    </r>
  </si>
  <si>
    <r>
      <rPr>
        <sz val="11"/>
        <color theme="1"/>
        <rFont val="宋体"/>
        <family val="2"/>
      </rPr>
      <t>清远市</t>
    </r>
  </si>
  <si>
    <r>
      <rPr>
        <sz val="11"/>
        <color theme="1"/>
        <rFont val="宋体"/>
        <family val="2"/>
      </rPr>
      <t>铜仁市</t>
    </r>
  </si>
  <si>
    <r>
      <rPr>
        <sz val="11"/>
        <color theme="1"/>
        <rFont val="宋体"/>
        <family val="2"/>
      </rPr>
      <t>娄底市</t>
    </r>
  </si>
  <si>
    <r>
      <rPr>
        <sz val="11"/>
        <color theme="1"/>
        <rFont val="宋体"/>
        <family val="2"/>
      </rPr>
      <t>绍兴市</t>
    </r>
  </si>
  <si>
    <r>
      <rPr>
        <sz val="11"/>
        <color theme="1"/>
        <rFont val="宋体"/>
        <family val="2"/>
      </rPr>
      <t>贵阳市</t>
    </r>
  </si>
  <si>
    <r>
      <rPr>
        <sz val="11"/>
        <color theme="1"/>
        <rFont val="宋体"/>
        <family val="2"/>
      </rPr>
      <t>濮阳市</t>
    </r>
  </si>
  <si>
    <r>
      <rPr>
        <sz val="11"/>
        <color theme="1"/>
        <rFont val="宋体"/>
        <family val="2"/>
      </rPr>
      <t>淄博市</t>
    </r>
  </si>
  <si>
    <r>
      <rPr>
        <sz val="11"/>
        <color theme="1"/>
        <rFont val="宋体"/>
        <family val="2"/>
      </rPr>
      <t>河池市</t>
    </r>
  </si>
  <si>
    <r>
      <rPr>
        <sz val="11"/>
        <color theme="1"/>
        <rFont val="宋体"/>
        <family val="2"/>
      </rPr>
      <t>抚州市</t>
    </r>
  </si>
  <si>
    <r>
      <rPr>
        <sz val="11"/>
        <color theme="1"/>
        <rFont val="宋体"/>
        <family val="2"/>
      </rPr>
      <t>临汾市</t>
    </r>
  </si>
  <si>
    <r>
      <rPr>
        <sz val="11"/>
        <color theme="1"/>
        <rFont val="宋体"/>
        <family val="2"/>
      </rPr>
      <t>枣庄市</t>
    </r>
  </si>
  <si>
    <r>
      <rPr>
        <sz val="11"/>
        <color theme="1"/>
        <rFont val="宋体"/>
        <family val="2"/>
      </rPr>
      <t>百色市</t>
    </r>
  </si>
  <si>
    <r>
      <rPr>
        <sz val="11"/>
        <color theme="1"/>
        <rFont val="宋体"/>
        <family val="2"/>
      </rPr>
      <t>钦州市</t>
    </r>
  </si>
  <si>
    <r>
      <rPr>
        <sz val="11"/>
        <color theme="1"/>
        <rFont val="宋体"/>
        <family val="2"/>
      </rPr>
      <t>惠州市</t>
    </r>
  </si>
  <si>
    <r>
      <rPr>
        <sz val="11"/>
        <color theme="1"/>
        <rFont val="宋体"/>
        <family val="2"/>
      </rPr>
      <t>江门市</t>
    </r>
  </si>
  <si>
    <r>
      <rPr>
        <sz val="11"/>
        <color theme="1"/>
        <rFont val="宋体"/>
        <family val="2"/>
      </rPr>
      <t>内江市</t>
    </r>
  </si>
  <si>
    <r>
      <rPr>
        <sz val="11"/>
        <color theme="1"/>
        <rFont val="宋体"/>
        <family val="2"/>
      </rPr>
      <t>吉林市</t>
    </r>
  </si>
  <si>
    <r>
      <rPr>
        <sz val="11"/>
        <color theme="1"/>
        <rFont val="宋体"/>
        <family val="2"/>
      </rPr>
      <t>滨州市</t>
    </r>
  </si>
  <si>
    <r>
      <rPr>
        <sz val="11"/>
        <color theme="1"/>
        <rFont val="宋体"/>
        <family val="2"/>
      </rPr>
      <t>株洲市</t>
    </r>
  </si>
  <si>
    <r>
      <rPr>
        <sz val="11"/>
        <color theme="1"/>
        <rFont val="宋体"/>
        <family val="2"/>
      </rPr>
      <t>柳州市</t>
    </r>
  </si>
  <si>
    <r>
      <rPr>
        <sz val="11"/>
        <color theme="1"/>
        <rFont val="宋体"/>
        <family val="2"/>
      </rPr>
      <t>太原市</t>
    </r>
  </si>
  <si>
    <r>
      <rPr>
        <sz val="11"/>
        <color theme="1"/>
        <rFont val="宋体"/>
        <family val="2"/>
      </rPr>
      <t>吕梁市</t>
    </r>
  </si>
  <si>
    <r>
      <rPr>
        <sz val="11"/>
        <color theme="1"/>
        <rFont val="宋体"/>
        <family val="2"/>
      </rPr>
      <t>淮南市</t>
    </r>
  </si>
  <si>
    <r>
      <rPr>
        <sz val="11"/>
        <color theme="1"/>
        <rFont val="宋体"/>
        <family val="2"/>
      </rPr>
      <t>常州市</t>
    </r>
  </si>
  <si>
    <r>
      <rPr>
        <sz val="11"/>
        <color theme="1"/>
        <rFont val="宋体"/>
        <family val="2"/>
      </rPr>
      <t>芜湖市</t>
    </r>
  </si>
  <si>
    <r>
      <rPr>
        <sz val="11"/>
        <color theme="1"/>
        <rFont val="宋体"/>
        <family val="2"/>
      </rPr>
      <t>宜昌市</t>
    </r>
  </si>
  <si>
    <r>
      <rPr>
        <sz val="11"/>
        <color theme="1"/>
        <rFont val="宋体"/>
        <family val="2"/>
      </rPr>
      <t>蚌埠市</t>
    </r>
  </si>
  <si>
    <r>
      <rPr>
        <sz val="11"/>
        <color theme="1"/>
        <rFont val="宋体"/>
        <family val="2"/>
      </rPr>
      <t>榆林市</t>
    </r>
  </si>
  <si>
    <r>
      <rPr>
        <sz val="11"/>
        <color theme="1"/>
        <rFont val="宋体"/>
        <family val="2"/>
      </rPr>
      <t>德阳市</t>
    </r>
  </si>
  <si>
    <r>
      <rPr>
        <sz val="11"/>
        <color theme="1"/>
        <rFont val="宋体"/>
        <family val="2"/>
      </rPr>
      <t>汉中市</t>
    </r>
  </si>
  <si>
    <r>
      <rPr>
        <sz val="11"/>
        <color theme="1"/>
        <rFont val="宋体"/>
        <family val="2"/>
      </rPr>
      <t>承德市</t>
    </r>
  </si>
  <si>
    <r>
      <rPr>
        <sz val="11"/>
        <color theme="1"/>
        <rFont val="宋体"/>
        <family val="2"/>
      </rPr>
      <t>宝鸡市</t>
    </r>
  </si>
  <si>
    <r>
      <rPr>
        <sz val="11"/>
        <color theme="1"/>
        <rFont val="宋体"/>
        <family val="2"/>
      </rPr>
      <t>嘉兴市</t>
    </r>
  </si>
  <si>
    <r>
      <rPr>
        <sz val="11"/>
        <color theme="1"/>
        <rFont val="宋体"/>
        <family val="2"/>
      </rPr>
      <t>焦作市</t>
    </r>
  </si>
  <si>
    <r>
      <rPr>
        <sz val="11"/>
        <color theme="1"/>
        <rFont val="宋体"/>
        <family val="2"/>
      </rPr>
      <t>河源市</t>
    </r>
  </si>
  <si>
    <r>
      <rPr>
        <sz val="11"/>
        <color theme="1"/>
        <rFont val="宋体"/>
        <family val="2"/>
      </rPr>
      <t>天水市</t>
    </r>
  </si>
  <si>
    <r>
      <rPr>
        <sz val="11"/>
        <color theme="1"/>
        <rFont val="宋体"/>
        <family val="2"/>
      </rPr>
      <t>莆田市</t>
    </r>
  </si>
  <si>
    <r>
      <rPr>
        <sz val="11"/>
        <color theme="1"/>
        <rFont val="宋体"/>
        <family val="2"/>
      </rPr>
      <t>巴中市</t>
    </r>
  </si>
  <si>
    <r>
      <rPr>
        <sz val="11"/>
        <color theme="1"/>
        <rFont val="宋体"/>
        <family val="2"/>
      </rPr>
      <t>六盘水市</t>
    </r>
  </si>
  <si>
    <r>
      <rPr>
        <sz val="11"/>
        <color theme="1"/>
        <rFont val="宋体"/>
        <family val="2"/>
      </rPr>
      <t>遂宁市</t>
    </r>
  </si>
  <si>
    <r>
      <rPr>
        <sz val="11"/>
        <color theme="1"/>
        <rFont val="宋体"/>
        <family val="2"/>
      </rPr>
      <t>宁德市</t>
    </r>
  </si>
  <si>
    <r>
      <rPr>
        <sz val="11"/>
        <color theme="1"/>
        <rFont val="宋体"/>
        <family val="2"/>
      </rPr>
      <t>汕尾市</t>
    </r>
  </si>
  <si>
    <r>
      <rPr>
        <sz val="11"/>
        <color theme="1"/>
        <rFont val="宋体"/>
        <family val="2"/>
      </rPr>
      <t>梧州市</t>
    </r>
  </si>
  <si>
    <r>
      <rPr>
        <sz val="11"/>
        <color theme="1"/>
        <rFont val="宋体"/>
        <family val="2"/>
      </rPr>
      <t>乐山市</t>
    </r>
  </si>
  <si>
    <r>
      <rPr>
        <sz val="11"/>
        <color theme="1"/>
        <rFont val="宋体"/>
        <family val="2"/>
      </rPr>
      <t>眉山市</t>
    </r>
  </si>
  <si>
    <r>
      <rPr>
        <sz val="11"/>
        <color theme="1"/>
        <rFont val="宋体"/>
        <family val="2"/>
      </rPr>
      <t>十堰市</t>
    </r>
  </si>
  <si>
    <r>
      <rPr>
        <sz val="11"/>
        <color theme="1"/>
        <rFont val="宋体"/>
        <family val="2"/>
      </rPr>
      <t>长治市</t>
    </r>
  </si>
  <si>
    <r>
      <rPr>
        <sz val="11"/>
        <color theme="1"/>
        <rFont val="宋体"/>
        <family val="2"/>
      </rPr>
      <t>韶关市</t>
    </r>
  </si>
  <si>
    <r>
      <rPr>
        <sz val="11"/>
        <color theme="1"/>
        <rFont val="宋体"/>
        <family val="2"/>
      </rPr>
      <t>资阳市</t>
    </r>
  </si>
  <si>
    <r>
      <rPr>
        <sz val="11"/>
        <color theme="1"/>
        <rFont val="宋体"/>
        <family val="2"/>
      </rPr>
      <t>兰州市</t>
    </r>
  </si>
  <si>
    <r>
      <rPr>
        <sz val="11"/>
        <color theme="1"/>
        <rFont val="宋体"/>
        <family val="2"/>
      </rPr>
      <t>晋中市</t>
    </r>
  </si>
  <si>
    <r>
      <rPr>
        <sz val="11"/>
        <color theme="1"/>
        <rFont val="宋体"/>
        <family val="2"/>
      </rPr>
      <t>鞍山市</t>
    </r>
  </si>
  <si>
    <r>
      <rPr>
        <sz val="11"/>
        <color theme="1"/>
        <rFont val="宋体"/>
        <family val="2"/>
      </rPr>
      <t>朝阳市</t>
    </r>
  </si>
  <si>
    <r>
      <rPr>
        <sz val="11"/>
        <color theme="1"/>
        <rFont val="宋体"/>
        <family val="2"/>
      </rPr>
      <t>龙岩市</t>
    </r>
  </si>
  <si>
    <r>
      <rPr>
        <sz val="11"/>
        <color theme="1"/>
        <rFont val="宋体"/>
        <family val="2"/>
      </rPr>
      <t>自贡市</t>
    </r>
  </si>
  <si>
    <r>
      <rPr>
        <sz val="11"/>
        <color theme="1"/>
        <rFont val="宋体"/>
        <family val="2"/>
      </rPr>
      <t>大同市</t>
    </r>
  </si>
  <si>
    <r>
      <rPr>
        <sz val="11"/>
        <color theme="1"/>
        <rFont val="宋体"/>
        <family val="2"/>
      </rPr>
      <t>通辽市</t>
    </r>
  </si>
  <si>
    <r>
      <rPr>
        <sz val="11"/>
        <color theme="1"/>
        <rFont val="宋体"/>
        <family val="2"/>
      </rPr>
      <t>南平市</t>
    </r>
  </si>
  <si>
    <r>
      <rPr>
        <sz val="11"/>
        <color theme="1"/>
        <rFont val="宋体"/>
        <family val="2"/>
      </rPr>
      <t>日照市</t>
    </r>
  </si>
  <si>
    <r>
      <rPr>
        <sz val="11"/>
        <color theme="1"/>
        <rFont val="宋体"/>
        <family val="2"/>
      </rPr>
      <t>安顺市</t>
    </r>
  </si>
  <si>
    <r>
      <rPr>
        <sz val="11"/>
        <color theme="1"/>
        <rFont val="宋体"/>
        <family val="2"/>
      </rPr>
      <t>忻州市</t>
    </r>
  </si>
  <si>
    <r>
      <rPr>
        <sz val="11"/>
        <color theme="1"/>
        <rFont val="宋体"/>
        <family val="2"/>
      </rPr>
      <t>咸宁市</t>
    </r>
  </si>
  <si>
    <r>
      <rPr>
        <sz val="11"/>
        <color theme="1"/>
        <rFont val="宋体"/>
        <family val="2"/>
      </rPr>
      <t>阳江市</t>
    </r>
  </si>
  <si>
    <r>
      <rPr>
        <sz val="11"/>
        <color theme="1"/>
        <rFont val="宋体"/>
        <family val="2"/>
      </rPr>
      <t>定西市</t>
    </r>
  </si>
  <si>
    <r>
      <rPr>
        <sz val="11"/>
        <color theme="1"/>
        <rFont val="宋体"/>
        <family val="2"/>
      </rPr>
      <t>云浮市</t>
    </r>
  </si>
  <si>
    <r>
      <rPr>
        <sz val="11"/>
        <color theme="1"/>
        <rFont val="宋体"/>
        <family val="2"/>
      </rPr>
      <t>安康市</t>
    </r>
  </si>
  <si>
    <r>
      <rPr>
        <sz val="11"/>
        <color theme="1"/>
        <rFont val="宋体"/>
        <family val="2"/>
      </rPr>
      <t>秦皇岛市</t>
    </r>
  </si>
  <si>
    <r>
      <rPr>
        <sz val="11"/>
        <color theme="1"/>
        <rFont val="宋体"/>
        <family val="2"/>
      </rPr>
      <t>广元市</t>
    </r>
  </si>
  <si>
    <r>
      <rPr>
        <sz val="11"/>
        <color theme="1"/>
        <rFont val="宋体"/>
        <family val="2"/>
      </rPr>
      <t>锦州市</t>
    </r>
  </si>
  <si>
    <r>
      <rPr>
        <sz val="11"/>
        <color theme="1"/>
        <rFont val="宋体"/>
        <family val="2"/>
      </rPr>
      <t>三明市</t>
    </r>
  </si>
  <si>
    <r>
      <rPr>
        <sz val="11"/>
        <color theme="1"/>
        <rFont val="宋体"/>
        <family val="2"/>
      </rPr>
      <t>荆门市</t>
    </r>
  </si>
  <si>
    <r>
      <rPr>
        <sz val="11"/>
        <color theme="1"/>
        <rFont val="宋体"/>
        <family val="2"/>
      </rPr>
      <t>陇南市</t>
    </r>
  </si>
  <si>
    <r>
      <rPr>
        <sz val="11"/>
        <color theme="1"/>
        <rFont val="宋体"/>
        <family val="2"/>
      </rPr>
      <t>铁岭市</t>
    </r>
  </si>
  <si>
    <r>
      <rPr>
        <sz val="11"/>
        <color theme="1"/>
        <rFont val="宋体"/>
        <family val="2"/>
      </rPr>
      <t>厦门市</t>
    </r>
  </si>
  <si>
    <r>
      <rPr>
        <sz val="11"/>
        <color theme="1"/>
        <rFont val="宋体"/>
        <family val="2"/>
      </rPr>
      <t>湘潭市</t>
    </r>
  </si>
  <si>
    <r>
      <rPr>
        <sz val="11"/>
        <color theme="1"/>
        <rFont val="宋体"/>
        <family val="2"/>
      </rPr>
      <t>东莞市</t>
    </r>
  </si>
  <si>
    <r>
      <rPr>
        <sz val="11"/>
        <color theme="1"/>
        <rFont val="宋体"/>
        <family val="2"/>
      </rPr>
      <t>宣城市</t>
    </r>
  </si>
  <si>
    <r>
      <rPr>
        <sz val="11"/>
        <color theme="1"/>
        <rFont val="宋体"/>
        <family val="2"/>
      </rPr>
      <t>潮州市</t>
    </r>
  </si>
  <si>
    <r>
      <rPr>
        <sz val="11"/>
        <color theme="1"/>
        <rFont val="宋体"/>
        <family val="2"/>
      </rPr>
      <t>黄石市</t>
    </r>
  </si>
  <si>
    <r>
      <rPr>
        <sz val="11"/>
        <color theme="1"/>
        <rFont val="宋体"/>
        <family val="2"/>
      </rPr>
      <t>松原市</t>
    </r>
  </si>
  <si>
    <r>
      <rPr>
        <sz val="11"/>
        <color theme="1"/>
        <rFont val="宋体"/>
        <family val="2"/>
      </rPr>
      <t>大庆市</t>
    </r>
  </si>
  <si>
    <r>
      <rPr>
        <sz val="11"/>
        <color theme="1"/>
        <rFont val="宋体"/>
        <family val="2"/>
      </rPr>
      <t>葫芦岛市</t>
    </r>
  </si>
  <si>
    <r>
      <rPr>
        <sz val="11"/>
        <color theme="1"/>
        <rFont val="宋体"/>
        <family val="2"/>
      </rPr>
      <t>丽水市</t>
    </r>
  </si>
  <si>
    <r>
      <rPr>
        <sz val="11"/>
        <color theme="1"/>
        <rFont val="宋体"/>
        <family val="2"/>
      </rPr>
      <t>庆阳市</t>
    </r>
  </si>
  <si>
    <r>
      <rPr>
        <sz val="11"/>
        <color theme="1"/>
        <rFont val="宋体"/>
        <family val="2"/>
      </rPr>
      <t>湖州市</t>
    </r>
  </si>
  <si>
    <r>
      <rPr>
        <sz val="11"/>
        <color theme="1"/>
        <rFont val="宋体"/>
        <family val="2"/>
      </rPr>
      <t>来宾市</t>
    </r>
  </si>
  <si>
    <r>
      <rPr>
        <sz val="11"/>
        <color theme="1"/>
        <rFont val="宋体"/>
        <family val="2"/>
      </rPr>
      <t>镇江市</t>
    </r>
  </si>
  <si>
    <r>
      <rPr>
        <sz val="11"/>
        <color theme="1"/>
        <rFont val="宋体"/>
        <family val="2"/>
      </rPr>
      <t>漯河市</t>
    </r>
  </si>
  <si>
    <r>
      <rPr>
        <sz val="11"/>
        <color theme="1"/>
        <rFont val="宋体"/>
        <family val="2"/>
      </rPr>
      <t>保山市</t>
    </r>
  </si>
  <si>
    <r>
      <rPr>
        <sz val="11"/>
        <color theme="1"/>
        <rFont val="宋体"/>
        <family val="2"/>
      </rPr>
      <t>乌兰察布市</t>
    </r>
  </si>
  <si>
    <r>
      <rPr>
        <sz val="11"/>
        <color theme="1"/>
        <rFont val="宋体"/>
        <family val="2"/>
      </rPr>
      <t>衢州市</t>
    </r>
  </si>
  <si>
    <r>
      <rPr>
        <sz val="11"/>
        <color theme="1"/>
        <rFont val="宋体"/>
        <family val="2"/>
      </rPr>
      <t>威海市</t>
    </r>
  </si>
  <si>
    <r>
      <rPr>
        <sz val="11"/>
        <color theme="1"/>
        <rFont val="宋体"/>
        <family val="2"/>
      </rPr>
      <t>呼和浩特市</t>
    </r>
  </si>
  <si>
    <r>
      <rPr>
        <sz val="11"/>
        <color theme="1"/>
        <rFont val="宋体"/>
        <family val="2"/>
      </rPr>
      <t>普洱市</t>
    </r>
  </si>
  <si>
    <r>
      <rPr>
        <sz val="11"/>
        <color theme="1"/>
        <rFont val="宋体"/>
        <family val="2"/>
      </rPr>
      <t>崇左市</t>
    </r>
  </si>
  <si>
    <r>
      <rPr>
        <sz val="11"/>
        <color theme="1"/>
        <rFont val="宋体"/>
        <family val="2"/>
      </rPr>
      <t>呼伦贝尔市</t>
    </r>
  </si>
  <si>
    <r>
      <rPr>
        <sz val="11"/>
        <color theme="1"/>
        <rFont val="宋体"/>
        <family val="2"/>
      </rPr>
      <t>贺州市</t>
    </r>
  </si>
  <si>
    <r>
      <rPr>
        <sz val="11"/>
        <color theme="1"/>
        <rFont val="宋体"/>
        <family val="2"/>
      </rPr>
      <t>商洛市</t>
    </r>
  </si>
  <si>
    <r>
      <rPr>
        <sz val="11"/>
        <color theme="1"/>
        <rFont val="宋体"/>
        <family val="2"/>
      </rPr>
      <t>随州市</t>
    </r>
  </si>
  <si>
    <r>
      <rPr>
        <sz val="11"/>
        <color theme="1"/>
        <rFont val="宋体"/>
        <family val="2"/>
      </rPr>
      <t>牡丹江市</t>
    </r>
  </si>
  <si>
    <r>
      <rPr>
        <sz val="11"/>
        <color theme="1"/>
        <rFont val="宋体"/>
        <family val="2"/>
      </rPr>
      <t>临沧市</t>
    </r>
  </si>
  <si>
    <r>
      <rPr>
        <sz val="11"/>
        <color theme="1"/>
        <rFont val="宋体"/>
        <family val="2"/>
      </rPr>
      <t>延安市</t>
    </r>
  </si>
  <si>
    <r>
      <rPr>
        <sz val="11"/>
        <color theme="1"/>
        <rFont val="宋体"/>
        <family val="2"/>
      </rPr>
      <t>平凉市</t>
    </r>
  </si>
  <si>
    <r>
      <rPr>
        <sz val="11"/>
        <color theme="1"/>
        <rFont val="宋体"/>
        <family val="2"/>
      </rPr>
      <t>丹东市</t>
    </r>
  </si>
  <si>
    <r>
      <rPr>
        <sz val="11"/>
        <color theme="1"/>
        <rFont val="宋体"/>
        <family val="2"/>
      </rPr>
      <t>营口市</t>
    </r>
  </si>
  <si>
    <r>
      <rPr>
        <sz val="11"/>
        <color theme="1"/>
        <rFont val="宋体"/>
        <family val="2"/>
      </rPr>
      <t>佳木斯市</t>
    </r>
  </si>
  <si>
    <r>
      <rPr>
        <sz val="11"/>
        <color theme="1"/>
        <rFont val="宋体"/>
        <family val="2"/>
      </rPr>
      <t>马鞍山市</t>
    </r>
  </si>
  <si>
    <r>
      <rPr>
        <sz val="11"/>
        <color theme="1"/>
        <rFont val="宋体"/>
        <family val="2"/>
      </rPr>
      <t>三门峡市</t>
    </r>
  </si>
  <si>
    <r>
      <rPr>
        <sz val="11"/>
        <color theme="1"/>
        <rFont val="宋体"/>
        <family val="2"/>
      </rPr>
      <t>包头市</t>
    </r>
  </si>
  <si>
    <r>
      <rPr>
        <sz val="11"/>
        <color theme="1"/>
        <rFont val="宋体"/>
        <family val="2"/>
      </rPr>
      <t>晋城市</t>
    </r>
  </si>
  <si>
    <r>
      <rPr>
        <sz val="11"/>
        <color theme="1"/>
        <rFont val="宋体"/>
        <family val="2"/>
      </rPr>
      <t>玉溪市</t>
    </r>
  </si>
  <si>
    <r>
      <rPr>
        <sz val="11"/>
        <color theme="1"/>
        <rFont val="宋体"/>
        <family val="2"/>
      </rPr>
      <t>淮北市</t>
    </r>
  </si>
  <si>
    <r>
      <rPr>
        <sz val="11"/>
        <color theme="1"/>
        <rFont val="宋体"/>
        <family val="2"/>
      </rPr>
      <t>海口市</t>
    </r>
  </si>
  <si>
    <r>
      <rPr>
        <sz val="11"/>
        <color theme="1"/>
        <rFont val="宋体"/>
        <family val="2"/>
      </rPr>
      <t>西宁市</t>
    </r>
  </si>
  <si>
    <r>
      <rPr>
        <sz val="11"/>
        <color theme="1"/>
        <rFont val="宋体"/>
        <family val="2"/>
      </rPr>
      <t>通化市</t>
    </r>
  </si>
  <si>
    <r>
      <rPr>
        <sz val="11"/>
        <color theme="1"/>
        <rFont val="宋体"/>
        <family val="2"/>
      </rPr>
      <t>银川市</t>
    </r>
  </si>
  <si>
    <r>
      <rPr>
        <sz val="11"/>
        <color theme="1"/>
        <rFont val="宋体"/>
        <family val="2"/>
      </rPr>
      <t>四平市</t>
    </r>
  </si>
  <si>
    <r>
      <rPr>
        <sz val="11"/>
        <color theme="1"/>
        <rFont val="宋体"/>
        <family val="2"/>
      </rPr>
      <t>抚顺市</t>
    </r>
  </si>
  <si>
    <r>
      <rPr>
        <sz val="11"/>
        <color theme="1"/>
        <rFont val="宋体"/>
        <family val="2"/>
      </rPr>
      <t>萍乡市</t>
    </r>
  </si>
  <si>
    <r>
      <rPr>
        <sz val="11"/>
        <color theme="1"/>
        <rFont val="宋体"/>
        <family val="2"/>
      </rPr>
      <t>中山市</t>
    </r>
  </si>
  <si>
    <r>
      <rPr>
        <sz val="11"/>
        <color theme="1"/>
        <rFont val="宋体"/>
        <family val="2"/>
      </rPr>
      <t>东营市</t>
    </r>
  </si>
  <si>
    <r>
      <rPr>
        <sz val="11"/>
        <color theme="1"/>
        <rFont val="宋体"/>
        <family val="2"/>
      </rPr>
      <t>武威市</t>
    </r>
  </si>
  <si>
    <r>
      <rPr>
        <sz val="11"/>
        <color theme="1"/>
        <rFont val="宋体"/>
        <family val="2"/>
      </rPr>
      <t>白城市</t>
    </r>
  </si>
  <si>
    <r>
      <rPr>
        <sz val="11"/>
        <color theme="1"/>
        <rFont val="宋体"/>
        <family val="2"/>
      </rPr>
      <t>北海市</t>
    </r>
  </si>
  <si>
    <r>
      <rPr>
        <sz val="11"/>
        <color theme="1"/>
        <rFont val="宋体"/>
        <family val="2"/>
      </rPr>
      <t>阜新市</t>
    </r>
  </si>
  <si>
    <r>
      <rPr>
        <sz val="11"/>
        <color theme="1"/>
        <rFont val="宋体"/>
        <family val="2"/>
      </rPr>
      <t>白银市</t>
    </r>
  </si>
  <si>
    <r>
      <rPr>
        <sz val="11"/>
        <color theme="1"/>
        <rFont val="宋体"/>
        <family val="2"/>
      </rPr>
      <t>海东市</t>
    </r>
  </si>
  <si>
    <r>
      <rPr>
        <sz val="11"/>
        <color theme="1"/>
        <rFont val="宋体"/>
        <family val="2"/>
      </rPr>
      <t>巴彦淖尔市</t>
    </r>
  </si>
  <si>
    <r>
      <rPr>
        <sz val="11"/>
        <color theme="1"/>
        <rFont val="宋体"/>
        <family val="2"/>
      </rPr>
      <t>辽阳市</t>
    </r>
  </si>
  <si>
    <r>
      <rPr>
        <sz val="11"/>
        <color theme="1"/>
        <rFont val="宋体"/>
        <family val="2"/>
      </rPr>
      <t>景德镇市</t>
    </r>
  </si>
  <si>
    <r>
      <rPr>
        <sz val="11"/>
        <color theme="1"/>
        <rFont val="宋体"/>
        <family val="2"/>
      </rPr>
      <t>鹤壁市</t>
    </r>
  </si>
  <si>
    <r>
      <rPr>
        <sz val="11"/>
        <color theme="1"/>
        <rFont val="宋体"/>
        <family val="2"/>
      </rPr>
      <t>铜陵市</t>
    </r>
  </si>
  <si>
    <r>
      <rPr>
        <sz val="11"/>
        <color theme="1"/>
        <rFont val="宋体"/>
        <family val="2"/>
      </rPr>
      <t>张家界市</t>
    </r>
  </si>
  <si>
    <r>
      <rPr>
        <sz val="11"/>
        <color theme="1"/>
        <rFont val="宋体"/>
        <family val="2"/>
      </rPr>
      <t>鄂尔多斯市</t>
    </r>
  </si>
  <si>
    <r>
      <rPr>
        <sz val="11"/>
        <color theme="1"/>
        <rFont val="宋体"/>
        <family val="2"/>
      </rPr>
      <t>鸡西市</t>
    </r>
  </si>
  <si>
    <r>
      <rPr>
        <sz val="11"/>
        <color theme="1"/>
        <rFont val="宋体"/>
        <family val="2"/>
      </rPr>
      <t>朔州市</t>
    </r>
  </si>
  <si>
    <r>
      <rPr>
        <sz val="11"/>
        <color theme="1"/>
        <rFont val="宋体"/>
        <family val="2"/>
      </rPr>
      <t>池州市</t>
    </r>
  </si>
  <si>
    <r>
      <rPr>
        <sz val="11"/>
        <color theme="1"/>
        <rFont val="宋体"/>
        <family val="2"/>
      </rPr>
      <t>黑河市</t>
    </r>
  </si>
  <si>
    <r>
      <rPr>
        <sz val="11"/>
        <color theme="1"/>
        <rFont val="宋体"/>
        <family val="2"/>
      </rPr>
      <t>雅安市</t>
    </r>
  </si>
  <si>
    <r>
      <rPr>
        <sz val="11"/>
        <color theme="1"/>
        <rFont val="宋体"/>
        <family val="2"/>
      </rPr>
      <t>黄山市</t>
    </r>
  </si>
  <si>
    <r>
      <rPr>
        <sz val="11"/>
        <color theme="1"/>
        <rFont val="宋体"/>
        <family val="2"/>
      </rPr>
      <t>珠海市</t>
    </r>
  </si>
  <si>
    <r>
      <rPr>
        <sz val="11"/>
        <color theme="1"/>
        <rFont val="宋体"/>
        <family val="2"/>
      </rPr>
      <t>固原市</t>
    </r>
  </si>
  <si>
    <r>
      <rPr>
        <sz val="11"/>
        <color theme="1"/>
        <rFont val="宋体"/>
        <family val="2"/>
      </rPr>
      <t>吴忠市</t>
    </r>
  </si>
  <si>
    <r>
      <rPr>
        <sz val="11"/>
        <color theme="1"/>
        <rFont val="宋体"/>
        <family val="2"/>
      </rPr>
      <t>本溪市</t>
    </r>
  </si>
  <si>
    <r>
      <rPr>
        <sz val="11"/>
        <color theme="1"/>
        <rFont val="宋体"/>
        <family val="2"/>
      </rPr>
      <t>双鸭山市</t>
    </r>
  </si>
  <si>
    <r>
      <rPr>
        <sz val="11"/>
        <color theme="1"/>
        <rFont val="宋体"/>
        <family val="2"/>
      </rPr>
      <t>阳泉市</t>
    </r>
  </si>
  <si>
    <r>
      <rPr>
        <sz val="11"/>
        <color theme="1"/>
        <rFont val="宋体"/>
        <family val="2"/>
      </rPr>
      <t>张掖市</t>
    </r>
  </si>
  <si>
    <r>
      <rPr>
        <sz val="11"/>
        <color theme="1"/>
        <rFont val="宋体"/>
        <family val="2"/>
      </rPr>
      <t>盘锦市</t>
    </r>
  </si>
  <si>
    <r>
      <rPr>
        <sz val="11"/>
        <color theme="1"/>
        <rFont val="宋体"/>
        <family val="2"/>
      </rPr>
      <t>鹰潭市</t>
    </r>
  </si>
  <si>
    <r>
      <rPr>
        <sz val="11"/>
        <color theme="1"/>
        <rFont val="宋体"/>
        <family val="2"/>
      </rPr>
      <t>新余市</t>
    </r>
  </si>
  <si>
    <r>
      <rPr>
        <sz val="11"/>
        <color theme="1"/>
        <rFont val="宋体"/>
        <family val="2"/>
      </rPr>
      <t>丽江市</t>
    </r>
  </si>
  <si>
    <r>
      <rPr>
        <sz val="11"/>
        <color theme="1"/>
        <rFont val="宋体"/>
        <family val="2"/>
      </rPr>
      <t>中卫市</t>
    </r>
  </si>
  <si>
    <r>
      <rPr>
        <sz val="11"/>
        <color theme="1"/>
        <rFont val="宋体"/>
        <family val="2"/>
      </rPr>
      <t>辽源市</t>
    </r>
  </si>
  <si>
    <r>
      <rPr>
        <sz val="11"/>
        <color theme="1"/>
        <rFont val="宋体"/>
        <family val="2"/>
      </rPr>
      <t>白山市</t>
    </r>
  </si>
  <si>
    <r>
      <rPr>
        <sz val="11"/>
        <color theme="1"/>
        <rFont val="宋体"/>
        <family val="2"/>
      </rPr>
      <t>鄂州市</t>
    </r>
  </si>
  <si>
    <r>
      <rPr>
        <sz val="11"/>
        <color theme="1"/>
        <rFont val="宋体"/>
        <family val="2"/>
      </rPr>
      <t>伊春市</t>
    </r>
  </si>
  <si>
    <r>
      <rPr>
        <sz val="11"/>
        <color theme="1"/>
        <rFont val="宋体"/>
        <family val="2"/>
      </rPr>
      <t>攀枝花市</t>
    </r>
  </si>
  <si>
    <r>
      <rPr>
        <sz val="11"/>
        <color theme="1"/>
        <rFont val="宋体"/>
        <family val="2"/>
      </rPr>
      <t>儋州市</t>
    </r>
  </si>
  <si>
    <r>
      <rPr>
        <sz val="11"/>
        <color theme="1"/>
        <rFont val="宋体"/>
        <family val="2"/>
      </rPr>
      <t>防城港市</t>
    </r>
  </si>
  <si>
    <r>
      <rPr>
        <sz val="11"/>
        <color theme="1"/>
        <rFont val="宋体"/>
        <family val="2"/>
      </rPr>
      <t>酒泉市</t>
    </r>
  </si>
  <si>
    <r>
      <rPr>
        <sz val="11"/>
        <color theme="1"/>
        <rFont val="宋体"/>
        <family val="2"/>
      </rPr>
      <t>鹤岗市</t>
    </r>
  </si>
  <si>
    <r>
      <rPr>
        <sz val="11"/>
        <color theme="1"/>
        <rFont val="宋体"/>
        <family val="2"/>
      </rPr>
      <t>舟山市</t>
    </r>
  </si>
  <si>
    <r>
      <rPr>
        <sz val="11"/>
        <color theme="1"/>
        <rFont val="宋体"/>
        <family val="2"/>
      </rPr>
      <t>日喀则市</t>
    </r>
  </si>
  <si>
    <r>
      <rPr>
        <sz val="11"/>
        <color theme="1"/>
        <rFont val="宋体"/>
        <family val="2"/>
      </rPr>
      <t>昌都市</t>
    </r>
  </si>
  <si>
    <r>
      <rPr>
        <sz val="11"/>
        <color theme="1"/>
        <rFont val="宋体"/>
        <family val="2"/>
      </rPr>
      <t>铜川市</t>
    </r>
  </si>
  <si>
    <r>
      <rPr>
        <sz val="11"/>
        <color theme="1"/>
        <rFont val="宋体"/>
        <family val="2"/>
      </rPr>
      <t>七台河市</t>
    </r>
  </si>
  <si>
    <r>
      <rPr>
        <sz val="11"/>
        <color theme="1"/>
        <rFont val="宋体"/>
        <family val="2"/>
      </rPr>
      <t>石嘴山市</t>
    </r>
  </si>
  <si>
    <r>
      <rPr>
        <sz val="11"/>
        <color theme="1"/>
        <rFont val="宋体"/>
        <family val="2"/>
      </rPr>
      <t>三亚市</t>
    </r>
  </si>
  <si>
    <r>
      <rPr>
        <sz val="11"/>
        <color theme="1"/>
        <rFont val="宋体"/>
        <family val="2"/>
      </rPr>
      <t>拉萨市</t>
    </r>
  </si>
  <si>
    <r>
      <rPr>
        <sz val="11"/>
        <color theme="1"/>
        <rFont val="宋体"/>
        <family val="2"/>
      </rPr>
      <t>金昌市</t>
    </r>
  </si>
  <si>
    <r>
      <rPr>
        <sz val="11"/>
        <color theme="1"/>
        <rFont val="宋体"/>
        <family val="2"/>
      </rPr>
      <t>乌海市</t>
    </r>
  </si>
  <si>
    <r>
      <rPr>
        <sz val="11"/>
        <color theme="1"/>
        <rFont val="宋体"/>
        <family val="2"/>
      </rPr>
      <t>山南市</t>
    </r>
  </si>
  <si>
    <r>
      <rPr>
        <sz val="11"/>
        <color theme="1"/>
        <rFont val="宋体"/>
        <family val="2"/>
      </rPr>
      <t>克拉玛依市</t>
    </r>
  </si>
  <si>
    <r>
      <rPr>
        <sz val="11"/>
        <color theme="1"/>
        <rFont val="宋体"/>
        <family val="2"/>
      </rPr>
      <t>林芝市</t>
    </r>
  </si>
  <si>
    <r>
      <rPr>
        <sz val="11"/>
        <color theme="1"/>
        <rFont val="宋体"/>
        <family val="2"/>
      </rPr>
      <t>嘉峪关市</t>
    </r>
  </si>
  <si>
    <r>
      <rPr>
        <sz val="11"/>
        <color theme="1"/>
        <rFont val="宋体"/>
        <family val="2"/>
      </rPr>
      <t>三沙市</t>
    </r>
  </si>
  <si>
    <r>
      <rPr>
        <sz val="11"/>
        <color theme="1"/>
        <rFont val="宋体"/>
        <family val="2"/>
      </rPr>
      <t>那曲市</t>
    </r>
  </si>
  <si>
    <r>
      <rPr>
        <sz val="11"/>
        <color theme="1"/>
        <rFont val="宋体"/>
        <family val="2"/>
      </rPr>
      <t>乌鲁木齐市</t>
    </r>
  </si>
  <si>
    <r>
      <rPr>
        <sz val="11"/>
        <color theme="1"/>
        <rFont val="宋体"/>
        <family val="2"/>
      </rPr>
      <t>吐鲁番市</t>
    </r>
  </si>
  <si>
    <r>
      <rPr>
        <sz val="11"/>
        <color theme="1"/>
        <rFont val="宋体"/>
        <family val="2"/>
      </rPr>
      <t>哈密市</t>
    </r>
  </si>
  <si>
    <t>菏泽市</t>
    <phoneticPr fontId="1" type="noConversion"/>
  </si>
  <si>
    <t>城市</t>
  </si>
  <si>
    <t>保护森林植被碳储量的目标体系</t>
  </si>
  <si>
    <t>提高森林植被碳储量的目标体系</t>
  </si>
  <si>
    <t>七台河市</t>
  </si>
  <si>
    <t>三亚市</t>
  </si>
  <si>
    <t>三明市</t>
  </si>
  <si>
    <t>三门峡市</t>
  </si>
  <si>
    <t>上饶市</t>
  </si>
  <si>
    <t>东莞市</t>
  </si>
  <si>
    <t>东营市</t>
  </si>
  <si>
    <t>中卫市</t>
  </si>
  <si>
    <t>中山市</t>
  </si>
  <si>
    <t>临汾市</t>
  </si>
  <si>
    <t>临沂市</t>
  </si>
  <si>
    <t>临沧市</t>
  </si>
  <si>
    <t>丹东市</t>
  </si>
  <si>
    <t>丽水市</t>
  </si>
  <si>
    <t>丽江市</t>
  </si>
  <si>
    <t>乌兰察布市</t>
  </si>
  <si>
    <t>乌海市</t>
  </si>
  <si>
    <t>乐山市</t>
  </si>
  <si>
    <t>九江市</t>
  </si>
  <si>
    <t>云浮市</t>
  </si>
  <si>
    <t>亳州市</t>
  </si>
  <si>
    <t>伊春市</t>
  </si>
  <si>
    <t>佛山市</t>
  </si>
  <si>
    <t>佳木斯市</t>
  </si>
  <si>
    <t>保定市</t>
  </si>
  <si>
    <t>保山市</t>
  </si>
  <si>
    <t>信阳市</t>
  </si>
  <si>
    <t>儋州市</t>
  </si>
  <si>
    <t>克拉玛依市</t>
  </si>
  <si>
    <t>六安市</t>
  </si>
  <si>
    <t>六盘水市</t>
  </si>
  <si>
    <t>内江市</t>
  </si>
  <si>
    <t>包头市</t>
  </si>
  <si>
    <t>北海市</t>
  </si>
  <si>
    <t>十堰市</t>
  </si>
  <si>
    <t>南平市</t>
  </si>
  <si>
    <t>南通市</t>
  </si>
  <si>
    <t>南阳市</t>
  </si>
  <si>
    <t>厦门市</t>
  </si>
  <si>
    <t>双鸭山市</t>
  </si>
  <si>
    <t>台州市</t>
  </si>
  <si>
    <t>吉安市</t>
  </si>
  <si>
    <t>吉林市</t>
  </si>
  <si>
    <t>吕梁市</t>
  </si>
  <si>
    <t>吴忠市</t>
  </si>
  <si>
    <t>周口市</t>
  </si>
  <si>
    <t>呼伦贝尔市</t>
  </si>
  <si>
    <t>咸宁市</t>
  </si>
  <si>
    <t>咸阳市</t>
  </si>
  <si>
    <t>哈密市</t>
  </si>
  <si>
    <t>唐山市</t>
  </si>
  <si>
    <t>商丘市</t>
  </si>
  <si>
    <t>商洛市</t>
  </si>
  <si>
    <t>嘉兴市</t>
  </si>
  <si>
    <t>嘉峪关市</t>
  </si>
  <si>
    <t>四平市</t>
  </si>
  <si>
    <t>固原市</t>
  </si>
  <si>
    <t>大同市</t>
  </si>
  <si>
    <t>大庆市</t>
  </si>
  <si>
    <t>大连市</t>
  </si>
  <si>
    <t>天水市</t>
  </si>
  <si>
    <t>威海市</t>
  </si>
  <si>
    <t>娄底市</t>
  </si>
  <si>
    <t>孝感市</t>
  </si>
  <si>
    <t>宁德市</t>
  </si>
  <si>
    <t>宁波市</t>
  </si>
  <si>
    <t>安庆市</t>
  </si>
  <si>
    <t>安康市</t>
  </si>
  <si>
    <t>安阳市</t>
  </si>
  <si>
    <t>安顺市</t>
  </si>
  <si>
    <t>定西市</t>
  </si>
  <si>
    <t>宜宾市</t>
  </si>
  <si>
    <t>宜昌市</t>
  </si>
  <si>
    <t>宜春市</t>
  </si>
  <si>
    <t>宝鸡市</t>
  </si>
  <si>
    <t>宣城市</t>
  </si>
  <si>
    <t>宿州市</t>
  </si>
  <si>
    <t>宿迁市</t>
  </si>
  <si>
    <t>岳阳市</t>
  </si>
  <si>
    <t>崇左市</t>
  </si>
  <si>
    <t>巴中市</t>
  </si>
  <si>
    <t>巴彦淖尔市</t>
  </si>
  <si>
    <t>常州市</t>
  </si>
  <si>
    <t>常德市</t>
  </si>
  <si>
    <t>平凉市</t>
  </si>
  <si>
    <t>平顶山市</t>
  </si>
  <si>
    <t>广元市</t>
  </si>
  <si>
    <t>广安市</t>
  </si>
  <si>
    <t>庆阳市</t>
  </si>
  <si>
    <t>廊坊市</t>
  </si>
  <si>
    <t>延安市</t>
  </si>
  <si>
    <t>开封市</t>
  </si>
  <si>
    <t>张家口市</t>
  </si>
  <si>
    <t>张家界市</t>
  </si>
  <si>
    <t>张掖市</t>
  </si>
  <si>
    <t>徐州市</t>
  </si>
  <si>
    <t>德州市</t>
  </si>
  <si>
    <t>德阳市</t>
  </si>
  <si>
    <t>忻州市</t>
  </si>
  <si>
    <t>怀化市</t>
  </si>
  <si>
    <t>惠州市</t>
  </si>
  <si>
    <t>扬州市</t>
  </si>
  <si>
    <t>承德市</t>
  </si>
  <si>
    <t>抚州市</t>
  </si>
  <si>
    <t>抚顺市</t>
  </si>
  <si>
    <t>揭阳市</t>
  </si>
  <si>
    <t>攀枝花市</t>
  </si>
  <si>
    <t>新乡市</t>
  </si>
  <si>
    <t>新余市</t>
  </si>
  <si>
    <t>无锡市</t>
  </si>
  <si>
    <t>日喀则市</t>
  </si>
  <si>
    <t>日照市</t>
  </si>
  <si>
    <t>昌都市</t>
  </si>
  <si>
    <t>晋中市</t>
  </si>
  <si>
    <t>晋城市</t>
  </si>
  <si>
    <t>景德镇市</t>
  </si>
  <si>
    <t>曲靖市</t>
  </si>
  <si>
    <t>朔州市</t>
  </si>
  <si>
    <t>朝阳市</t>
  </si>
  <si>
    <t>本溪市</t>
  </si>
  <si>
    <t>来宾市</t>
  </si>
  <si>
    <t>松原市</t>
  </si>
  <si>
    <t>林芝市</t>
  </si>
  <si>
    <t>枣庄市</t>
  </si>
  <si>
    <t>柳州市</t>
  </si>
  <si>
    <t>株洲市</t>
  </si>
  <si>
    <t>桂林市</t>
  </si>
  <si>
    <t>梅州市</t>
  </si>
  <si>
    <t>梧州市</t>
  </si>
  <si>
    <t>榆林市</t>
  </si>
  <si>
    <t>武威市</t>
  </si>
  <si>
    <t>毕节市</t>
  </si>
  <si>
    <t>永州市</t>
  </si>
  <si>
    <t>汉中市</t>
  </si>
  <si>
    <t>汕头市</t>
  </si>
  <si>
    <t>汕尾市</t>
  </si>
  <si>
    <t>江门市</t>
  </si>
  <si>
    <t>池州市</t>
  </si>
  <si>
    <t>沧州市</t>
  </si>
  <si>
    <t>河池市</t>
  </si>
  <si>
    <t>河源市</t>
  </si>
  <si>
    <t>泉州市</t>
  </si>
  <si>
    <t>泰安市</t>
  </si>
  <si>
    <t>泰州市</t>
  </si>
  <si>
    <t>泸州市</t>
  </si>
  <si>
    <t>洛阳市</t>
  </si>
  <si>
    <t>济宁市</t>
  </si>
  <si>
    <t>淄博市</t>
  </si>
  <si>
    <t>淮北市</t>
  </si>
  <si>
    <t>淮南市</t>
  </si>
  <si>
    <t>淮安市</t>
  </si>
  <si>
    <t>深圳市</t>
  </si>
  <si>
    <t>清远市</t>
  </si>
  <si>
    <t>温州市</t>
  </si>
  <si>
    <t>渭南市</t>
  </si>
  <si>
    <t>湖州市</t>
  </si>
  <si>
    <t>湘潭市</t>
  </si>
  <si>
    <t>湛江市</t>
  </si>
  <si>
    <t>滁州市</t>
  </si>
  <si>
    <t>滨州市</t>
  </si>
  <si>
    <t>漯河市</t>
  </si>
  <si>
    <t>漳州市</t>
  </si>
  <si>
    <t>潍坊市</t>
  </si>
  <si>
    <t>潮州市</t>
  </si>
  <si>
    <t>濮阳市</t>
  </si>
  <si>
    <t>烟台市</t>
  </si>
  <si>
    <t>焦作市</t>
  </si>
  <si>
    <t>牡丹江市</t>
  </si>
  <si>
    <t>玉林市</t>
  </si>
  <si>
    <t>玉溪市</t>
  </si>
  <si>
    <t>珠海市</t>
  </si>
  <si>
    <t>白城市</t>
  </si>
  <si>
    <t>白山市</t>
  </si>
  <si>
    <t>白银市</t>
  </si>
  <si>
    <t>百色市</t>
  </si>
  <si>
    <t>益阳市</t>
  </si>
  <si>
    <t>盐城市</t>
  </si>
  <si>
    <t>盘锦市</t>
  </si>
  <si>
    <t>石嘴山市</t>
  </si>
  <si>
    <t>秦皇岛市</t>
  </si>
  <si>
    <t>绍兴市</t>
  </si>
  <si>
    <t>绥化市</t>
  </si>
  <si>
    <t>绵阳市</t>
  </si>
  <si>
    <t>聊城市</t>
  </si>
  <si>
    <t>肇庆市</t>
  </si>
  <si>
    <t>自贡市</t>
  </si>
  <si>
    <t>舟山市</t>
  </si>
  <si>
    <t>芜湖市</t>
  </si>
  <si>
    <t>苏州市</t>
  </si>
  <si>
    <t>茂名市</t>
  </si>
  <si>
    <t>荆州市</t>
  </si>
  <si>
    <t>荆门市</t>
  </si>
  <si>
    <t>莆田市</t>
  </si>
  <si>
    <t>菏泽市</t>
  </si>
  <si>
    <t>营口市</t>
  </si>
  <si>
    <t>葫芦岛市</t>
  </si>
  <si>
    <t>蚌埠市</t>
  </si>
  <si>
    <t>衡水市</t>
  </si>
  <si>
    <t>衡阳市</t>
  </si>
  <si>
    <t>衢州市</t>
  </si>
  <si>
    <t>襄阳市</t>
  </si>
  <si>
    <t>许昌市</t>
  </si>
  <si>
    <t>贵港市</t>
  </si>
  <si>
    <t>贺州市</t>
  </si>
  <si>
    <t>赣州市</t>
  </si>
  <si>
    <t>赤峰市</t>
  </si>
  <si>
    <t>辽源市</t>
  </si>
  <si>
    <t>辽阳市</t>
  </si>
  <si>
    <t>达州市</t>
  </si>
  <si>
    <t>运城市</t>
  </si>
  <si>
    <t>通化市</t>
  </si>
  <si>
    <t>通辽市</t>
  </si>
  <si>
    <t>遂宁市</t>
  </si>
  <si>
    <t>遵义市</t>
  </si>
  <si>
    <t>邢台市</t>
  </si>
  <si>
    <t>那曲市</t>
  </si>
  <si>
    <t>邵阳市</t>
  </si>
  <si>
    <t>郴州市</t>
  </si>
  <si>
    <t>鄂尔多斯市</t>
  </si>
  <si>
    <t>鄂州市</t>
  </si>
  <si>
    <t>酒泉市</t>
  </si>
  <si>
    <t>金华市</t>
  </si>
  <si>
    <t>金昌市</t>
  </si>
  <si>
    <t>钦州市</t>
  </si>
  <si>
    <t>铁岭市</t>
  </si>
  <si>
    <t>铜仁市</t>
  </si>
  <si>
    <t>铜川市</t>
  </si>
  <si>
    <t>铜陵市</t>
  </si>
  <si>
    <t>锦州市</t>
  </si>
  <si>
    <t>镇江市</t>
  </si>
  <si>
    <t>长治市</t>
  </si>
  <si>
    <t>阜新市</t>
  </si>
  <si>
    <t>阜阳市</t>
  </si>
  <si>
    <t>防城港市</t>
  </si>
  <si>
    <t>阳江市</t>
  </si>
  <si>
    <t>阳泉市</t>
  </si>
  <si>
    <t>陇南市</t>
  </si>
  <si>
    <t>随州市</t>
  </si>
  <si>
    <t>雅安市</t>
  </si>
  <si>
    <t>鞍山市</t>
  </si>
  <si>
    <t>韶关市</t>
  </si>
  <si>
    <t>马鞍山市</t>
  </si>
  <si>
    <t>驻马店市</t>
  </si>
  <si>
    <t>鸡西市</t>
  </si>
  <si>
    <t>鹤壁市</t>
  </si>
  <si>
    <t>鹤岗市</t>
  </si>
  <si>
    <t>鹰潭市</t>
  </si>
  <si>
    <t>黄冈市</t>
  </si>
  <si>
    <t>黄山市</t>
  </si>
  <si>
    <t>黄石市</t>
  </si>
  <si>
    <t>黑河市</t>
  </si>
  <si>
    <t>龙岩市</t>
  </si>
  <si>
    <t>森林覆盖率（%）</t>
  </si>
  <si>
    <r>
      <t>森林火灾受害率</t>
    </r>
    <r>
      <rPr>
        <b/>
        <sz val="11"/>
        <rFont val="宋体"/>
        <family val="1"/>
        <charset val="134"/>
      </rPr>
      <t>（‰）</t>
    </r>
    <phoneticPr fontId="1" type="noConversion"/>
  </si>
  <si>
    <r>
      <rPr>
        <b/>
        <sz val="11"/>
        <rFont val="宋体"/>
        <family val="3"/>
        <charset val="134"/>
      </rPr>
      <t>林业有害生物成灾率</t>
    </r>
    <r>
      <rPr>
        <b/>
        <sz val="11"/>
        <rFont val="宋体"/>
        <family val="1"/>
        <charset val="134"/>
      </rPr>
      <t>（‰）</t>
    </r>
    <phoneticPr fontId="1" type="noConversion"/>
  </si>
  <si>
    <t>邯郸市</t>
  </si>
  <si>
    <t>南充市</t>
  </si>
  <si>
    <t>昭通市</t>
  </si>
  <si>
    <t>连云港市</t>
  </si>
  <si>
    <t>齐齐哈尔市</t>
  </si>
  <si>
    <t>眉山市</t>
  </si>
  <si>
    <t>资阳市</t>
  </si>
  <si>
    <t>普洱市</t>
  </si>
  <si>
    <t>萍乡市</t>
  </si>
  <si>
    <t>海东市</t>
  </si>
  <si>
    <t>山南市</t>
  </si>
  <si>
    <t>三沙市</t>
  </si>
  <si>
    <t>吐鲁番市</t>
  </si>
  <si>
    <t>相关机制的完善和畅通程度</t>
  </si>
  <si>
    <t>专项资金投入力度</t>
  </si>
  <si>
    <t>人力资源保障程度</t>
  </si>
  <si>
    <t>技术条件保障程度</t>
  </si>
  <si>
    <t>上海</t>
  </si>
  <si>
    <t>乌鲁木齐</t>
  </si>
  <si>
    <t>兰州</t>
  </si>
  <si>
    <t>北京</t>
  </si>
  <si>
    <t>南京</t>
  </si>
  <si>
    <t>南宁</t>
  </si>
  <si>
    <t>南昌</t>
  </si>
  <si>
    <t>合肥</t>
  </si>
  <si>
    <t>呼和浩特</t>
  </si>
  <si>
    <t>哈尔滨</t>
  </si>
  <si>
    <t>天津</t>
  </si>
  <si>
    <t>太原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</si>
  <si>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</si>
  <si>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</si>
  <si>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</si>
  <si>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</si>
  <si>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</si>
  <si>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</si>
  <si>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</si>
  <si>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</si>
  <si>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</si>
  <si>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</si>
  <si>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</si>
  <si>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</si>
  <si>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</si>
  <si>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</si>
  <si>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</si>
  <si>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</si>
  <si>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</si>
  <si>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</si>
  <si>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落实监督行为的机制保障</t>
  </si>
  <si>
    <t>落实监督行为的资源保障</t>
  </si>
  <si>
    <t>监督行为的体现形式</t>
  </si>
  <si>
    <t>奖励对提升森林碳汇水平有突出贡献的主体</t>
  </si>
  <si>
    <t>处罚破坏森林碳汇的主体</t>
  </si>
  <si>
    <t>森林碳汇建设工作的总结</t>
  </si>
  <si>
    <t>占比</t>
    <phoneticPr fontId="1" type="noConversion"/>
  </si>
  <si>
    <t>重庆</t>
    <phoneticPr fontId="1" type="noConversion"/>
  </si>
  <si>
    <t>上海</t>
    <phoneticPr fontId="1" type="noConversion"/>
  </si>
  <si>
    <t>北京</t>
    <phoneticPr fontId="1" type="noConversion"/>
  </si>
  <si>
    <t>成都</t>
    <phoneticPr fontId="1" type="noConversion"/>
  </si>
  <si>
    <t>沈阳</t>
    <phoneticPr fontId="1" type="noConversion"/>
  </si>
  <si>
    <t>合肥</t>
    <phoneticPr fontId="1" type="noConversion"/>
  </si>
  <si>
    <t>南宁</t>
    <phoneticPr fontId="1" type="noConversion"/>
  </si>
  <si>
    <t>济南</t>
    <phoneticPr fontId="1" type="noConversion"/>
  </si>
  <si>
    <t>长春</t>
    <phoneticPr fontId="1" type="noConversion"/>
  </si>
  <si>
    <t>哈尔滨</t>
    <phoneticPr fontId="1" type="noConversion"/>
  </si>
  <si>
    <t>武汉</t>
    <phoneticPr fontId="1" type="noConversion"/>
  </si>
  <si>
    <t>徐州市</t>
    <phoneticPr fontId="1" type="noConversion"/>
  </si>
  <si>
    <t>商丘市</t>
    <phoneticPr fontId="1" type="noConversion"/>
  </si>
  <si>
    <t>广州</t>
    <phoneticPr fontId="1" type="noConversion"/>
  </si>
  <si>
    <t>西安</t>
    <phoneticPr fontId="1" type="noConversion"/>
  </si>
  <si>
    <t>西宁</t>
    <phoneticPr fontId="1" type="noConversion"/>
  </si>
  <si>
    <t>海口</t>
    <phoneticPr fontId="1" type="noConversion"/>
  </si>
  <si>
    <t>杭州</t>
    <phoneticPr fontId="1" type="noConversion"/>
  </si>
  <si>
    <t>福州</t>
    <phoneticPr fontId="1" type="noConversion"/>
  </si>
  <si>
    <t>兰州</t>
    <phoneticPr fontId="1" type="noConversion"/>
  </si>
  <si>
    <t>贵阳</t>
    <phoneticPr fontId="1" type="noConversion"/>
  </si>
  <si>
    <t>石家庄</t>
    <phoneticPr fontId="1" type="noConversion"/>
  </si>
  <si>
    <t>郑州</t>
    <phoneticPr fontId="1" type="noConversion"/>
  </si>
  <si>
    <t>南京</t>
    <phoneticPr fontId="1" type="noConversion"/>
  </si>
  <si>
    <t>南昌</t>
    <phoneticPr fontId="1" type="noConversion"/>
  </si>
  <si>
    <t>呼和浩特</t>
    <phoneticPr fontId="1" type="noConversion"/>
  </si>
  <si>
    <t>乌鲁木齐</t>
    <phoneticPr fontId="1" type="noConversion"/>
  </si>
  <si>
    <t>银川</t>
    <phoneticPr fontId="1" type="noConversion"/>
  </si>
  <si>
    <t>太原</t>
    <phoneticPr fontId="1" type="noConversion"/>
  </si>
  <si>
    <t>天津</t>
    <phoneticPr fontId="1" type="noConversion"/>
  </si>
  <si>
    <t>拉萨</t>
    <phoneticPr fontId="1" type="noConversion"/>
  </si>
  <si>
    <t>昆明</t>
    <phoneticPr fontId="1" type="noConversion"/>
  </si>
  <si>
    <t>长沙</t>
    <phoneticPr fontId="1" type="noConversion"/>
  </si>
  <si>
    <t>长沙</t>
    <phoneticPr fontId="14" type="noConversion"/>
  </si>
  <si>
    <t>P</t>
    <phoneticPr fontId="1" type="noConversion"/>
  </si>
  <si>
    <r>
      <rPr>
        <sz val="11"/>
        <color theme="1"/>
        <rFont val="宋体"/>
        <family val="2"/>
      </rPr>
      <t>菏泽市</t>
    </r>
  </si>
  <si>
    <t>I</t>
    <phoneticPr fontId="1" type="noConversion"/>
  </si>
  <si>
    <t>C</t>
    <phoneticPr fontId="1" type="noConversion"/>
  </si>
  <si>
    <t>O</t>
    <phoneticPr fontId="1" type="noConversion"/>
  </si>
  <si>
    <t>F</t>
    <phoneticPr fontId="1" type="noConversion"/>
  </si>
  <si>
    <t>青岛市</t>
    <phoneticPr fontId="1" type="noConversion"/>
  </si>
  <si>
    <t>森林植被碳储量（万吨）</t>
    <phoneticPr fontId="1" type="noConversion"/>
  </si>
  <si>
    <r>
      <rPr>
        <b/>
        <sz val="16"/>
        <color rgb="FFFF0000"/>
        <rFont val="宋体"/>
        <family val="3"/>
        <charset val="134"/>
      </rPr>
      <t>碳储量公式：</t>
    </r>
    <r>
      <rPr>
        <b/>
        <sz val="16"/>
        <color rgb="FFFF0000"/>
        <rFont val="Times New Roman"/>
        <family val="1"/>
      </rPr>
      <t xml:space="preserve">TC=V*δ*ρ*γ. </t>
    </r>
    <r>
      <rPr>
        <b/>
        <sz val="16"/>
        <color rgb="FFFF0000"/>
        <rFont val="Calibri"/>
        <family val="1"/>
        <charset val="161"/>
      </rPr>
      <t>Δ</t>
    </r>
    <r>
      <rPr>
        <b/>
        <sz val="16"/>
        <color rgb="FFFF0000"/>
        <rFont val="Times New Roman"/>
        <family val="1"/>
      </rPr>
      <t xml:space="preserve">=1.9; </t>
    </r>
    <r>
      <rPr>
        <b/>
        <sz val="16"/>
        <color rgb="FFFF0000"/>
        <rFont val="Calibri"/>
        <family val="1"/>
        <charset val="161"/>
      </rPr>
      <t>ρ</t>
    </r>
    <r>
      <rPr>
        <b/>
        <sz val="16"/>
        <color rgb="FFFF0000"/>
        <rFont val="宋体"/>
        <family val="1"/>
        <charset val="134"/>
      </rPr>
      <t>=0.5t/m</t>
    </r>
    <r>
      <rPr>
        <b/>
        <vertAlign val="superscript"/>
        <sz val="16"/>
        <color rgb="FFFF0000"/>
        <rFont val="宋体"/>
        <family val="3"/>
        <charset val="134"/>
      </rPr>
      <t>3</t>
    </r>
    <r>
      <rPr>
        <b/>
        <sz val="16"/>
        <color rgb="FFFF0000"/>
        <rFont val="宋体"/>
        <family val="1"/>
        <charset val="134"/>
      </rPr>
      <t xml:space="preserve">; </t>
    </r>
    <r>
      <rPr>
        <b/>
        <sz val="16"/>
        <color rgb="FFFF0000"/>
        <rFont val="Calibri"/>
        <family val="1"/>
        <charset val="161"/>
      </rPr>
      <t>γ</t>
    </r>
    <r>
      <rPr>
        <b/>
        <sz val="16"/>
        <color rgb="FFFF0000"/>
        <rFont val="宋体"/>
        <family val="1"/>
        <charset val="134"/>
      </rPr>
      <t>=0.5</t>
    </r>
    <phoneticPr fontId="1" type="noConversion"/>
  </si>
  <si>
    <t>https://www.huangshan.gov.cn/zxzx/qxdt/8375213.html</t>
  </si>
  <si>
    <t>https://lyj.huainan.gov.cn/content/article/551657719</t>
  </si>
  <si>
    <r>
      <t>I</t>
    </r>
    <r>
      <rPr>
        <sz val="11"/>
        <color theme="1"/>
        <rFont val="宋体"/>
        <family val="1"/>
        <charset val="134"/>
      </rPr>
      <t>环节得分</t>
    </r>
    <phoneticPr fontId="1" type="noConversion"/>
  </si>
  <si>
    <t>C环节得分</t>
    <phoneticPr fontId="1" type="noConversion"/>
  </si>
  <si>
    <t>O环节得分</t>
    <phoneticPr fontId="1" type="noConversion"/>
  </si>
  <si>
    <t>F环节得分</t>
    <phoneticPr fontId="1" type="noConversion"/>
  </si>
  <si>
    <r>
      <t>P</t>
    </r>
    <r>
      <rPr>
        <b/>
        <sz val="11"/>
        <color theme="1"/>
        <rFont val="宋体"/>
        <family val="3"/>
        <charset val="134"/>
      </rPr>
      <t>环节得分</t>
    </r>
    <phoneticPr fontId="1" type="noConversion"/>
  </si>
  <si>
    <r>
      <rPr>
        <b/>
        <sz val="16"/>
        <color theme="1"/>
        <rFont val="宋体"/>
        <family val="2"/>
      </rPr>
      <t>城市</t>
    </r>
  </si>
  <si>
    <t>Fo-α</t>
    <phoneticPr fontId="1" type="noConversion"/>
  </si>
  <si>
    <r>
      <t>W</t>
    </r>
    <r>
      <rPr>
        <vertAlign val="subscript"/>
        <sz val="14"/>
        <color theme="1"/>
        <rFont val="Times New Roman"/>
        <family val="1"/>
      </rPr>
      <t>p</t>
    </r>
    <phoneticPr fontId="1" type="noConversion"/>
  </si>
  <si>
    <r>
      <t>W</t>
    </r>
    <r>
      <rPr>
        <vertAlign val="subscript"/>
        <sz val="14"/>
        <color theme="1"/>
        <rFont val="Times New Roman"/>
        <family val="1"/>
      </rPr>
      <t>I</t>
    </r>
    <phoneticPr fontId="1" type="noConversion"/>
  </si>
  <si>
    <r>
      <t>W</t>
    </r>
    <r>
      <rPr>
        <vertAlign val="subscript"/>
        <sz val="14"/>
        <color theme="1"/>
        <rFont val="Times New Roman"/>
        <family val="1"/>
      </rPr>
      <t>C</t>
    </r>
    <phoneticPr fontId="1" type="noConversion"/>
  </si>
  <si>
    <r>
      <t>W</t>
    </r>
    <r>
      <rPr>
        <vertAlign val="subscript"/>
        <sz val="14"/>
        <color theme="1"/>
        <rFont val="Times New Roman"/>
        <family val="1"/>
      </rPr>
      <t>O</t>
    </r>
    <phoneticPr fontId="1" type="noConversion"/>
  </si>
  <si>
    <r>
      <t>W</t>
    </r>
    <r>
      <rPr>
        <vertAlign val="subscript"/>
        <sz val="14"/>
        <color theme="1"/>
        <rFont val="Times New Roman"/>
        <family val="1"/>
      </rPr>
      <t>F</t>
    </r>
    <phoneticPr fontId="1" type="noConversion"/>
  </si>
  <si>
    <r>
      <t>Fo</t>
    </r>
    <r>
      <rPr>
        <sz val="12"/>
        <color theme="1"/>
        <rFont val="宋体"/>
        <family val="1"/>
        <charset val="134"/>
      </rPr>
      <t>维度得分</t>
    </r>
    <phoneticPr fontId="1" type="noConversion"/>
  </si>
  <si>
    <r>
      <rPr>
        <sz val="11"/>
        <color theme="1"/>
        <rFont val="宋体"/>
        <family val="2"/>
      </rPr>
      <t>重庆</t>
    </r>
  </si>
  <si>
    <r>
      <rPr>
        <sz val="11"/>
        <color theme="1"/>
        <rFont val="宋体"/>
        <family val="2"/>
      </rPr>
      <t>成都</t>
    </r>
  </si>
  <si>
    <r>
      <rPr>
        <sz val="11"/>
        <color theme="1"/>
        <rFont val="宋体"/>
        <family val="2"/>
      </rPr>
      <t>上海</t>
    </r>
  </si>
  <si>
    <r>
      <rPr>
        <sz val="11"/>
        <color theme="1"/>
        <rFont val="宋体"/>
        <family val="2"/>
      </rPr>
      <t>北京</t>
    </r>
  </si>
  <si>
    <r>
      <rPr>
        <sz val="11"/>
        <color theme="1"/>
        <rFont val="宋体"/>
        <family val="2"/>
      </rPr>
      <t>天津</t>
    </r>
  </si>
  <si>
    <r>
      <rPr>
        <sz val="11"/>
        <color theme="1"/>
        <rFont val="宋体"/>
        <family val="2"/>
      </rPr>
      <t>石家庄</t>
    </r>
  </si>
  <si>
    <r>
      <rPr>
        <sz val="11"/>
        <color theme="1"/>
        <rFont val="宋体"/>
        <family val="2"/>
      </rPr>
      <t>广州</t>
    </r>
  </si>
  <si>
    <r>
      <rPr>
        <sz val="11"/>
        <color theme="1"/>
        <rFont val="宋体"/>
        <family val="2"/>
      </rPr>
      <t>西安</t>
    </r>
  </si>
  <si>
    <r>
      <rPr>
        <sz val="11"/>
        <color theme="1"/>
        <rFont val="宋体"/>
        <family val="2"/>
      </rPr>
      <t>哈尔滨</t>
    </r>
  </si>
  <si>
    <r>
      <rPr>
        <sz val="11"/>
        <color theme="1"/>
        <rFont val="宋体"/>
        <family val="2"/>
      </rPr>
      <t>武汉</t>
    </r>
  </si>
  <si>
    <r>
      <rPr>
        <sz val="11"/>
        <color theme="1"/>
        <rFont val="宋体"/>
        <family val="2"/>
      </rPr>
      <t>郑州</t>
    </r>
  </si>
  <si>
    <r>
      <rPr>
        <sz val="11"/>
        <color theme="1"/>
        <rFont val="宋体"/>
        <family val="2"/>
      </rPr>
      <t>长春</t>
    </r>
  </si>
  <si>
    <r>
      <rPr>
        <sz val="11"/>
        <color theme="1"/>
        <rFont val="宋体"/>
        <family val="2"/>
      </rPr>
      <t>青岛</t>
    </r>
    <r>
      <rPr>
        <sz val="11"/>
        <color theme="1"/>
        <rFont val="宋体"/>
        <family val="1"/>
        <charset val="134"/>
      </rPr>
      <t>市</t>
    </r>
    <phoneticPr fontId="1" type="noConversion"/>
  </si>
  <si>
    <r>
      <rPr>
        <sz val="11"/>
        <color theme="1"/>
        <rFont val="宋体"/>
        <family val="2"/>
      </rPr>
      <t>杭州</t>
    </r>
  </si>
  <si>
    <r>
      <rPr>
        <sz val="11"/>
        <color theme="1"/>
        <rFont val="宋体"/>
        <family val="2"/>
      </rPr>
      <t>济南</t>
    </r>
  </si>
  <si>
    <r>
      <rPr>
        <sz val="11"/>
        <color theme="1"/>
        <rFont val="宋体"/>
        <family val="2"/>
      </rPr>
      <t>南宁</t>
    </r>
  </si>
  <si>
    <r>
      <rPr>
        <sz val="11"/>
        <color theme="1"/>
        <rFont val="宋体"/>
        <family val="2"/>
      </rPr>
      <t>合肥</t>
    </r>
  </si>
  <si>
    <r>
      <rPr>
        <sz val="11"/>
        <color theme="1"/>
        <rFont val="宋体"/>
        <family val="2"/>
      </rPr>
      <t>沈阳</t>
    </r>
  </si>
  <si>
    <r>
      <rPr>
        <sz val="11"/>
        <color theme="1"/>
        <rFont val="宋体"/>
        <family val="2"/>
      </rPr>
      <t>长沙</t>
    </r>
  </si>
  <si>
    <r>
      <rPr>
        <sz val="11"/>
        <color theme="1"/>
        <rFont val="宋体"/>
        <family val="2"/>
      </rPr>
      <t>南京</t>
    </r>
  </si>
  <si>
    <r>
      <rPr>
        <sz val="11"/>
        <color theme="1"/>
        <rFont val="宋体"/>
        <family val="2"/>
      </rPr>
      <t>福州</t>
    </r>
  </si>
  <si>
    <r>
      <rPr>
        <sz val="11"/>
        <color theme="1"/>
        <rFont val="宋体"/>
        <family val="2"/>
      </rPr>
      <t>昆明</t>
    </r>
  </si>
  <si>
    <r>
      <rPr>
        <sz val="11"/>
        <color theme="1"/>
        <rFont val="宋体"/>
        <family val="2"/>
      </rPr>
      <t>南昌</t>
    </r>
  </si>
  <si>
    <r>
      <rPr>
        <sz val="11"/>
        <color theme="1"/>
        <rFont val="宋体"/>
        <family val="2"/>
      </rPr>
      <t>贵阳</t>
    </r>
  </si>
  <si>
    <r>
      <rPr>
        <sz val="11"/>
        <color theme="1"/>
        <rFont val="宋体"/>
        <family val="2"/>
      </rPr>
      <t>太原</t>
    </r>
  </si>
  <si>
    <r>
      <rPr>
        <sz val="11"/>
        <color theme="1"/>
        <rFont val="宋体"/>
        <family val="2"/>
      </rPr>
      <t>兰州</t>
    </r>
  </si>
  <si>
    <r>
      <rPr>
        <sz val="11"/>
        <color theme="1"/>
        <rFont val="宋体"/>
        <family val="2"/>
      </rPr>
      <t>呼和浩特</t>
    </r>
  </si>
  <si>
    <r>
      <rPr>
        <sz val="11"/>
        <color theme="1"/>
        <rFont val="宋体"/>
        <family val="2"/>
      </rPr>
      <t>海口</t>
    </r>
  </si>
  <si>
    <r>
      <rPr>
        <sz val="11"/>
        <color theme="1"/>
        <rFont val="宋体"/>
        <family val="2"/>
      </rPr>
      <t>西宁</t>
    </r>
  </si>
  <si>
    <r>
      <rPr>
        <sz val="11"/>
        <color theme="1"/>
        <rFont val="宋体"/>
        <family val="2"/>
      </rPr>
      <t>银川</t>
    </r>
  </si>
  <si>
    <r>
      <rPr>
        <sz val="11"/>
        <color theme="1"/>
        <rFont val="宋体"/>
        <family val="2"/>
      </rPr>
      <t>拉萨</t>
    </r>
  </si>
  <si>
    <t>/</t>
    <phoneticPr fontId="1" type="noConversion"/>
  </si>
  <si>
    <r>
      <rPr>
        <sz val="11"/>
        <color theme="1"/>
        <rFont val="宋体"/>
        <family val="2"/>
      </rPr>
      <t>乌鲁木齐</t>
    </r>
  </si>
  <si>
    <t>/</t>
  </si>
  <si>
    <t>P</t>
  </si>
  <si>
    <t>I</t>
  </si>
  <si>
    <t>C</t>
  </si>
  <si>
    <t>O</t>
  </si>
  <si>
    <t>F</t>
  </si>
  <si>
    <t>Fo-α</t>
  </si>
  <si>
    <t>Fo维度得分</t>
  </si>
  <si>
    <t>排序</t>
  </si>
  <si>
    <t>青岛市</t>
  </si>
  <si>
    <t>长沙</t>
  </si>
  <si>
    <t>300城市排序</t>
    <phoneticPr fontId="1" type="noConversion"/>
  </si>
  <si>
    <r>
      <t>36</t>
    </r>
    <r>
      <rPr>
        <sz val="14"/>
        <color theme="1"/>
        <rFont val="宋体"/>
        <family val="2"/>
      </rPr>
      <t>城市排序</t>
    </r>
    <phoneticPr fontId="1" type="noConversion"/>
  </si>
  <si>
    <r>
      <t>1.0</t>
    </r>
    <r>
      <rPr>
        <sz val="14"/>
        <color theme="1"/>
        <rFont val="宋体"/>
        <family val="2"/>
      </rPr>
      <t>排序</t>
    </r>
    <phoneticPr fontId="1" type="noConversion"/>
  </si>
  <si>
    <r>
      <rPr>
        <b/>
        <sz val="14"/>
        <color theme="1"/>
        <rFont val="宋体"/>
        <family val="3"/>
        <charset val="134"/>
      </rPr>
      <t>行政组别</t>
    </r>
    <phoneticPr fontId="1" type="noConversion"/>
  </si>
  <si>
    <t>无法打分</t>
    <phoneticPr fontId="1" type="noConversion"/>
  </si>
  <si>
    <r>
      <t>P</t>
    </r>
    <r>
      <rPr>
        <sz val="14"/>
        <color theme="1"/>
        <rFont val="宋体"/>
        <family val="2"/>
      </rPr>
      <t>修正</t>
    </r>
    <phoneticPr fontId="1" type="noConversion"/>
  </si>
  <si>
    <r>
      <t>O</t>
    </r>
    <r>
      <rPr>
        <sz val="14"/>
        <color theme="1"/>
        <rFont val="宋体"/>
        <family val="2"/>
      </rPr>
      <t>修正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</si>
</sst>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0_);[Red]\(0\)"/>
    <numFmt numFmtId="179" formatCode="0.0_);[Red]\(0.0\)"/>
    <numFmt numFmtId="180" formatCode="0.00_);[Red]\(0.00\)"/>
  </numFmts>
  <fonts count="3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1"/>
      <color theme="1"/>
      <name val="宋体"/>
      <family val="3"/>
      <charset val="134"/>
    </font>
    <font>
      <b/>
      <sz val="12"/>
      <color rgb="FFFF0000"/>
      <name val="Times New Roman"/>
      <family val="1"/>
    </font>
    <font>
      <b/>
      <sz val="1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6"/>
      <name val="宋体"/>
      <family val="3"/>
      <charset val="134"/>
    </font>
    <font>
      <b/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</font>
    <font>
      <sz val="11"/>
      <color theme="1"/>
      <name val="宋体"/>
      <family val="1"/>
      <charset val="134"/>
    </font>
    <font>
      <b/>
      <sz val="16"/>
      <color rgb="FFFF0000"/>
      <name val="Times New Roman"/>
      <family val="3"/>
      <charset val="134"/>
    </font>
    <font>
      <b/>
      <sz val="16"/>
      <color rgb="FFFF0000"/>
      <name val="宋体"/>
      <family val="3"/>
      <charset val="134"/>
    </font>
    <font>
      <b/>
      <sz val="16"/>
      <color rgb="FFFF0000"/>
      <name val="Times New Roman"/>
      <family val="1"/>
    </font>
    <font>
      <b/>
      <sz val="16"/>
      <color rgb="FFFF0000"/>
      <name val="Calibri"/>
      <family val="1"/>
      <charset val="161"/>
    </font>
    <font>
      <b/>
      <sz val="16"/>
      <color rgb="FFFF0000"/>
      <name val="宋体"/>
      <family val="1"/>
      <charset val="134"/>
    </font>
    <font>
      <b/>
      <vertAlign val="superscript"/>
      <sz val="16"/>
      <color rgb="FFFF0000"/>
      <name val="宋体"/>
      <family val="3"/>
      <charset val="134"/>
    </font>
    <font>
      <b/>
      <sz val="16"/>
      <color theme="1"/>
      <name val="Times New Roman"/>
      <family val="1"/>
    </font>
    <font>
      <b/>
      <sz val="16"/>
      <color theme="1"/>
      <name val="宋体"/>
      <family val="2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14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0000"/>
      <name val="宋体"/>
      <family val="1"/>
      <charset val="134"/>
    </font>
    <font>
      <b/>
      <sz val="14"/>
      <color rgb="FF00B0F0"/>
      <name val="Times New Roman"/>
      <family val="1"/>
    </font>
    <font>
      <b/>
      <sz val="14"/>
      <color theme="1"/>
      <name val="宋体"/>
      <family val="3"/>
      <charset val="134"/>
      <scheme val="major"/>
    </font>
    <font>
      <sz val="14"/>
      <color theme="1"/>
      <name val="宋体"/>
      <family val="2"/>
    </font>
    <font>
      <sz val="16"/>
      <color theme="1"/>
      <name val="Times New Roman"/>
      <family val="1"/>
    </font>
    <font>
      <b/>
      <sz val="14"/>
      <color theme="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177" fontId="2" fillId="0" borderId="1" xfId="0" applyNumberFormat="1" applyFont="1" applyBorder="1" applyAlignment="1">
      <alignment horizontal="center" vertical="top"/>
    </xf>
    <xf numFmtId="177" fontId="0" fillId="0" borderId="0" xfId="0" applyNumberFormat="1"/>
    <xf numFmtId="176" fontId="9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/>
    <xf numFmtId="176" fontId="7" fillId="0" borderId="0" xfId="0" applyNumberFormat="1" applyFont="1" applyAlignment="1">
      <alignment horizontal="center" vertical="center"/>
    </xf>
    <xf numFmtId="0" fontId="15" fillId="0" borderId="0" xfId="0" applyFont="1"/>
    <xf numFmtId="176" fontId="7" fillId="0" borderId="0" xfId="0" applyNumberFormat="1" applyFont="1"/>
    <xf numFmtId="178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center"/>
    </xf>
    <xf numFmtId="179" fontId="4" fillId="0" borderId="0" xfId="0" applyNumberFormat="1" applyFont="1"/>
    <xf numFmtId="179" fontId="8" fillId="0" borderId="0" xfId="0" applyNumberFormat="1" applyFont="1"/>
    <xf numFmtId="179" fontId="0" fillId="0" borderId="0" xfId="0" applyNumberFormat="1"/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7" fontId="4" fillId="0" borderId="0" xfId="0" applyNumberFormat="1" applyFont="1"/>
    <xf numFmtId="0" fontId="23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4" fillId="0" borderId="1" xfId="0" applyFont="1" applyBorder="1"/>
    <xf numFmtId="0" fontId="29" fillId="2" borderId="1" xfId="0" applyFont="1" applyFill="1" applyBorder="1" applyAlignment="1">
      <alignment horizontal="center"/>
    </xf>
    <xf numFmtId="177" fontId="29" fillId="3" borderId="1" xfId="0" applyNumberFormat="1" applyFont="1" applyFill="1" applyBorder="1"/>
    <xf numFmtId="177" fontId="29" fillId="4" borderId="1" xfId="0" applyNumberFormat="1" applyFont="1" applyFill="1" applyBorder="1"/>
    <xf numFmtId="177" fontId="29" fillId="5" borderId="1" xfId="0" applyNumberFormat="1" applyFont="1" applyFill="1" applyBorder="1"/>
    <xf numFmtId="177" fontId="29" fillId="6" borderId="1" xfId="0" applyNumberFormat="1" applyFont="1" applyFill="1" applyBorder="1"/>
    <xf numFmtId="177" fontId="30" fillId="0" borderId="0" xfId="0" applyNumberFormat="1" applyFont="1" applyAlignment="1">
      <alignment horizontal="center" vertical="center"/>
    </xf>
    <xf numFmtId="0" fontId="5" fillId="0" borderId="1" xfId="0" applyFont="1" applyBorder="1"/>
    <xf numFmtId="177" fontId="13" fillId="4" borderId="1" xfId="0" applyNumberFormat="1" applyFont="1" applyFill="1" applyBorder="1"/>
    <xf numFmtId="0" fontId="31" fillId="0" borderId="0" xfId="0" applyFont="1"/>
    <xf numFmtId="0" fontId="32" fillId="0" borderId="0" xfId="0" applyFont="1" applyAlignment="1">
      <alignment horizontal="center" vertical="center"/>
    </xf>
    <xf numFmtId="177" fontId="7" fillId="0" borderId="0" xfId="0" applyNumberFormat="1" applyFont="1"/>
    <xf numFmtId="0" fontId="33" fillId="0" borderId="0" xfId="0" applyFont="1"/>
    <xf numFmtId="0" fontId="34" fillId="0" borderId="0" xfId="0" applyFont="1" applyAlignment="1">
      <alignment horizontal="center" vertical="center"/>
    </xf>
    <xf numFmtId="180" fontId="0" fillId="0" borderId="0" xfId="0" applyNumberFormat="1"/>
    <xf numFmtId="0" fontId="2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29" fillId="2" borderId="3" xfId="0" applyFont="1" applyFill="1" applyBorder="1" applyAlignment="1">
      <alignment horizontal="center"/>
    </xf>
    <xf numFmtId="177" fontId="29" fillId="3" borderId="3" xfId="0" applyNumberFormat="1" applyFont="1" applyFill="1" applyBorder="1"/>
    <xf numFmtId="177" fontId="29" fillId="4" borderId="3" xfId="0" applyNumberFormat="1" applyFont="1" applyFill="1" applyBorder="1"/>
    <xf numFmtId="177" fontId="29" fillId="5" borderId="3" xfId="0" applyNumberFormat="1" applyFont="1" applyFill="1" applyBorder="1"/>
    <xf numFmtId="177" fontId="30" fillId="0" borderId="4" xfId="0" applyNumberFormat="1" applyFont="1" applyBorder="1" applyAlignment="1">
      <alignment horizontal="center" vertical="center"/>
    </xf>
    <xf numFmtId="0" fontId="31" fillId="0" borderId="4" xfId="0" applyFont="1" applyBorder="1"/>
    <xf numFmtId="0" fontId="25" fillId="0" borderId="0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Fo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维度得分</a:t>
            </a:r>
          </a:p>
        </cx:rich>
      </cx:tx>
    </cx:title>
    <cx:plotArea>
      <cx:plotAreaRegion>
        <cx:series layoutId="boxWhisker" uniqueId="{338576FB-A33B-4508-A2FC-18BE6591C6D7}" formatIdx="0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_xlchart.v1.2</cx:f>
      </cx:numDim>
    </cx:data>
    <cx:data id="2">
      <cx:numDim type="val">
        <cx:f>_xlchart.v1.3</cx:f>
      </cx:numDim>
    </cx:data>
    <cx:data id="3">
      <cx:numDim type="val">
        <cx:f>_xlchart.v1.4</cx:f>
      </cx:numDim>
    </cx:data>
    <cx:data id="4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Fo 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  <a:ea typeface="宋体" panose="02010600030101010101" pitchFamily="2" charset="-122"/>
              </a:rPr>
              <a:t>各环节得分</a:t>
            </a:r>
          </a:p>
        </cx:rich>
      </cx:tx>
    </cx:title>
    <cx:plotArea>
      <cx:plotAreaRegion>
        <cx:series layoutId="boxWhisker" uniqueId="{C78A3F35-048D-4367-B28A-FFE6E7275CA5}" formatIdx="0">
          <cx:spPr>
            <a:ln>
              <a:solidFill>
                <a:sysClr val="windowText" lastClr="000000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5106227-2AD1-49E6-A00A-76DDA0447C78}" formatIdx="1">
          <cx:spPr>
            <a:solidFill>
              <a:schemeClr val="accent3"/>
            </a:solidFill>
            <a:ln>
              <a:solidFill>
                <a:sysClr val="windowText" lastClr="000000"/>
              </a:solidFill>
            </a:ln>
          </cx:spPr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D943013-FF3E-4CA5-A160-028251F284BD}" formatIdx="2">
          <cx:spPr>
            <a:solidFill>
              <a:schemeClr val="accent4">
                <a:lumMod val="60000"/>
                <a:lumOff val="40000"/>
              </a:schemeClr>
            </a:solidFill>
          </cx:spPr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DEF93A7-1DDC-4D1A-88C4-11C7CB2028BF}" formatIdx="3">
          <cx:spPr>
            <a:solidFill>
              <a:schemeClr val="accent2">
                <a:lumMod val="60000"/>
                <a:lumOff val="40000"/>
              </a:schemeClr>
            </a:solidFill>
          </cx:spPr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4E66854-A3D3-4467-BEF0-8EAE68392817}" formatIdx="4">
          <cx:spPr>
            <a:solidFill>
              <a:schemeClr val="accent5">
                <a:lumMod val="60000"/>
                <a:lumOff val="40000"/>
              </a:schemeClr>
            </a:solidFill>
          </cx:spPr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490537</xdr:colOff>
      <xdr:row>286</xdr:row>
      <xdr:rowOff>14287</xdr:rowOff>
    </xdr:from>
    <xdr:to>
      <xdr:col>22</xdr:col>
      <xdr:colOff>261937</xdr:colOff>
      <xdr:row>297</xdr:row>
      <xdr:rowOff>138112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EA0EC3EC-BA56-4C10-B21C-3817131F1B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76597" y="65424367"/>
              <a:ext cx="40386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15</xdr:col>
      <xdr:colOff>442912</xdr:colOff>
      <xdr:row>0</xdr:row>
      <xdr:rowOff>90487</xdr:rowOff>
    </xdr:from>
    <xdr:to>
      <xdr:col>22</xdr:col>
      <xdr:colOff>214312</xdr:colOff>
      <xdr:row>11</xdr:row>
      <xdr:rowOff>195262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5CE7397-C494-4BC1-A68F-D3D0EF155D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8972" y="90487"/>
              <a:ext cx="4038600" cy="2649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CC\Working%20Logs\&#23545;&#25509;%20&amp;%20&#32479;&#31609;\BBook%202.0\2.0&#22270;&#20214;\&#21487;&#35270;&#21270;&#22270;&#29255;&#21450;&#20195;&#30721;\&#21508;&#32500;&#24230;&#25171;&#20998;&#34920;\&#26862;&#26519;_&#22788;&#29702;&#21518;-O-A-08.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CC\Working%20Logs\BBook%202.0-Fo\Updated-ICF%20Auto-data\&#22478;&#24066;&#25171;&#20998;\Fo_&#25171;&#20998;-IC-08.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CC\Working%20Logs\BBook%202.0-Fo\Updated-ICF%20Auto-data\&#22478;&#24066;&#25171;&#20998;\&#65281;&#20998;&#26512;Excel\Fo_&#25171;&#20998;-F-08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城市名</v>
          </cell>
          <cell r="B1" t="str">
            <v>分组</v>
          </cell>
          <cell r="C1" t="str">
            <v>P</v>
          </cell>
          <cell r="D1" t="str">
            <v>I</v>
          </cell>
          <cell r="E1" t="str">
            <v>C</v>
          </cell>
          <cell r="F1" t="str">
            <v>O</v>
          </cell>
          <cell r="G1" t="str">
            <v>F</v>
          </cell>
          <cell r="H1" t="str">
            <v>Score</v>
          </cell>
          <cell r="I1" t="str">
            <v>得分分组</v>
          </cell>
        </row>
        <row r="2">
          <cell r="A2" t="str">
            <v>重庆市</v>
          </cell>
          <cell r="B2">
            <v>1</v>
          </cell>
          <cell r="C2">
            <v>43.710180605908782</v>
          </cell>
          <cell r="D2">
            <v>71.25</v>
          </cell>
          <cell r="E2">
            <v>50</v>
          </cell>
          <cell r="F2">
            <v>81.778326360622515</v>
          </cell>
          <cell r="G2">
            <v>43.333333333333343</v>
          </cell>
          <cell r="H2">
            <v>65.036699998764092</v>
          </cell>
          <cell r="I2" t="str">
            <v>第一梯队</v>
          </cell>
        </row>
        <row r="3">
          <cell r="A3" t="str">
            <v>成都市</v>
          </cell>
          <cell r="B3">
            <v>1</v>
          </cell>
          <cell r="C3">
            <v>31.738388075301248</v>
          </cell>
          <cell r="D3">
            <v>77.5</v>
          </cell>
          <cell r="E3">
            <v>75</v>
          </cell>
          <cell r="F3">
            <v>70.076987015384447</v>
          </cell>
          <cell r="G3">
            <v>60</v>
          </cell>
          <cell r="H3">
            <v>63.378472421214028</v>
          </cell>
          <cell r="I3" t="str">
            <v>第一梯队</v>
          </cell>
        </row>
        <row r="4">
          <cell r="A4" t="str">
            <v>上海市</v>
          </cell>
          <cell r="B4">
            <v>1</v>
          </cell>
          <cell r="C4">
            <v>32.05225316442862</v>
          </cell>
          <cell r="D4">
            <v>60</v>
          </cell>
          <cell r="E4">
            <v>66.666666666666671</v>
          </cell>
          <cell r="F4">
            <v>36.449949104715657</v>
          </cell>
          <cell r="G4">
            <v>60</v>
          </cell>
          <cell r="H4">
            <v>45.65709694143866</v>
          </cell>
          <cell r="I4" t="str">
            <v>第三梯队</v>
          </cell>
        </row>
        <row r="5">
          <cell r="A5" t="str">
            <v>北京市</v>
          </cell>
          <cell r="B5">
            <v>1</v>
          </cell>
          <cell r="C5">
            <v>46.163008029898471</v>
          </cell>
          <cell r="D5">
            <v>100</v>
          </cell>
          <cell r="E5">
            <v>91.666666666666671</v>
          </cell>
          <cell r="F5">
            <v>57.72325217309529</v>
          </cell>
          <cell r="G5">
            <v>66.666666666666671</v>
          </cell>
          <cell r="H5">
            <v>68.155235808551154</v>
          </cell>
          <cell r="I5" t="str">
            <v>第一梯队</v>
          </cell>
        </row>
        <row r="6">
          <cell r="A6" t="str">
            <v>周口市</v>
          </cell>
          <cell r="B6">
            <v>3</v>
          </cell>
          <cell r="C6">
            <v>21.370594702779581</v>
          </cell>
          <cell r="D6">
            <v>65</v>
          </cell>
          <cell r="E6">
            <v>83.333333333333329</v>
          </cell>
          <cell r="F6">
            <v>41.306862062427733</v>
          </cell>
          <cell r="G6">
            <v>43.333333333333343</v>
          </cell>
          <cell r="H6">
            <v>46.463530432193679</v>
          </cell>
          <cell r="I6" t="str">
            <v>第三梯队</v>
          </cell>
        </row>
        <row r="7">
          <cell r="A7" t="str">
            <v>南阳市</v>
          </cell>
          <cell r="B7">
            <v>3</v>
          </cell>
          <cell r="C7">
            <v>21.329316301466449</v>
          </cell>
          <cell r="D7">
            <v>65</v>
          </cell>
          <cell r="E7">
            <v>41.666666666666657</v>
          </cell>
          <cell r="F7">
            <v>64.641411154096261</v>
          </cell>
          <cell r="G7">
            <v>60</v>
          </cell>
          <cell r="H7">
            <v>53.289094388598457</v>
          </cell>
          <cell r="I7" t="str">
            <v>第二梯队</v>
          </cell>
        </row>
        <row r="8">
          <cell r="A8" t="str">
            <v>保定市</v>
          </cell>
          <cell r="B8">
            <v>2</v>
          </cell>
          <cell r="C8">
            <v>10.661896421840099</v>
          </cell>
          <cell r="D8">
            <v>53.75</v>
          </cell>
          <cell r="E8">
            <v>41.666666666666657</v>
          </cell>
          <cell r="F8">
            <v>72.685658422661248</v>
          </cell>
          <cell r="G8">
            <v>26.666666666666671</v>
          </cell>
          <cell r="H8">
            <v>48.789975986765853</v>
          </cell>
          <cell r="I8" t="str">
            <v>第三梯队</v>
          </cell>
        </row>
        <row r="9">
          <cell r="A9" t="str">
            <v>临沂市</v>
          </cell>
          <cell r="B9">
            <v>2</v>
          </cell>
          <cell r="C9">
            <v>0</v>
          </cell>
          <cell r="D9">
            <v>71.25</v>
          </cell>
          <cell r="E9">
            <v>75</v>
          </cell>
          <cell r="F9">
            <v>53.88476867943011</v>
          </cell>
          <cell r="G9">
            <v>60</v>
          </cell>
          <cell r="H9">
            <v>49.30390747177205</v>
          </cell>
          <cell r="I9" t="str">
            <v>第三梯队</v>
          </cell>
        </row>
        <row r="10">
          <cell r="A10" t="str">
            <v>天津市</v>
          </cell>
          <cell r="B10">
            <v>1</v>
          </cell>
          <cell r="C10">
            <v>10.752525581411501</v>
          </cell>
          <cell r="D10">
            <v>72.5</v>
          </cell>
          <cell r="E10">
            <v>66.666666666666671</v>
          </cell>
          <cell r="F10">
            <v>39.804042655454147</v>
          </cell>
          <cell r="G10">
            <v>66.666666666666671</v>
          </cell>
          <cell r="H10">
            <v>45.9054555117973</v>
          </cell>
          <cell r="I10" t="str">
            <v>第三梯队</v>
          </cell>
        </row>
        <row r="11">
          <cell r="A11" t="str">
            <v>阜阳市</v>
          </cell>
          <cell r="B11">
            <v>3</v>
          </cell>
          <cell r="C11">
            <v>66.582097381544997</v>
          </cell>
          <cell r="D11">
            <v>76.25</v>
          </cell>
          <cell r="E11">
            <v>75</v>
          </cell>
          <cell r="F11">
            <v>59.367014466246182</v>
          </cell>
          <cell r="G11">
            <v>43.333333333333343</v>
          </cell>
          <cell r="H11">
            <v>64.146558596140807</v>
          </cell>
          <cell r="I11" t="str">
            <v>第一梯队</v>
          </cell>
        </row>
        <row r="12">
          <cell r="A12" t="str">
            <v>邯郸市</v>
          </cell>
          <cell r="B12">
            <v>2</v>
          </cell>
          <cell r="C12">
            <v>10.78737304462935</v>
          </cell>
          <cell r="D12">
            <v>77.5</v>
          </cell>
          <cell r="E12">
            <v>66.666666666666671</v>
          </cell>
          <cell r="F12">
            <v>77.211927936711803</v>
          </cell>
          <cell r="G12">
            <v>66.666666666666671</v>
          </cell>
          <cell r="H12">
            <v>61.875579116943918</v>
          </cell>
          <cell r="I12" t="str">
            <v>第一梯队</v>
          </cell>
        </row>
        <row r="13">
          <cell r="A13" t="str">
            <v>石家庄市</v>
          </cell>
          <cell r="B13">
            <v>2</v>
          </cell>
          <cell r="C13">
            <v>42.286605809747321</v>
          </cell>
          <cell r="D13">
            <v>53.75</v>
          </cell>
          <cell r="E13">
            <v>66.666666666666671</v>
          </cell>
          <cell r="F13">
            <v>75.796218443043159</v>
          </cell>
          <cell r="G13">
            <v>43.333333333333343</v>
          </cell>
          <cell r="H13">
            <v>60.525808539166739</v>
          </cell>
          <cell r="I13" t="str">
            <v>第一梯队</v>
          </cell>
        </row>
        <row r="14">
          <cell r="A14" t="str">
            <v>徐州市</v>
          </cell>
          <cell r="B14">
            <v>2</v>
          </cell>
          <cell r="C14">
            <v>10.323832140267861</v>
          </cell>
          <cell r="D14">
            <v>33.75</v>
          </cell>
          <cell r="E14">
            <v>33.333333333333343</v>
          </cell>
          <cell r="F14">
            <v>61.136231073949062</v>
          </cell>
          <cell r="G14">
            <v>26.666666666666671</v>
          </cell>
          <cell r="H14">
            <v>39.269258857633197</v>
          </cell>
          <cell r="I14" t="str">
            <v>第四梯队</v>
          </cell>
        </row>
        <row r="15">
          <cell r="A15" t="str">
            <v>菏泽市</v>
          </cell>
          <cell r="B15">
            <v>3</v>
          </cell>
          <cell r="C15">
            <v>0</v>
          </cell>
          <cell r="D15">
            <v>33.75</v>
          </cell>
          <cell r="E15">
            <v>33.333333333333343</v>
          </cell>
          <cell r="F15">
            <v>45.381279413327682</v>
          </cell>
          <cell r="G15">
            <v>26.666666666666671</v>
          </cell>
          <cell r="H15">
            <v>30.90251176533107</v>
          </cell>
          <cell r="I15" t="str">
            <v>第四梯队</v>
          </cell>
        </row>
        <row r="16">
          <cell r="A16" t="str">
            <v>商丘市</v>
          </cell>
          <cell r="B16">
            <v>3</v>
          </cell>
          <cell r="C16">
            <v>10.69294692175472</v>
          </cell>
          <cell r="D16">
            <v>70</v>
          </cell>
          <cell r="E16">
            <v>16.666666666666671</v>
          </cell>
          <cell r="F16">
            <v>46.779440626292327</v>
          </cell>
          <cell r="G16">
            <v>26.666666666666671</v>
          </cell>
          <cell r="H16">
            <v>39.183698968201213</v>
          </cell>
          <cell r="I16" t="str">
            <v>第四梯队</v>
          </cell>
        </row>
        <row r="17">
          <cell r="A17" t="str">
            <v>广州市</v>
          </cell>
          <cell r="B17">
            <v>1</v>
          </cell>
          <cell r="C17">
            <v>50.619713115096452</v>
          </cell>
          <cell r="D17">
            <v>65</v>
          </cell>
          <cell r="E17">
            <v>91.666666666666671</v>
          </cell>
          <cell r="F17">
            <v>69.157790135232005</v>
          </cell>
          <cell r="G17">
            <v>50</v>
          </cell>
          <cell r="H17">
            <v>64.953725343778757</v>
          </cell>
          <cell r="I17" t="str">
            <v>第一梯队</v>
          </cell>
        </row>
        <row r="18">
          <cell r="A18" t="str">
            <v>西安市</v>
          </cell>
          <cell r="B18">
            <v>1</v>
          </cell>
          <cell r="C18">
            <v>77.226613975887716</v>
          </cell>
          <cell r="D18">
            <v>53.75</v>
          </cell>
          <cell r="E18">
            <v>58.333333333333343</v>
          </cell>
          <cell r="F18">
            <v>54.030164613158277</v>
          </cell>
          <cell r="G18">
            <v>43.333333333333343</v>
          </cell>
          <cell r="H18">
            <v>57.974055307107527</v>
          </cell>
          <cell r="I18" t="str">
            <v>第二梯队</v>
          </cell>
        </row>
        <row r="19">
          <cell r="A19" t="str">
            <v>赣州市</v>
          </cell>
          <cell r="B19">
            <v>2</v>
          </cell>
          <cell r="C19">
            <v>0</v>
          </cell>
          <cell r="D19">
            <v>65</v>
          </cell>
          <cell r="E19">
            <v>83.333333333333329</v>
          </cell>
          <cell r="F19">
            <v>50.369920908307499</v>
          </cell>
          <cell r="G19">
            <v>50</v>
          </cell>
          <cell r="H19">
            <v>46.481301696656338</v>
          </cell>
          <cell r="I19" t="str">
            <v>第三梯队</v>
          </cell>
        </row>
        <row r="20">
          <cell r="A20" t="str">
            <v>驻马店市</v>
          </cell>
          <cell r="B20">
            <v>4</v>
          </cell>
          <cell r="C20">
            <v>66.941973777597553</v>
          </cell>
          <cell r="D20">
            <v>65</v>
          </cell>
          <cell r="E20">
            <v>50</v>
          </cell>
          <cell r="F20">
            <v>72.894980092549162</v>
          </cell>
          <cell r="G20">
            <v>50</v>
          </cell>
          <cell r="H20">
            <v>65.546386792539181</v>
          </cell>
          <cell r="I20" t="str">
            <v>第一梯队</v>
          </cell>
        </row>
        <row r="21">
          <cell r="A21" t="str">
            <v>毕节市</v>
          </cell>
          <cell r="B21">
            <v>3</v>
          </cell>
          <cell r="C21">
            <v>62.462850825807372</v>
          </cell>
          <cell r="D21">
            <v>77.5</v>
          </cell>
          <cell r="E21">
            <v>83.333333333333329</v>
          </cell>
          <cell r="F21">
            <v>75.185259706605137</v>
          </cell>
          <cell r="G21">
            <v>60</v>
          </cell>
          <cell r="H21">
            <v>72.400007381136874</v>
          </cell>
          <cell r="I21" t="str">
            <v>第一梯队</v>
          </cell>
        </row>
        <row r="22">
          <cell r="A22" t="str">
            <v>哈尔滨市</v>
          </cell>
          <cell r="B22">
            <v>1</v>
          </cell>
          <cell r="C22">
            <v>20.80144592385296</v>
          </cell>
          <cell r="D22">
            <v>65</v>
          </cell>
          <cell r="E22">
            <v>75</v>
          </cell>
          <cell r="F22">
            <v>68.691048837471655</v>
          </cell>
          <cell r="G22">
            <v>26.666666666666671</v>
          </cell>
          <cell r="H22">
            <v>54.80337538642592</v>
          </cell>
          <cell r="I22" t="str">
            <v>第二梯队</v>
          </cell>
        </row>
        <row r="23">
          <cell r="A23" t="str">
            <v>武汉市</v>
          </cell>
          <cell r="B23">
            <v>1</v>
          </cell>
          <cell r="C23">
            <v>73.755318872058297</v>
          </cell>
          <cell r="D23">
            <v>71.25</v>
          </cell>
          <cell r="E23">
            <v>50</v>
          </cell>
          <cell r="F23">
            <v>59.005150772840643</v>
          </cell>
          <cell r="G23">
            <v>30</v>
          </cell>
          <cell r="H23">
            <v>60.603124083547932</v>
          </cell>
          <cell r="I23" t="str">
            <v>第一梯队</v>
          </cell>
        </row>
        <row r="24">
          <cell r="A24" t="str">
            <v>潍坊市</v>
          </cell>
          <cell r="B24">
            <v>2</v>
          </cell>
          <cell r="C24">
            <v>0</v>
          </cell>
          <cell r="D24">
            <v>61.25</v>
          </cell>
          <cell r="E24">
            <v>50</v>
          </cell>
          <cell r="F24">
            <v>43.236033583594057</v>
          </cell>
          <cell r="G24">
            <v>26.666666666666671</v>
          </cell>
          <cell r="H24">
            <v>37.21108010010429</v>
          </cell>
          <cell r="I24" t="str">
            <v>第四梯队</v>
          </cell>
        </row>
        <row r="25">
          <cell r="A25" t="str">
            <v>郑州市</v>
          </cell>
          <cell r="B25">
            <v>1</v>
          </cell>
          <cell r="C25">
            <v>43.17032009746606</v>
          </cell>
          <cell r="D25">
            <v>60</v>
          </cell>
          <cell r="E25">
            <v>66.666666666666671</v>
          </cell>
          <cell r="F25">
            <v>52.320608785053352</v>
          </cell>
          <cell r="G25">
            <v>50</v>
          </cell>
          <cell r="H25">
            <v>53.22897420018122</v>
          </cell>
          <cell r="I25" t="str">
            <v>第二梯队</v>
          </cell>
        </row>
        <row r="26">
          <cell r="A26" t="str">
            <v>信阳市</v>
          </cell>
          <cell r="B26">
            <v>3</v>
          </cell>
          <cell r="C26">
            <v>0</v>
          </cell>
          <cell r="D26">
            <v>48.75</v>
          </cell>
          <cell r="E26">
            <v>50</v>
          </cell>
          <cell r="F26">
            <v>68.892908129446511</v>
          </cell>
          <cell r="G26">
            <v>26.666666666666671</v>
          </cell>
          <cell r="H26">
            <v>44.973829918445269</v>
          </cell>
          <cell r="I26" t="str">
            <v>第四梯队</v>
          </cell>
        </row>
        <row r="27">
          <cell r="A27" t="str">
            <v>济宁市</v>
          </cell>
          <cell r="B27">
            <v>2</v>
          </cell>
          <cell r="C27">
            <v>68.182376650168578</v>
          </cell>
          <cell r="D27">
            <v>60</v>
          </cell>
          <cell r="E27">
            <v>75</v>
          </cell>
          <cell r="F27">
            <v>49.385679618872317</v>
          </cell>
          <cell r="G27">
            <v>43.333333333333343</v>
          </cell>
          <cell r="H27">
            <v>57.224080510915982</v>
          </cell>
          <cell r="I27" t="str">
            <v>第二梯队</v>
          </cell>
        </row>
        <row r="28">
          <cell r="A28" t="str">
            <v>湛江市</v>
          </cell>
          <cell r="B28">
            <v>2</v>
          </cell>
          <cell r="C28">
            <v>0</v>
          </cell>
          <cell r="D28">
            <v>43.75</v>
          </cell>
          <cell r="E28">
            <v>50</v>
          </cell>
          <cell r="F28">
            <v>58.45519992327462</v>
          </cell>
          <cell r="G28">
            <v>26.666666666666671</v>
          </cell>
          <cell r="H28">
            <v>39.798746635976507</v>
          </cell>
          <cell r="I28" t="str">
            <v>第四梯队</v>
          </cell>
        </row>
        <row r="29">
          <cell r="A29" t="str">
            <v>长春市</v>
          </cell>
          <cell r="B29">
            <v>2</v>
          </cell>
          <cell r="C29">
            <v>10.28866973607054</v>
          </cell>
          <cell r="D29">
            <v>38.75</v>
          </cell>
          <cell r="E29">
            <v>58.333333333333343</v>
          </cell>
          <cell r="F29">
            <v>52.761052490986543</v>
          </cell>
          <cell r="G29">
            <v>43.333333333333343</v>
          </cell>
          <cell r="H29">
            <v>41.078821610275398</v>
          </cell>
          <cell r="I29" t="str">
            <v>第四梯队</v>
          </cell>
        </row>
        <row r="30">
          <cell r="A30" t="str">
            <v>青岛市</v>
          </cell>
          <cell r="B30">
            <v>1</v>
          </cell>
          <cell r="C30">
            <v>63.885908609117187</v>
          </cell>
          <cell r="D30">
            <v>61.25</v>
          </cell>
          <cell r="E30">
            <v>66.666666666666671</v>
          </cell>
          <cell r="F30">
            <v>43.447478205316827</v>
          </cell>
          <cell r="G30">
            <v>66.666666666666671</v>
          </cell>
          <cell r="H30">
            <v>55.739506337283522</v>
          </cell>
          <cell r="I30" t="str">
            <v>第二梯队</v>
          </cell>
        </row>
        <row r="31">
          <cell r="A31" t="str">
            <v>杭州市</v>
          </cell>
          <cell r="B31">
            <v>1</v>
          </cell>
          <cell r="C31">
            <v>49.347028692613321</v>
          </cell>
          <cell r="D31">
            <v>71.25</v>
          </cell>
          <cell r="E31">
            <v>58.333333333333343</v>
          </cell>
          <cell r="F31">
            <v>63.184172418084067</v>
          </cell>
          <cell r="G31">
            <v>43.333333333333343</v>
          </cell>
          <cell r="H31">
            <v>59.55974137242297</v>
          </cell>
          <cell r="I31" t="str">
            <v>第一梯队</v>
          </cell>
        </row>
        <row r="32">
          <cell r="A32" t="str">
            <v>温州市</v>
          </cell>
          <cell r="B32">
            <v>2</v>
          </cell>
          <cell r="C32">
            <v>9.2503563975347838</v>
          </cell>
          <cell r="D32">
            <v>66.25</v>
          </cell>
          <cell r="E32">
            <v>75</v>
          </cell>
          <cell r="F32">
            <v>50.013275318583297</v>
          </cell>
          <cell r="G32">
            <v>33.333333333333343</v>
          </cell>
          <cell r="H32">
            <v>45.938714740273618</v>
          </cell>
          <cell r="I32" t="str">
            <v>第三梯队</v>
          </cell>
        </row>
        <row r="33">
          <cell r="A33" t="str">
            <v>茂名市</v>
          </cell>
          <cell r="B33">
            <v>3</v>
          </cell>
          <cell r="C33">
            <v>48.318817064410247</v>
          </cell>
          <cell r="D33">
            <v>60</v>
          </cell>
          <cell r="E33">
            <v>75</v>
          </cell>
          <cell r="F33">
            <v>67.035446534957202</v>
          </cell>
          <cell r="G33">
            <v>26.666666666666671</v>
          </cell>
          <cell r="H33">
            <v>58.644608693531588</v>
          </cell>
          <cell r="I33" t="str">
            <v>第一梯队</v>
          </cell>
        </row>
        <row r="34">
          <cell r="A34" t="str">
            <v>遵义市</v>
          </cell>
          <cell r="B34">
            <v>2</v>
          </cell>
          <cell r="C34">
            <v>38.630234376806683</v>
          </cell>
          <cell r="D34">
            <v>77.5</v>
          </cell>
          <cell r="E34">
            <v>75</v>
          </cell>
          <cell r="F34">
            <v>79.196882244431833</v>
          </cell>
          <cell r="G34">
            <v>43.333333333333343</v>
          </cell>
          <cell r="H34">
            <v>66.738133106467401</v>
          </cell>
          <cell r="I34" t="str">
            <v>第一梯队</v>
          </cell>
        </row>
        <row r="35">
          <cell r="A35" t="str">
            <v>济南市</v>
          </cell>
          <cell r="B35">
            <v>1</v>
          </cell>
          <cell r="C35">
            <v>20.85087232664641</v>
          </cell>
          <cell r="D35">
            <v>71.25</v>
          </cell>
          <cell r="E35">
            <v>83.333333333333329</v>
          </cell>
          <cell r="F35">
            <v>44.146283173856602</v>
          </cell>
          <cell r="G35">
            <v>66.666666666666671</v>
          </cell>
          <cell r="H35">
            <v>51.078687734871927</v>
          </cell>
          <cell r="I35" t="str">
            <v>第三梯队</v>
          </cell>
        </row>
        <row r="36">
          <cell r="A36" t="str">
            <v>邵阳市</v>
          </cell>
          <cell r="B36">
            <v>3</v>
          </cell>
          <cell r="C36">
            <v>49.036864263630747</v>
          </cell>
          <cell r="D36">
            <v>81.25</v>
          </cell>
          <cell r="E36">
            <v>66.666666666666671</v>
          </cell>
          <cell r="F36">
            <v>60.03036490856762</v>
          </cell>
          <cell r="G36">
            <v>33.333333333333343</v>
          </cell>
          <cell r="H36">
            <v>60.069518816153199</v>
          </cell>
          <cell r="I36" t="str">
            <v>第一梯队</v>
          </cell>
        </row>
        <row r="37">
          <cell r="A37" t="str">
            <v>盐城市</v>
          </cell>
          <cell r="B37">
            <v>2</v>
          </cell>
          <cell r="C37">
            <v>66.400324472971207</v>
          </cell>
          <cell r="D37">
            <v>60</v>
          </cell>
          <cell r="E37">
            <v>33.333333333333343</v>
          </cell>
          <cell r="F37">
            <v>33.629026798729427</v>
          </cell>
          <cell r="G37">
            <v>26.666666666666671</v>
          </cell>
          <cell r="H37">
            <v>44.731675614086022</v>
          </cell>
          <cell r="I37" t="str">
            <v>第四梯队</v>
          </cell>
        </row>
        <row r="38">
          <cell r="A38" t="str">
            <v>南宁市</v>
          </cell>
          <cell r="B38">
            <v>2</v>
          </cell>
          <cell r="C38">
            <v>71.327777571272264</v>
          </cell>
          <cell r="D38">
            <v>58.75</v>
          </cell>
          <cell r="E38">
            <v>75</v>
          </cell>
          <cell r="F38">
            <v>71.270197047222979</v>
          </cell>
          <cell r="G38">
            <v>43.333333333333343</v>
          </cell>
          <cell r="H38">
            <v>66.356967666476976</v>
          </cell>
          <cell r="I38" t="str">
            <v>第一梯队</v>
          </cell>
        </row>
        <row r="39">
          <cell r="A39" t="str">
            <v>邢台市</v>
          </cell>
          <cell r="B39">
            <v>2</v>
          </cell>
          <cell r="C39">
            <v>70.115625499556202</v>
          </cell>
          <cell r="D39">
            <v>65</v>
          </cell>
          <cell r="E39">
            <v>33.333333333333343</v>
          </cell>
          <cell r="F39">
            <v>68.958260214474649</v>
          </cell>
          <cell r="G39">
            <v>50</v>
          </cell>
          <cell r="H39">
            <v>62.939762519034439</v>
          </cell>
          <cell r="I39" t="str">
            <v>第一梯队</v>
          </cell>
        </row>
        <row r="40">
          <cell r="A40" t="str">
            <v>合肥市</v>
          </cell>
          <cell r="B40">
            <v>2</v>
          </cell>
          <cell r="C40">
            <v>55.459762181042038</v>
          </cell>
          <cell r="D40">
            <v>82.5</v>
          </cell>
          <cell r="E40">
            <v>58.333333333333343</v>
          </cell>
          <cell r="F40">
            <v>52.162218173718259</v>
          </cell>
          <cell r="G40">
            <v>66.666666666666671</v>
          </cell>
          <cell r="H40">
            <v>60.956839705695707</v>
          </cell>
          <cell r="I40" t="str">
            <v>第一梯队</v>
          </cell>
        </row>
        <row r="41">
          <cell r="A41" t="str">
            <v>上饶市</v>
          </cell>
          <cell r="B41">
            <v>2</v>
          </cell>
          <cell r="C41">
            <v>69.026881520586073</v>
          </cell>
          <cell r="D41">
            <v>70</v>
          </cell>
          <cell r="E41">
            <v>75</v>
          </cell>
          <cell r="F41">
            <v>62.114966280066056</v>
          </cell>
          <cell r="G41">
            <v>43.333333333333343</v>
          </cell>
          <cell r="H41">
            <v>64.484696149476974</v>
          </cell>
          <cell r="I41" t="str">
            <v>第一梯队</v>
          </cell>
        </row>
        <row r="42">
          <cell r="A42" t="str">
            <v>衡阳市</v>
          </cell>
          <cell r="B42">
            <v>2</v>
          </cell>
          <cell r="C42">
            <v>9.3460077186507284</v>
          </cell>
          <cell r="D42">
            <v>58.75</v>
          </cell>
          <cell r="E42">
            <v>58.333333333333343</v>
          </cell>
          <cell r="F42">
            <v>55.201711225168019</v>
          </cell>
          <cell r="G42">
            <v>43.333333333333343</v>
          </cell>
          <cell r="H42">
            <v>45.86655270046402</v>
          </cell>
          <cell r="I42" t="str">
            <v>第三梯队</v>
          </cell>
        </row>
        <row r="43">
          <cell r="A43" t="str">
            <v>沧州市</v>
          </cell>
          <cell r="B43">
            <v>3</v>
          </cell>
          <cell r="C43">
            <v>10.714579080237399</v>
          </cell>
          <cell r="D43">
            <v>37.5</v>
          </cell>
          <cell r="E43">
            <v>41.666666666666657</v>
          </cell>
          <cell r="F43">
            <v>70.951836716573311</v>
          </cell>
          <cell r="G43">
            <v>33.333333333333343</v>
          </cell>
          <cell r="H43">
            <v>45.523650502676809</v>
          </cell>
          <cell r="I43" t="str">
            <v>第四梯队</v>
          </cell>
        </row>
        <row r="44">
          <cell r="A44" t="str">
            <v>泉州市</v>
          </cell>
          <cell r="B44">
            <v>2</v>
          </cell>
          <cell r="C44">
            <v>18.407168405489621</v>
          </cell>
          <cell r="D44">
            <v>55</v>
          </cell>
          <cell r="E44">
            <v>33.333333333333343</v>
          </cell>
          <cell r="F44">
            <v>58.121917982292352</v>
          </cell>
          <cell r="G44">
            <v>43.333333333333343</v>
          </cell>
          <cell r="H44">
            <v>45.596867540681536</v>
          </cell>
          <cell r="I44" t="str">
            <v>第三梯队</v>
          </cell>
        </row>
        <row r="45">
          <cell r="A45" t="str">
            <v>沈阳市</v>
          </cell>
          <cell r="B45">
            <v>1</v>
          </cell>
          <cell r="C45">
            <v>10.08748401811833</v>
          </cell>
          <cell r="D45">
            <v>83.75</v>
          </cell>
          <cell r="E45">
            <v>83.333333333333329</v>
          </cell>
          <cell r="F45">
            <v>43.839367399291348</v>
          </cell>
          <cell r="G45">
            <v>26.666666666666671</v>
          </cell>
          <cell r="H45">
            <v>47.303243763340213</v>
          </cell>
          <cell r="I45" t="str">
            <v>第三梯队</v>
          </cell>
        </row>
        <row r="46">
          <cell r="A46" t="str">
            <v>苏州市</v>
          </cell>
          <cell r="B46">
            <v>2</v>
          </cell>
          <cell r="C46">
            <v>9.868367985550405</v>
          </cell>
          <cell r="D46">
            <v>37.5</v>
          </cell>
          <cell r="E46">
            <v>58.333333333333343</v>
          </cell>
          <cell r="F46">
            <v>62.757922802982257</v>
          </cell>
          <cell r="G46">
            <v>60</v>
          </cell>
          <cell r="H46">
            <v>46.41017605163632</v>
          </cell>
          <cell r="I46" t="str">
            <v>第三梯队</v>
          </cell>
        </row>
        <row r="47">
          <cell r="A47" t="str">
            <v>长沙市</v>
          </cell>
          <cell r="B47">
            <v>1</v>
          </cell>
          <cell r="C47">
            <v>39.307827276321142</v>
          </cell>
          <cell r="D47">
            <v>65</v>
          </cell>
          <cell r="E47">
            <v>41.666666666666657</v>
          </cell>
          <cell r="F47">
            <v>55.193822037671687</v>
          </cell>
          <cell r="G47">
            <v>26.666666666666671</v>
          </cell>
          <cell r="H47">
            <v>49.772427603666237</v>
          </cell>
          <cell r="I47" t="str">
            <v>第三梯队</v>
          </cell>
        </row>
        <row r="48">
          <cell r="A48" t="str">
            <v>南通市</v>
          </cell>
          <cell r="B48">
            <v>2</v>
          </cell>
          <cell r="C48">
            <v>10.003860229848881</v>
          </cell>
          <cell r="D48">
            <v>33.75</v>
          </cell>
          <cell r="E48">
            <v>25</v>
          </cell>
          <cell r="F48">
            <v>58.981572817703601</v>
          </cell>
          <cell r="G48">
            <v>26.666666666666671</v>
          </cell>
          <cell r="H48">
            <v>37.510067839717877</v>
          </cell>
          <cell r="I48" t="str">
            <v>第四梯队</v>
          </cell>
        </row>
        <row r="49">
          <cell r="A49" t="str">
            <v>洛阳市</v>
          </cell>
          <cell r="B49">
            <v>2</v>
          </cell>
          <cell r="C49">
            <v>0</v>
          </cell>
          <cell r="D49">
            <v>60</v>
          </cell>
          <cell r="E49">
            <v>75</v>
          </cell>
          <cell r="F49">
            <v>65.608861336925216</v>
          </cell>
          <cell r="G49">
            <v>66.666666666666671</v>
          </cell>
          <cell r="H49">
            <v>52.410211201436752</v>
          </cell>
          <cell r="I49" t="str">
            <v>第二梯队</v>
          </cell>
        </row>
        <row r="50">
          <cell r="A50" t="str">
            <v>唐山市</v>
          </cell>
          <cell r="B50">
            <v>2</v>
          </cell>
          <cell r="C50">
            <v>10.72619881814399</v>
          </cell>
          <cell r="D50">
            <v>55</v>
          </cell>
          <cell r="E50">
            <v>50</v>
          </cell>
          <cell r="F50">
            <v>76.583817712161704</v>
          </cell>
          <cell r="G50">
            <v>26.666666666666671</v>
          </cell>
          <cell r="H50">
            <v>51.44543351516014</v>
          </cell>
          <cell r="I50" t="str">
            <v>第三梯队</v>
          </cell>
        </row>
        <row r="51">
          <cell r="A51" t="str">
            <v>玉林市</v>
          </cell>
          <cell r="B51">
            <v>3</v>
          </cell>
          <cell r="C51">
            <v>69.026881520586073</v>
          </cell>
          <cell r="D51">
            <v>66.25</v>
          </cell>
          <cell r="E51">
            <v>83.333333333333329</v>
          </cell>
          <cell r="F51">
            <v>50.246328238393289</v>
          </cell>
          <cell r="G51">
            <v>43.333333333333343</v>
          </cell>
          <cell r="H51">
            <v>59.820574266141207</v>
          </cell>
          <cell r="I51" t="str">
            <v>第一梯队</v>
          </cell>
        </row>
        <row r="52">
          <cell r="A52" t="str">
            <v>南京市</v>
          </cell>
          <cell r="B52">
            <v>1</v>
          </cell>
          <cell r="C52">
            <v>10.07845475665885</v>
          </cell>
          <cell r="D52">
            <v>65</v>
          </cell>
          <cell r="E52">
            <v>75</v>
          </cell>
          <cell r="F52">
            <v>64.212189986696202</v>
          </cell>
          <cell r="G52">
            <v>26.666666666666671</v>
          </cell>
          <cell r="H52">
            <v>50.86723361267692</v>
          </cell>
          <cell r="I52" t="str">
            <v>第三梯队</v>
          </cell>
        </row>
        <row r="53">
          <cell r="A53" t="str">
            <v>黄冈市</v>
          </cell>
          <cell r="B53">
            <v>4</v>
          </cell>
          <cell r="C53">
            <v>86.068366838648615</v>
          </cell>
          <cell r="D53">
            <v>87.5</v>
          </cell>
          <cell r="E53">
            <v>83.333333333333329</v>
          </cell>
          <cell r="F53">
            <v>67.523735911365577</v>
          </cell>
          <cell r="G53">
            <v>0</v>
          </cell>
          <cell r="H53">
            <v>70.056501065609297</v>
          </cell>
          <cell r="I53" t="str">
            <v>第一梯队</v>
          </cell>
        </row>
        <row r="54">
          <cell r="A54" t="str">
            <v>福州市</v>
          </cell>
          <cell r="B54">
            <v>2</v>
          </cell>
          <cell r="C54">
            <v>69.026881520586073</v>
          </cell>
          <cell r="D54">
            <v>60</v>
          </cell>
          <cell r="E54">
            <v>58.333333333333343</v>
          </cell>
          <cell r="F54">
            <v>66.511677895505287</v>
          </cell>
          <cell r="G54">
            <v>26.666666666666671</v>
          </cell>
          <cell r="H54">
            <v>60.910047462319334</v>
          </cell>
          <cell r="I54" t="str">
            <v>第一梯队</v>
          </cell>
        </row>
        <row r="55">
          <cell r="A55" t="str">
            <v>南充市</v>
          </cell>
          <cell r="B55">
            <v>2</v>
          </cell>
          <cell r="C55">
            <v>9.9031377703253245</v>
          </cell>
          <cell r="D55">
            <v>38.75</v>
          </cell>
          <cell r="E55">
            <v>41.666666666666657</v>
          </cell>
          <cell r="F55">
            <v>52.792320048879603</v>
          </cell>
          <cell r="G55">
            <v>43.333333333333343</v>
          </cell>
          <cell r="H55">
            <v>39.347555573616908</v>
          </cell>
          <cell r="I55" t="str">
            <v>第四梯队</v>
          </cell>
        </row>
        <row r="56">
          <cell r="A56" t="str">
            <v>揭阳市</v>
          </cell>
          <cell r="B56">
            <v>3</v>
          </cell>
          <cell r="C56">
            <v>32.212544709606831</v>
          </cell>
          <cell r="D56">
            <v>71.25</v>
          </cell>
          <cell r="E56">
            <v>91.666666666666671</v>
          </cell>
          <cell r="F56">
            <v>65.99311485150902</v>
          </cell>
          <cell r="G56">
            <v>66.666666666666671</v>
          </cell>
          <cell r="H56">
            <v>62.923088215858307</v>
          </cell>
          <cell r="I56" t="str">
            <v>第一梯队</v>
          </cell>
        </row>
        <row r="57">
          <cell r="A57" t="str">
            <v>曲靖市</v>
          </cell>
          <cell r="B57">
            <v>3</v>
          </cell>
          <cell r="C57">
            <v>19.066159876405528</v>
          </cell>
          <cell r="D57">
            <v>61.25</v>
          </cell>
          <cell r="E57">
            <v>58.333333333333343</v>
          </cell>
          <cell r="F57">
            <v>74.490613257522895</v>
          </cell>
          <cell r="G57">
            <v>26.666666666666671</v>
          </cell>
          <cell r="H57">
            <v>54.359477278290257</v>
          </cell>
          <cell r="I57" t="str">
            <v>第二梯队</v>
          </cell>
        </row>
        <row r="58">
          <cell r="A58" t="str">
            <v>亳州市</v>
          </cell>
          <cell r="B58">
            <v>3</v>
          </cell>
          <cell r="C58">
            <v>41.795418492859177</v>
          </cell>
          <cell r="D58">
            <v>87.5</v>
          </cell>
          <cell r="E58">
            <v>83.333333333333329</v>
          </cell>
          <cell r="F58">
            <v>54.119122277813872</v>
          </cell>
          <cell r="G58">
            <v>60</v>
          </cell>
          <cell r="H58">
            <v>61.840065943030723</v>
          </cell>
          <cell r="I58" t="str">
            <v>第一梯队</v>
          </cell>
        </row>
        <row r="59">
          <cell r="A59" t="str">
            <v>新乡市</v>
          </cell>
          <cell r="B59">
            <v>2</v>
          </cell>
          <cell r="C59">
            <v>21.723768484658098</v>
          </cell>
          <cell r="D59">
            <v>66.25</v>
          </cell>
          <cell r="E59">
            <v>50</v>
          </cell>
          <cell r="F59">
            <v>53.302335314726392</v>
          </cell>
          <cell r="G59">
            <v>60</v>
          </cell>
          <cell r="H59">
            <v>49.915687822822179</v>
          </cell>
          <cell r="I59" t="str">
            <v>第三梯队</v>
          </cell>
        </row>
        <row r="60">
          <cell r="A60" t="str">
            <v>宿州市</v>
          </cell>
          <cell r="B60">
            <v>3</v>
          </cell>
          <cell r="C60">
            <v>67.427670835226763</v>
          </cell>
          <cell r="D60">
            <v>70</v>
          </cell>
          <cell r="E60">
            <v>75</v>
          </cell>
          <cell r="F60">
            <v>54.155604130156782</v>
          </cell>
          <cell r="G60">
            <v>60</v>
          </cell>
          <cell r="H60">
            <v>62.647775819108062</v>
          </cell>
          <cell r="I60" t="str">
            <v>第一梯队</v>
          </cell>
        </row>
        <row r="61">
          <cell r="A61" t="str">
            <v>烟台市</v>
          </cell>
          <cell r="B61">
            <v>2</v>
          </cell>
          <cell r="C61">
            <v>12.704711428748819</v>
          </cell>
          <cell r="D61">
            <v>77.5</v>
          </cell>
          <cell r="E61">
            <v>91.666666666666671</v>
          </cell>
          <cell r="F61">
            <v>61.363104936934953</v>
          </cell>
          <cell r="G61">
            <v>66.666666666666671</v>
          </cell>
          <cell r="H61">
            <v>58.41951759385708</v>
          </cell>
          <cell r="I61" t="str">
            <v>第二梯队</v>
          </cell>
        </row>
        <row r="62">
          <cell r="A62" t="str">
            <v>达州市</v>
          </cell>
          <cell r="B62">
            <v>3</v>
          </cell>
          <cell r="C62">
            <v>60.102103052077922</v>
          </cell>
          <cell r="D62">
            <v>0</v>
          </cell>
          <cell r="E62">
            <v>0</v>
          </cell>
          <cell r="F62">
            <v>52.359834289449132</v>
          </cell>
          <cell r="G62">
            <v>0</v>
          </cell>
          <cell r="H62">
            <v>32.964354326195227</v>
          </cell>
          <cell r="I62" t="str">
            <v>第四梯队</v>
          </cell>
        </row>
        <row r="63">
          <cell r="A63" t="str">
            <v>聊城市</v>
          </cell>
          <cell r="B63">
            <v>2</v>
          </cell>
          <cell r="C63">
            <v>69.760517249870645</v>
          </cell>
          <cell r="D63">
            <v>60</v>
          </cell>
          <cell r="E63">
            <v>58.333333333333343</v>
          </cell>
          <cell r="F63">
            <v>60.277800313617917</v>
          </cell>
          <cell r="G63">
            <v>43.333333333333343</v>
          </cell>
          <cell r="H63">
            <v>60.229890242087968</v>
          </cell>
          <cell r="I63" t="str">
            <v>第一梯队</v>
          </cell>
        </row>
        <row r="64">
          <cell r="A64" t="str">
            <v>永州市</v>
          </cell>
          <cell r="B64">
            <v>3</v>
          </cell>
          <cell r="C64">
            <v>59.823297317841259</v>
          </cell>
          <cell r="D64">
            <v>42.5</v>
          </cell>
          <cell r="E64">
            <v>50</v>
          </cell>
          <cell r="F64">
            <v>69.789440889060614</v>
          </cell>
          <cell r="G64">
            <v>26.666666666666671</v>
          </cell>
          <cell r="H64">
            <v>56.047102485859163</v>
          </cell>
          <cell r="I64" t="str">
            <v>第二梯队</v>
          </cell>
        </row>
        <row r="65">
          <cell r="A65" t="str">
            <v>昭通市</v>
          </cell>
          <cell r="B65">
            <v>4</v>
          </cell>
          <cell r="C65">
            <v>19.219173472944991</v>
          </cell>
          <cell r="D65">
            <v>56.25</v>
          </cell>
          <cell r="E65">
            <v>75</v>
          </cell>
          <cell r="F65">
            <v>74.070279186411412</v>
          </cell>
          <cell r="G65">
            <v>60</v>
          </cell>
          <cell r="H65">
            <v>58.221946369153557</v>
          </cell>
          <cell r="I65" t="str">
            <v>第二梯队</v>
          </cell>
        </row>
        <row r="66">
          <cell r="A66" t="str">
            <v>安阳市</v>
          </cell>
          <cell r="B66">
            <v>3</v>
          </cell>
          <cell r="C66">
            <v>21.723768484658098</v>
          </cell>
          <cell r="D66">
            <v>55</v>
          </cell>
          <cell r="E66">
            <v>83.333333333333329</v>
          </cell>
          <cell r="F66">
            <v>52.838531469296008</v>
          </cell>
          <cell r="G66">
            <v>43.333333333333343</v>
          </cell>
          <cell r="H66">
            <v>49.146832951316703</v>
          </cell>
          <cell r="I66" t="str">
            <v>第三梯队</v>
          </cell>
        </row>
        <row r="67">
          <cell r="A67" t="str">
            <v>深圳市</v>
          </cell>
          <cell r="B67">
            <v>1</v>
          </cell>
          <cell r="C67">
            <v>18.407168405489621</v>
          </cell>
          <cell r="D67">
            <v>77.5</v>
          </cell>
          <cell r="E67">
            <v>75</v>
          </cell>
          <cell r="F67">
            <v>65.64036673346142</v>
          </cell>
          <cell r="G67">
            <v>33.333333333333343</v>
          </cell>
          <cell r="H67">
            <v>56.270913707815829</v>
          </cell>
          <cell r="I67" t="str">
            <v>第二梯队</v>
          </cell>
        </row>
        <row r="68">
          <cell r="A68" t="str">
            <v>荆州市</v>
          </cell>
          <cell r="B68">
            <v>3</v>
          </cell>
          <cell r="C68">
            <v>12.27025604913492</v>
          </cell>
          <cell r="D68">
            <v>77.5</v>
          </cell>
          <cell r="E68">
            <v>91.666666666666671</v>
          </cell>
          <cell r="F68">
            <v>48.456186635367047</v>
          </cell>
          <cell r="G68">
            <v>50</v>
          </cell>
          <cell r="H68">
            <v>51.503192530640469</v>
          </cell>
          <cell r="I68" t="str">
            <v>第三梯队</v>
          </cell>
        </row>
        <row r="69">
          <cell r="A69" t="str">
            <v>宁波市</v>
          </cell>
          <cell r="B69">
            <v>2</v>
          </cell>
          <cell r="C69">
            <v>27.970927068198879</v>
          </cell>
          <cell r="D69">
            <v>77.5</v>
          </cell>
          <cell r="E69">
            <v>75</v>
          </cell>
          <cell r="F69">
            <v>49.465800570425912</v>
          </cell>
          <cell r="G69">
            <v>50</v>
          </cell>
          <cell r="H69">
            <v>53.380505641810139</v>
          </cell>
          <cell r="I69" t="str">
            <v>第二梯队</v>
          </cell>
        </row>
        <row r="70">
          <cell r="A70" t="str">
            <v>台州市</v>
          </cell>
          <cell r="B70">
            <v>2</v>
          </cell>
          <cell r="C70">
            <v>0</v>
          </cell>
          <cell r="D70">
            <v>77.5</v>
          </cell>
          <cell r="E70">
            <v>83.333333333333329</v>
          </cell>
          <cell r="F70">
            <v>49.459486842800551</v>
          </cell>
          <cell r="G70">
            <v>43.333333333333343</v>
          </cell>
          <cell r="H70">
            <v>47.950461403786903</v>
          </cell>
          <cell r="I70" t="str">
            <v>第三梯队</v>
          </cell>
        </row>
        <row r="71">
          <cell r="A71" t="str">
            <v>大连市</v>
          </cell>
          <cell r="B71">
            <v>1</v>
          </cell>
          <cell r="C71">
            <v>68.201441624440449</v>
          </cell>
          <cell r="D71">
            <v>58.75</v>
          </cell>
          <cell r="E71">
            <v>58.333333333333343</v>
          </cell>
          <cell r="F71">
            <v>58.759529713281907</v>
          </cell>
          <cell r="G71">
            <v>26.666666666666671</v>
          </cell>
          <cell r="H71">
            <v>57.394100210200847</v>
          </cell>
          <cell r="I71" t="str">
            <v>第二梯队</v>
          </cell>
        </row>
        <row r="72">
          <cell r="A72" t="str">
            <v>宜春市</v>
          </cell>
          <cell r="B72">
            <v>3</v>
          </cell>
          <cell r="C72">
            <v>18.407168405489621</v>
          </cell>
          <cell r="D72">
            <v>82.5</v>
          </cell>
          <cell r="E72">
            <v>83.333333333333329</v>
          </cell>
          <cell r="F72">
            <v>44.216238923160958</v>
          </cell>
          <cell r="G72">
            <v>60</v>
          </cell>
          <cell r="H72">
            <v>52.201262583695637</v>
          </cell>
          <cell r="I72" t="str">
            <v>第二梯队</v>
          </cell>
        </row>
        <row r="73">
          <cell r="A73" t="str">
            <v>德州市</v>
          </cell>
          <cell r="B73">
            <v>3</v>
          </cell>
          <cell r="C73">
            <v>0</v>
          </cell>
          <cell r="D73">
            <v>77.5</v>
          </cell>
          <cell r="E73">
            <v>83.333333333333329</v>
          </cell>
          <cell r="F73">
            <v>39.425449962599323</v>
          </cell>
          <cell r="G73">
            <v>43.333333333333343</v>
          </cell>
          <cell r="H73">
            <v>43.936846651706396</v>
          </cell>
          <cell r="I73" t="str">
            <v>第四梯队</v>
          </cell>
        </row>
        <row r="74">
          <cell r="A74" t="str">
            <v>常德市</v>
          </cell>
          <cell r="B74">
            <v>3</v>
          </cell>
          <cell r="C74">
            <v>72.393653324695606</v>
          </cell>
          <cell r="D74">
            <v>77.5</v>
          </cell>
          <cell r="E74">
            <v>83.333333333333329</v>
          </cell>
          <cell r="F74">
            <v>58.400572121989413</v>
          </cell>
          <cell r="G74">
            <v>66.666666666666671</v>
          </cell>
          <cell r="H74">
            <v>68.338959513734892</v>
          </cell>
          <cell r="I74" t="str">
            <v>第一梯队</v>
          </cell>
        </row>
        <row r="75">
          <cell r="A75" t="str">
            <v>宿迁市</v>
          </cell>
          <cell r="B75">
            <v>3</v>
          </cell>
          <cell r="C75">
            <v>10.427922560745801</v>
          </cell>
          <cell r="D75">
            <v>66.25</v>
          </cell>
          <cell r="E75">
            <v>66.666666666666671</v>
          </cell>
          <cell r="F75">
            <v>61.810883654190299</v>
          </cell>
          <cell r="G75">
            <v>43.333333333333343</v>
          </cell>
          <cell r="H75">
            <v>51.059937973825278</v>
          </cell>
          <cell r="I75" t="str">
            <v>第三梯队</v>
          </cell>
        </row>
        <row r="76">
          <cell r="A76" t="str">
            <v>昆明市</v>
          </cell>
          <cell r="B76">
            <v>1</v>
          </cell>
          <cell r="C76">
            <v>61.090686361170803</v>
          </cell>
          <cell r="D76">
            <v>82.5</v>
          </cell>
          <cell r="E76">
            <v>91.666666666666671</v>
          </cell>
          <cell r="F76">
            <v>72.920506112336213</v>
          </cell>
          <cell r="G76">
            <v>66.666666666666671</v>
          </cell>
          <cell r="H76">
            <v>73.719673050501981</v>
          </cell>
          <cell r="I76" t="str">
            <v>第一梯队</v>
          </cell>
        </row>
        <row r="77">
          <cell r="A77" t="str">
            <v>襄阳市</v>
          </cell>
          <cell r="B77">
            <v>2</v>
          </cell>
          <cell r="C77">
            <v>56.176931758526401</v>
          </cell>
          <cell r="D77">
            <v>53.75</v>
          </cell>
          <cell r="E77">
            <v>25</v>
          </cell>
          <cell r="F77">
            <v>63.118738299133923</v>
          </cell>
          <cell r="G77">
            <v>43.333333333333343</v>
          </cell>
          <cell r="H77">
            <v>54.066215004692182</v>
          </cell>
          <cell r="I77" t="str">
            <v>第二梯队</v>
          </cell>
        </row>
        <row r="78">
          <cell r="A78" t="str">
            <v>六安市</v>
          </cell>
          <cell r="B78">
            <v>3</v>
          </cell>
          <cell r="C78">
            <v>19.98302911162067</v>
          </cell>
          <cell r="D78">
            <v>83.75</v>
          </cell>
          <cell r="E78">
            <v>91.666666666666671</v>
          </cell>
          <cell r="F78">
            <v>45.5189127789004</v>
          </cell>
          <cell r="G78">
            <v>66.666666666666671</v>
          </cell>
          <cell r="H78">
            <v>54.787504267217628</v>
          </cell>
          <cell r="I78" t="str">
            <v>第二梯队</v>
          </cell>
        </row>
        <row r="79">
          <cell r="A79" t="str">
            <v>汕头市</v>
          </cell>
          <cell r="B79">
            <v>2</v>
          </cell>
          <cell r="C79">
            <v>9.238523693746659</v>
          </cell>
          <cell r="D79">
            <v>82.5</v>
          </cell>
          <cell r="E79">
            <v>83.333333333333329</v>
          </cell>
          <cell r="F79">
            <v>56.525627121956433</v>
          </cell>
          <cell r="G79">
            <v>43.333333333333343</v>
          </cell>
          <cell r="H79">
            <v>53.62462225419857</v>
          </cell>
          <cell r="I79" t="str">
            <v>第二梯队</v>
          </cell>
        </row>
        <row r="80">
          <cell r="A80" t="str">
            <v>平顶山市</v>
          </cell>
          <cell r="B80">
            <v>3</v>
          </cell>
          <cell r="C80">
            <v>0</v>
          </cell>
          <cell r="D80">
            <v>58.75</v>
          </cell>
          <cell r="E80">
            <v>83.333333333333329</v>
          </cell>
          <cell r="F80">
            <v>63.948526333960473</v>
          </cell>
          <cell r="G80">
            <v>43.333333333333343</v>
          </cell>
          <cell r="H80">
            <v>49.996077200250859</v>
          </cell>
          <cell r="I80" t="str">
            <v>第三梯队</v>
          </cell>
        </row>
        <row r="81">
          <cell r="A81" t="str">
            <v>泰安市</v>
          </cell>
          <cell r="B81">
            <v>2</v>
          </cell>
          <cell r="C81">
            <v>33.980298616002777</v>
          </cell>
          <cell r="D81">
            <v>65</v>
          </cell>
          <cell r="E81">
            <v>75</v>
          </cell>
          <cell r="F81">
            <v>44.732661484773033</v>
          </cell>
          <cell r="G81">
            <v>50</v>
          </cell>
          <cell r="H81">
            <v>50.189124317109773</v>
          </cell>
          <cell r="I81" t="str">
            <v>第三梯队</v>
          </cell>
        </row>
        <row r="82">
          <cell r="A82" t="str">
            <v>贵港市</v>
          </cell>
          <cell r="B82">
            <v>3</v>
          </cell>
          <cell r="C82">
            <v>0</v>
          </cell>
          <cell r="D82">
            <v>70</v>
          </cell>
          <cell r="E82">
            <v>83.333333333333329</v>
          </cell>
          <cell r="F82">
            <v>49.570271260234989</v>
          </cell>
          <cell r="G82">
            <v>66.666666666666671</v>
          </cell>
          <cell r="H82">
            <v>48.828108504093997</v>
          </cell>
          <cell r="I82" t="str">
            <v>第三梯队</v>
          </cell>
        </row>
        <row r="83">
          <cell r="A83" t="str">
            <v>开封市</v>
          </cell>
          <cell r="B83">
            <v>2</v>
          </cell>
          <cell r="C83">
            <v>10.861884242329049</v>
          </cell>
          <cell r="D83">
            <v>47.5</v>
          </cell>
          <cell r="E83">
            <v>91.666666666666671</v>
          </cell>
          <cell r="F83">
            <v>58.387520700901938</v>
          </cell>
          <cell r="G83">
            <v>50</v>
          </cell>
          <cell r="H83">
            <v>49.194051795493252</v>
          </cell>
          <cell r="I83" t="str">
            <v>第三梯队</v>
          </cell>
        </row>
        <row r="84">
          <cell r="A84" t="str">
            <v>岳阳市</v>
          </cell>
          <cell r="B84">
            <v>2</v>
          </cell>
          <cell r="C84">
            <v>0</v>
          </cell>
          <cell r="D84">
            <v>32.5</v>
          </cell>
          <cell r="E84">
            <v>50</v>
          </cell>
          <cell r="F84">
            <v>56.508450621904288</v>
          </cell>
          <cell r="G84">
            <v>13.33333333333333</v>
          </cell>
          <cell r="H84">
            <v>35.436713582095052</v>
          </cell>
          <cell r="I84" t="str">
            <v>第四梯队</v>
          </cell>
        </row>
        <row r="85">
          <cell r="A85" t="str">
            <v>淮安市</v>
          </cell>
          <cell r="B85">
            <v>2</v>
          </cell>
          <cell r="C85">
            <v>10.40030799321638</v>
          </cell>
          <cell r="D85">
            <v>37.5</v>
          </cell>
          <cell r="E85">
            <v>33.333333333333343</v>
          </cell>
          <cell r="F85">
            <v>62.867218418780404</v>
          </cell>
          <cell r="G85">
            <v>30</v>
          </cell>
          <cell r="H85">
            <v>41.060282299488783</v>
          </cell>
          <cell r="I85" t="str">
            <v>第四梯队</v>
          </cell>
        </row>
        <row r="86">
          <cell r="A86" t="str">
            <v>宜宾市</v>
          </cell>
          <cell r="B86">
            <v>2</v>
          </cell>
          <cell r="C86">
            <v>85.991134505389724</v>
          </cell>
          <cell r="D86">
            <v>58.75</v>
          </cell>
          <cell r="E86">
            <v>16.666666666666671</v>
          </cell>
          <cell r="F86">
            <v>40.463360610158787</v>
          </cell>
          <cell r="G86">
            <v>26.666666666666671</v>
          </cell>
          <cell r="H86">
            <v>49.466904478474802</v>
          </cell>
          <cell r="I86" t="str">
            <v>第三梯队</v>
          </cell>
        </row>
        <row r="87">
          <cell r="A87" t="str">
            <v>梅州市</v>
          </cell>
          <cell r="B87">
            <v>3</v>
          </cell>
          <cell r="C87">
            <v>18.407168405489621</v>
          </cell>
          <cell r="D87">
            <v>72.5</v>
          </cell>
          <cell r="E87">
            <v>83.333333333333329</v>
          </cell>
          <cell r="F87">
            <v>69.333361207250661</v>
          </cell>
          <cell r="G87">
            <v>33.333333333333343</v>
          </cell>
          <cell r="H87">
            <v>57.581444830664857</v>
          </cell>
          <cell r="I87" t="str">
            <v>第二梯队</v>
          </cell>
        </row>
        <row r="88">
          <cell r="A88" t="str">
            <v>桂林市</v>
          </cell>
          <cell r="B88">
            <v>2</v>
          </cell>
          <cell r="C88">
            <v>9.2035842027448087</v>
          </cell>
          <cell r="D88">
            <v>81.25</v>
          </cell>
          <cell r="E88">
            <v>91.666666666666671</v>
          </cell>
          <cell r="F88">
            <v>54.24928285201716</v>
          </cell>
          <cell r="G88">
            <v>60</v>
          </cell>
          <cell r="H88">
            <v>54.957096648022493</v>
          </cell>
          <cell r="I88" t="str">
            <v>第二梯队</v>
          </cell>
        </row>
        <row r="89">
          <cell r="A89" t="str">
            <v>南昌市</v>
          </cell>
          <cell r="B89">
            <v>2</v>
          </cell>
          <cell r="C89">
            <v>57.599966493266628</v>
          </cell>
          <cell r="D89">
            <v>77.5</v>
          </cell>
          <cell r="E89">
            <v>75</v>
          </cell>
          <cell r="F89">
            <v>26.601796304910799</v>
          </cell>
          <cell r="G89">
            <v>60</v>
          </cell>
          <cell r="H89">
            <v>51.160711820617649</v>
          </cell>
          <cell r="I89" t="str">
            <v>第三梯队</v>
          </cell>
        </row>
        <row r="90">
          <cell r="A90" t="str">
            <v>吉安市</v>
          </cell>
          <cell r="B90">
            <v>4</v>
          </cell>
          <cell r="C90">
            <v>48.713906577222531</v>
          </cell>
          <cell r="D90">
            <v>76.25</v>
          </cell>
          <cell r="E90">
            <v>66.666666666666671</v>
          </cell>
          <cell r="F90">
            <v>50.682235179352787</v>
          </cell>
          <cell r="G90">
            <v>43.333333333333343</v>
          </cell>
          <cell r="H90">
            <v>56.265675387185631</v>
          </cell>
          <cell r="I90" t="str">
            <v>第二梯队</v>
          </cell>
        </row>
        <row r="91">
          <cell r="A91" t="str">
            <v>渭南市</v>
          </cell>
          <cell r="B91">
            <v>4</v>
          </cell>
          <cell r="C91">
            <v>68.799336754171932</v>
          </cell>
          <cell r="D91">
            <v>66.25</v>
          </cell>
          <cell r="E91">
            <v>83.333333333333329</v>
          </cell>
          <cell r="F91">
            <v>61.217385233940121</v>
          </cell>
          <cell r="G91">
            <v>50</v>
          </cell>
          <cell r="H91">
            <v>64.830154777743772</v>
          </cell>
          <cell r="I91" t="str">
            <v>第一梯队</v>
          </cell>
        </row>
        <row r="92">
          <cell r="A92" t="str">
            <v>连云港市</v>
          </cell>
          <cell r="B92">
            <v>2</v>
          </cell>
          <cell r="C92">
            <v>10.439990240288379</v>
          </cell>
          <cell r="D92">
            <v>42.5</v>
          </cell>
          <cell r="E92">
            <v>25</v>
          </cell>
          <cell r="F92">
            <v>61.550720605436517</v>
          </cell>
          <cell r="G92">
            <v>33.333333333333343</v>
          </cell>
          <cell r="H92">
            <v>41.041619623565623</v>
          </cell>
          <cell r="I92" t="str">
            <v>第四梯队</v>
          </cell>
        </row>
        <row r="93">
          <cell r="A93" t="str">
            <v>郴州市</v>
          </cell>
          <cell r="B93">
            <v>3</v>
          </cell>
          <cell r="C93">
            <v>59.823297317841259</v>
          </cell>
          <cell r="D93">
            <v>76.25</v>
          </cell>
          <cell r="E93">
            <v>75</v>
          </cell>
          <cell r="F93">
            <v>71.180541375036839</v>
          </cell>
          <cell r="G93">
            <v>43.333333333333343</v>
          </cell>
          <cell r="H93">
            <v>67.520209346916317</v>
          </cell>
          <cell r="I93" t="str">
            <v>第一梯队</v>
          </cell>
        </row>
        <row r="94">
          <cell r="A94" t="str">
            <v>绵阳市</v>
          </cell>
          <cell r="B94">
            <v>2</v>
          </cell>
          <cell r="C94">
            <v>19.440426233368068</v>
          </cell>
          <cell r="D94">
            <v>76.25</v>
          </cell>
          <cell r="E94">
            <v>91.666666666666671</v>
          </cell>
          <cell r="F94">
            <v>55.91134648145885</v>
          </cell>
          <cell r="G94">
            <v>60</v>
          </cell>
          <cell r="H94">
            <v>56.669290505923833</v>
          </cell>
          <cell r="I94" t="str">
            <v>第二梯队</v>
          </cell>
        </row>
        <row r="95">
          <cell r="A95" t="str">
            <v>安庆市</v>
          </cell>
          <cell r="B95">
            <v>3</v>
          </cell>
          <cell r="C95">
            <v>9.7326039103799271</v>
          </cell>
          <cell r="D95">
            <v>88.75</v>
          </cell>
          <cell r="E95">
            <v>66.666666666666671</v>
          </cell>
          <cell r="F95">
            <v>61.880885575778287</v>
          </cell>
          <cell r="G95">
            <v>60</v>
          </cell>
          <cell r="H95">
            <v>57.115541679053983</v>
          </cell>
          <cell r="I95" t="str">
            <v>第二梯队</v>
          </cell>
        </row>
        <row r="96">
          <cell r="A96" t="str">
            <v>漳州市</v>
          </cell>
          <cell r="B96">
            <v>3</v>
          </cell>
          <cell r="C96">
            <v>59.823297317841259</v>
          </cell>
          <cell r="D96">
            <v>0</v>
          </cell>
          <cell r="E96">
            <v>0</v>
          </cell>
          <cell r="F96">
            <v>58.510936747886902</v>
          </cell>
          <cell r="G96">
            <v>13.33333333333333</v>
          </cell>
          <cell r="H96">
            <v>36.702367496056347</v>
          </cell>
          <cell r="I96" t="str">
            <v>第四梯队</v>
          </cell>
        </row>
        <row r="97">
          <cell r="A97" t="str">
            <v>九江市</v>
          </cell>
          <cell r="B97">
            <v>3</v>
          </cell>
          <cell r="C97">
            <v>61.367262459608312</v>
          </cell>
          <cell r="D97">
            <v>88.75</v>
          </cell>
          <cell r="E97">
            <v>91.666666666666671</v>
          </cell>
          <cell r="F97">
            <v>64.476977601666249</v>
          </cell>
          <cell r="G97">
            <v>66.666666666666671</v>
          </cell>
          <cell r="H97">
            <v>71.647576865921508</v>
          </cell>
          <cell r="I97" t="str">
            <v>第一梯队</v>
          </cell>
        </row>
        <row r="98">
          <cell r="A98" t="str">
            <v>怀化市</v>
          </cell>
          <cell r="B98">
            <v>3</v>
          </cell>
          <cell r="C98">
            <v>33.108521912821253</v>
          </cell>
          <cell r="D98">
            <v>77.5</v>
          </cell>
          <cell r="E98">
            <v>83.333333333333329</v>
          </cell>
          <cell r="F98">
            <v>60.284287048456683</v>
          </cell>
          <cell r="G98">
            <v>66.666666666666671</v>
          </cell>
          <cell r="H98">
            <v>61.235419201946932</v>
          </cell>
          <cell r="I98" t="str">
            <v>第一梯队</v>
          </cell>
        </row>
        <row r="99">
          <cell r="A99" t="str">
            <v>齐齐哈尔市</v>
          </cell>
          <cell r="B99">
            <v>2</v>
          </cell>
          <cell r="C99">
            <v>46.163008029898471</v>
          </cell>
          <cell r="D99">
            <v>36.25</v>
          </cell>
          <cell r="E99">
            <v>58.333333333333343</v>
          </cell>
          <cell r="F99">
            <v>51.764484265357282</v>
          </cell>
          <cell r="G99">
            <v>0</v>
          </cell>
          <cell r="H99">
            <v>43.021728645455937</v>
          </cell>
          <cell r="I99" t="str">
            <v>第四梯队</v>
          </cell>
        </row>
        <row r="100">
          <cell r="A100" t="str">
            <v>无锡市</v>
          </cell>
          <cell r="B100">
            <v>2</v>
          </cell>
          <cell r="C100">
            <v>9.8832016945080294</v>
          </cell>
          <cell r="D100">
            <v>53.75</v>
          </cell>
          <cell r="E100">
            <v>41.666666666666657</v>
          </cell>
          <cell r="F100">
            <v>57.973086066909929</v>
          </cell>
          <cell r="G100">
            <v>43.333333333333343</v>
          </cell>
          <cell r="H100">
            <v>44.415874765665578</v>
          </cell>
          <cell r="I100" t="str">
            <v>第四梯队</v>
          </cell>
        </row>
        <row r="101">
          <cell r="A101" t="str">
            <v>运城市</v>
          </cell>
          <cell r="B101">
            <v>3</v>
          </cell>
          <cell r="C101">
            <v>10.628555374028339</v>
          </cell>
          <cell r="D101">
            <v>47.5</v>
          </cell>
          <cell r="E101">
            <v>41.666666666666657</v>
          </cell>
          <cell r="F101">
            <v>57.959063095775377</v>
          </cell>
          <cell r="G101">
            <v>13.33333333333333</v>
          </cell>
          <cell r="H101">
            <v>40.309336313115828</v>
          </cell>
          <cell r="I101" t="str">
            <v>第四梯队</v>
          </cell>
        </row>
        <row r="102">
          <cell r="A102" t="str">
            <v>绥化市</v>
          </cell>
          <cell r="B102">
            <v>4</v>
          </cell>
          <cell r="C102">
            <v>0</v>
          </cell>
          <cell r="D102">
            <v>6.25</v>
          </cell>
          <cell r="E102">
            <v>0</v>
          </cell>
          <cell r="F102">
            <v>60.732706435277187</v>
          </cell>
          <cell r="G102">
            <v>13.33333333333333</v>
          </cell>
          <cell r="H102">
            <v>26.876415907444208</v>
          </cell>
          <cell r="I102" t="str">
            <v>第四梯队</v>
          </cell>
        </row>
        <row r="103">
          <cell r="A103" t="str">
            <v>许昌市</v>
          </cell>
          <cell r="B103">
            <v>3</v>
          </cell>
          <cell r="C103">
            <v>0</v>
          </cell>
          <cell r="D103">
            <v>66.25</v>
          </cell>
          <cell r="E103">
            <v>66.666666666666671</v>
          </cell>
          <cell r="F103">
            <v>48.742179753764852</v>
          </cell>
          <cell r="G103">
            <v>50</v>
          </cell>
          <cell r="H103">
            <v>44.413538568172612</v>
          </cell>
          <cell r="I103" t="str">
            <v>第四梯队</v>
          </cell>
        </row>
        <row r="104">
          <cell r="A104" t="str">
            <v>泸州市</v>
          </cell>
          <cell r="B104">
            <v>3</v>
          </cell>
          <cell r="C104">
            <v>19.78719614896098</v>
          </cell>
          <cell r="D104">
            <v>43.75</v>
          </cell>
          <cell r="E104">
            <v>58.333333333333343</v>
          </cell>
          <cell r="F104">
            <v>52.70047246073694</v>
          </cell>
          <cell r="G104">
            <v>60</v>
          </cell>
          <cell r="H104">
            <v>45.620961547420308</v>
          </cell>
          <cell r="I104" t="str">
            <v>第三梯队</v>
          </cell>
        </row>
        <row r="105">
          <cell r="A105" t="str">
            <v>孝感市</v>
          </cell>
          <cell r="B105">
            <v>3</v>
          </cell>
          <cell r="C105">
            <v>9.9712728574066567</v>
          </cell>
          <cell r="D105">
            <v>50</v>
          </cell>
          <cell r="E105">
            <v>66.666666666666671</v>
          </cell>
          <cell r="F105">
            <v>43.887857039599723</v>
          </cell>
          <cell r="G105">
            <v>43.333333333333343</v>
          </cell>
          <cell r="H105">
            <v>40.549397387321228</v>
          </cell>
          <cell r="I105" t="str">
            <v>第四梯队</v>
          </cell>
        </row>
        <row r="106">
          <cell r="A106" t="str">
            <v>金华市</v>
          </cell>
          <cell r="B106">
            <v>3</v>
          </cell>
          <cell r="C106">
            <v>9.2135930496978649</v>
          </cell>
          <cell r="D106">
            <v>50</v>
          </cell>
          <cell r="E106">
            <v>66.666666666666671</v>
          </cell>
          <cell r="F106">
            <v>49.871772252246139</v>
          </cell>
          <cell r="G106">
            <v>60</v>
          </cell>
          <cell r="H106">
            <v>44.458094177504698</v>
          </cell>
          <cell r="I106" t="str">
            <v>第四梯队</v>
          </cell>
        </row>
        <row r="107">
          <cell r="A107" t="str">
            <v>廊坊市</v>
          </cell>
          <cell r="B107">
            <v>3</v>
          </cell>
          <cell r="C107">
            <v>10.861884242329049</v>
          </cell>
          <cell r="D107">
            <v>53.75</v>
          </cell>
          <cell r="E107">
            <v>41.666666666666657</v>
          </cell>
          <cell r="F107">
            <v>71.832893545223499</v>
          </cell>
          <cell r="G107">
            <v>43.333333333333343</v>
          </cell>
          <cell r="H107">
            <v>50.155534266555208</v>
          </cell>
          <cell r="I107" t="str">
            <v>第三梯队</v>
          </cell>
        </row>
        <row r="108">
          <cell r="A108" t="str">
            <v>泰州市</v>
          </cell>
          <cell r="B108">
            <v>3</v>
          </cell>
          <cell r="C108">
            <v>66.045242913886682</v>
          </cell>
          <cell r="D108">
            <v>47.5</v>
          </cell>
          <cell r="E108">
            <v>16.666666666666671</v>
          </cell>
          <cell r="F108">
            <v>59.750713620012128</v>
          </cell>
          <cell r="G108">
            <v>26.666666666666671</v>
          </cell>
          <cell r="H108">
            <v>50.942667364115508</v>
          </cell>
          <cell r="I108" t="str">
            <v>第三梯队</v>
          </cell>
        </row>
        <row r="109">
          <cell r="A109" t="str">
            <v>佛山市</v>
          </cell>
          <cell r="B109">
            <v>1</v>
          </cell>
          <cell r="C109">
            <v>29.91164865892063</v>
          </cell>
          <cell r="D109">
            <v>65</v>
          </cell>
          <cell r="E109">
            <v>83.333333333333329</v>
          </cell>
          <cell r="F109">
            <v>56.479884567873647</v>
          </cell>
          <cell r="G109">
            <v>26.666666666666671</v>
          </cell>
          <cell r="H109">
            <v>52.574283558933587</v>
          </cell>
          <cell r="I109" t="str">
            <v>第二梯队</v>
          </cell>
        </row>
        <row r="110">
          <cell r="A110" t="str">
            <v>益阳市</v>
          </cell>
          <cell r="B110">
            <v>3</v>
          </cell>
          <cell r="C110">
            <v>37.759567037860208</v>
          </cell>
          <cell r="D110">
            <v>58.75</v>
          </cell>
          <cell r="E110">
            <v>58.333333333333343</v>
          </cell>
          <cell r="F110">
            <v>56.590213638477088</v>
          </cell>
          <cell r="G110">
            <v>60</v>
          </cell>
          <cell r="H110">
            <v>53.771332196296207</v>
          </cell>
          <cell r="I110" t="str">
            <v>第二梯队</v>
          </cell>
        </row>
        <row r="111">
          <cell r="A111" t="str">
            <v>衡水市</v>
          </cell>
          <cell r="B111">
            <v>3</v>
          </cell>
          <cell r="C111">
            <v>21.723768484658098</v>
          </cell>
          <cell r="D111">
            <v>58.75</v>
          </cell>
          <cell r="E111">
            <v>66.666666666666671</v>
          </cell>
          <cell r="F111">
            <v>71.962491522806005</v>
          </cell>
          <cell r="G111">
            <v>66.666666666666671</v>
          </cell>
          <cell r="H111">
            <v>58.213083639387357</v>
          </cell>
          <cell r="I111" t="str">
            <v>第二梯队</v>
          </cell>
        </row>
        <row r="112">
          <cell r="A112" t="str">
            <v>张家口市</v>
          </cell>
          <cell r="B112">
            <v>2</v>
          </cell>
          <cell r="C112">
            <v>10.861884242329049</v>
          </cell>
          <cell r="D112">
            <v>83.75</v>
          </cell>
          <cell r="E112">
            <v>91.666666666666671</v>
          </cell>
          <cell r="F112">
            <v>80.14227637274044</v>
          </cell>
          <cell r="G112">
            <v>66.666666666666671</v>
          </cell>
          <cell r="H112">
            <v>66.812620730895333</v>
          </cell>
          <cell r="I112" t="str">
            <v>第一梯队</v>
          </cell>
        </row>
        <row r="113">
          <cell r="A113" t="str">
            <v>肇庆市</v>
          </cell>
          <cell r="B113">
            <v>3</v>
          </cell>
          <cell r="C113">
            <v>39.11523286166544</v>
          </cell>
          <cell r="D113">
            <v>77.5</v>
          </cell>
          <cell r="E113">
            <v>91.666666666666671</v>
          </cell>
          <cell r="F113">
            <v>68.70888094850757</v>
          </cell>
          <cell r="G113">
            <v>66.666666666666671</v>
          </cell>
          <cell r="H113">
            <v>66.639932285069449</v>
          </cell>
          <cell r="I113" t="str">
            <v>第一梯队</v>
          </cell>
        </row>
        <row r="114">
          <cell r="A114" t="str">
            <v>咸阳市</v>
          </cell>
          <cell r="B114">
            <v>2</v>
          </cell>
          <cell r="C114">
            <v>26.65376929327838</v>
          </cell>
          <cell r="D114">
            <v>72.5</v>
          </cell>
          <cell r="E114">
            <v>58.333333333333343</v>
          </cell>
          <cell r="F114">
            <v>71.646908619276971</v>
          </cell>
          <cell r="G114">
            <v>43.333333333333343</v>
          </cell>
          <cell r="H114">
            <v>58.656183973033137</v>
          </cell>
          <cell r="I114" t="str">
            <v>第一梯队</v>
          </cell>
        </row>
        <row r="115">
          <cell r="A115" t="str">
            <v>赤峰市</v>
          </cell>
          <cell r="B115">
            <v>2</v>
          </cell>
          <cell r="C115">
            <v>81.464131817467887</v>
          </cell>
          <cell r="D115">
            <v>46.25</v>
          </cell>
          <cell r="E115">
            <v>66.666666666666671</v>
          </cell>
          <cell r="F115">
            <v>66.750607261100939</v>
          </cell>
          <cell r="G115">
            <v>26.666666666666671</v>
          </cell>
          <cell r="H115">
            <v>61.576402601267283</v>
          </cell>
          <cell r="I115" t="str">
            <v>第一梯队</v>
          </cell>
        </row>
        <row r="116">
          <cell r="A116" t="str">
            <v>滁州市</v>
          </cell>
          <cell r="B116">
            <v>4</v>
          </cell>
          <cell r="C116">
            <v>43.398137806218777</v>
          </cell>
          <cell r="D116">
            <v>90</v>
          </cell>
          <cell r="E116">
            <v>91.666666666666671</v>
          </cell>
          <cell r="F116">
            <v>64.99762814600841</v>
          </cell>
          <cell r="G116">
            <v>66.666666666666671</v>
          </cell>
          <cell r="H116">
            <v>68.512012152980461</v>
          </cell>
          <cell r="I116" t="str">
            <v>第一梯队</v>
          </cell>
        </row>
        <row r="117">
          <cell r="A117" t="str">
            <v>广安市</v>
          </cell>
          <cell r="B117">
            <v>4</v>
          </cell>
          <cell r="C117">
            <v>32.078711931528296</v>
          </cell>
          <cell r="D117">
            <v>82.5</v>
          </cell>
          <cell r="E117">
            <v>83.333333333333329</v>
          </cell>
          <cell r="F117">
            <v>46.528918396203849</v>
          </cell>
          <cell r="G117">
            <v>66.666666666666671</v>
          </cell>
          <cell r="H117">
            <v>56.527309744787203</v>
          </cell>
          <cell r="I117" t="str">
            <v>第二梯队</v>
          </cell>
        </row>
        <row r="118">
          <cell r="A118" t="str">
            <v>扬州市</v>
          </cell>
          <cell r="B118">
            <v>2</v>
          </cell>
          <cell r="C118">
            <v>10.29697033699612</v>
          </cell>
          <cell r="D118">
            <v>53.75</v>
          </cell>
          <cell r="E118">
            <v>58.333333333333343</v>
          </cell>
          <cell r="F118">
            <v>55.452660703812498</v>
          </cell>
          <cell r="G118">
            <v>26.666666666666671</v>
          </cell>
          <cell r="H118">
            <v>43.490458348924228</v>
          </cell>
          <cell r="I118" t="str">
            <v>第四梯队</v>
          </cell>
        </row>
        <row r="119">
          <cell r="A119" t="str">
            <v>清远市</v>
          </cell>
          <cell r="B119">
            <v>3</v>
          </cell>
          <cell r="C119">
            <v>57.522401267155047</v>
          </cell>
          <cell r="D119">
            <v>65</v>
          </cell>
          <cell r="E119">
            <v>50</v>
          </cell>
          <cell r="F119">
            <v>57.645731856854901</v>
          </cell>
          <cell r="G119">
            <v>43.333333333333343</v>
          </cell>
          <cell r="H119">
            <v>56.89610632950631</v>
          </cell>
          <cell r="I119" t="str">
            <v>第二梯队</v>
          </cell>
        </row>
        <row r="120">
          <cell r="A120" t="str">
            <v>铜仁市</v>
          </cell>
          <cell r="B120">
            <v>4</v>
          </cell>
          <cell r="C120">
            <v>19.041393197393859</v>
          </cell>
          <cell r="D120">
            <v>53.75</v>
          </cell>
          <cell r="E120">
            <v>16.666666666666671</v>
          </cell>
          <cell r="F120">
            <v>75.475524565276586</v>
          </cell>
          <cell r="G120">
            <v>43.333333333333343</v>
          </cell>
          <cell r="H120">
            <v>50.748488465589411</v>
          </cell>
          <cell r="I120" t="str">
            <v>第三梯队</v>
          </cell>
        </row>
        <row r="121">
          <cell r="A121" t="str">
            <v>娄底市</v>
          </cell>
          <cell r="B121">
            <v>3</v>
          </cell>
          <cell r="C121">
            <v>60.664712038115127</v>
          </cell>
          <cell r="D121">
            <v>27.5</v>
          </cell>
          <cell r="E121">
            <v>41.666666666666657</v>
          </cell>
          <cell r="F121">
            <v>65.375304006692218</v>
          </cell>
          <cell r="G121">
            <v>13.33333333333333</v>
          </cell>
          <cell r="H121">
            <v>49.283064010299917</v>
          </cell>
          <cell r="I121" t="str">
            <v>第三梯队</v>
          </cell>
        </row>
        <row r="122">
          <cell r="A122" t="str">
            <v>绍兴市</v>
          </cell>
          <cell r="B122">
            <v>2</v>
          </cell>
          <cell r="C122">
            <v>9.4011939798767248</v>
          </cell>
          <cell r="D122">
            <v>76.25</v>
          </cell>
          <cell r="E122">
            <v>58.333333333333343</v>
          </cell>
          <cell r="F122">
            <v>49.960157415392423</v>
          </cell>
          <cell r="G122">
            <v>43.333333333333343</v>
          </cell>
          <cell r="H122">
            <v>47.280968428798992</v>
          </cell>
          <cell r="I122" t="str">
            <v>第三梯队</v>
          </cell>
        </row>
        <row r="123">
          <cell r="A123" t="str">
            <v>贵阳市</v>
          </cell>
          <cell r="B123">
            <v>2</v>
          </cell>
          <cell r="C123">
            <v>9.5819293905114513</v>
          </cell>
          <cell r="D123">
            <v>77.5</v>
          </cell>
          <cell r="E123">
            <v>91.666666666666671</v>
          </cell>
          <cell r="F123">
            <v>63.219744329799298</v>
          </cell>
          <cell r="G123">
            <v>33.333333333333343</v>
          </cell>
          <cell r="H123">
            <v>55.204283610022017</v>
          </cell>
          <cell r="I123" t="str">
            <v>第二梯队</v>
          </cell>
        </row>
        <row r="124">
          <cell r="A124" t="str">
            <v>濮阳市</v>
          </cell>
          <cell r="B124">
            <v>3</v>
          </cell>
          <cell r="C124">
            <v>21.723768484658098</v>
          </cell>
          <cell r="D124">
            <v>21.25</v>
          </cell>
          <cell r="E124">
            <v>25</v>
          </cell>
          <cell r="F124">
            <v>58.068409378391557</v>
          </cell>
          <cell r="G124">
            <v>30</v>
          </cell>
          <cell r="H124">
            <v>37.322117448288253</v>
          </cell>
          <cell r="I124" t="str">
            <v>第四梯队</v>
          </cell>
        </row>
        <row r="125">
          <cell r="A125" t="str">
            <v>淄博市</v>
          </cell>
          <cell r="B125">
            <v>2</v>
          </cell>
          <cell r="C125">
            <v>23.203598006716341</v>
          </cell>
          <cell r="D125">
            <v>58.75</v>
          </cell>
          <cell r="E125">
            <v>33.333333333333343</v>
          </cell>
          <cell r="F125">
            <v>48.776946236831357</v>
          </cell>
          <cell r="G125">
            <v>26.666666666666671</v>
          </cell>
          <cell r="H125">
            <v>41.901498096075819</v>
          </cell>
          <cell r="I125" t="str">
            <v>第四梯队</v>
          </cell>
        </row>
        <row r="126">
          <cell r="A126" t="str">
            <v>河池市</v>
          </cell>
          <cell r="B126">
            <v>4</v>
          </cell>
          <cell r="C126">
            <v>27.610752608234431</v>
          </cell>
          <cell r="D126">
            <v>32.5</v>
          </cell>
          <cell r="E126">
            <v>66.666666666666671</v>
          </cell>
          <cell r="F126">
            <v>52.77840949099587</v>
          </cell>
          <cell r="G126">
            <v>43.333333333333343</v>
          </cell>
          <cell r="H126">
            <v>44.133514318045243</v>
          </cell>
          <cell r="I126" t="str">
            <v>第四梯队</v>
          </cell>
        </row>
        <row r="127">
          <cell r="A127" t="str">
            <v>抚州市</v>
          </cell>
          <cell r="B127">
            <v>3</v>
          </cell>
          <cell r="C127">
            <v>71.327777571272264</v>
          </cell>
          <cell r="D127">
            <v>88.75</v>
          </cell>
          <cell r="E127">
            <v>75</v>
          </cell>
          <cell r="F127">
            <v>44.629447990199338</v>
          </cell>
          <cell r="G127">
            <v>60</v>
          </cell>
          <cell r="H127">
            <v>63.367334710334191</v>
          </cell>
          <cell r="I127" t="str">
            <v>第一梯队</v>
          </cell>
        </row>
        <row r="128">
          <cell r="A128" t="str">
            <v>临汾市</v>
          </cell>
          <cell r="B128">
            <v>3</v>
          </cell>
          <cell r="C128">
            <v>21.26127508934054</v>
          </cell>
          <cell r="D128">
            <v>65</v>
          </cell>
          <cell r="E128">
            <v>66.666666666666671</v>
          </cell>
          <cell r="F128">
            <v>59.956306268377261</v>
          </cell>
          <cell r="G128">
            <v>66.666666666666671</v>
          </cell>
          <cell r="H128">
            <v>54.568110858552359</v>
          </cell>
          <cell r="I128" t="str">
            <v>第二梯队</v>
          </cell>
        </row>
        <row r="129">
          <cell r="A129" t="str">
            <v>枣庄市</v>
          </cell>
          <cell r="B129">
            <v>2</v>
          </cell>
          <cell r="C129">
            <v>0</v>
          </cell>
          <cell r="D129">
            <v>65</v>
          </cell>
          <cell r="E129">
            <v>75</v>
          </cell>
          <cell r="F129">
            <v>37.949430329446052</v>
          </cell>
          <cell r="G129">
            <v>43.333333333333343</v>
          </cell>
          <cell r="H129">
            <v>40.013105465111757</v>
          </cell>
          <cell r="I129" t="str">
            <v>第四梯队</v>
          </cell>
        </row>
        <row r="130">
          <cell r="A130" t="str">
            <v>百色市</v>
          </cell>
          <cell r="B130">
            <v>4</v>
          </cell>
          <cell r="C130">
            <v>18.598501732413371</v>
          </cell>
          <cell r="D130">
            <v>45</v>
          </cell>
          <cell r="E130">
            <v>75</v>
          </cell>
          <cell r="F130">
            <v>58.039414435261463</v>
          </cell>
          <cell r="G130">
            <v>43.333333333333343</v>
          </cell>
          <cell r="H130">
            <v>47.768799453920593</v>
          </cell>
          <cell r="I130" t="str">
            <v>第三梯队</v>
          </cell>
        </row>
        <row r="131">
          <cell r="A131" t="str">
            <v>钦州市</v>
          </cell>
          <cell r="B131">
            <v>3</v>
          </cell>
          <cell r="C131">
            <v>0</v>
          </cell>
          <cell r="D131">
            <v>50</v>
          </cell>
          <cell r="E131">
            <v>83.333333333333329</v>
          </cell>
          <cell r="F131">
            <v>50.60366019361927</v>
          </cell>
          <cell r="G131">
            <v>43.333333333333343</v>
          </cell>
          <cell r="H131">
            <v>42.908130744114381</v>
          </cell>
          <cell r="I131" t="str">
            <v>第四梯队</v>
          </cell>
        </row>
        <row r="132">
          <cell r="A132" t="str">
            <v>惠州市</v>
          </cell>
          <cell r="B132">
            <v>2</v>
          </cell>
          <cell r="C132">
            <v>9.2035842027448087</v>
          </cell>
          <cell r="D132">
            <v>65</v>
          </cell>
          <cell r="E132">
            <v>83.333333333333329</v>
          </cell>
          <cell r="F132">
            <v>67.775012556236931</v>
          </cell>
          <cell r="G132">
            <v>33.333333333333343</v>
          </cell>
          <cell r="H132">
            <v>53.617388529710396</v>
          </cell>
          <cell r="I132" t="str">
            <v>第二梯队</v>
          </cell>
        </row>
        <row r="133">
          <cell r="A133" t="str">
            <v>江门市</v>
          </cell>
          <cell r="B133">
            <v>2</v>
          </cell>
          <cell r="C133">
            <v>0</v>
          </cell>
          <cell r="D133">
            <v>65</v>
          </cell>
          <cell r="E133">
            <v>66.666666666666671</v>
          </cell>
          <cell r="F133">
            <v>66.777509824225206</v>
          </cell>
          <cell r="G133">
            <v>26.666666666666671</v>
          </cell>
          <cell r="H133">
            <v>49.044337263023422</v>
          </cell>
          <cell r="I133" t="str">
            <v>第三梯队</v>
          </cell>
        </row>
        <row r="134">
          <cell r="A134" t="str">
            <v>内江市</v>
          </cell>
          <cell r="B134">
            <v>3</v>
          </cell>
          <cell r="C134">
            <v>0</v>
          </cell>
          <cell r="D134">
            <v>76.25</v>
          </cell>
          <cell r="E134">
            <v>66.666666666666671</v>
          </cell>
          <cell r="F134">
            <v>48.050296974171133</v>
          </cell>
          <cell r="G134">
            <v>50</v>
          </cell>
          <cell r="H134">
            <v>46.136785456335119</v>
          </cell>
          <cell r="I134" t="str">
            <v>第三梯队</v>
          </cell>
        </row>
        <row r="135">
          <cell r="A135" t="str">
            <v>吉林市</v>
          </cell>
          <cell r="B135">
            <v>2</v>
          </cell>
          <cell r="C135">
            <v>9.9789863864612158</v>
          </cell>
          <cell r="D135">
            <v>88.75</v>
          </cell>
          <cell r="E135">
            <v>91.666666666666671</v>
          </cell>
          <cell r="F135">
            <v>87.318308617824073</v>
          </cell>
          <cell r="G135">
            <v>66.666666666666671</v>
          </cell>
          <cell r="H135">
            <v>70.506454057755207</v>
          </cell>
          <cell r="I135" t="str">
            <v>第一梯队</v>
          </cell>
        </row>
        <row r="136">
          <cell r="A136" t="str">
            <v>滨州市</v>
          </cell>
          <cell r="B136">
            <v>3</v>
          </cell>
          <cell r="C136">
            <v>60.177847384633651</v>
          </cell>
          <cell r="D136">
            <v>60</v>
          </cell>
          <cell r="E136">
            <v>58.333333333333343</v>
          </cell>
          <cell r="F136">
            <v>47.206947316986493</v>
          </cell>
          <cell r="G136">
            <v>13.33333333333333</v>
          </cell>
          <cell r="H136">
            <v>50.085015070388003</v>
          </cell>
          <cell r="I136" t="str">
            <v>第三梯队</v>
          </cell>
        </row>
        <row r="137">
          <cell r="A137" t="str">
            <v>株洲市</v>
          </cell>
          <cell r="B137">
            <v>2</v>
          </cell>
          <cell r="C137">
            <v>69.150292456442173</v>
          </cell>
          <cell r="D137">
            <v>27.5</v>
          </cell>
          <cell r="E137">
            <v>16.666666666666671</v>
          </cell>
          <cell r="F137">
            <v>70.190493276624622</v>
          </cell>
          <cell r="G137">
            <v>26.666666666666671</v>
          </cell>
          <cell r="H137">
            <v>51.739589135271608</v>
          </cell>
          <cell r="I137" t="str">
            <v>第三梯队</v>
          </cell>
        </row>
        <row r="138">
          <cell r="A138" t="str">
            <v>柳州市</v>
          </cell>
          <cell r="B138">
            <v>2</v>
          </cell>
          <cell r="C138">
            <v>9.2035842027448087</v>
          </cell>
          <cell r="D138">
            <v>82.5</v>
          </cell>
          <cell r="E138">
            <v>75</v>
          </cell>
          <cell r="F138">
            <v>52.391624273838417</v>
          </cell>
          <cell r="G138">
            <v>60</v>
          </cell>
          <cell r="H138">
            <v>52.797366550084327</v>
          </cell>
          <cell r="I138" t="str">
            <v>第二梯队</v>
          </cell>
        </row>
        <row r="139">
          <cell r="A139" t="str">
            <v>太原市</v>
          </cell>
          <cell r="B139">
            <v>2</v>
          </cell>
          <cell r="C139">
            <v>0</v>
          </cell>
          <cell r="D139">
            <v>82.5</v>
          </cell>
          <cell r="E139">
            <v>75</v>
          </cell>
          <cell r="F139">
            <v>68.619577375927292</v>
          </cell>
          <cell r="G139">
            <v>60</v>
          </cell>
          <cell r="H139">
            <v>57.447830950370907</v>
          </cell>
          <cell r="I139" t="str">
            <v>第二梯队</v>
          </cell>
        </row>
        <row r="140">
          <cell r="A140" t="str">
            <v>吕梁市</v>
          </cell>
          <cell r="B140">
            <v>4</v>
          </cell>
          <cell r="C140">
            <v>0</v>
          </cell>
          <cell r="D140">
            <v>40</v>
          </cell>
          <cell r="E140">
            <v>25</v>
          </cell>
          <cell r="F140">
            <v>58.128887792565642</v>
          </cell>
          <cell r="G140">
            <v>43.333333333333343</v>
          </cell>
          <cell r="H140">
            <v>38.084888450359593</v>
          </cell>
          <cell r="I140" t="str">
            <v>第四梯队</v>
          </cell>
        </row>
        <row r="141">
          <cell r="A141" t="str">
            <v>淮南市</v>
          </cell>
          <cell r="B141">
            <v>2</v>
          </cell>
          <cell r="C141">
            <v>76.862630029104196</v>
          </cell>
          <cell r="D141">
            <v>75</v>
          </cell>
          <cell r="E141">
            <v>66.666666666666671</v>
          </cell>
          <cell r="F141">
            <v>47.416083670977528</v>
          </cell>
          <cell r="G141">
            <v>66.666666666666671</v>
          </cell>
          <cell r="H141">
            <v>62.67229280754519</v>
          </cell>
          <cell r="I141" t="str">
            <v>第一梯队</v>
          </cell>
        </row>
        <row r="142">
          <cell r="A142" t="str">
            <v>常州市</v>
          </cell>
          <cell r="B142">
            <v>2</v>
          </cell>
          <cell r="C142">
            <v>9.9846477727292804</v>
          </cell>
          <cell r="D142">
            <v>32.5</v>
          </cell>
          <cell r="E142">
            <v>25</v>
          </cell>
          <cell r="F142">
            <v>58.535374346374518</v>
          </cell>
          <cell r="G142">
            <v>43.333333333333343</v>
          </cell>
          <cell r="H142">
            <v>38.744412626429003</v>
          </cell>
          <cell r="I142" t="str">
            <v>第四梯队</v>
          </cell>
        </row>
        <row r="143">
          <cell r="A143" t="str">
            <v>芜湖市</v>
          </cell>
          <cell r="B143">
            <v>2</v>
          </cell>
          <cell r="C143">
            <v>19.535840184332461</v>
          </cell>
          <cell r="D143">
            <v>72.5</v>
          </cell>
          <cell r="E143">
            <v>83.333333333333329</v>
          </cell>
          <cell r="F143">
            <v>55.242647600162698</v>
          </cell>
          <cell r="G143">
            <v>60</v>
          </cell>
          <cell r="H143">
            <v>54.837560410264899</v>
          </cell>
          <cell r="I143" t="str">
            <v>第二梯队</v>
          </cell>
        </row>
        <row r="144">
          <cell r="A144" t="str">
            <v>宜昌市</v>
          </cell>
          <cell r="B144">
            <v>2</v>
          </cell>
          <cell r="C144">
            <v>19.76618494701296</v>
          </cell>
          <cell r="D144">
            <v>76.25</v>
          </cell>
          <cell r="E144">
            <v>91.666666666666671</v>
          </cell>
          <cell r="F144">
            <v>63.166518388819178</v>
          </cell>
          <cell r="G144">
            <v>60</v>
          </cell>
          <cell r="H144">
            <v>59.636511011596937</v>
          </cell>
          <cell r="I144" t="str">
            <v>第一梯队</v>
          </cell>
        </row>
        <row r="145">
          <cell r="A145" t="str">
            <v>蚌埠市</v>
          </cell>
          <cell r="B145">
            <v>3</v>
          </cell>
          <cell r="C145">
            <v>77.784159995031075</v>
          </cell>
          <cell r="D145">
            <v>77.5</v>
          </cell>
          <cell r="E145">
            <v>83.333333333333329</v>
          </cell>
          <cell r="F145">
            <v>53.530406073971463</v>
          </cell>
          <cell r="G145">
            <v>60</v>
          </cell>
          <cell r="H145">
            <v>66.802327761928126</v>
          </cell>
          <cell r="I145" t="str">
            <v>第一梯队</v>
          </cell>
        </row>
        <row r="146">
          <cell r="A146" t="str">
            <v>榆林市</v>
          </cell>
          <cell r="B146">
            <v>3</v>
          </cell>
          <cell r="C146">
            <v>69.649976812249449</v>
          </cell>
          <cell r="D146">
            <v>60</v>
          </cell>
          <cell r="E146">
            <v>50</v>
          </cell>
          <cell r="F146">
            <v>73.626373021068702</v>
          </cell>
          <cell r="G146">
            <v>60</v>
          </cell>
          <cell r="H146">
            <v>66.380544570877376</v>
          </cell>
          <cell r="I146" t="str">
            <v>第一梯队</v>
          </cell>
        </row>
        <row r="147">
          <cell r="A147" t="str">
            <v>德阳市</v>
          </cell>
          <cell r="B147">
            <v>3</v>
          </cell>
          <cell r="C147">
            <v>0</v>
          </cell>
          <cell r="D147">
            <v>82.5</v>
          </cell>
          <cell r="E147">
            <v>75</v>
          </cell>
          <cell r="F147">
            <v>41.837701968124449</v>
          </cell>
          <cell r="G147">
            <v>66.666666666666671</v>
          </cell>
          <cell r="H147">
            <v>47.401747453916457</v>
          </cell>
          <cell r="I147" t="str">
            <v>第三梯队</v>
          </cell>
        </row>
        <row r="148">
          <cell r="A148" t="str">
            <v>汉中市</v>
          </cell>
          <cell r="B148">
            <v>3</v>
          </cell>
          <cell r="C148">
            <v>0</v>
          </cell>
          <cell r="D148">
            <v>82.5</v>
          </cell>
          <cell r="E148">
            <v>66.666666666666671</v>
          </cell>
          <cell r="F148">
            <v>58.335736300864433</v>
          </cell>
          <cell r="G148">
            <v>66.666666666666671</v>
          </cell>
          <cell r="H148">
            <v>53.167627853679107</v>
          </cell>
          <cell r="I148" t="str">
            <v>第二梯队</v>
          </cell>
        </row>
        <row r="149">
          <cell r="A149" t="str">
            <v>承德市</v>
          </cell>
          <cell r="B149">
            <v>3</v>
          </cell>
          <cell r="C149">
            <v>10.861884242329049</v>
          </cell>
          <cell r="D149">
            <v>65</v>
          </cell>
          <cell r="E149">
            <v>83.333333333333329</v>
          </cell>
          <cell r="F149">
            <v>77.848403978117659</v>
          </cell>
          <cell r="G149">
            <v>66.666666666666671</v>
          </cell>
          <cell r="H149">
            <v>61.311738439712883</v>
          </cell>
          <cell r="I149" t="str">
            <v>第一梯队</v>
          </cell>
        </row>
        <row r="150">
          <cell r="A150" t="str">
            <v>宝鸡市</v>
          </cell>
          <cell r="B150">
            <v>3</v>
          </cell>
          <cell r="C150">
            <v>9.9778853500294602</v>
          </cell>
          <cell r="D150">
            <v>88.75</v>
          </cell>
          <cell r="E150">
            <v>91.666666666666671</v>
          </cell>
          <cell r="F150">
            <v>76.89500134800177</v>
          </cell>
          <cell r="G150">
            <v>66.666666666666671</v>
          </cell>
          <cell r="H150">
            <v>66.336910942539944</v>
          </cell>
          <cell r="I150" t="str">
            <v>第一梯队</v>
          </cell>
        </row>
        <row r="151">
          <cell r="A151" t="str">
            <v>嘉兴市</v>
          </cell>
          <cell r="B151">
            <v>3</v>
          </cell>
          <cell r="C151">
            <v>9.6668889202081907</v>
          </cell>
          <cell r="D151">
            <v>66.25</v>
          </cell>
          <cell r="E151">
            <v>25</v>
          </cell>
          <cell r="F151">
            <v>35.687804405626558</v>
          </cell>
          <cell r="G151">
            <v>26.666666666666671</v>
          </cell>
          <cell r="H151">
            <v>34.625166212958931</v>
          </cell>
          <cell r="I151" t="str">
            <v>第四梯队</v>
          </cell>
        </row>
        <row r="152">
          <cell r="A152" t="str">
            <v>焦作市</v>
          </cell>
          <cell r="B152">
            <v>3</v>
          </cell>
          <cell r="C152">
            <v>21.723768484658098</v>
          </cell>
          <cell r="D152">
            <v>48.75</v>
          </cell>
          <cell r="E152">
            <v>58.333333333333343</v>
          </cell>
          <cell r="F152">
            <v>58.166605736143197</v>
          </cell>
          <cell r="G152">
            <v>60</v>
          </cell>
          <cell r="H152">
            <v>49.194729324722232</v>
          </cell>
          <cell r="I152" t="str">
            <v>第三梯队</v>
          </cell>
        </row>
        <row r="153">
          <cell r="A153" t="str">
            <v>河源市</v>
          </cell>
          <cell r="B153">
            <v>3</v>
          </cell>
          <cell r="C153">
            <v>18.407168405489621</v>
          </cell>
          <cell r="D153">
            <v>72.5</v>
          </cell>
          <cell r="E153">
            <v>58.333333333333343</v>
          </cell>
          <cell r="F153">
            <v>69.301681046752961</v>
          </cell>
          <cell r="G153">
            <v>43.333333333333343</v>
          </cell>
          <cell r="H153">
            <v>56.068772766465777</v>
          </cell>
          <cell r="I153" t="str">
            <v>第二梯队</v>
          </cell>
        </row>
        <row r="154">
          <cell r="A154" t="str">
            <v>天水市</v>
          </cell>
          <cell r="B154">
            <v>3</v>
          </cell>
          <cell r="C154">
            <v>10.30538405774583</v>
          </cell>
          <cell r="D154">
            <v>66.25</v>
          </cell>
          <cell r="E154">
            <v>50</v>
          </cell>
          <cell r="F154">
            <v>64.062371264131215</v>
          </cell>
          <cell r="G154">
            <v>26.666666666666671</v>
          </cell>
          <cell r="H154">
            <v>48.602691983868318</v>
          </cell>
          <cell r="I154" t="str">
            <v>第三梯队</v>
          </cell>
        </row>
        <row r="155">
          <cell r="A155" t="str">
            <v>莆田市</v>
          </cell>
          <cell r="B155">
            <v>2</v>
          </cell>
          <cell r="C155">
            <v>9.2035842027448087</v>
          </cell>
          <cell r="D155">
            <v>32.5</v>
          </cell>
          <cell r="E155">
            <v>33.333333333333343</v>
          </cell>
          <cell r="F155">
            <v>56.571780890149348</v>
          </cell>
          <cell r="G155">
            <v>26.666666666666671</v>
          </cell>
          <cell r="H155">
            <v>36.969429196608701</v>
          </cell>
          <cell r="I155" t="str">
            <v>第四梯队</v>
          </cell>
        </row>
        <row r="156">
          <cell r="A156" t="str">
            <v>巴中市</v>
          </cell>
          <cell r="B156">
            <v>4</v>
          </cell>
          <cell r="C156">
            <v>62.363862645025939</v>
          </cell>
          <cell r="D156">
            <v>88.75</v>
          </cell>
          <cell r="E156">
            <v>66.666666666666671</v>
          </cell>
          <cell r="F156">
            <v>70.449273205509513</v>
          </cell>
          <cell r="G156">
            <v>60</v>
          </cell>
          <cell r="H156">
            <v>71.069148477875657</v>
          </cell>
          <cell r="I156" t="str">
            <v>第一梯队</v>
          </cell>
        </row>
        <row r="157">
          <cell r="A157" t="str">
            <v>六盘水市</v>
          </cell>
          <cell r="B157">
            <v>3</v>
          </cell>
          <cell r="C157">
            <v>9.4102124460834258</v>
          </cell>
          <cell r="D157">
            <v>66.25</v>
          </cell>
          <cell r="E157">
            <v>83.333333333333329</v>
          </cell>
          <cell r="F157">
            <v>71.346848870230048</v>
          </cell>
          <cell r="G157">
            <v>43.333333333333343</v>
          </cell>
          <cell r="H157">
            <v>56.337448703975383</v>
          </cell>
          <cell r="I157" t="str">
            <v>第二梯队</v>
          </cell>
        </row>
        <row r="158">
          <cell r="A158" t="str">
            <v>遂宁市</v>
          </cell>
          <cell r="B158">
            <v>3</v>
          </cell>
          <cell r="C158">
            <v>12.610896487781821</v>
          </cell>
          <cell r="D158">
            <v>76.25</v>
          </cell>
          <cell r="E158">
            <v>83.333333333333329</v>
          </cell>
          <cell r="F158">
            <v>42.729683682955432</v>
          </cell>
          <cell r="G158">
            <v>66.666666666666671</v>
          </cell>
          <cell r="H158">
            <v>49.864052770738539</v>
          </cell>
          <cell r="I158" t="str">
            <v>第三梯队</v>
          </cell>
        </row>
        <row r="159">
          <cell r="A159" t="str">
            <v>宁德市</v>
          </cell>
          <cell r="B159">
            <v>4</v>
          </cell>
          <cell r="C159">
            <v>36.814336810979228</v>
          </cell>
          <cell r="D159">
            <v>11.25</v>
          </cell>
          <cell r="E159">
            <v>8.3333333333333339</v>
          </cell>
          <cell r="F159">
            <v>58.781642818464199</v>
          </cell>
          <cell r="G159">
            <v>13.33333333333333</v>
          </cell>
          <cell r="H159">
            <v>35.292191156248187</v>
          </cell>
          <cell r="I159" t="str">
            <v>第四梯队</v>
          </cell>
        </row>
        <row r="160">
          <cell r="A160" t="str">
            <v>汕尾市</v>
          </cell>
          <cell r="B160">
            <v>4</v>
          </cell>
          <cell r="C160">
            <v>59.823297317841259</v>
          </cell>
          <cell r="D160">
            <v>77.5</v>
          </cell>
          <cell r="E160">
            <v>75</v>
          </cell>
          <cell r="F160">
            <v>65.778645172434764</v>
          </cell>
          <cell r="G160">
            <v>26.666666666666671</v>
          </cell>
          <cell r="H160">
            <v>63.942784199208823</v>
          </cell>
          <cell r="I160" t="str">
            <v>第一梯队</v>
          </cell>
        </row>
        <row r="161">
          <cell r="A161" t="str">
            <v>梧州市</v>
          </cell>
          <cell r="B161">
            <v>3</v>
          </cell>
          <cell r="C161">
            <v>59.823297317841259</v>
          </cell>
          <cell r="D161">
            <v>65</v>
          </cell>
          <cell r="E161">
            <v>66.666666666666671</v>
          </cell>
          <cell r="F161">
            <v>51.624046286549913</v>
          </cell>
          <cell r="G161">
            <v>60</v>
          </cell>
          <cell r="H161">
            <v>58.280944644854877</v>
          </cell>
          <cell r="I161" t="str">
            <v>第二梯队</v>
          </cell>
        </row>
        <row r="162">
          <cell r="A162" t="str">
            <v>乐山市</v>
          </cell>
          <cell r="B162">
            <v>3</v>
          </cell>
          <cell r="C162">
            <v>23.626661164585929</v>
          </cell>
          <cell r="D162">
            <v>66.25</v>
          </cell>
          <cell r="E162">
            <v>83.333333333333329</v>
          </cell>
          <cell r="F162">
            <v>52.675819239940957</v>
          </cell>
          <cell r="G162">
            <v>43.333333333333343</v>
          </cell>
          <cell r="H162">
            <v>51.712326595560228</v>
          </cell>
          <cell r="I162" t="str">
            <v>第三梯队</v>
          </cell>
        </row>
        <row r="163">
          <cell r="A163" t="str">
            <v>眉山市</v>
          </cell>
          <cell r="B163">
            <v>3</v>
          </cell>
          <cell r="C163">
            <v>41.327019789150476</v>
          </cell>
          <cell r="D163">
            <v>77.5</v>
          </cell>
          <cell r="E163">
            <v>83.333333333333329</v>
          </cell>
          <cell r="F163">
            <v>52.486501699350647</v>
          </cell>
          <cell r="G163">
            <v>50</v>
          </cell>
          <cell r="H163">
            <v>58.09333797090369</v>
          </cell>
          <cell r="I163" t="str">
            <v>第二梯队</v>
          </cell>
        </row>
        <row r="164">
          <cell r="A164" t="str">
            <v>十堰市</v>
          </cell>
          <cell r="B164">
            <v>2</v>
          </cell>
          <cell r="C164">
            <v>79.384042209758206</v>
          </cell>
          <cell r="D164">
            <v>53.75</v>
          </cell>
          <cell r="E164">
            <v>25</v>
          </cell>
          <cell r="F164">
            <v>66.535183248899187</v>
          </cell>
          <cell r="G164">
            <v>43.333333333333343</v>
          </cell>
          <cell r="H164">
            <v>60.074215074844652</v>
          </cell>
          <cell r="I164" t="str">
            <v>第一梯队</v>
          </cell>
        </row>
        <row r="165">
          <cell r="A165" t="str">
            <v>长治市</v>
          </cell>
          <cell r="B165">
            <v>2</v>
          </cell>
          <cell r="C165">
            <v>0</v>
          </cell>
          <cell r="D165">
            <v>61.25</v>
          </cell>
          <cell r="E165">
            <v>66.666666666666671</v>
          </cell>
          <cell r="F165">
            <v>59.67362535240742</v>
          </cell>
          <cell r="G165">
            <v>43.333333333333343</v>
          </cell>
          <cell r="H165">
            <v>47.119450140962982</v>
          </cell>
          <cell r="I165" t="str">
            <v>第三梯队</v>
          </cell>
        </row>
        <row r="166">
          <cell r="A166" t="str">
            <v>韶关市</v>
          </cell>
          <cell r="B166">
            <v>3</v>
          </cell>
          <cell r="C166">
            <v>9.2035842027448087</v>
          </cell>
          <cell r="D166">
            <v>77.5</v>
          </cell>
          <cell r="E166">
            <v>66.666666666666671</v>
          </cell>
          <cell r="F166">
            <v>71.114603284040186</v>
          </cell>
          <cell r="G166">
            <v>43.333333333333343</v>
          </cell>
          <cell r="H166">
            <v>56.786558154165043</v>
          </cell>
          <cell r="I166" t="str">
            <v>第二梯队</v>
          </cell>
        </row>
        <row r="167">
          <cell r="A167" t="str">
            <v>资阳市</v>
          </cell>
          <cell r="B167">
            <v>4</v>
          </cell>
          <cell r="C167">
            <v>0</v>
          </cell>
          <cell r="D167">
            <v>0</v>
          </cell>
          <cell r="E167">
            <v>0</v>
          </cell>
          <cell r="F167">
            <v>54.8361830596427</v>
          </cell>
          <cell r="G167">
            <v>0</v>
          </cell>
          <cell r="H167">
            <v>21.934473223857079</v>
          </cell>
          <cell r="I167" t="str">
            <v>第四梯队</v>
          </cell>
        </row>
        <row r="168">
          <cell r="A168" t="str">
            <v>兰州市</v>
          </cell>
          <cell r="B168">
            <v>2</v>
          </cell>
          <cell r="C168">
            <v>46.163008029898471</v>
          </cell>
          <cell r="D168">
            <v>63.75</v>
          </cell>
          <cell r="E168">
            <v>75</v>
          </cell>
          <cell r="F168">
            <v>41.169041462892892</v>
          </cell>
          <cell r="G168">
            <v>43.333333333333343</v>
          </cell>
          <cell r="H168">
            <v>50.283551524470191</v>
          </cell>
          <cell r="I168" t="str">
            <v>第三梯队</v>
          </cell>
        </row>
        <row r="169">
          <cell r="A169" t="str">
            <v>晋中市</v>
          </cell>
          <cell r="B169">
            <v>3</v>
          </cell>
          <cell r="C169">
            <v>10.72922722201</v>
          </cell>
          <cell r="D169">
            <v>23.75</v>
          </cell>
          <cell r="E169">
            <v>33.333333333333343</v>
          </cell>
          <cell r="F169">
            <v>54.730554813956793</v>
          </cell>
          <cell r="G169">
            <v>30</v>
          </cell>
          <cell r="H169">
            <v>35.121400703318052</v>
          </cell>
          <cell r="I169" t="str">
            <v>第四梯队</v>
          </cell>
        </row>
        <row r="170">
          <cell r="A170" t="str">
            <v>鞍山市</v>
          </cell>
          <cell r="B170">
            <v>2</v>
          </cell>
          <cell r="C170">
            <v>74.851321813002741</v>
          </cell>
          <cell r="D170">
            <v>28.75</v>
          </cell>
          <cell r="E170">
            <v>33.333333333333343</v>
          </cell>
          <cell r="F170">
            <v>63.420521762611642</v>
          </cell>
          <cell r="G170">
            <v>43.333333333333343</v>
          </cell>
          <cell r="H170">
            <v>53.755139734311882</v>
          </cell>
          <cell r="I170" t="str">
            <v>第二梯队</v>
          </cell>
        </row>
        <row r="171">
          <cell r="A171" t="str">
            <v>朝阳市</v>
          </cell>
          <cell r="B171">
            <v>3</v>
          </cell>
          <cell r="C171">
            <v>0</v>
          </cell>
          <cell r="D171">
            <v>76.25</v>
          </cell>
          <cell r="E171">
            <v>66.666666666666671</v>
          </cell>
          <cell r="F171">
            <v>64.160057302560404</v>
          </cell>
          <cell r="G171">
            <v>43.333333333333343</v>
          </cell>
          <cell r="H171">
            <v>51.914022921024163</v>
          </cell>
          <cell r="I171" t="str">
            <v>第二梯队</v>
          </cell>
        </row>
        <row r="172">
          <cell r="A172" t="str">
            <v>龙岩市</v>
          </cell>
          <cell r="B172">
            <v>3</v>
          </cell>
          <cell r="C172">
            <v>69.026881520586073</v>
          </cell>
          <cell r="D172">
            <v>53.75</v>
          </cell>
          <cell r="E172">
            <v>33.333333333333343</v>
          </cell>
          <cell r="F172">
            <v>73.950200903418605</v>
          </cell>
          <cell r="G172">
            <v>0</v>
          </cell>
          <cell r="H172">
            <v>57.468789998818004</v>
          </cell>
          <cell r="I172" t="str">
            <v>第二梯队</v>
          </cell>
        </row>
        <row r="173">
          <cell r="A173" t="str">
            <v>自贡市</v>
          </cell>
          <cell r="B173">
            <v>3</v>
          </cell>
          <cell r="C173">
            <v>10.151377802952039</v>
          </cell>
          <cell r="D173">
            <v>48.75</v>
          </cell>
          <cell r="E173">
            <v>58.333333333333343</v>
          </cell>
          <cell r="F173">
            <v>52.884763517040959</v>
          </cell>
          <cell r="G173">
            <v>13.33333333333333</v>
          </cell>
          <cell r="H173">
            <v>40.10084763407346</v>
          </cell>
          <cell r="I173" t="str">
            <v>第四梯队</v>
          </cell>
        </row>
        <row r="174">
          <cell r="A174" t="str">
            <v>大同市</v>
          </cell>
          <cell r="B174">
            <v>2</v>
          </cell>
          <cell r="C174">
            <v>10.742499877791831</v>
          </cell>
          <cell r="D174">
            <v>71.25</v>
          </cell>
          <cell r="E174">
            <v>83.333333333333329</v>
          </cell>
          <cell r="F174">
            <v>58.689663221763723</v>
          </cell>
          <cell r="G174">
            <v>60</v>
          </cell>
          <cell r="H174">
            <v>54.207698597597187</v>
          </cell>
          <cell r="I174" t="str">
            <v>第二梯队</v>
          </cell>
        </row>
        <row r="175">
          <cell r="A175" t="str">
            <v>通辽市</v>
          </cell>
          <cell r="B175">
            <v>4</v>
          </cell>
          <cell r="C175">
            <v>59.740363332809792</v>
          </cell>
          <cell r="D175">
            <v>65</v>
          </cell>
          <cell r="E175">
            <v>91.666666666666671</v>
          </cell>
          <cell r="F175">
            <v>62.730505374374857</v>
          </cell>
          <cell r="G175">
            <v>66.666666666666671</v>
          </cell>
          <cell r="H175">
            <v>65.87360814964525</v>
          </cell>
          <cell r="I175" t="str">
            <v>第一梯队</v>
          </cell>
        </row>
        <row r="176">
          <cell r="A176" t="str">
            <v>南平市</v>
          </cell>
          <cell r="B176">
            <v>4</v>
          </cell>
          <cell r="C176">
            <v>41.416128912351638</v>
          </cell>
          <cell r="D176">
            <v>21.25</v>
          </cell>
          <cell r="E176">
            <v>8.3333333333333339</v>
          </cell>
          <cell r="F176">
            <v>66.272463090040503</v>
          </cell>
          <cell r="G176">
            <v>26.666666666666671</v>
          </cell>
          <cell r="H176">
            <v>42.542211018486533</v>
          </cell>
          <cell r="I176" t="str">
            <v>第四梯队</v>
          </cell>
        </row>
        <row r="177">
          <cell r="A177" t="str">
            <v>日照市</v>
          </cell>
          <cell r="B177">
            <v>3</v>
          </cell>
          <cell r="C177">
            <v>10.313112155837111</v>
          </cell>
          <cell r="D177">
            <v>37.5</v>
          </cell>
          <cell r="E177">
            <v>50</v>
          </cell>
          <cell r="F177">
            <v>43.34032217076318</v>
          </cell>
          <cell r="G177">
            <v>26.666666666666671</v>
          </cell>
          <cell r="H177">
            <v>34.565417966139357</v>
          </cell>
          <cell r="I177" t="str">
            <v>第四梯队</v>
          </cell>
        </row>
        <row r="178">
          <cell r="A178" t="str">
            <v>安顺市</v>
          </cell>
          <cell r="B178">
            <v>3</v>
          </cell>
          <cell r="C178">
            <v>0</v>
          </cell>
          <cell r="D178">
            <v>65</v>
          </cell>
          <cell r="E178">
            <v>66.666666666666671</v>
          </cell>
          <cell r="F178">
            <v>61.932145215801782</v>
          </cell>
          <cell r="G178">
            <v>60</v>
          </cell>
          <cell r="H178">
            <v>50.439524752987381</v>
          </cell>
          <cell r="I178" t="str">
            <v>第三梯队</v>
          </cell>
        </row>
        <row r="179">
          <cell r="A179" t="str">
            <v>忻州市</v>
          </cell>
          <cell r="B179">
            <v>4</v>
          </cell>
          <cell r="C179">
            <v>33.543991723411693</v>
          </cell>
          <cell r="D179">
            <v>38.75</v>
          </cell>
          <cell r="E179">
            <v>41.666666666666657</v>
          </cell>
          <cell r="F179">
            <v>53.074497874490291</v>
          </cell>
          <cell r="G179">
            <v>43.333333333333343</v>
          </cell>
          <cell r="H179">
            <v>44.188597494478458</v>
          </cell>
          <cell r="I179" t="str">
            <v>第四梯队</v>
          </cell>
        </row>
        <row r="180">
          <cell r="A180" t="str">
            <v>咸宁市</v>
          </cell>
          <cell r="B180">
            <v>4</v>
          </cell>
          <cell r="C180">
            <v>62.793945435587368</v>
          </cell>
          <cell r="D180">
            <v>47.5</v>
          </cell>
          <cell r="E180">
            <v>33.333333333333343</v>
          </cell>
          <cell r="F180">
            <v>59.555561981601883</v>
          </cell>
          <cell r="G180">
            <v>26.666666666666671</v>
          </cell>
          <cell r="H180">
            <v>51.881013879758228</v>
          </cell>
          <cell r="I180" t="str">
            <v>第二梯队</v>
          </cell>
        </row>
        <row r="181">
          <cell r="A181" t="str">
            <v>阳江市</v>
          </cell>
          <cell r="B181">
            <v>3</v>
          </cell>
          <cell r="C181">
            <v>57.522401267155047</v>
          </cell>
          <cell r="D181">
            <v>71.25</v>
          </cell>
          <cell r="E181">
            <v>58.333333333333343</v>
          </cell>
          <cell r="F181">
            <v>55.445603028092961</v>
          </cell>
          <cell r="G181">
            <v>26.666666666666671</v>
          </cell>
          <cell r="H181">
            <v>56.432721464668198</v>
          </cell>
          <cell r="I181" t="str">
            <v>第二梯队</v>
          </cell>
        </row>
        <row r="182">
          <cell r="A182" t="str">
            <v>定西市</v>
          </cell>
          <cell r="B182">
            <v>4</v>
          </cell>
          <cell r="C182">
            <v>70.602247575138833</v>
          </cell>
          <cell r="D182">
            <v>47.5</v>
          </cell>
          <cell r="E182">
            <v>50</v>
          </cell>
          <cell r="F182">
            <v>46.457866661315357</v>
          </cell>
          <cell r="G182">
            <v>50</v>
          </cell>
          <cell r="H182">
            <v>52.203596179553912</v>
          </cell>
          <cell r="I182" t="str">
            <v>第二梯队</v>
          </cell>
        </row>
        <row r="183">
          <cell r="A183" t="str">
            <v>云浮市</v>
          </cell>
          <cell r="B183">
            <v>4</v>
          </cell>
          <cell r="C183">
            <v>0</v>
          </cell>
          <cell r="D183">
            <v>0</v>
          </cell>
          <cell r="E183">
            <v>0</v>
          </cell>
          <cell r="F183">
            <v>67.035446534957202</v>
          </cell>
          <cell r="G183">
            <v>13.33333333333333</v>
          </cell>
          <cell r="H183">
            <v>28.147511947316211</v>
          </cell>
          <cell r="I183" t="str">
            <v>第四梯队</v>
          </cell>
        </row>
        <row r="184">
          <cell r="A184" t="str">
            <v>安康市</v>
          </cell>
          <cell r="B184">
            <v>4</v>
          </cell>
          <cell r="C184">
            <v>0</v>
          </cell>
          <cell r="D184">
            <v>90</v>
          </cell>
          <cell r="E184">
            <v>91.666666666666671</v>
          </cell>
          <cell r="F184">
            <v>55.773809967371811</v>
          </cell>
          <cell r="G184">
            <v>60</v>
          </cell>
          <cell r="H184">
            <v>55.47619065361539</v>
          </cell>
          <cell r="I184" t="str">
            <v>第二梯队</v>
          </cell>
        </row>
        <row r="185">
          <cell r="A185" t="str">
            <v>秦皇岛市</v>
          </cell>
          <cell r="B185">
            <v>2</v>
          </cell>
          <cell r="C185">
            <v>10.69012778135783</v>
          </cell>
          <cell r="D185">
            <v>71.25</v>
          </cell>
          <cell r="E185">
            <v>66.666666666666671</v>
          </cell>
          <cell r="F185">
            <v>76.743611322509096</v>
          </cell>
          <cell r="G185">
            <v>43.333333333333343</v>
          </cell>
          <cell r="H185">
            <v>58.085470085275212</v>
          </cell>
          <cell r="I185" t="str">
            <v>第二梯队</v>
          </cell>
        </row>
        <row r="186">
          <cell r="A186" t="str">
            <v>广元市</v>
          </cell>
          <cell r="B186">
            <v>4</v>
          </cell>
          <cell r="C186">
            <v>53.975899558439977</v>
          </cell>
          <cell r="D186">
            <v>88.75</v>
          </cell>
          <cell r="E186">
            <v>91.666666666666671</v>
          </cell>
          <cell r="F186">
            <v>76.606157871588579</v>
          </cell>
          <cell r="G186">
            <v>66.666666666666671</v>
          </cell>
          <cell r="H186">
            <v>75.020976393656767</v>
          </cell>
          <cell r="I186" t="str">
            <v>第一梯队</v>
          </cell>
        </row>
        <row r="187">
          <cell r="A187" t="str">
            <v>锦州市</v>
          </cell>
          <cell r="B187">
            <v>2</v>
          </cell>
          <cell r="C187">
            <v>20.789788489266279</v>
          </cell>
          <cell r="D187">
            <v>76.25</v>
          </cell>
          <cell r="E187">
            <v>75</v>
          </cell>
          <cell r="F187">
            <v>44.52656616620601</v>
          </cell>
          <cell r="G187">
            <v>66.666666666666671</v>
          </cell>
          <cell r="H187">
            <v>51.385250831002317</v>
          </cell>
          <cell r="I187" t="str">
            <v>第三梯队</v>
          </cell>
        </row>
        <row r="188">
          <cell r="A188" t="str">
            <v>三明市</v>
          </cell>
          <cell r="B188">
            <v>4</v>
          </cell>
          <cell r="C188">
            <v>50.619713115096452</v>
          </cell>
          <cell r="D188">
            <v>66.25</v>
          </cell>
          <cell r="E188">
            <v>25</v>
          </cell>
          <cell r="F188">
            <v>76.021717016271737</v>
          </cell>
          <cell r="G188">
            <v>26.666666666666671</v>
          </cell>
          <cell r="H188">
            <v>58.949296096194651</v>
          </cell>
          <cell r="I188" t="str">
            <v>第一梯队</v>
          </cell>
        </row>
        <row r="189">
          <cell r="A189" t="str">
            <v>荆门市</v>
          </cell>
          <cell r="B189">
            <v>3</v>
          </cell>
          <cell r="C189">
            <v>75.733642953049937</v>
          </cell>
          <cell r="D189">
            <v>88.75</v>
          </cell>
          <cell r="E189">
            <v>91.666666666666671</v>
          </cell>
          <cell r="F189">
            <v>56.320856862149341</v>
          </cell>
          <cell r="G189">
            <v>50</v>
          </cell>
          <cell r="H189">
            <v>69.591738002136395</v>
          </cell>
          <cell r="I189" t="str">
            <v>第一梯队</v>
          </cell>
        </row>
        <row r="190">
          <cell r="A190" t="str">
            <v>陇南市</v>
          </cell>
          <cell r="B190">
            <v>4</v>
          </cell>
          <cell r="C190">
            <v>54.817537242239943</v>
          </cell>
          <cell r="D190">
            <v>47.5</v>
          </cell>
          <cell r="E190">
            <v>58.333333333333343</v>
          </cell>
          <cell r="F190">
            <v>70.747824326816655</v>
          </cell>
          <cell r="G190">
            <v>43.333333333333343</v>
          </cell>
          <cell r="H190">
            <v>58.929303845841318</v>
          </cell>
          <cell r="I190" t="str">
            <v>第一梯队</v>
          </cell>
        </row>
        <row r="191">
          <cell r="A191" t="str">
            <v>铁岭市</v>
          </cell>
          <cell r="B191">
            <v>4</v>
          </cell>
          <cell r="C191">
            <v>9.8750151777076436</v>
          </cell>
          <cell r="D191">
            <v>55</v>
          </cell>
          <cell r="E191">
            <v>75</v>
          </cell>
          <cell r="F191">
            <v>54.447612937381123</v>
          </cell>
          <cell r="G191">
            <v>66.666666666666671</v>
          </cell>
          <cell r="H191">
            <v>48.920714877160648</v>
          </cell>
          <cell r="I191" t="str">
            <v>第三梯队</v>
          </cell>
        </row>
        <row r="192">
          <cell r="A192" t="str">
            <v>厦门市</v>
          </cell>
          <cell r="B192">
            <v>2</v>
          </cell>
          <cell r="C192">
            <v>50.656525071110508</v>
          </cell>
          <cell r="D192">
            <v>38.75</v>
          </cell>
          <cell r="E192">
            <v>50</v>
          </cell>
          <cell r="F192">
            <v>55.995250439336772</v>
          </cell>
          <cell r="G192">
            <v>26.666666666666671</v>
          </cell>
          <cell r="H192">
            <v>47.946071856623483</v>
          </cell>
          <cell r="I192" t="str">
            <v>第三梯队</v>
          </cell>
        </row>
        <row r="193">
          <cell r="A193" t="str">
            <v>湘潭市</v>
          </cell>
          <cell r="B193">
            <v>3</v>
          </cell>
          <cell r="C193">
            <v>50.692128583896462</v>
          </cell>
          <cell r="D193">
            <v>76.25</v>
          </cell>
          <cell r="E193">
            <v>75</v>
          </cell>
          <cell r="F193">
            <v>54.029264274413222</v>
          </cell>
          <cell r="G193">
            <v>60</v>
          </cell>
          <cell r="H193">
            <v>60.500131426544577</v>
          </cell>
          <cell r="I193" t="str">
            <v>第一梯队</v>
          </cell>
        </row>
        <row r="194">
          <cell r="A194" t="str">
            <v>东莞市</v>
          </cell>
          <cell r="B194">
            <v>1</v>
          </cell>
          <cell r="C194">
            <v>0</v>
          </cell>
          <cell r="D194">
            <v>70</v>
          </cell>
          <cell r="E194">
            <v>75</v>
          </cell>
          <cell r="F194">
            <v>65.599841448525723</v>
          </cell>
          <cell r="G194">
            <v>50</v>
          </cell>
          <cell r="H194">
            <v>52.739936579410291</v>
          </cell>
          <cell r="I194" t="str">
            <v>第二梯队</v>
          </cell>
        </row>
        <row r="195">
          <cell r="A195" t="str">
            <v>宣城市</v>
          </cell>
          <cell r="B195">
            <v>4</v>
          </cell>
          <cell r="C195">
            <v>31.30239974931888</v>
          </cell>
          <cell r="D195">
            <v>82.5</v>
          </cell>
          <cell r="E195">
            <v>83.333333333333329</v>
          </cell>
          <cell r="F195">
            <v>60.695576717471148</v>
          </cell>
          <cell r="G195">
            <v>66.666666666666671</v>
          </cell>
          <cell r="H195">
            <v>62.038710636852237</v>
          </cell>
          <cell r="I195" t="str">
            <v>第一梯队</v>
          </cell>
        </row>
        <row r="196">
          <cell r="A196" t="str">
            <v>潮州市</v>
          </cell>
          <cell r="B196">
            <v>3</v>
          </cell>
          <cell r="C196">
            <v>9.2035842027448087</v>
          </cell>
          <cell r="D196">
            <v>71.25</v>
          </cell>
          <cell r="E196">
            <v>91.666666666666671</v>
          </cell>
          <cell r="F196">
            <v>65.768790320915926</v>
          </cell>
          <cell r="G196">
            <v>50</v>
          </cell>
          <cell r="H196">
            <v>56.564899635582002</v>
          </cell>
          <cell r="I196" t="str">
            <v>第二梯队</v>
          </cell>
        </row>
        <row r="197">
          <cell r="A197" t="str">
            <v>黄石市</v>
          </cell>
          <cell r="B197">
            <v>3</v>
          </cell>
          <cell r="C197">
            <v>9.8543333774022273</v>
          </cell>
          <cell r="D197">
            <v>71.25</v>
          </cell>
          <cell r="E197">
            <v>91.666666666666671</v>
          </cell>
          <cell r="F197">
            <v>58.262242249525052</v>
          </cell>
          <cell r="G197">
            <v>0</v>
          </cell>
          <cell r="H197">
            <v>48.692430241957133</v>
          </cell>
          <cell r="I197" t="str">
            <v>第三梯队</v>
          </cell>
        </row>
        <row r="198">
          <cell r="A198" t="str">
            <v>松原市</v>
          </cell>
          <cell r="B198">
            <v>4</v>
          </cell>
          <cell r="C198">
            <v>10.71557173807579</v>
          </cell>
          <cell r="D198">
            <v>27.5</v>
          </cell>
          <cell r="E198">
            <v>16.666666666666671</v>
          </cell>
          <cell r="F198">
            <v>59.341882808915877</v>
          </cell>
          <cell r="G198">
            <v>13.33333333333333</v>
          </cell>
          <cell r="H198">
            <v>34.37986747118152</v>
          </cell>
          <cell r="I198" t="str">
            <v>第四梯队</v>
          </cell>
        </row>
        <row r="199">
          <cell r="A199" t="str">
            <v>大庆市</v>
          </cell>
          <cell r="B199">
            <v>2</v>
          </cell>
          <cell r="C199">
            <v>0</v>
          </cell>
          <cell r="D199">
            <v>45</v>
          </cell>
          <cell r="E199">
            <v>41.666666666666657</v>
          </cell>
          <cell r="F199">
            <v>50.438439027381627</v>
          </cell>
          <cell r="G199">
            <v>43.333333333333343</v>
          </cell>
          <cell r="H199">
            <v>37.675375610952663</v>
          </cell>
          <cell r="I199" t="str">
            <v>第四梯队</v>
          </cell>
        </row>
        <row r="200">
          <cell r="A200" t="str">
            <v>葫芦岛市</v>
          </cell>
          <cell r="B200">
            <v>3</v>
          </cell>
          <cell r="C200">
            <v>10.671299968472031</v>
          </cell>
          <cell r="D200">
            <v>71.25</v>
          </cell>
          <cell r="E200">
            <v>83.333333333333329</v>
          </cell>
          <cell r="F200">
            <v>56.369784712449423</v>
          </cell>
          <cell r="G200">
            <v>60</v>
          </cell>
          <cell r="H200">
            <v>53.265507212007513</v>
          </cell>
          <cell r="I200" t="str">
            <v>第二梯队</v>
          </cell>
        </row>
        <row r="201">
          <cell r="A201" t="str">
            <v>丽水市</v>
          </cell>
          <cell r="B201">
            <v>4</v>
          </cell>
          <cell r="C201">
            <v>9.2035842027448087</v>
          </cell>
          <cell r="D201">
            <v>32.5</v>
          </cell>
          <cell r="E201">
            <v>75</v>
          </cell>
          <cell r="F201">
            <v>53.595561358229922</v>
          </cell>
          <cell r="G201">
            <v>43.333333333333343</v>
          </cell>
          <cell r="H201">
            <v>41.612274717174273</v>
          </cell>
          <cell r="I201" t="str">
            <v>第四梯队</v>
          </cell>
        </row>
        <row r="202">
          <cell r="A202" t="str">
            <v>庆阳市</v>
          </cell>
          <cell r="B202">
            <v>4</v>
          </cell>
          <cell r="C202">
            <v>62.455834393392053</v>
          </cell>
          <cell r="D202">
            <v>28.75</v>
          </cell>
          <cell r="E202">
            <v>58.333333333333343</v>
          </cell>
          <cell r="F202">
            <v>52.932145994893418</v>
          </cell>
          <cell r="G202">
            <v>26.666666666666671</v>
          </cell>
          <cell r="H202">
            <v>47.914025276635783</v>
          </cell>
          <cell r="I202" t="str">
            <v>第三梯队</v>
          </cell>
        </row>
        <row r="203">
          <cell r="A203" t="str">
            <v>湖州市</v>
          </cell>
          <cell r="B203">
            <v>3</v>
          </cell>
          <cell r="C203">
            <v>19.349294309384561</v>
          </cell>
          <cell r="D203">
            <v>56.25</v>
          </cell>
          <cell r="E203">
            <v>75</v>
          </cell>
          <cell r="F203">
            <v>51.269193709961122</v>
          </cell>
          <cell r="G203">
            <v>60</v>
          </cell>
          <cell r="H203">
            <v>49.127536345861358</v>
          </cell>
          <cell r="I203" t="str">
            <v>第三梯队</v>
          </cell>
        </row>
        <row r="204">
          <cell r="A204" t="str">
            <v>来宾市</v>
          </cell>
          <cell r="B204">
            <v>4</v>
          </cell>
          <cell r="C204">
            <v>27.610752608234431</v>
          </cell>
          <cell r="D204">
            <v>76.25</v>
          </cell>
          <cell r="E204">
            <v>83.333333333333329</v>
          </cell>
          <cell r="F204">
            <v>49.952153566189033</v>
          </cell>
          <cell r="G204">
            <v>60</v>
          </cell>
          <cell r="H204">
            <v>55.086345281455827</v>
          </cell>
          <cell r="I204" t="str">
            <v>第二梯队</v>
          </cell>
        </row>
        <row r="205">
          <cell r="A205" t="str">
            <v>镇江市</v>
          </cell>
          <cell r="B205">
            <v>3</v>
          </cell>
          <cell r="C205">
            <v>0</v>
          </cell>
          <cell r="D205">
            <v>71.25</v>
          </cell>
          <cell r="E205">
            <v>75</v>
          </cell>
          <cell r="F205">
            <v>59.586805736336423</v>
          </cell>
          <cell r="G205">
            <v>26.666666666666671</v>
          </cell>
          <cell r="H205">
            <v>48.251388961201243</v>
          </cell>
          <cell r="I205" t="str">
            <v>第三梯队</v>
          </cell>
        </row>
        <row r="206">
          <cell r="A206" t="str">
            <v>漯河市</v>
          </cell>
          <cell r="B206">
            <v>3</v>
          </cell>
          <cell r="C206">
            <v>0</v>
          </cell>
          <cell r="D206">
            <v>27.5</v>
          </cell>
          <cell r="E206">
            <v>33.333333333333343</v>
          </cell>
          <cell r="F206">
            <v>53.174083742169152</v>
          </cell>
          <cell r="G206">
            <v>26.666666666666671</v>
          </cell>
          <cell r="H206">
            <v>32.769633496867662</v>
          </cell>
          <cell r="I206" t="str">
            <v>第四梯队</v>
          </cell>
        </row>
        <row r="207">
          <cell r="A207" t="str">
            <v>保山市</v>
          </cell>
          <cell r="B207">
            <v>4</v>
          </cell>
          <cell r="C207">
            <v>59.962554502152933</v>
          </cell>
          <cell r="D207">
            <v>71.25</v>
          </cell>
          <cell r="E207">
            <v>75</v>
          </cell>
          <cell r="F207">
            <v>75.781803732543707</v>
          </cell>
          <cell r="G207">
            <v>66.666666666666671</v>
          </cell>
          <cell r="H207">
            <v>70.721899060114751</v>
          </cell>
          <cell r="I207" t="str">
            <v>第一梯队</v>
          </cell>
        </row>
        <row r="208">
          <cell r="A208" t="str">
            <v>乌兰察布市</v>
          </cell>
          <cell r="B208">
            <v>4</v>
          </cell>
          <cell r="C208">
            <v>70.602247575138833</v>
          </cell>
          <cell r="D208">
            <v>65</v>
          </cell>
          <cell r="E208">
            <v>58.333333333333343</v>
          </cell>
          <cell r="F208">
            <v>52.173907629737222</v>
          </cell>
          <cell r="G208">
            <v>43.333333333333343</v>
          </cell>
          <cell r="H208">
            <v>58.156679233589323</v>
          </cell>
          <cell r="I208" t="str">
            <v>第二梯队</v>
          </cell>
        </row>
        <row r="209">
          <cell r="A209" t="str">
            <v>衢州市</v>
          </cell>
          <cell r="B209">
            <v>3</v>
          </cell>
          <cell r="C209">
            <v>9.2035842027448087</v>
          </cell>
          <cell r="D209">
            <v>78.75</v>
          </cell>
          <cell r="E209">
            <v>83.333333333333329</v>
          </cell>
          <cell r="F209">
            <v>50.101767348812359</v>
          </cell>
          <cell r="G209">
            <v>66.666666666666671</v>
          </cell>
          <cell r="H209">
            <v>52.631423780073902</v>
          </cell>
          <cell r="I209" t="str">
            <v>第二梯队</v>
          </cell>
        </row>
        <row r="210">
          <cell r="A210" t="str">
            <v>威海市</v>
          </cell>
          <cell r="B210">
            <v>3</v>
          </cell>
          <cell r="C210">
            <v>20.472830026654041</v>
          </cell>
          <cell r="D210">
            <v>32.5</v>
          </cell>
          <cell r="E210">
            <v>50</v>
          </cell>
          <cell r="F210">
            <v>53.39365448963305</v>
          </cell>
          <cell r="G210">
            <v>13.33333333333333</v>
          </cell>
          <cell r="H210">
            <v>38.285361134517373</v>
          </cell>
          <cell r="I210" t="str">
            <v>第四梯队</v>
          </cell>
        </row>
        <row r="211">
          <cell r="A211" t="str">
            <v>呼和浩特市</v>
          </cell>
          <cell r="B211">
            <v>2</v>
          </cell>
          <cell r="C211">
            <v>57.024892272227532</v>
          </cell>
          <cell r="D211">
            <v>83.75</v>
          </cell>
          <cell r="E211">
            <v>91.666666666666671</v>
          </cell>
          <cell r="F211">
            <v>60.320484104041583</v>
          </cell>
          <cell r="G211">
            <v>66.666666666666671</v>
          </cell>
          <cell r="H211">
            <v>68.116505429395474</v>
          </cell>
          <cell r="I211" t="str">
            <v>第一梯队</v>
          </cell>
        </row>
        <row r="212">
          <cell r="A212" t="str">
            <v>普洱市</v>
          </cell>
          <cell r="B212">
            <v>4</v>
          </cell>
          <cell r="C212">
            <v>0</v>
          </cell>
          <cell r="D212">
            <v>0</v>
          </cell>
          <cell r="E212">
            <v>0</v>
          </cell>
          <cell r="F212">
            <v>85.218287944217209</v>
          </cell>
          <cell r="G212">
            <v>0</v>
          </cell>
          <cell r="H212">
            <v>34.087315177686882</v>
          </cell>
          <cell r="I212" t="str">
            <v>第四梯队</v>
          </cell>
        </row>
        <row r="213">
          <cell r="A213" t="str">
            <v>崇左市</v>
          </cell>
          <cell r="B213">
            <v>4</v>
          </cell>
          <cell r="C213">
            <v>80.810415222937664</v>
          </cell>
          <cell r="D213">
            <v>56.25</v>
          </cell>
          <cell r="E213">
            <v>75</v>
          </cell>
          <cell r="F213">
            <v>57.71205236769498</v>
          </cell>
          <cell r="G213">
            <v>66.666666666666671</v>
          </cell>
          <cell r="H213">
            <v>64.663570658332191</v>
          </cell>
          <cell r="I213" t="str">
            <v>第一梯队</v>
          </cell>
        </row>
        <row r="214">
          <cell r="A214" t="str">
            <v>呼伦贝尔市</v>
          </cell>
          <cell r="B214">
            <v>4</v>
          </cell>
          <cell r="C214">
            <v>21.723768484658098</v>
          </cell>
          <cell r="D214">
            <v>76.25</v>
          </cell>
          <cell r="E214">
            <v>83.333333333333329</v>
          </cell>
          <cell r="F214">
            <v>90.167279678296296</v>
          </cell>
          <cell r="G214">
            <v>50</v>
          </cell>
          <cell r="H214">
            <v>68.994998901583472</v>
          </cell>
          <cell r="I214" t="str">
            <v>第一梯队</v>
          </cell>
        </row>
        <row r="215">
          <cell r="A215" t="str">
            <v>贺州市</v>
          </cell>
          <cell r="B215">
            <v>4</v>
          </cell>
          <cell r="C215">
            <v>71.327777571272264</v>
          </cell>
          <cell r="D215">
            <v>70</v>
          </cell>
          <cell r="E215">
            <v>91.666666666666671</v>
          </cell>
          <cell r="F215">
            <v>69.233691682156618</v>
          </cell>
          <cell r="G215">
            <v>60</v>
          </cell>
          <cell r="H215">
            <v>71.12569885378376</v>
          </cell>
          <cell r="I215" t="str">
            <v>第一梯队</v>
          </cell>
        </row>
        <row r="216">
          <cell r="A216" t="str">
            <v>商洛市</v>
          </cell>
          <cell r="B216">
            <v>4</v>
          </cell>
          <cell r="C216">
            <v>22.645777510008749</v>
          </cell>
          <cell r="D216">
            <v>32.5</v>
          </cell>
          <cell r="E216">
            <v>41.666666666666657</v>
          </cell>
          <cell r="F216">
            <v>59.732346282454976</v>
          </cell>
          <cell r="G216">
            <v>60</v>
          </cell>
          <cell r="H216">
            <v>45.088760681650413</v>
          </cell>
          <cell r="I216" t="str">
            <v>第四梯队</v>
          </cell>
        </row>
        <row r="217">
          <cell r="A217" t="str">
            <v>随州市</v>
          </cell>
          <cell r="B217">
            <v>4</v>
          </cell>
          <cell r="C217">
            <v>0</v>
          </cell>
          <cell r="D217">
            <v>77.5</v>
          </cell>
          <cell r="E217">
            <v>83.333333333333329</v>
          </cell>
          <cell r="F217">
            <v>61.201729908585257</v>
          </cell>
          <cell r="G217">
            <v>66.666666666666671</v>
          </cell>
          <cell r="H217">
            <v>54.980691963434111</v>
          </cell>
          <cell r="I217" t="str">
            <v>第二梯队</v>
          </cell>
        </row>
        <row r="218">
          <cell r="A218" t="str">
            <v>牡丹江市</v>
          </cell>
          <cell r="B218">
            <v>3</v>
          </cell>
          <cell r="C218">
            <v>0</v>
          </cell>
          <cell r="D218">
            <v>50</v>
          </cell>
          <cell r="E218">
            <v>66.666666666666671</v>
          </cell>
          <cell r="F218">
            <v>92.245015552840357</v>
          </cell>
          <cell r="G218">
            <v>60</v>
          </cell>
          <cell r="H218">
            <v>59.564672887802807</v>
          </cell>
          <cell r="I218" t="str">
            <v>第一梯队</v>
          </cell>
        </row>
        <row r="219">
          <cell r="A219" t="str">
            <v>临沧市</v>
          </cell>
          <cell r="B219">
            <v>4</v>
          </cell>
          <cell r="C219">
            <v>61.217584202189521</v>
          </cell>
          <cell r="D219">
            <v>21.25</v>
          </cell>
          <cell r="E219">
            <v>58.333333333333343</v>
          </cell>
          <cell r="F219">
            <v>76.379467867763566</v>
          </cell>
          <cell r="G219">
            <v>43.333333333333343</v>
          </cell>
          <cell r="H219">
            <v>57.211970654210013</v>
          </cell>
          <cell r="I219" t="str">
            <v>第二梯队</v>
          </cell>
        </row>
        <row r="220">
          <cell r="A220" t="str">
            <v>延安市</v>
          </cell>
          <cell r="B220">
            <v>4</v>
          </cell>
          <cell r="C220">
            <v>70.324722853146881</v>
          </cell>
          <cell r="D220">
            <v>76.25</v>
          </cell>
          <cell r="E220">
            <v>83.333333333333329</v>
          </cell>
          <cell r="F220">
            <v>65.906496399675802</v>
          </cell>
          <cell r="G220">
            <v>60</v>
          </cell>
          <cell r="H220">
            <v>70.010876463833029</v>
          </cell>
          <cell r="I220" t="str">
            <v>第一梯队</v>
          </cell>
        </row>
        <row r="221">
          <cell r="A221" t="str">
            <v>平凉市</v>
          </cell>
          <cell r="B221">
            <v>4</v>
          </cell>
          <cell r="C221">
            <v>0</v>
          </cell>
          <cell r="D221">
            <v>65</v>
          </cell>
          <cell r="E221">
            <v>75</v>
          </cell>
          <cell r="F221">
            <v>59.77473713377104</v>
          </cell>
          <cell r="G221">
            <v>43.333333333333343</v>
          </cell>
          <cell r="H221">
            <v>48.743228186841748</v>
          </cell>
          <cell r="I221" t="str">
            <v>第三梯队</v>
          </cell>
        </row>
        <row r="222">
          <cell r="A222" t="str">
            <v>丹东市</v>
          </cell>
          <cell r="B222">
            <v>3</v>
          </cell>
          <cell r="C222">
            <v>9.7302558540617916</v>
          </cell>
          <cell r="D222">
            <v>42.5</v>
          </cell>
          <cell r="E222">
            <v>25</v>
          </cell>
          <cell r="F222">
            <v>60.975887800423898</v>
          </cell>
          <cell r="G222">
            <v>30</v>
          </cell>
          <cell r="H222">
            <v>40.33640629098192</v>
          </cell>
          <cell r="I222" t="str">
            <v>第四梯队</v>
          </cell>
        </row>
        <row r="223">
          <cell r="A223" t="str">
            <v>营口市</v>
          </cell>
          <cell r="B223">
            <v>3</v>
          </cell>
          <cell r="C223">
            <v>0</v>
          </cell>
          <cell r="D223">
            <v>0</v>
          </cell>
          <cell r="E223">
            <v>0</v>
          </cell>
          <cell r="F223">
            <v>57.69068514747628</v>
          </cell>
          <cell r="G223">
            <v>26.666666666666671</v>
          </cell>
          <cell r="H223">
            <v>25.742940725657181</v>
          </cell>
          <cell r="I223" t="str">
            <v>第四梯队</v>
          </cell>
        </row>
        <row r="224">
          <cell r="A224" t="str">
            <v>佳木斯市</v>
          </cell>
          <cell r="B224">
            <v>3</v>
          </cell>
          <cell r="C224">
            <v>21.151998221409549</v>
          </cell>
          <cell r="D224">
            <v>48.75</v>
          </cell>
          <cell r="E224">
            <v>66.666666666666671</v>
          </cell>
          <cell r="F224">
            <v>51.446839278025223</v>
          </cell>
          <cell r="G224">
            <v>60</v>
          </cell>
          <cell r="H224">
            <v>47.225802022158661</v>
          </cell>
          <cell r="I224" t="str">
            <v>第三梯队</v>
          </cell>
        </row>
        <row r="225">
          <cell r="A225" t="str">
            <v>马鞍山市</v>
          </cell>
          <cell r="B225">
            <v>3</v>
          </cell>
          <cell r="C225">
            <v>74.328517982983428</v>
          </cell>
          <cell r="D225">
            <v>77.5</v>
          </cell>
          <cell r="E225">
            <v>91.666666666666671</v>
          </cell>
          <cell r="F225">
            <v>46.095230250426901</v>
          </cell>
          <cell r="G225">
            <v>66.666666666666671</v>
          </cell>
          <cell r="H225">
            <v>64.637129030100795</v>
          </cell>
          <cell r="I225" t="str">
            <v>第一梯队</v>
          </cell>
        </row>
        <row r="226">
          <cell r="A226" t="str">
            <v>三门峡市</v>
          </cell>
          <cell r="B226">
            <v>4</v>
          </cell>
          <cell r="C226">
            <v>0</v>
          </cell>
          <cell r="D226">
            <v>70</v>
          </cell>
          <cell r="E226">
            <v>83.333333333333329</v>
          </cell>
          <cell r="F226">
            <v>69.258593269379205</v>
          </cell>
          <cell r="G226">
            <v>66.666666666666671</v>
          </cell>
          <cell r="H226">
            <v>56.703437307751678</v>
          </cell>
          <cell r="I226" t="str">
            <v>第二梯队</v>
          </cell>
        </row>
        <row r="227">
          <cell r="A227" t="str">
            <v>包头市</v>
          </cell>
          <cell r="B227">
            <v>2</v>
          </cell>
          <cell r="C227">
            <v>0</v>
          </cell>
          <cell r="D227">
            <v>93.75</v>
          </cell>
          <cell r="E227">
            <v>91.666666666666671</v>
          </cell>
          <cell r="F227">
            <v>46.957376710608173</v>
          </cell>
          <cell r="G227">
            <v>50</v>
          </cell>
          <cell r="H227">
            <v>51.699617350909932</v>
          </cell>
          <cell r="I227" t="str">
            <v>第三梯队</v>
          </cell>
        </row>
        <row r="228">
          <cell r="A228" t="str">
            <v>晋城市</v>
          </cell>
          <cell r="B228">
            <v>3</v>
          </cell>
          <cell r="C228">
            <v>10.61923617801601</v>
          </cell>
          <cell r="D228">
            <v>32.5</v>
          </cell>
          <cell r="E228">
            <v>33.333333333333343</v>
          </cell>
          <cell r="F228">
            <v>69.489175472287201</v>
          </cell>
          <cell r="G228">
            <v>30</v>
          </cell>
          <cell r="H228">
            <v>42.752850757851419</v>
          </cell>
          <cell r="I228" t="str">
            <v>第四梯队</v>
          </cell>
        </row>
        <row r="229">
          <cell r="A229" t="str">
            <v>玉溪市</v>
          </cell>
          <cell r="B229">
            <v>3</v>
          </cell>
          <cell r="C229">
            <v>62.112229848844713</v>
          </cell>
          <cell r="D229">
            <v>76.25</v>
          </cell>
          <cell r="E229">
            <v>91.666666666666671</v>
          </cell>
          <cell r="F229">
            <v>71.774477393252624</v>
          </cell>
          <cell r="G229">
            <v>66.666666666666671</v>
          </cell>
          <cell r="H229">
            <v>72.215570260403339</v>
          </cell>
          <cell r="I229" t="str">
            <v>第一梯队</v>
          </cell>
        </row>
        <row r="230">
          <cell r="A230" t="str">
            <v>淮北市</v>
          </cell>
          <cell r="B230">
            <v>3</v>
          </cell>
          <cell r="C230">
            <v>0</v>
          </cell>
          <cell r="D230">
            <v>60</v>
          </cell>
          <cell r="E230">
            <v>66.666666666666671</v>
          </cell>
          <cell r="F230">
            <v>48.380766774921447</v>
          </cell>
          <cell r="G230">
            <v>66.666666666666671</v>
          </cell>
          <cell r="H230">
            <v>44.685640043301923</v>
          </cell>
          <cell r="I230" t="str">
            <v>第四梯队</v>
          </cell>
        </row>
        <row r="231">
          <cell r="A231" t="str">
            <v>海口市</v>
          </cell>
          <cell r="B231">
            <v>2</v>
          </cell>
          <cell r="C231">
            <v>71.327777571272264</v>
          </cell>
          <cell r="D231">
            <v>65</v>
          </cell>
          <cell r="E231">
            <v>50</v>
          </cell>
          <cell r="F231">
            <v>62.103207831120287</v>
          </cell>
          <cell r="G231">
            <v>43.333333333333343</v>
          </cell>
          <cell r="H231">
            <v>61.440171980035913</v>
          </cell>
          <cell r="I231" t="str">
            <v>第一梯队</v>
          </cell>
        </row>
        <row r="232">
          <cell r="A232" t="str">
            <v>西宁市</v>
          </cell>
          <cell r="B232">
            <v>2</v>
          </cell>
          <cell r="C232">
            <v>20.570773517065831</v>
          </cell>
          <cell r="D232">
            <v>27.5</v>
          </cell>
          <cell r="E232">
            <v>33.333333333333343</v>
          </cell>
          <cell r="F232">
            <v>66.37452073400506</v>
          </cell>
          <cell r="G232">
            <v>43.333333333333343</v>
          </cell>
          <cell r="H232">
            <v>43.830629663681862</v>
          </cell>
          <cell r="I232" t="str">
            <v>第四梯队</v>
          </cell>
        </row>
        <row r="233">
          <cell r="A233" t="str">
            <v>通化市</v>
          </cell>
          <cell r="B233">
            <v>4</v>
          </cell>
          <cell r="C233">
            <v>9.6382664932009892</v>
          </cell>
          <cell r="D233">
            <v>65</v>
          </cell>
          <cell r="E233">
            <v>75</v>
          </cell>
          <cell r="F233">
            <v>72.617603142431406</v>
          </cell>
          <cell r="G233">
            <v>50</v>
          </cell>
          <cell r="H233">
            <v>56.474694555612757</v>
          </cell>
          <cell r="I233" t="str">
            <v>第二梯队</v>
          </cell>
        </row>
        <row r="234">
          <cell r="A234" t="str">
            <v>银川市</v>
          </cell>
          <cell r="B234">
            <v>2</v>
          </cell>
          <cell r="C234">
            <v>10.861884242329049</v>
          </cell>
          <cell r="D234">
            <v>72.5</v>
          </cell>
          <cell r="E234">
            <v>75</v>
          </cell>
          <cell r="F234">
            <v>46.661846611454642</v>
          </cell>
          <cell r="G234">
            <v>60</v>
          </cell>
          <cell r="H234">
            <v>48.837115493047662</v>
          </cell>
          <cell r="I234" t="str">
            <v>第三梯队</v>
          </cell>
        </row>
        <row r="235">
          <cell r="A235" t="str">
            <v>四平市</v>
          </cell>
          <cell r="B235">
            <v>4</v>
          </cell>
          <cell r="C235">
            <v>66.170343645199409</v>
          </cell>
          <cell r="D235">
            <v>77.5</v>
          </cell>
          <cell r="E235">
            <v>83.333333333333329</v>
          </cell>
          <cell r="F235">
            <v>61.792808989169323</v>
          </cell>
          <cell r="G235">
            <v>66.666666666666671</v>
          </cell>
          <cell r="H235">
            <v>68.45119232470762</v>
          </cell>
          <cell r="I235" t="str">
            <v>第一梯队</v>
          </cell>
        </row>
        <row r="236">
          <cell r="A236" t="str">
            <v>抚顺市</v>
          </cell>
          <cell r="B236">
            <v>2</v>
          </cell>
          <cell r="C236">
            <v>0</v>
          </cell>
          <cell r="D236">
            <v>66.25</v>
          </cell>
          <cell r="E236">
            <v>58.333333333333343</v>
          </cell>
          <cell r="F236">
            <v>70.64642073057675</v>
          </cell>
          <cell r="G236">
            <v>60</v>
          </cell>
          <cell r="H236">
            <v>53.341901625564027</v>
          </cell>
          <cell r="I236" t="str">
            <v>第二梯队</v>
          </cell>
        </row>
        <row r="237">
          <cell r="A237" t="str">
            <v>萍乡市</v>
          </cell>
          <cell r="B237">
            <v>3</v>
          </cell>
          <cell r="C237">
            <v>69.059162655776333</v>
          </cell>
          <cell r="D237">
            <v>42.5</v>
          </cell>
          <cell r="E237">
            <v>58.333333333333343</v>
          </cell>
          <cell r="F237">
            <v>45.027252252983963</v>
          </cell>
          <cell r="G237">
            <v>26.666666666666671</v>
          </cell>
          <cell r="H237">
            <v>48.822733432348848</v>
          </cell>
          <cell r="I237" t="str">
            <v>第三梯队</v>
          </cell>
        </row>
        <row r="238">
          <cell r="A238" t="str">
            <v>中山市</v>
          </cell>
          <cell r="B238">
            <v>2</v>
          </cell>
          <cell r="C238">
            <v>0</v>
          </cell>
          <cell r="D238">
            <v>37.5</v>
          </cell>
          <cell r="E238">
            <v>0</v>
          </cell>
          <cell r="F238">
            <v>56.276575155206302</v>
          </cell>
          <cell r="G238">
            <v>13.33333333333333</v>
          </cell>
          <cell r="H238">
            <v>31.343963395415852</v>
          </cell>
          <cell r="I238" t="str">
            <v>第四梯队</v>
          </cell>
        </row>
        <row r="239">
          <cell r="A239" t="str">
            <v>东营市</v>
          </cell>
          <cell r="B239">
            <v>3</v>
          </cell>
          <cell r="C239">
            <v>0</v>
          </cell>
          <cell r="D239">
            <v>71.25</v>
          </cell>
          <cell r="E239">
            <v>33.333333333333343</v>
          </cell>
          <cell r="F239">
            <v>33.01128579496622</v>
          </cell>
          <cell r="G239">
            <v>26.666666666666671</v>
          </cell>
          <cell r="H239">
            <v>33.454514317986487</v>
          </cell>
          <cell r="I239" t="str">
            <v>第四梯队</v>
          </cell>
        </row>
        <row r="240">
          <cell r="A240" t="str">
            <v>武威市</v>
          </cell>
          <cell r="B240">
            <v>4</v>
          </cell>
          <cell r="C240">
            <v>46.163008029898471</v>
          </cell>
          <cell r="D240">
            <v>67.5</v>
          </cell>
          <cell r="E240">
            <v>66.666666666666671</v>
          </cell>
          <cell r="F240">
            <v>47.294822055559003</v>
          </cell>
          <cell r="G240">
            <v>26.666666666666671</v>
          </cell>
          <cell r="H240">
            <v>50.983863761536632</v>
          </cell>
          <cell r="I240" t="str">
            <v>第三梯队</v>
          </cell>
        </row>
        <row r="241">
          <cell r="A241" t="str">
            <v>白城市</v>
          </cell>
          <cell r="B241">
            <v>4</v>
          </cell>
          <cell r="C241">
            <v>21.723768484658098</v>
          </cell>
          <cell r="D241">
            <v>65</v>
          </cell>
          <cell r="E241">
            <v>75</v>
          </cell>
          <cell r="F241">
            <v>60.475710899894153</v>
          </cell>
          <cell r="G241">
            <v>60</v>
          </cell>
          <cell r="H241">
            <v>55.035038056889277</v>
          </cell>
          <cell r="I241" t="str">
            <v>第二梯队</v>
          </cell>
        </row>
        <row r="242">
          <cell r="A242" t="str">
            <v>北海市</v>
          </cell>
          <cell r="B242">
            <v>3</v>
          </cell>
          <cell r="C242">
            <v>9.2035842027448087</v>
          </cell>
          <cell r="D242">
            <v>65</v>
          </cell>
          <cell r="E242">
            <v>66.666666666666671</v>
          </cell>
          <cell r="F242">
            <v>43.664917914388717</v>
          </cell>
          <cell r="G242">
            <v>60</v>
          </cell>
          <cell r="H242">
            <v>44.973350672971122</v>
          </cell>
          <cell r="I242" t="str">
            <v>第四梯队</v>
          </cell>
        </row>
        <row r="243">
          <cell r="A243" t="str">
            <v>阜新市</v>
          </cell>
          <cell r="B243">
            <v>3</v>
          </cell>
          <cell r="C243">
            <v>0</v>
          </cell>
          <cell r="D243">
            <v>76.25</v>
          </cell>
          <cell r="E243">
            <v>58.333333333333343</v>
          </cell>
          <cell r="F243">
            <v>49.879776411716698</v>
          </cell>
          <cell r="G243">
            <v>26.666666666666671</v>
          </cell>
          <cell r="H243">
            <v>43.701910564686678</v>
          </cell>
          <cell r="I243" t="str">
            <v>第四梯队</v>
          </cell>
        </row>
        <row r="244">
          <cell r="A244" t="str">
            <v>白银市</v>
          </cell>
          <cell r="B244">
            <v>4</v>
          </cell>
          <cell r="C244">
            <v>46.163008029898471</v>
          </cell>
          <cell r="D244">
            <v>71.25</v>
          </cell>
          <cell r="E244">
            <v>66.666666666666671</v>
          </cell>
          <cell r="F244">
            <v>46.072266509406838</v>
          </cell>
          <cell r="G244">
            <v>43.333333333333343</v>
          </cell>
          <cell r="H244">
            <v>52.911508209742443</v>
          </cell>
          <cell r="I244" t="str">
            <v>第二梯队</v>
          </cell>
        </row>
        <row r="245">
          <cell r="A245" t="str">
            <v>海东市</v>
          </cell>
          <cell r="B245">
            <v>4</v>
          </cell>
          <cell r="C245">
            <v>10.861884242329049</v>
          </cell>
          <cell r="D245">
            <v>71.25</v>
          </cell>
          <cell r="E245">
            <v>50</v>
          </cell>
          <cell r="F245">
            <v>71.144744467671458</v>
          </cell>
          <cell r="G245">
            <v>33.333333333333343</v>
          </cell>
          <cell r="H245">
            <v>53.213607968867727</v>
          </cell>
          <cell r="I245" t="str">
            <v>第二梯队</v>
          </cell>
        </row>
        <row r="246">
          <cell r="A246" t="str">
            <v>巴彦淖尔市</v>
          </cell>
          <cell r="B246">
            <v>4</v>
          </cell>
          <cell r="C246">
            <v>59.740363332809792</v>
          </cell>
          <cell r="D246">
            <v>45</v>
          </cell>
          <cell r="E246">
            <v>33.333333333333343</v>
          </cell>
          <cell r="F246">
            <v>37.361864186191752</v>
          </cell>
          <cell r="G246">
            <v>43.333333333333343</v>
          </cell>
          <cell r="H246">
            <v>43.559485007705327</v>
          </cell>
          <cell r="I246" t="str">
            <v>第四梯队</v>
          </cell>
        </row>
        <row r="247">
          <cell r="A247" t="str">
            <v>辽阳市</v>
          </cell>
          <cell r="B247">
            <v>3</v>
          </cell>
          <cell r="C247">
            <v>19.992285496253761</v>
          </cell>
          <cell r="D247">
            <v>50</v>
          </cell>
          <cell r="E247">
            <v>75</v>
          </cell>
          <cell r="F247">
            <v>58.309928000311679</v>
          </cell>
          <cell r="G247">
            <v>43.333333333333343</v>
          </cell>
          <cell r="H247">
            <v>49.15576163270876</v>
          </cell>
          <cell r="I247" t="str">
            <v>第三梯队</v>
          </cell>
        </row>
        <row r="248">
          <cell r="A248" t="str">
            <v>景德镇市</v>
          </cell>
          <cell r="B248">
            <v>3</v>
          </cell>
          <cell r="C248">
            <v>57.522401267155047</v>
          </cell>
          <cell r="D248">
            <v>27.5</v>
          </cell>
          <cell r="E248">
            <v>16.666666666666671</v>
          </cell>
          <cell r="F248">
            <v>66.194811105524195</v>
          </cell>
          <cell r="G248">
            <v>43.333333333333343</v>
          </cell>
          <cell r="H248">
            <v>49.482404695640703</v>
          </cell>
          <cell r="I248" t="str">
            <v>第三梯队</v>
          </cell>
        </row>
        <row r="249">
          <cell r="A249" t="str">
            <v>鹤壁市</v>
          </cell>
          <cell r="B249">
            <v>3</v>
          </cell>
          <cell r="C249">
            <v>57.024892272227532</v>
          </cell>
          <cell r="D249">
            <v>48.75</v>
          </cell>
          <cell r="E249">
            <v>50</v>
          </cell>
          <cell r="F249">
            <v>63.36733304662814</v>
          </cell>
          <cell r="G249">
            <v>0</v>
          </cell>
          <cell r="H249">
            <v>51.501911673096757</v>
          </cell>
          <cell r="I249" t="str">
            <v>第三梯队</v>
          </cell>
        </row>
        <row r="250">
          <cell r="A250" t="str">
            <v>铜陵市</v>
          </cell>
          <cell r="B250">
            <v>3</v>
          </cell>
          <cell r="C250">
            <v>73.738797718831449</v>
          </cell>
          <cell r="D250">
            <v>42.5</v>
          </cell>
          <cell r="E250">
            <v>41.666666666666657</v>
          </cell>
          <cell r="F250">
            <v>59.829337896643267</v>
          </cell>
          <cell r="G250">
            <v>43.333333333333343</v>
          </cell>
          <cell r="H250">
            <v>55.679494702423597</v>
          </cell>
          <cell r="I250" t="str">
            <v>第二梯队</v>
          </cell>
        </row>
        <row r="251">
          <cell r="A251" t="str">
            <v>张家界市</v>
          </cell>
          <cell r="B251">
            <v>4</v>
          </cell>
          <cell r="C251">
            <v>62.039632039204861</v>
          </cell>
          <cell r="D251">
            <v>53.75</v>
          </cell>
          <cell r="E251">
            <v>58.333333333333343</v>
          </cell>
          <cell r="F251">
            <v>61.499599415078222</v>
          </cell>
          <cell r="G251">
            <v>43.333333333333343</v>
          </cell>
          <cell r="H251">
            <v>57.924432840538927</v>
          </cell>
          <cell r="I251" t="str">
            <v>第二梯队</v>
          </cell>
        </row>
        <row r="252">
          <cell r="A252" t="str">
            <v>鄂尔多斯市</v>
          </cell>
          <cell r="B252">
            <v>3</v>
          </cell>
          <cell r="C252">
            <v>10.861884242329049</v>
          </cell>
          <cell r="D252">
            <v>60</v>
          </cell>
          <cell r="E252">
            <v>75</v>
          </cell>
          <cell r="F252">
            <v>56.848538275754223</v>
          </cell>
          <cell r="G252">
            <v>60</v>
          </cell>
          <cell r="H252">
            <v>50.411792158767497</v>
          </cell>
          <cell r="I252" t="str">
            <v>第三梯队</v>
          </cell>
        </row>
        <row r="253">
          <cell r="A253" t="str">
            <v>鸡西市</v>
          </cell>
          <cell r="B253">
            <v>3</v>
          </cell>
          <cell r="C253">
            <v>20.97391554890023</v>
          </cell>
          <cell r="D253">
            <v>32.5</v>
          </cell>
          <cell r="E253">
            <v>58.333333333333343</v>
          </cell>
          <cell r="F253">
            <v>61.515448671582099</v>
          </cell>
          <cell r="G253">
            <v>0</v>
          </cell>
          <cell r="H253">
            <v>41.134295911746221</v>
          </cell>
          <cell r="I253" t="str">
            <v>第四梯队</v>
          </cell>
        </row>
        <row r="254">
          <cell r="A254" t="str">
            <v>朔州市</v>
          </cell>
          <cell r="B254">
            <v>4</v>
          </cell>
          <cell r="C254">
            <v>47.420817349149829</v>
          </cell>
          <cell r="D254">
            <v>33.75</v>
          </cell>
          <cell r="E254">
            <v>41.666666666666657</v>
          </cell>
          <cell r="F254">
            <v>60.70115392847157</v>
          </cell>
          <cell r="G254">
            <v>43.333333333333343</v>
          </cell>
          <cell r="H254">
            <v>49.014625041218601</v>
          </cell>
          <cell r="I254" t="str">
            <v>第三梯队</v>
          </cell>
        </row>
        <row r="255">
          <cell r="A255" t="str">
            <v>池州市</v>
          </cell>
          <cell r="B255">
            <v>4</v>
          </cell>
          <cell r="C255">
            <v>71.282262241459492</v>
          </cell>
          <cell r="D255">
            <v>88.75</v>
          </cell>
          <cell r="E255">
            <v>91.666666666666671</v>
          </cell>
          <cell r="F255">
            <v>64.114633905910964</v>
          </cell>
          <cell r="G255">
            <v>66.666666666666671</v>
          </cell>
          <cell r="H255">
            <v>73.485639343989632</v>
          </cell>
          <cell r="I255" t="str">
            <v>第一梯队</v>
          </cell>
        </row>
        <row r="256">
          <cell r="A256" t="str">
            <v>黑河市</v>
          </cell>
          <cell r="B256">
            <v>4</v>
          </cell>
          <cell r="C256">
            <v>32.24109329091219</v>
          </cell>
          <cell r="D256">
            <v>0</v>
          </cell>
          <cell r="E256">
            <v>0</v>
          </cell>
          <cell r="F256">
            <v>79.375084423771426</v>
          </cell>
          <cell r="G256">
            <v>0</v>
          </cell>
          <cell r="H256">
            <v>38.19825242769101</v>
          </cell>
          <cell r="I256" t="str">
            <v>第四梯队</v>
          </cell>
        </row>
        <row r="257">
          <cell r="A257" t="str">
            <v>雅安市</v>
          </cell>
          <cell r="B257">
            <v>4</v>
          </cell>
          <cell r="C257">
            <v>0</v>
          </cell>
          <cell r="D257">
            <v>88.75</v>
          </cell>
          <cell r="E257">
            <v>75</v>
          </cell>
          <cell r="F257">
            <v>53.231765346937323</v>
          </cell>
          <cell r="G257">
            <v>60</v>
          </cell>
          <cell r="H257">
            <v>52.542706138774932</v>
          </cell>
          <cell r="I257" t="str">
            <v>第二梯队</v>
          </cell>
        </row>
        <row r="258">
          <cell r="A258" t="str">
            <v>黄山市</v>
          </cell>
          <cell r="B258">
            <v>4</v>
          </cell>
          <cell r="C258">
            <v>60.610098314955778</v>
          </cell>
          <cell r="D258">
            <v>82.5</v>
          </cell>
          <cell r="E258">
            <v>83.333333333333329</v>
          </cell>
          <cell r="F258">
            <v>70.118925806231928</v>
          </cell>
          <cell r="G258">
            <v>0</v>
          </cell>
          <cell r="H258">
            <v>65.002923318817267</v>
          </cell>
          <cell r="I258" t="str">
            <v>第一梯队</v>
          </cell>
        </row>
        <row r="259">
          <cell r="A259" t="str">
            <v>珠海市</v>
          </cell>
          <cell r="B259">
            <v>2</v>
          </cell>
          <cell r="C259">
            <v>9.2035842027448087</v>
          </cell>
          <cell r="D259">
            <v>43.75</v>
          </cell>
          <cell r="E259">
            <v>58.333333333333343</v>
          </cell>
          <cell r="F259">
            <v>60.93197444716877</v>
          </cell>
          <cell r="G259">
            <v>26.666666666666671</v>
          </cell>
          <cell r="H259">
            <v>43.463506619416471</v>
          </cell>
          <cell r="I259" t="str">
            <v>第四梯队</v>
          </cell>
        </row>
        <row r="260">
          <cell r="A260" t="str">
            <v>固原市</v>
          </cell>
          <cell r="B260">
            <v>4</v>
          </cell>
          <cell r="C260">
            <v>32.585652726987163</v>
          </cell>
          <cell r="D260">
            <v>52.5</v>
          </cell>
          <cell r="E260">
            <v>75</v>
          </cell>
          <cell r="F260">
            <v>57.855817824009833</v>
          </cell>
          <cell r="G260">
            <v>43.333333333333343</v>
          </cell>
          <cell r="H260">
            <v>51.992791008334699</v>
          </cell>
          <cell r="I260" t="str">
            <v>第二梯队</v>
          </cell>
        </row>
        <row r="261">
          <cell r="A261" t="str">
            <v>吴忠市</v>
          </cell>
          <cell r="B261">
            <v>4</v>
          </cell>
          <cell r="C261">
            <v>10.861884242329049</v>
          </cell>
          <cell r="D261">
            <v>66.25</v>
          </cell>
          <cell r="E261">
            <v>66.666666666666671</v>
          </cell>
          <cell r="F261">
            <v>46.657719484744341</v>
          </cell>
          <cell r="G261">
            <v>50</v>
          </cell>
          <cell r="H261">
            <v>45.752131309030219</v>
          </cell>
          <cell r="I261" t="str">
            <v>第三梯队</v>
          </cell>
        </row>
        <row r="262">
          <cell r="A262" t="str">
            <v>本溪市</v>
          </cell>
          <cell r="B262">
            <v>3</v>
          </cell>
          <cell r="C262">
            <v>9.7749499101086315</v>
          </cell>
          <cell r="D262">
            <v>82.5</v>
          </cell>
          <cell r="E262">
            <v>83.333333333333329</v>
          </cell>
          <cell r="F262">
            <v>59.531059652367901</v>
          </cell>
          <cell r="G262">
            <v>43.333333333333343</v>
          </cell>
          <cell r="H262">
            <v>54.934080509635557</v>
          </cell>
          <cell r="I262" t="str">
            <v>第二梯队</v>
          </cell>
        </row>
        <row r="263">
          <cell r="A263" t="str">
            <v>双鸭山市</v>
          </cell>
          <cell r="B263">
            <v>4</v>
          </cell>
          <cell r="C263">
            <v>44.784609979669327</v>
          </cell>
          <cell r="D263">
            <v>38.75</v>
          </cell>
          <cell r="E263">
            <v>66.666666666666671</v>
          </cell>
          <cell r="F263">
            <v>73.080034355756567</v>
          </cell>
          <cell r="G263">
            <v>43.333333333333343</v>
          </cell>
          <cell r="H263">
            <v>56.938935738236502</v>
          </cell>
          <cell r="I263" t="str">
            <v>第二梯队</v>
          </cell>
        </row>
        <row r="264">
          <cell r="A264" t="str">
            <v>阳泉市</v>
          </cell>
          <cell r="B264">
            <v>3</v>
          </cell>
          <cell r="C264">
            <v>10.375032071366039</v>
          </cell>
          <cell r="D264">
            <v>48.75</v>
          </cell>
          <cell r="E264">
            <v>16.666666666666671</v>
          </cell>
          <cell r="F264">
            <v>56.502321427562762</v>
          </cell>
          <cell r="G264">
            <v>50</v>
          </cell>
          <cell r="H264">
            <v>41.092601651964983</v>
          </cell>
          <cell r="I264" t="str">
            <v>第四梯队</v>
          </cell>
        </row>
        <row r="265">
          <cell r="A265" t="str">
            <v>张掖市</v>
          </cell>
          <cell r="B265">
            <v>4</v>
          </cell>
          <cell r="C265">
            <v>0</v>
          </cell>
          <cell r="D265">
            <v>66.25</v>
          </cell>
          <cell r="E265">
            <v>25</v>
          </cell>
          <cell r="F265">
            <v>53.0104060906325</v>
          </cell>
          <cell r="G265">
            <v>26.666666666666671</v>
          </cell>
          <cell r="H265">
            <v>39.620829102919657</v>
          </cell>
          <cell r="I265" t="str">
            <v>第四梯队</v>
          </cell>
        </row>
        <row r="266">
          <cell r="A266" t="str">
            <v>盘锦市</v>
          </cell>
          <cell r="B266">
            <v>3</v>
          </cell>
          <cell r="C266">
            <v>0</v>
          </cell>
          <cell r="D266">
            <v>76.25</v>
          </cell>
          <cell r="E266">
            <v>91.666666666666671</v>
          </cell>
          <cell r="F266">
            <v>44.248394878804667</v>
          </cell>
          <cell r="G266">
            <v>66.666666666666671</v>
          </cell>
          <cell r="H266">
            <v>48.782691284855197</v>
          </cell>
          <cell r="I266" t="str">
            <v>第三梯队</v>
          </cell>
        </row>
        <row r="267">
          <cell r="A267" t="str">
            <v>鹰潭市</v>
          </cell>
          <cell r="B267">
            <v>4</v>
          </cell>
          <cell r="C267">
            <v>39.11523286166544</v>
          </cell>
          <cell r="D267">
            <v>93.75</v>
          </cell>
          <cell r="E267">
            <v>91.666666666666671</v>
          </cell>
          <cell r="F267">
            <v>63.814820012476993</v>
          </cell>
          <cell r="G267">
            <v>0</v>
          </cell>
          <cell r="H267">
            <v>61.265641243990551</v>
          </cell>
          <cell r="I267" t="str">
            <v>第一梯队</v>
          </cell>
        </row>
        <row r="268">
          <cell r="A268" t="str">
            <v>新余市</v>
          </cell>
          <cell r="B268">
            <v>3</v>
          </cell>
          <cell r="C268">
            <v>48.318817064410247</v>
          </cell>
          <cell r="D268">
            <v>81.25</v>
          </cell>
          <cell r="E268">
            <v>83.333333333333329</v>
          </cell>
          <cell r="F268">
            <v>62.564551582375799</v>
          </cell>
          <cell r="G268">
            <v>60</v>
          </cell>
          <cell r="H268">
            <v>65.272917379165705</v>
          </cell>
          <cell r="I268" t="str">
            <v>第一梯队</v>
          </cell>
        </row>
        <row r="269">
          <cell r="A269" t="str">
            <v>丽江市</v>
          </cell>
          <cell r="B269">
            <v>4</v>
          </cell>
          <cell r="C269">
            <v>9.4678786169994247</v>
          </cell>
          <cell r="D269">
            <v>76.25</v>
          </cell>
          <cell r="E269">
            <v>66.666666666666671</v>
          </cell>
          <cell r="F269">
            <v>77.101788774275079</v>
          </cell>
          <cell r="G269">
            <v>66.666666666666671</v>
          </cell>
          <cell r="H269">
            <v>61.317624566443257</v>
          </cell>
          <cell r="I269" t="str">
            <v>第一梯队</v>
          </cell>
        </row>
        <row r="270">
          <cell r="A270" t="str">
            <v>中卫市</v>
          </cell>
          <cell r="B270">
            <v>4</v>
          </cell>
          <cell r="C270">
            <v>10.861884242329049</v>
          </cell>
          <cell r="D270">
            <v>61.25</v>
          </cell>
          <cell r="E270">
            <v>75</v>
          </cell>
          <cell r="F270">
            <v>46.739055121245642</v>
          </cell>
          <cell r="G270">
            <v>60</v>
          </cell>
          <cell r="H270">
            <v>46.617998896964068</v>
          </cell>
          <cell r="I270" t="str">
            <v>第三梯队</v>
          </cell>
        </row>
        <row r="271">
          <cell r="A271" t="str">
            <v>辽源市</v>
          </cell>
          <cell r="B271">
            <v>4</v>
          </cell>
          <cell r="C271">
            <v>9.8970333859454094</v>
          </cell>
          <cell r="D271">
            <v>66.25</v>
          </cell>
          <cell r="E271">
            <v>66.666666666666671</v>
          </cell>
          <cell r="F271">
            <v>64.875181030137483</v>
          </cell>
          <cell r="G271">
            <v>43.333333333333343</v>
          </cell>
          <cell r="H271">
            <v>52.179479089244083</v>
          </cell>
          <cell r="I271" t="str">
            <v>第二梯队</v>
          </cell>
        </row>
        <row r="272">
          <cell r="A272" t="str">
            <v>白山市</v>
          </cell>
          <cell r="B272">
            <v>4</v>
          </cell>
          <cell r="C272">
            <v>28.688477512559121</v>
          </cell>
          <cell r="D272">
            <v>43.75</v>
          </cell>
          <cell r="E272">
            <v>33.333333333333343</v>
          </cell>
          <cell r="F272">
            <v>82.295804362131307</v>
          </cell>
          <cell r="G272">
            <v>43.333333333333343</v>
          </cell>
          <cell r="H272">
            <v>55.072683914031018</v>
          </cell>
          <cell r="I272" t="str">
            <v>第二梯队</v>
          </cell>
        </row>
        <row r="273">
          <cell r="A273" t="str">
            <v>鄂州市</v>
          </cell>
          <cell r="B273">
            <v>4</v>
          </cell>
          <cell r="C273">
            <v>0</v>
          </cell>
          <cell r="D273">
            <v>53.75</v>
          </cell>
          <cell r="E273">
            <v>25</v>
          </cell>
          <cell r="F273">
            <v>44.624943817415179</v>
          </cell>
          <cell r="G273">
            <v>26.666666666666671</v>
          </cell>
          <cell r="H273">
            <v>33.766644193632743</v>
          </cell>
          <cell r="I273" t="str">
            <v>第四梯队</v>
          </cell>
        </row>
        <row r="274">
          <cell r="A274" t="str">
            <v>伊春市</v>
          </cell>
          <cell r="B274">
            <v>4</v>
          </cell>
          <cell r="C274">
            <v>78.611091421770269</v>
          </cell>
          <cell r="D274">
            <v>60</v>
          </cell>
          <cell r="E274">
            <v>83.333333333333329</v>
          </cell>
          <cell r="F274">
            <v>88.789972387259041</v>
          </cell>
          <cell r="G274">
            <v>43.333333333333343</v>
          </cell>
          <cell r="H274">
            <v>75.904873905924333</v>
          </cell>
          <cell r="I274" t="str">
            <v>第一梯队</v>
          </cell>
        </row>
        <row r="275">
          <cell r="A275" t="str">
            <v>攀枝花市</v>
          </cell>
          <cell r="B275">
            <v>3</v>
          </cell>
          <cell r="C275">
            <v>9.3334626397882836</v>
          </cell>
          <cell r="D275">
            <v>78.75</v>
          </cell>
          <cell r="E275">
            <v>75</v>
          </cell>
          <cell r="F275">
            <v>50.354318925945726</v>
          </cell>
          <cell r="G275">
            <v>43.333333333333343</v>
          </cell>
          <cell r="H275">
            <v>49.591753431669282</v>
          </cell>
          <cell r="I275" t="str">
            <v>第三梯队</v>
          </cell>
        </row>
        <row r="276">
          <cell r="A276" t="str">
            <v>儋州市</v>
          </cell>
          <cell r="B276">
            <v>4</v>
          </cell>
          <cell r="C276">
            <v>28.07596166859625</v>
          </cell>
          <cell r="D276">
            <v>45</v>
          </cell>
          <cell r="E276">
            <v>75</v>
          </cell>
          <cell r="F276">
            <v>63.313824502972729</v>
          </cell>
          <cell r="G276">
            <v>26.666666666666671</v>
          </cell>
          <cell r="H276">
            <v>50.107388801575013</v>
          </cell>
          <cell r="I276" t="str">
            <v>第三梯队</v>
          </cell>
        </row>
        <row r="277">
          <cell r="A277" t="str">
            <v>防城港市</v>
          </cell>
          <cell r="B277">
            <v>4</v>
          </cell>
          <cell r="C277">
            <v>9.2035842027448087</v>
          </cell>
          <cell r="D277">
            <v>71.25</v>
          </cell>
          <cell r="E277">
            <v>66.666666666666671</v>
          </cell>
          <cell r="F277">
            <v>49.311435954828383</v>
          </cell>
          <cell r="G277">
            <v>66.666666666666671</v>
          </cell>
          <cell r="H277">
            <v>49.148624555813647</v>
          </cell>
          <cell r="I277" t="str">
            <v>第三梯队</v>
          </cell>
        </row>
        <row r="278">
          <cell r="A278" t="str">
            <v>酒泉市</v>
          </cell>
          <cell r="B278">
            <v>4</v>
          </cell>
          <cell r="C278">
            <v>59.740363332809792</v>
          </cell>
          <cell r="D278">
            <v>66.25</v>
          </cell>
          <cell r="E278">
            <v>50</v>
          </cell>
          <cell r="F278">
            <v>40.705134604123543</v>
          </cell>
          <cell r="G278">
            <v>33.333333333333343</v>
          </cell>
          <cell r="H278">
            <v>49.813459841544713</v>
          </cell>
          <cell r="I278" t="str">
            <v>第三梯队</v>
          </cell>
        </row>
        <row r="279">
          <cell r="A279" t="str">
            <v>鹤岗市</v>
          </cell>
          <cell r="B279">
            <v>3</v>
          </cell>
          <cell r="C279">
            <v>0</v>
          </cell>
          <cell r="D279">
            <v>22.5</v>
          </cell>
          <cell r="E279">
            <v>16.666666666666671</v>
          </cell>
          <cell r="F279">
            <v>70.338163121831272</v>
          </cell>
          <cell r="G279">
            <v>0</v>
          </cell>
          <cell r="H279">
            <v>34.301931915399173</v>
          </cell>
          <cell r="I279" t="str">
            <v>第四梯队</v>
          </cell>
        </row>
        <row r="280">
          <cell r="A280" t="str">
            <v>舟山市</v>
          </cell>
          <cell r="B280">
            <v>3</v>
          </cell>
          <cell r="C280">
            <v>9.5781657854234066</v>
          </cell>
          <cell r="D280">
            <v>65</v>
          </cell>
          <cell r="E280">
            <v>83.333333333333329</v>
          </cell>
          <cell r="F280">
            <v>49.73912447350888</v>
          </cell>
          <cell r="G280">
            <v>66.666666666666671</v>
          </cell>
          <cell r="H280">
            <v>49.811282946488227</v>
          </cell>
          <cell r="I280" t="str">
            <v>第三梯队</v>
          </cell>
        </row>
        <row r="281">
          <cell r="A281" t="str">
            <v>日喀则市</v>
          </cell>
          <cell r="B281">
            <v>4</v>
          </cell>
          <cell r="C281">
            <v>10.62507605203173</v>
          </cell>
          <cell r="D281">
            <v>61.25</v>
          </cell>
          <cell r="E281">
            <v>75</v>
          </cell>
          <cell r="F281">
            <v>37.52666933469397</v>
          </cell>
          <cell r="G281">
            <v>26.666666666666671</v>
          </cell>
          <cell r="H281">
            <v>39.5523496109506</v>
          </cell>
          <cell r="I281" t="str">
            <v>第四梯队</v>
          </cell>
        </row>
        <row r="282">
          <cell r="A282" t="str">
            <v>昌都市</v>
          </cell>
          <cell r="B282">
            <v>4</v>
          </cell>
          <cell r="C282">
            <v>0</v>
          </cell>
          <cell r="D282">
            <v>76.25</v>
          </cell>
          <cell r="E282">
            <v>83.333333333333329</v>
          </cell>
          <cell r="F282">
            <v>62.621717451849257</v>
          </cell>
          <cell r="G282">
            <v>50</v>
          </cell>
          <cell r="H282">
            <v>53.632020314073038</v>
          </cell>
          <cell r="I282" t="str">
            <v>第二梯队</v>
          </cell>
        </row>
        <row r="283">
          <cell r="A283" t="str">
            <v>铜川市</v>
          </cell>
          <cell r="B283">
            <v>4</v>
          </cell>
          <cell r="C283">
            <v>10.527925976552361</v>
          </cell>
          <cell r="D283">
            <v>76.25</v>
          </cell>
          <cell r="E283">
            <v>75</v>
          </cell>
          <cell r="F283">
            <v>55.449469557504692</v>
          </cell>
          <cell r="G283">
            <v>50</v>
          </cell>
          <cell r="H283">
            <v>52.035373018312349</v>
          </cell>
          <cell r="I283" t="str">
            <v>第二梯队</v>
          </cell>
        </row>
        <row r="284">
          <cell r="A284" t="str">
            <v>七台河市</v>
          </cell>
          <cell r="B284">
            <v>4</v>
          </cell>
          <cell r="C284">
            <v>32.012985871021719</v>
          </cell>
          <cell r="D284">
            <v>66.25</v>
          </cell>
          <cell r="E284">
            <v>75</v>
          </cell>
          <cell r="F284">
            <v>72.581610057337031</v>
          </cell>
          <cell r="G284">
            <v>60</v>
          </cell>
          <cell r="H284">
            <v>62.185241197139163</v>
          </cell>
          <cell r="I284" t="str">
            <v>第一梯队</v>
          </cell>
        </row>
        <row r="285">
          <cell r="A285" t="str">
            <v>石嘴山市</v>
          </cell>
          <cell r="B285">
            <v>4</v>
          </cell>
          <cell r="C285">
            <v>10.861884242329049</v>
          </cell>
          <cell r="D285">
            <v>63.75</v>
          </cell>
          <cell r="E285">
            <v>83.333333333333329</v>
          </cell>
          <cell r="F285">
            <v>36.872735564112659</v>
          </cell>
          <cell r="G285">
            <v>66.666666666666671</v>
          </cell>
          <cell r="H285">
            <v>44.671471074110883</v>
          </cell>
          <cell r="I285" t="str">
            <v>第四梯队</v>
          </cell>
        </row>
        <row r="286">
          <cell r="A286" t="str">
            <v>三亚市</v>
          </cell>
          <cell r="B286">
            <v>3</v>
          </cell>
          <cell r="C286">
            <v>60.606564668954363</v>
          </cell>
          <cell r="D286">
            <v>60</v>
          </cell>
          <cell r="E286">
            <v>75</v>
          </cell>
          <cell r="F286">
            <v>63.160655777647577</v>
          </cell>
          <cell r="G286">
            <v>50</v>
          </cell>
          <cell r="H286">
            <v>61.885575244849903</v>
          </cell>
          <cell r="I286" t="str">
            <v>第一梯队</v>
          </cell>
        </row>
        <row r="287">
          <cell r="A287" t="str">
            <v>拉萨市</v>
          </cell>
          <cell r="B287">
            <v>3</v>
          </cell>
          <cell r="C287">
            <v>0</v>
          </cell>
          <cell r="D287">
            <v>77.5</v>
          </cell>
          <cell r="E287">
            <v>58.333333333333343</v>
          </cell>
          <cell r="F287">
            <v>39.31775001280527</v>
          </cell>
          <cell r="G287">
            <v>60</v>
          </cell>
          <cell r="H287">
            <v>43.060433338455447</v>
          </cell>
          <cell r="I287" t="str">
            <v>第四梯队</v>
          </cell>
        </row>
        <row r="288">
          <cell r="A288" t="str">
            <v>金昌市</v>
          </cell>
          <cell r="B288">
            <v>4</v>
          </cell>
          <cell r="C288">
            <v>46.163008029898471</v>
          </cell>
          <cell r="D288">
            <v>77.5</v>
          </cell>
          <cell r="E288">
            <v>50</v>
          </cell>
          <cell r="F288">
            <v>46.093681341678653</v>
          </cell>
          <cell r="G288">
            <v>26.666666666666671</v>
          </cell>
          <cell r="H288">
            <v>50.836740809317817</v>
          </cell>
          <cell r="I288" t="str">
            <v>第三梯队</v>
          </cell>
        </row>
        <row r="289">
          <cell r="A289" t="str">
            <v>乌海市</v>
          </cell>
          <cell r="B289">
            <v>3</v>
          </cell>
          <cell r="C289">
            <v>10.861884242329049</v>
          </cell>
          <cell r="D289">
            <v>32.5</v>
          </cell>
          <cell r="E289">
            <v>41.666666666666657</v>
          </cell>
          <cell r="F289">
            <v>41.293530066050756</v>
          </cell>
          <cell r="G289">
            <v>43.333333333333343</v>
          </cell>
          <cell r="H289">
            <v>33.689788874886119</v>
          </cell>
          <cell r="I289" t="str">
            <v>第四梯队</v>
          </cell>
        </row>
        <row r="290">
          <cell r="A290" t="str">
            <v>山南市</v>
          </cell>
          <cell r="B290">
            <v>4</v>
          </cell>
          <cell r="C290">
            <v>0</v>
          </cell>
          <cell r="D290">
            <v>70</v>
          </cell>
          <cell r="E290">
            <v>58.333333333333343</v>
          </cell>
          <cell r="F290">
            <v>40.286219389284078</v>
          </cell>
          <cell r="G290">
            <v>43.333333333333343</v>
          </cell>
          <cell r="H290">
            <v>40.281154422380297</v>
          </cell>
          <cell r="I290" t="str">
            <v>第四梯队</v>
          </cell>
        </row>
        <row r="291">
          <cell r="A291" t="str">
            <v>克拉玛依市</v>
          </cell>
          <cell r="B291">
            <v>4</v>
          </cell>
          <cell r="C291">
            <v>70.602247575138833</v>
          </cell>
          <cell r="D291">
            <v>60</v>
          </cell>
          <cell r="E291">
            <v>91.666666666666671</v>
          </cell>
          <cell r="F291">
            <v>46.747333410573958</v>
          </cell>
          <cell r="G291">
            <v>60</v>
          </cell>
          <cell r="H291">
            <v>59.986049545924018</v>
          </cell>
          <cell r="I291" t="str">
            <v>第一梯队</v>
          </cell>
        </row>
        <row r="292">
          <cell r="A292" t="str">
            <v>林芝市</v>
          </cell>
          <cell r="B292">
            <v>4</v>
          </cell>
          <cell r="C292">
            <v>9.2035842027448087</v>
          </cell>
          <cell r="D292">
            <v>33.75</v>
          </cell>
          <cell r="E292">
            <v>25</v>
          </cell>
          <cell r="F292">
            <v>70.612284901174775</v>
          </cell>
          <cell r="G292">
            <v>26.666666666666671</v>
          </cell>
          <cell r="H292">
            <v>42.002297467685537</v>
          </cell>
          <cell r="I292" t="str">
            <v>第四梯队</v>
          </cell>
        </row>
        <row r="293">
          <cell r="A293" t="str">
            <v>嘉峪关市</v>
          </cell>
          <cell r="B293">
            <v>4</v>
          </cell>
          <cell r="C293">
            <v>10.861884242329049</v>
          </cell>
          <cell r="D293">
            <v>83.75</v>
          </cell>
          <cell r="E293">
            <v>91.666666666666671</v>
          </cell>
          <cell r="F293">
            <v>46.114724123288312</v>
          </cell>
          <cell r="G293">
            <v>66.666666666666671</v>
          </cell>
          <cell r="H293">
            <v>53.201599831114478</v>
          </cell>
          <cell r="I293" t="str">
            <v>第二梯队</v>
          </cell>
        </row>
        <row r="294">
          <cell r="A294" t="str">
            <v>那曲市</v>
          </cell>
          <cell r="B294">
            <v>4</v>
          </cell>
          <cell r="C294">
            <v>0</v>
          </cell>
          <cell r="D294">
            <v>32.5</v>
          </cell>
          <cell r="E294">
            <v>25</v>
          </cell>
          <cell r="F294">
            <v>39.84925239605009</v>
          </cell>
          <cell r="G294">
            <v>43.333333333333343</v>
          </cell>
          <cell r="H294">
            <v>29.273034291753369</v>
          </cell>
          <cell r="I294" t="str">
            <v>第四梯队</v>
          </cell>
        </row>
        <row r="295">
          <cell r="A295" t="str">
            <v>乌鲁木齐市</v>
          </cell>
          <cell r="B295">
            <v>2</v>
          </cell>
          <cell r="C295">
            <v>10.861884242329049</v>
          </cell>
          <cell r="D295">
            <v>71.25</v>
          </cell>
          <cell r="E295">
            <v>91.666666666666671</v>
          </cell>
          <cell r="F295">
            <v>41.051619664290953</v>
          </cell>
          <cell r="G295">
            <v>60</v>
          </cell>
          <cell r="H295">
            <v>48.009691380848857</v>
          </cell>
          <cell r="I295" t="str">
            <v>第三梯队</v>
          </cell>
        </row>
        <row r="296">
          <cell r="A296" t="str">
            <v>吐鲁番市</v>
          </cell>
          <cell r="B296">
            <v>4</v>
          </cell>
          <cell r="C296">
            <v>0</v>
          </cell>
          <cell r="D296">
            <v>82.5</v>
          </cell>
          <cell r="E296">
            <v>91.666666666666671</v>
          </cell>
          <cell r="F296">
            <v>34.663663714722411</v>
          </cell>
          <cell r="G296">
            <v>66.666666666666671</v>
          </cell>
          <cell r="H296">
            <v>46.198798819222297</v>
          </cell>
          <cell r="I296" t="str">
            <v>第三梯队</v>
          </cell>
        </row>
        <row r="297">
          <cell r="A297" t="str">
            <v>哈密市</v>
          </cell>
          <cell r="B297">
            <v>4</v>
          </cell>
          <cell r="C297">
            <v>0</v>
          </cell>
          <cell r="D297">
            <v>70</v>
          </cell>
          <cell r="E297">
            <v>66.666666666666671</v>
          </cell>
          <cell r="F297">
            <v>35.053316990669281</v>
          </cell>
          <cell r="G297">
            <v>43.333333333333343</v>
          </cell>
          <cell r="H297">
            <v>39.021326796267722</v>
          </cell>
          <cell r="I297" t="str">
            <v>第四梯队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纯数值"/>
      <sheetName val="Sheet1"/>
    </sheetNames>
    <sheetDataSet>
      <sheetData sheetId="0">
        <row r="1">
          <cell r="A1" t="str">
            <v>城市</v>
          </cell>
          <cell r="B1" t="str">
            <v>相关机制的完善和畅通程度</v>
          </cell>
          <cell r="C1" t="str">
            <v>专项资金投入力度</v>
          </cell>
          <cell r="D1" t="str">
            <v>人力资源保障程度</v>
          </cell>
          <cell r="E1" t="str">
            <v>技术条件保障程度</v>
          </cell>
          <cell r="F1" t="str">
            <v>落实监督行为的机制保障</v>
          </cell>
          <cell r="G1" t="str">
            <v>落实监督行为的资源保障</v>
          </cell>
          <cell r="H1" t="str">
            <v>监督行为的体现形式</v>
          </cell>
        </row>
        <row r="2">
          <cell r="A2" t="str">
            <v>中山市</v>
          </cell>
          <cell r="B2">
            <v>80</v>
          </cell>
          <cell r="C2">
            <v>75</v>
          </cell>
          <cell r="D2">
            <v>100</v>
          </cell>
          <cell r="E2">
            <v>50</v>
          </cell>
          <cell r="F2">
            <v>100</v>
          </cell>
          <cell r="G2">
            <v>75</v>
          </cell>
          <cell r="H2">
            <v>100</v>
          </cell>
        </row>
        <row r="3">
          <cell r="A3" t="str">
            <v>云浮市</v>
          </cell>
          <cell r="B3">
            <v>100</v>
          </cell>
          <cell r="C3">
            <v>25</v>
          </cell>
          <cell r="D3">
            <v>80</v>
          </cell>
          <cell r="E3">
            <v>50</v>
          </cell>
          <cell r="F3">
            <v>100</v>
          </cell>
          <cell r="G3">
            <v>100</v>
          </cell>
          <cell r="H3">
            <v>100</v>
          </cell>
        </row>
        <row r="4">
          <cell r="A4" t="str">
            <v>漳州市</v>
          </cell>
          <cell r="H4">
            <v>25</v>
          </cell>
        </row>
        <row r="5">
          <cell r="A5" t="str">
            <v>绥化市</v>
          </cell>
          <cell r="E5">
            <v>25</v>
          </cell>
          <cell r="H5">
            <v>25</v>
          </cell>
        </row>
        <row r="6">
          <cell r="A6" t="str">
            <v>营口市</v>
          </cell>
          <cell r="H6">
            <v>25</v>
          </cell>
        </row>
        <row r="7">
          <cell r="A7" t="str">
            <v>达州市</v>
          </cell>
          <cell r="B7">
            <v>80</v>
          </cell>
          <cell r="C7">
            <v>25</v>
          </cell>
          <cell r="D7">
            <v>80</v>
          </cell>
          <cell r="E7">
            <v>50</v>
          </cell>
          <cell r="F7">
            <v>25</v>
          </cell>
          <cell r="H7">
            <v>75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纯数值"/>
      <sheetName val="Sheet1"/>
    </sheetNames>
    <sheetDataSet>
      <sheetData sheetId="0">
        <row r="1">
          <cell r="A1" t="str">
            <v>城市</v>
          </cell>
          <cell r="B1" t="str">
            <v>森林碳汇建设工作的总结</v>
          </cell>
          <cell r="C1" t="str">
            <v>奖励对提升森林碳汇水平有突出贡献的主体</v>
          </cell>
          <cell r="D1" t="str">
            <v>处罚破坏森林碳汇的主体</v>
          </cell>
        </row>
        <row r="2">
          <cell r="A2" t="str">
            <v>达州市</v>
          </cell>
          <cell r="B2">
            <v>80</v>
          </cell>
        </row>
        <row r="3">
          <cell r="A3" t="str">
            <v>鸡西市</v>
          </cell>
          <cell r="B3">
            <v>40</v>
          </cell>
        </row>
        <row r="4">
          <cell r="A4" t="str">
            <v>鹤壁市</v>
          </cell>
          <cell r="B4">
            <v>80</v>
          </cell>
          <cell r="C4">
            <v>50</v>
          </cell>
        </row>
        <row r="5">
          <cell r="A5" t="str">
            <v>鹤岗市</v>
          </cell>
          <cell r="B5">
            <v>40</v>
          </cell>
        </row>
        <row r="6">
          <cell r="A6" t="str">
            <v>鹰潭市</v>
          </cell>
          <cell r="B6">
            <v>100</v>
          </cell>
          <cell r="C6">
            <v>50</v>
          </cell>
          <cell r="D6">
            <v>50</v>
          </cell>
        </row>
        <row r="7">
          <cell r="A7" t="str">
            <v>黄冈市</v>
          </cell>
          <cell r="B7">
            <v>80</v>
          </cell>
          <cell r="C7">
            <v>50</v>
          </cell>
          <cell r="D7">
            <v>50</v>
          </cell>
        </row>
        <row r="8">
          <cell r="A8" t="str">
            <v>黄山市</v>
          </cell>
          <cell r="B8">
            <v>100</v>
          </cell>
          <cell r="D8">
            <v>50</v>
          </cell>
        </row>
        <row r="9">
          <cell r="A9" t="str">
            <v>黄石市</v>
          </cell>
          <cell r="B9">
            <v>80</v>
          </cell>
          <cell r="D9">
            <v>50</v>
          </cell>
        </row>
        <row r="10">
          <cell r="A10" t="str">
            <v>齐齐哈尔市</v>
          </cell>
          <cell r="B10">
            <v>80</v>
          </cell>
        </row>
        <row r="11">
          <cell r="A11" t="str">
            <v>龙岩市</v>
          </cell>
          <cell r="B11">
            <v>80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98CC-E51C-49F5-9704-8CAB603EA90F}">
  <dimension ref="A1:O299"/>
  <sheetViews>
    <sheetView tabSelected="1" workbookViewId="0">
      <selection activeCell="J5" sqref="J5"/>
    </sheetView>
  </sheetViews>
  <sheetFormatPr defaultRowHeight="14.4" x14ac:dyDescent="0.25"/>
  <cols>
    <col min="13" max="13" width="21.6640625" customWidth="1"/>
    <col min="14" max="14" width="11.88671875" customWidth="1"/>
    <col min="15" max="15" width="15.77734375" customWidth="1"/>
  </cols>
  <sheetData>
    <row r="1" spans="1:15" ht="20.399999999999999" x14ac:dyDescent="0.25">
      <c r="A1" s="32" t="s">
        <v>660</v>
      </c>
      <c r="B1" s="33" t="s">
        <v>644</v>
      </c>
      <c r="C1" s="34" t="s">
        <v>646</v>
      </c>
      <c r="D1" s="34" t="s">
        <v>647</v>
      </c>
      <c r="E1" s="34" t="s">
        <v>648</v>
      </c>
      <c r="F1" s="35" t="s">
        <v>649</v>
      </c>
      <c r="G1" s="36" t="s">
        <v>661</v>
      </c>
      <c r="H1" s="36" t="s">
        <v>662</v>
      </c>
      <c r="I1" s="36" t="s">
        <v>663</v>
      </c>
      <c r="J1" s="36" t="s">
        <v>664</v>
      </c>
      <c r="K1" s="36" t="s">
        <v>665</v>
      </c>
      <c r="L1" s="36" t="s">
        <v>666</v>
      </c>
      <c r="M1" s="37" t="s">
        <v>667</v>
      </c>
      <c r="N1" s="61" t="s">
        <v>717</v>
      </c>
      <c r="O1" s="61" t="s">
        <v>718</v>
      </c>
    </row>
    <row r="2" spans="1:15" ht="20.399999999999999" x14ac:dyDescent="0.25">
      <c r="A2" s="32"/>
      <c r="B2" s="33"/>
      <c r="C2" s="34"/>
      <c r="D2" s="34"/>
      <c r="E2" s="34"/>
      <c r="F2" s="35"/>
      <c r="G2" s="36"/>
      <c r="H2" s="36"/>
      <c r="I2" s="36"/>
      <c r="J2" s="36"/>
      <c r="K2" s="36"/>
      <c r="L2" s="36"/>
      <c r="M2" s="63"/>
      <c r="N2" s="61"/>
      <c r="O2" s="61"/>
    </row>
    <row r="3" spans="1:15" ht="18" x14ac:dyDescent="0.25">
      <c r="A3" s="38" t="s">
        <v>668</v>
      </c>
      <c r="B3" s="39">
        <v>45</v>
      </c>
      <c r="C3" s="40">
        <v>71.25</v>
      </c>
      <c r="D3" s="41">
        <v>50</v>
      </c>
      <c r="E3" s="42">
        <v>84.191477482262883</v>
      </c>
      <c r="F3" s="43">
        <v>43.333333333333336</v>
      </c>
      <c r="G3" s="44">
        <v>0.97133734679797301</v>
      </c>
      <c r="H3" s="44">
        <v>0.2</v>
      </c>
      <c r="I3" s="44">
        <v>0.2</v>
      </c>
      <c r="J3" s="44">
        <v>0.15</v>
      </c>
      <c r="K3" s="44">
        <v>0.3</v>
      </c>
      <c r="L3" s="44">
        <v>0.15</v>
      </c>
      <c r="M3" s="44">
        <f t="shared" ref="M3:M66" si="0">((G3*$H$3*B3)+($I$3*C3)+($J$3*D3)+(G3*$K$3*E3)+($L$3*F3))</f>
        <v>61.525534029368515</v>
      </c>
      <c r="N3">
        <f>B3*G3</f>
        <v>43.710180605908782</v>
      </c>
      <c r="O3">
        <f t="shared" ref="O3:O66" si="1">E3*G3</f>
        <v>81.778326360622515</v>
      </c>
    </row>
    <row r="4" spans="1:15" ht="18" x14ac:dyDescent="0.25">
      <c r="A4" s="38" t="s">
        <v>669</v>
      </c>
      <c r="B4" s="39">
        <v>32.5</v>
      </c>
      <c r="C4" s="40">
        <v>77.5</v>
      </c>
      <c r="D4" s="41">
        <v>75</v>
      </c>
      <c r="E4" s="42">
        <v>71.758593177337261</v>
      </c>
      <c r="F4" s="43">
        <v>60</v>
      </c>
      <c r="G4" s="44">
        <v>0.97656578693234619</v>
      </c>
      <c r="H4" s="44"/>
      <c r="I4" s="44"/>
      <c r="J4" s="44"/>
      <c r="K4" s="44"/>
      <c r="L4" s="44"/>
      <c r="M4" s="44">
        <f t="shared" si="0"/>
        <v>63.120773719675583</v>
      </c>
      <c r="N4">
        <f t="shared" ref="N4:N66" si="2">B4*G4</f>
        <v>31.738388075301252</v>
      </c>
      <c r="O4">
        <f t="shared" si="1"/>
        <v>70.076987015384447</v>
      </c>
    </row>
    <row r="5" spans="1:15" ht="18" x14ac:dyDescent="0.25">
      <c r="A5" s="38" t="s">
        <v>670</v>
      </c>
      <c r="B5" s="39">
        <v>32.5</v>
      </c>
      <c r="C5" s="40">
        <v>60</v>
      </c>
      <c r="D5" s="41">
        <v>66.666666666666671</v>
      </c>
      <c r="E5" s="42">
        <v>36.95912857751749</v>
      </c>
      <c r="F5" s="43">
        <v>60</v>
      </c>
      <c r="G5" s="44">
        <v>0.9862231742901113</v>
      </c>
      <c r="H5" s="44"/>
      <c r="I5" s="44"/>
      <c r="J5" s="44"/>
      <c r="K5" s="44"/>
      <c r="L5" s="44"/>
      <c r="M5" s="44">
        <f t="shared" si="0"/>
        <v>48.345435364300421</v>
      </c>
      <c r="N5">
        <f t="shared" si="2"/>
        <v>32.05225316442862</v>
      </c>
      <c r="O5">
        <f t="shared" si="1"/>
        <v>36.449949104715664</v>
      </c>
    </row>
    <row r="6" spans="1:15" ht="18" x14ac:dyDescent="0.25">
      <c r="A6" s="38" t="s">
        <v>671</v>
      </c>
      <c r="B6" s="39">
        <v>42.5</v>
      </c>
      <c r="C6" s="40">
        <v>100</v>
      </c>
      <c r="D6" s="41">
        <v>91.666666666666671</v>
      </c>
      <c r="E6" s="42">
        <v>53.142945446008568</v>
      </c>
      <c r="F6" s="43">
        <v>66.666666666666671</v>
      </c>
      <c r="G6" s="44">
        <v>1.0861884242329052</v>
      </c>
      <c r="H6" s="44"/>
      <c r="I6" s="44"/>
      <c r="J6" s="44"/>
      <c r="K6" s="44"/>
      <c r="L6" s="44"/>
      <c r="M6" s="44">
        <f t="shared" si="0"/>
        <v>70.299577257908282</v>
      </c>
      <c r="N6">
        <f t="shared" si="2"/>
        <v>46.163008029898471</v>
      </c>
      <c r="O6">
        <f t="shared" si="1"/>
        <v>57.72325217309529</v>
      </c>
    </row>
    <row r="7" spans="1:15" ht="18" x14ac:dyDescent="0.25">
      <c r="A7" s="38" t="s">
        <v>5</v>
      </c>
      <c r="B7" s="39">
        <v>20</v>
      </c>
      <c r="C7" s="40">
        <v>65</v>
      </c>
      <c r="D7" s="41">
        <v>83.333333333333329</v>
      </c>
      <c r="E7" s="42">
        <v>38.657662678011604</v>
      </c>
      <c r="F7" s="43">
        <v>43.333333333333336</v>
      </c>
      <c r="G7" s="44">
        <v>1.0685297351389789</v>
      </c>
      <c r="H7" s="44"/>
      <c r="I7" s="44"/>
      <c r="J7" s="44"/>
      <c r="K7" s="44"/>
      <c r="L7" s="44"/>
      <c r="M7" s="44">
        <f t="shared" si="0"/>
        <v>48.666177559284236</v>
      </c>
      <c r="N7">
        <f t="shared" si="2"/>
        <v>21.370594702779577</v>
      </c>
      <c r="O7">
        <f t="shared" si="1"/>
        <v>41.306862062427726</v>
      </c>
    </row>
    <row r="8" spans="1:15" ht="18" x14ac:dyDescent="0.25">
      <c r="A8" s="38" t="s">
        <v>6</v>
      </c>
      <c r="B8" s="39">
        <v>20</v>
      </c>
      <c r="C8" s="40">
        <v>65</v>
      </c>
      <c r="D8" s="41">
        <v>41.666666666666664</v>
      </c>
      <c r="E8" s="42">
        <v>60.612736236324629</v>
      </c>
      <c r="F8" s="43">
        <v>60</v>
      </c>
      <c r="G8" s="44">
        <v>1.0664658150733226</v>
      </c>
      <c r="H8" s="44"/>
      <c r="I8" s="44"/>
      <c r="J8" s="44"/>
      <c r="K8" s="44"/>
      <c r="L8" s="44"/>
      <c r="M8" s="44">
        <f t="shared" si="0"/>
        <v>51.908286606522168</v>
      </c>
      <c r="N8">
        <f t="shared" si="2"/>
        <v>21.329316301466452</v>
      </c>
      <c r="O8">
        <f t="shared" si="1"/>
        <v>64.641411154096261</v>
      </c>
    </row>
    <row r="9" spans="1:15" ht="18" x14ac:dyDescent="0.25">
      <c r="A9" s="38" t="s">
        <v>7</v>
      </c>
      <c r="B9" s="39">
        <v>10</v>
      </c>
      <c r="C9" s="40">
        <v>53.75</v>
      </c>
      <c r="D9" s="41">
        <v>41.666666666666664</v>
      </c>
      <c r="E9" s="42">
        <v>68.173292580267486</v>
      </c>
      <c r="F9" s="43">
        <v>26.666666666666668</v>
      </c>
      <c r="G9" s="44">
        <v>1.0661896421840105</v>
      </c>
      <c r="H9" s="44"/>
      <c r="I9" s="44"/>
      <c r="J9" s="44"/>
      <c r="K9" s="44"/>
      <c r="L9" s="44"/>
      <c r="M9" s="44">
        <f t="shared" si="0"/>
        <v>44.938076811166397</v>
      </c>
      <c r="N9">
        <f t="shared" si="2"/>
        <v>10.661896421840105</v>
      </c>
      <c r="O9">
        <f t="shared" si="1"/>
        <v>72.685658422661248</v>
      </c>
    </row>
    <row r="10" spans="1:15" ht="18" x14ac:dyDescent="0.25">
      <c r="A10" s="38" t="s">
        <v>8</v>
      </c>
      <c r="B10" s="39">
        <v>0</v>
      </c>
      <c r="C10" s="40">
        <v>71.25</v>
      </c>
      <c r="D10" s="41">
        <v>75</v>
      </c>
      <c r="E10" s="42">
        <v>52.632331725098069</v>
      </c>
      <c r="F10" s="43">
        <v>60</v>
      </c>
      <c r="G10" s="44">
        <v>1.0237959617839771</v>
      </c>
      <c r="H10" s="44"/>
      <c r="I10" s="44"/>
      <c r="J10" s="44"/>
      <c r="K10" s="44"/>
      <c r="L10" s="44"/>
      <c r="M10" s="44">
        <f t="shared" si="0"/>
        <v>50.66543060382903</v>
      </c>
      <c r="N10">
        <f t="shared" si="2"/>
        <v>0</v>
      </c>
      <c r="O10">
        <f t="shared" si="1"/>
        <v>53.88476867943011</v>
      </c>
    </row>
    <row r="11" spans="1:15" ht="18" x14ac:dyDescent="0.25">
      <c r="A11" s="38" t="s">
        <v>672</v>
      </c>
      <c r="B11" s="39">
        <v>10</v>
      </c>
      <c r="C11" s="40">
        <v>72.5</v>
      </c>
      <c r="D11" s="41">
        <v>66.666666666666671</v>
      </c>
      <c r="E11" s="42">
        <v>37.018319420942042</v>
      </c>
      <c r="F11" s="43">
        <v>66.666666666666671</v>
      </c>
      <c r="G11" s="44">
        <v>1.0752525581411503</v>
      </c>
      <c r="H11" s="44"/>
      <c r="I11" s="44"/>
      <c r="J11" s="44"/>
      <c r="K11" s="44"/>
      <c r="L11" s="44"/>
      <c r="M11" s="44">
        <f t="shared" si="0"/>
        <v>48.591717912918547</v>
      </c>
      <c r="N11">
        <f t="shared" si="2"/>
        <v>10.752525581411502</v>
      </c>
      <c r="O11">
        <f t="shared" si="1"/>
        <v>39.804042655454154</v>
      </c>
    </row>
    <row r="12" spans="1:15" ht="18" x14ac:dyDescent="0.25">
      <c r="A12" s="38" t="s">
        <v>10</v>
      </c>
      <c r="B12" s="39">
        <v>65</v>
      </c>
      <c r="C12" s="40">
        <v>76.25</v>
      </c>
      <c r="D12" s="41">
        <v>75</v>
      </c>
      <c r="E12" s="42">
        <v>57.956359022351641</v>
      </c>
      <c r="F12" s="43">
        <v>43.333333333333336</v>
      </c>
      <c r="G12" s="44">
        <v>1.0243399597160769</v>
      </c>
      <c r="H12" s="44"/>
      <c r="I12" s="44"/>
      <c r="J12" s="44"/>
      <c r="K12" s="44"/>
      <c r="L12" s="44"/>
      <c r="M12" s="44">
        <f t="shared" si="0"/>
        <v>64.126523816182853</v>
      </c>
      <c r="N12">
        <f t="shared" si="2"/>
        <v>66.582097381544997</v>
      </c>
      <c r="O12">
        <f t="shared" si="1"/>
        <v>59.367014466246175</v>
      </c>
    </row>
    <row r="13" spans="1:15" ht="18" x14ac:dyDescent="0.25">
      <c r="A13" s="38" t="s">
        <v>11</v>
      </c>
      <c r="B13" s="39">
        <v>10</v>
      </c>
      <c r="C13" s="40">
        <v>77.5</v>
      </c>
      <c r="D13" s="41">
        <v>66.666666666666671</v>
      </c>
      <c r="E13" s="42">
        <v>71.57621009051212</v>
      </c>
      <c r="F13" s="43">
        <v>66.666666666666671</v>
      </c>
      <c r="G13" s="44">
        <v>1.0787373044629354</v>
      </c>
      <c r="H13" s="44"/>
      <c r="I13" s="44"/>
      <c r="J13" s="44"/>
      <c r="K13" s="44"/>
      <c r="L13" s="44"/>
      <c r="M13" s="44">
        <f t="shared" si="0"/>
        <v>60.82105298993941</v>
      </c>
      <c r="N13">
        <f t="shared" si="2"/>
        <v>10.787373044629353</v>
      </c>
      <c r="O13">
        <f t="shared" si="1"/>
        <v>77.211927936711803</v>
      </c>
    </row>
    <row r="14" spans="1:15" ht="18" x14ac:dyDescent="0.25">
      <c r="A14" s="38" t="s">
        <v>673</v>
      </c>
      <c r="B14" s="39">
        <v>40</v>
      </c>
      <c r="C14" s="40">
        <v>53.75</v>
      </c>
      <c r="D14" s="41">
        <v>66.666666666666671</v>
      </c>
      <c r="E14" s="42">
        <v>71.69761392915737</v>
      </c>
      <c r="F14" s="43">
        <v>43.333333333333336</v>
      </c>
      <c r="G14" s="44">
        <v>1.057165145243683</v>
      </c>
      <c r="H14" s="44"/>
      <c r="I14" s="44"/>
      <c r="J14" s="44"/>
      <c r="K14" s="44"/>
      <c r="L14" s="44"/>
      <c r="M14" s="44">
        <f t="shared" si="0"/>
        <v>58.446186694862412</v>
      </c>
      <c r="N14">
        <f t="shared" si="2"/>
        <v>42.286605809747321</v>
      </c>
      <c r="O14">
        <f t="shared" si="1"/>
        <v>75.796218443043159</v>
      </c>
    </row>
    <row r="15" spans="1:15" ht="18" x14ac:dyDescent="0.25">
      <c r="A15" s="38" t="s">
        <v>13</v>
      </c>
      <c r="B15" s="39">
        <v>10</v>
      </c>
      <c r="C15" s="40">
        <v>33.75</v>
      </c>
      <c r="D15" s="41">
        <v>33.333333333333336</v>
      </c>
      <c r="E15" s="42">
        <v>59.21854428016961</v>
      </c>
      <c r="F15" s="43">
        <v>26.666666666666668</v>
      </c>
      <c r="G15" s="44">
        <v>1.0323832140267861</v>
      </c>
      <c r="H15" s="44"/>
      <c r="I15" s="44"/>
      <c r="J15" s="44"/>
      <c r="K15" s="44"/>
      <c r="L15" s="44"/>
      <c r="M15" s="44">
        <f t="shared" si="0"/>
        <v>36.155635750238289</v>
      </c>
      <c r="N15">
        <f t="shared" si="2"/>
        <v>10.323832140267861</v>
      </c>
      <c r="O15">
        <f t="shared" si="1"/>
        <v>61.136231073949055</v>
      </c>
    </row>
    <row r="16" spans="1:15" ht="18" x14ac:dyDescent="0.25">
      <c r="A16" s="38" t="s">
        <v>645</v>
      </c>
      <c r="B16" s="39">
        <v>0</v>
      </c>
      <c r="C16" s="40">
        <v>33.75</v>
      </c>
      <c r="D16" s="41">
        <v>33.333333333333336</v>
      </c>
      <c r="E16" s="42">
        <v>42.173928715236272</v>
      </c>
      <c r="F16" s="43">
        <v>26.666666666666668</v>
      </c>
      <c r="G16" s="44">
        <v>1.0760505553027284</v>
      </c>
      <c r="H16" s="44"/>
      <c r="I16" s="44"/>
      <c r="J16" s="44"/>
      <c r="K16" s="44"/>
      <c r="L16" s="44"/>
      <c r="M16" s="44">
        <f t="shared" si="0"/>
        <v>29.364383823998303</v>
      </c>
      <c r="N16">
        <f t="shared" si="2"/>
        <v>0</v>
      </c>
      <c r="O16">
        <f t="shared" si="1"/>
        <v>45.381279413327675</v>
      </c>
    </row>
    <row r="17" spans="1:15" ht="18" x14ac:dyDescent="0.25">
      <c r="A17" s="38" t="s">
        <v>14</v>
      </c>
      <c r="B17" s="39">
        <v>10</v>
      </c>
      <c r="C17" s="40">
        <v>70</v>
      </c>
      <c r="D17" s="41">
        <v>16.666666666666668</v>
      </c>
      <c r="E17" s="42">
        <v>43.747940552402738</v>
      </c>
      <c r="F17" s="43">
        <v>26.666666666666668</v>
      </c>
      <c r="G17" s="44">
        <v>1.0692946921754718</v>
      </c>
      <c r="H17" s="44"/>
      <c r="I17" s="44"/>
      <c r="J17" s="44"/>
      <c r="K17" s="44"/>
      <c r="L17" s="44"/>
      <c r="M17" s="44">
        <f t="shared" si="0"/>
        <v>36.67242157223864</v>
      </c>
      <c r="N17">
        <f t="shared" si="2"/>
        <v>10.692946921754718</v>
      </c>
      <c r="O17">
        <f t="shared" si="1"/>
        <v>46.779440626292327</v>
      </c>
    </row>
    <row r="18" spans="1:15" ht="18" x14ac:dyDescent="0.25">
      <c r="A18" s="38" t="s">
        <v>674</v>
      </c>
      <c r="B18" s="39">
        <v>55</v>
      </c>
      <c r="C18" s="40">
        <v>65</v>
      </c>
      <c r="D18" s="41">
        <v>91.666666666666671</v>
      </c>
      <c r="E18" s="42">
        <v>75.142236558890716</v>
      </c>
      <c r="F18" s="43">
        <v>50</v>
      </c>
      <c r="G18" s="44">
        <v>0.92035842027448089</v>
      </c>
      <c r="H18" s="44"/>
      <c r="I18" s="44"/>
      <c r="J18" s="44"/>
      <c r="K18" s="44"/>
      <c r="L18" s="44"/>
      <c r="M18" s="44">
        <f t="shared" si="0"/>
        <v>65.121279663588894</v>
      </c>
      <c r="N18">
        <f t="shared" si="2"/>
        <v>50.619713115096452</v>
      </c>
      <c r="O18">
        <f t="shared" si="1"/>
        <v>69.157790135232005</v>
      </c>
    </row>
    <row r="19" spans="1:15" ht="18" x14ac:dyDescent="0.25">
      <c r="A19" s="38" t="s">
        <v>675</v>
      </c>
      <c r="B19" s="39">
        <v>77.5</v>
      </c>
      <c r="C19" s="40">
        <v>53.75</v>
      </c>
      <c r="D19" s="41">
        <v>58.333333333333336</v>
      </c>
      <c r="E19" s="42">
        <v>54.221434061930637</v>
      </c>
      <c r="F19" s="43">
        <v>43.333333333333336</v>
      </c>
      <c r="G19" s="44">
        <v>0.99647243839855126</v>
      </c>
      <c r="H19" s="44"/>
      <c r="I19" s="44"/>
      <c r="J19" s="44"/>
      <c r="K19" s="44"/>
      <c r="L19" s="44"/>
      <c r="M19" s="44">
        <f t="shared" si="0"/>
        <v>57.654372179125033</v>
      </c>
      <c r="N19">
        <f t="shared" si="2"/>
        <v>77.226613975887716</v>
      </c>
      <c r="O19">
        <f t="shared" si="1"/>
        <v>54.030164613158284</v>
      </c>
    </row>
    <row r="20" spans="1:15" ht="18" x14ac:dyDescent="0.25">
      <c r="A20" s="38" t="s">
        <v>17</v>
      </c>
      <c r="B20" s="39">
        <v>0</v>
      </c>
      <c r="C20" s="40">
        <v>65</v>
      </c>
      <c r="D20" s="41">
        <v>83.333333333333329</v>
      </c>
      <c r="E20" s="42">
        <v>54.728592468666221</v>
      </c>
      <c r="F20" s="43">
        <v>50</v>
      </c>
      <c r="G20" s="44">
        <v>0.92035842027448089</v>
      </c>
      <c r="H20" s="44"/>
      <c r="I20" s="44"/>
      <c r="J20" s="44"/>
      <c r="K20" s="44"/>
      <c r="L20" s="44"/>
      <c r="M20" s="44">
        <f t="shared" si="0"/>
        <v>48.110976272492245</v>
      </c>
      <c r="N20">
        <f t="shared" si="2"/>
        <v>0</v>
      </c>
      <c r="O20">
        <f t="shared" si="1"/>
        <v>50.369920908307499</v>
      </c>
    </row>
    <row r="21" spans="1:15" ht="18" x14ac:dyDescent="0.25">
      <c r="A21" s="38" t="s">
        <v>18</v>
      </c>
      <c r="B21" s="39">
        <v>65</v>
      </c>
      <c r="C21" s="40">
        <v>65</v>
      </c>
      <c r="D21" s="41">
        <v>50</v>
      </c>
      <c r="E21" s="42">
        <v>70.780310747295999</v>
      </c>
      <c r="F21" s="43">
        <v>50</v>
      </c>
      <c r="G21" s="44">
        <v>1.029876519655347</v>
      </c>
      <c r="H21" s="44"/>
      <c r="I21" s="44"/>
      <c r="J21" s="44"/>
      <c r="K21" s="44"/>
      <c r="L21" s="44"/>
      <c r="M21" s="44">
        <f t="shared" si="0"/>
        <v>63.256888783284261</v>
      </c>
      <c r="N21">
        <f t="shared" si="2"/>
        <v>66.941973777597553</v>
      </c>
      <c r="O21">
        <f t="shared" si="1"/>
        <v>72.894980092549162</v>
      </c>
    </row>
    <row r="22" spans="1:15" ht="18" x14ac:dyDescent="0.25">
      <c r="A22" s="38" t="s">
        <v>19</v>
      </c>
      <c r="B22" s="39">
        <v>65</v>
      </c>
      <c r="C22" s="40">
        <v>77.5</v>
      </c>
      <c r="D22" s="41">
        <v>83.333333333333329</v>
      </c>
      <c r="E22" s="42">
        <v>78.2391744263806</v>
      </c>
      <c r="F22" s="43">
        <v>60</v>
      </c>
      <c r="G22" s="44">
        <v>0.96096693578165182</v>
      </c>
      <c r="H22" s="44"/>
      <c r="I22" s="44"/>
      <c r="J22" s="44"/>
      <c r="K22" s="44"/>
      <c r="L22" s="44"/>
      <c r="M22" s="44">
        <f t="shared" si="0"/>
        <v>72.048148077143011</v>
      </c>
      <c r="N22">
        <f t="shared" si="2"/>
        <v>62.462850825807365</v>
      </c>
      <c r="O22">
        <f t="shared" si="1"/>
        <v>75.185259706605137</v>
      </c>
    </row>
    <row r="23" spans="1:15" ht="18" x14ac:dyDescent="0.25">
      <c r="A23" s="38" t="s">
        <v>676</v>
      </c>
      <c r="B23" s="39">
        <v>20</v>
      </c>
      <c r="C23" s="40">
        <v>65</v>
      </c>
      <c r="D23" s="41">
        <v>75</v>
      </c>
      <c r="E23" s="42">
        <v>66.044494299988841</v>
      </c>
      <c r="F23" s="43">
        <v>26.666666666666668</v>
      </c>
      <c r="G23" s="44">
        <v>1.0400722961926481</v>
      </c>
      <c r="H23" s="44"/>
      <c r="I23" s="44"/>
      <c r="J23" s="44"/>
      <c r="K23" s="44"/>
      <c r="L23" s="44"/>
      <c r="M23" s="44">
        <f t="shared" si="0"/>
        <v>53.017603836012086</v>
      </c>
      <c r="N23">
        <f t="shared" si="2"/>
        <v>20.80144592385296</v>
      </c>
      <c r="O23">
        <f t="shared" si="1"/>
        <v>68.691048837471655</v>
      </c>
    </row>
    <row r="24" spans="1:15" ht="18" x14ac:dyDescent="0.25">
      <c r="A24" s="38" t="s">
        <v>677</v>
      </c>
      <c r="B24" s="39">
        <v>75</v>
      </c>
      <c r="C24" s="40">
        <v>71.25</v>
      </c>
      <c r="D24" s="41">
        <v>50</v>
      </c>
      <c r="E24" s="42">
        <v>60.000910790443015</v>
      </c>
      <c r="F24" s="43">
        <v>30</v>
      </c>
      <c r="G24" s="44">
        <v>0.98340425162744405</v>
      </c>
      <c r="H24" s="44"/>
      <c r="I24" s="44"/>
      <c r="J24" s="44"/>
      <c r="K24" s="44"/>
      <c r="L24" s="44"/>
      <c r="M24" s="44">
        <f t="shared" si="0"/>
        <v>58.702609006263856</v>
      </c>
      <c r="N24">
        <f t="shared" si="2"/>
        <v>73.755318872058297</v>
      </c>
      <c r="O24">
        <f t="shared" si="1"/>
        <v>59.005150772840643</v>
      </c>
    </row>
    <row r="25" spans="1:15" ht="18" x14ac:dyDescent="0.25">
      <c r="A25" s="38" t="s">
        <v>22</v>
      </c>
      <c r="B25" s="39">
        <v>0</v>
      </c>
      <c r="C25" s="40">
        <v>61.25</v>
      </c>
      <c r="D25" s="41">
        <v>50</v>
      </c>
      <c r="E25" s="42">
        <v>42.133741565619921</v>
      </c>
      <c r="F25" s="43">
        <v>26.666666666666668</v>
      </c>
      <c r="G25" s="44">
        <v>1.0261617406148802</v>
      </c>
      <c r="H25" s="44"/>
      <c r="I25" s="44"/>
      <c r="J25" s="44"/>
      <c r="K25" s="44"/>
      <c r="L25" s="44"/>
      <c r="M25" s="44">
        <f t="shared" si="0"/>
        <v>36.720810075078219</v>
      </c>
      <c r="N25">
        <f t="shared" si="2"/>
        <v>0</v>
      </c>
      <c r="O25">
        <f t="shared" si="1"/>
        <v>43.236033583594065</v>
      </c>
    </row>
    <row r="26" spans="1:15" ht="18" x14ac:dyDescent="0.25">
      <c r="A26" s="38" t="s">
        <v>678</v>
      </c>
      <c r="B26" s="39">
        <v>40</v>
      </c>
      <c r="C26" s="40">
        <v>60</v>
      </c>
      <c r="D26" s="41">
        <v>66.666666666666671</v>
      </c>
      <c r="E26" s="42">
        <v>48.478314422435211</v>
      </c>
      <c r="F26" s="43">
        <v>50</v>
      </c>
      <c r="G26" s="44">
        <v>1.0792580024366516</v>
      </c>
      <c r="H26" s="44"/>
      <c r="I26" s="44"/>
      <c r="J26" s="44"/>
      <c r="K26" s="44"/>
      <c r="L26" s="44"/>
      <c r="M26" s="44">
        <f t="shared" si="0"/>
        <v>53.830246655009219</v>
      </c>
      <c r="N26">
        <f t="shared" si="2"/>
        <v>43.17032009746606</v>
      </c>
      <c r="O26">
        <f t="shared" si="1"/>
        <v>52.320608785053345</v>
      </c>
    </row>
    <row r="27" spans="1:15" ht="18" x14ac:dyDescent="0.25">
      <c r="A27" s="38" t="s">
        <v>24</v>
      </c>
      <c r="B27" s="39">
        <v>0</v>
      </c>
      <c r="C27" s="40">
        <v>48.75</v>
      </c>
      <c r="D27" s="41">
        <v>50</v>
      </c>
      <c r="E27" s="42">
        <v>68.144976818755737</v>
      </c>
      <c r="F27" s="43">
        <v>26.666666666666668</v>
      </c>
      <c r="G27" s="44">
        <v>1.0109755897735506</v>
      </c>
      <c r="H27" s="44"/>
      <c r="I27" s="44"/>
      <c r="J27" s="44"/>
      <c r="K27" s="44"/>
      <c r="L27" s="44"/>
      <c r="M27" s="44">
        <f t="shared" si="0"/>
        <v>41.917872438833953</v>
      </c>
      <c r="N27">
        <f t="shared" si="2"/>
        <v>0</v>
      </c>
      <c r="O27">
        <f t="shared" si="1"/>
        <v>68.892908129446511</v>
      </c>
    </row>
    <row r="28" spans="1:15" ht="18" x14ac:dyDescent="0.25">
      <c r="A28" s="38" t="s">
        <v>25</v>
      </c>
      <c r="B28" s="39">
        <v>65</v>
      </c>
      <c r="C28" s="40">
        <v>60</v>
      </c>
      <c r="D28" s="41">
        <v>75</v>
      </c>
      <c r="E28" s="42">
        <v>47.080628938720984</v>
      </c>
      <c r="F28" s="43">
        <v>43.333333333333336</v>
      </c>
      <c r="G28" s="44">
        <v>1.0489596407718242</v>
      </c>
      <c r="H28" s="44"/>
      <c r="I28" s="44"/>
      <c r="J28" s="44"/>
      <c r="K28" s="44"/>
      <c r="L28" s="44"/>
      <c r="M28" s="44">
        <f t="shared" si="0"/>
        <v>58.202179215695409</v>
      </c>
      <c r="N28">
        <f t="shared" si="2"/>
        <v>68.182376650168578</v>
      </c>
      <c r="O28">
        <f t="shared" si="1"/>
        <v>49.385679618872317</v>
      </c>
    </row>
    <row r="29" spans="1:15" ht="18" x14ac:dyDescent="0.25">
      <c r="A29" s="38" t="s">
        <v>26</v>
      </c>
      <c r="B29" s="39">
        <v>0</v>
      </c>
      <c r="C29" s="40">
        <v>43.75</v>
      </c>
      <c r="D29" s="41">
        <v>50</v>
      </c>
      <c r="E29" s="42">
        <v>62.90870288133496</v>
      </c>
      <c r="F29" s="43">
        <v>26.666666666666668</v>
      </c>
      <c r="G29" s="44">
        <v>0.92920688626403558</v>
      </c>
      <c r="H29" s="44"/>
      <c r="I29" s="44"/>
      <c r="J29" s="44"/>
      <c r="K29" s="44"/>
      <c r="L29" s="44"/>
      <c r="M29" s="44">
        <f t="shared" si="0"/>
        <v>37.786559976982389</v>
      </c>
      <c r="N29">
        <f t="shared" si="2"/>
        <v>0</v>
      </c>
      <c r="O29">
        <f t="shared" si="1"/>
        <v>58.45519992327462</v>
      </c>
    </row>
    <row r="30" spans="1:15" ht="18" x14ac:dyDescent="0.25">
      <c r="A30" s="38" t="s">
        <v>679</v>
      </c>
      <c r="B30" s="39">
        <v>10</v>
      </c>
      <c r="C30" s="40">
        <v>38.75</v>
      </c>
      <c r="D30" s="41">
        <v>58.333333333333336</v>
      </c>
      <c r="E30" s="42">
        <v>51.280732927031529</v>
      </c>
      <c r="F30" s="43">
        <v>43.333333333333336</v>
      </c>
      <c r="G30" s="44">
        <v>1.0288669736070541</v>
      </c>
      <c r="H30" s="44"/>
      <c r="I30" s="44"/>
      <c r="J30" s="44"/>
      <c r="K30" s="44"/>
      <c r="L30" s="44"/>
      <c r="M30" s="44">
        <f t="shared" si="0"/>
        <v>40.886049694510078</v>
      </c>
      <c r="N30">
        <f t="shared" si="2"/>
        <v>10.288669736070542</v>
      </c>
      <c r="O30">
        <f t="shared" si="1"/>
        <v>52.761052490986543</v>
      </c>
    </row>
    <row r="31" spans="1:15" ht="18" x14ac:dyDescent="0.25">
      <c r="A31" s="45" t="s">
        <v>680</v>
      </c>
      <c r="B31" s="39">
        <v>62.5</v>
      </c>
      <c r="C31" s="40">
        <v>61.25</v>
      </c>
      <c r="D31" s="46">
        <v>66.666666666666671</v>
      </c>
      <c r="E31" s="42">
        <v>42.504950574417848</v>
      </c>
      <c r="F31" s="43">
        <v>66.666666666666671</v>
      </c>
      <c r="G31" s="44">
        <v>1.0221745377458751</v>
      </c>
      <c r="H31" s="44"/>
      <c r="I31" s="44"/>
      <c r="J31" s="44"/>
      <c r="K31" s="44"/>
      <c r="L31" s="44"/>
      <c r="M31" s="44">
        <f t="shared" si="0"/>
        <v>58.061425183418486</v>
      </c>
      <c r="N31">
        <f t="shared" si="2"/>
        <v>63.885908609117195</v>
      </c>
      <c r="O31">
        <f t="shared" si="1"/>
        <v>43.447478205316834</v>
      </c>
    </row>
    <row r="32" spans="1:15" ht="18" x14ac:dyDescent="0.25">
      <c r="A32" s="38" t="s">
        <v>681</v>
      </c>
      <c r="B32" s="39">
        <v>52.5</v>
      </c>
      <c r="C32" s="40">
        <v>71.25</v>
      </c>
      <c r="D32" s="41">
        <v>58.333333333333336</v>
      </c>
      <c r="E32" s="42">
        <v>67.221252015239486</v>
      </c>
      <c r="F32" s="43">
        <v>43.333333333333336</v>
      </c>
      <c r="G32" s="44">
        <v>0.93994340366882512</v>
      </c>
      <c r="H32" s="44"/>
      <c r="I32" s="44"/>
      <c r="J32" s="44"/>
      <c r="K32" s="44"/>
      <c r="L32" s="44"/>
      <c r="M32" s="44">
        <f t="shared" si="0"/>
        <v>58.324657463947887</v>
      </c>
      <c r="N32">
        <f t="shared" si="2"/>
        <v>49.347028692613321</v>
      </c>
      <c r="O32">
        <f t="shared" si="1"/>
        <v>63.184172418084074</v>
      </c>
    </row>
    <row r="33" spans="1:15" ht="18" x14ac:dyDescent="0.25">
      <c r="A33" s="38" t="s">
        <v>30</v>
      </c>
      <c r="B33" s="39">
        <v>10</v>
      </c>
      <c r="C33" s="40">
        <v>66.25</v>
      </c>
      <c r="D33" s="41">
        <v>75</v>
      </c>
      <c r="E33" s="42">
        <v>54.066322603431608</v>
      </c>
      <c r="F33" s="43">
        <v>33.333333333333336</v>
      </c>
      <c r="G33" s="44">
        <v>0.92503563975347836</v>
      </c>
      <c r="H33" s="44"/>
      <c r="I33" s="44"/>
      <c r="J33" s="44"/>
      <c r="K33" s="44"/>
      <c r="L33" s="44"/>
      <c r="M33" s="44">
        <f t="shared" si="0"/>
        <v>46.354053875081945</v>
      </c>
      <c r="N33">
        <f t="shared" si="2"/>
        <v>9.2503563975347838</v>
      </c>
      <c r="O33">
        <f t="shared" si="1"/>
        <v>50.013275318583304</v>
      </c>
    </row>
    <row r="34" spans="1:15" ht="18" x14ac:dyDescent="0.25">
      <c r="A34" s="38" t="s">
        <v>31</v>
      </c>
      <c r="B34" s="39">
        <v>52.5</v>
      </c>
      <c r="C34" s="40">
        <v>60</v>
      </c>
      <c r="D34" s="41">
        <v>75</v>
      </c>
      <c r="E34" s="42">
        <v>72.836239728175727</v>
      </c>
      <c r="F34" s="43">
        <v>26.666666666666668</v>
      </c>
      <c r="G34" s="44">
        <v>0.92035842027448089</v>
      </c>
      <c r="H34" s="44"/>
      <c r="I34" s="44"/>
      <c r="J34" s="44"/>
      <c r="K34" s="44"/>
      <c r="L34" s="44"/>
      <c r="M34" s="44">
        <f t="shared" si="0"/>
        <v>57.024397373369204</v>
      </c>
      <c r="N34">
        <f t="shared" si="2"/>
        <v>48.318817064410247</v>
      </c>
      <c r="O34">
        <f t="shared" si="1"/>
        <v>67.035446534957202</v>
      </c>
    </row>
    <row r="35" spans="1:15" ht="18" x14ac:dyDescent="0.25">
      <c r="A35" s="38" t="s">
        <v>32</v>
      </c>
      <c r="B35" s="39">
        <v>40</v>
      </c>
      <c r="C35" s="40">
        <v>77.5</v>
      </c>
      <c r="D35" s="41">
        <v>75</v>
      </c>
      <c r="E35" s="42">
        <v>82.005075580883442</v>
      </c>
      <c r="F35" s="43">
        <v>43.333333333333336</v>
      </c>
      <c r="G35" s="44">
        <v>0.96575585942016695</v>
      </c>
      <c r="H35" s="44"/>
      <c r="I35" s="44"/>
      <c r="J35" s="44"/>
      <c r="K35" s="44"/>
      <c r="L35" s="44"/>
      <c r="M35" s="44">
        <f t="shared" si="0"/>
        <v>64.735111548690881</v>
      </c>
      <c r="N35">
        <f t="shared" si="2"/>
        <v>38.630234376806676</v>
      </c>
      <c r="O35">
        <f t="shared" si="1"/>
        <v>79.196882244431833</v>
      </c>
    </row>
    <row r="36" spans="1:15" ht="18" x14ac:dyDescent="0.25">
      <c r="A36" s="38" t="s">
        <v>682</v>
      </c>
      <c r="B36" s="39">
        <v>20</v>
      </c>
      <c r="C36" s="40">
        <v>71.25</v>
      </c>
      <c r="D36" s="41">
        <v>83.333333333333329</v>
      </c>
      <c r="E36" s="42">
        <v>42.344782973362499</v>
      </c>
      <c r="F36" s="43">
        <v>66.666666666666671</v>
      </c>
      <c r="G36" s="44">
        <v>1.0425436163323203</v>
      </c>
      <c r="H36" s="44"/>
      <c r="I36" s="44"/>
      <c r="J36" s="44"/>
      <c r="K36" s="44"/>
      <c r="L36" s="44"/>
      <c r="M36" s="44">
        <f t="shared" si="0"/>
        <v>54.164059417486264</v>
      </c>
      <c r="N36">
        <f t="shared" si="2"/>
        <v>20.850872326646407</v>
      </c>
      <c r="O36">
        <f t="shared" si="1"/>
        <v>44.146283173856602</v>
      </c>
    </row>
    <row r="37" spans="1:15" ht="18" x14ac:dyDescent="0.25">
      <c r="A37" s="38" t="s">
        <v>34</v>
      </c>
      <c r="B37" s="39">
        <v>52.5</v>
      </c>
      <c r="C37" s="40">
        <v>81.25</v>
      </c>
      <c r="D37" s="41">
        <v>66.666666666666671</v>
      </c>
      <c r="E37" s="42">
        <v>64.269895822789152</v>
      </c>
      <c r="F37" s="43">
        <v>33.333333333333336</v>
      </c>
      <c r="G37" s="44">
        <v>0.93403550978344274</v>
      </c>
      <c r="H37" s="44"/>
      <c r="I37" s="44"/>
      <c r="J37" s="44"/>
      <c r="K37" s="44"/>
      <c r="L37" s="44"/>
      <c r="M37" s="44">
        <f t="shared" si="0"/>
        <v>59.066482325296434</v>
      </c>
      <c r="N37">
        <f t="shared" si="2"/>
        <v>49.036864263630747</v>
      </c>
      <c r="O37">
        <f t="shared" si="1"/>
        <v>60.03036490856762</v>
      </c>
    </row>
    <row r="38" spans="1:15" ht="18" x14ac:dyDescent="0.25">
      <c r="A38" s="38" t="s">
        <v>35</v>
      </c>
      <c r="B38" s="39">
        <v>65</v>
      </c>
      <c r="C38" s="40">
        <v>60</v>
      </c>
      <c r="D38" s="41">
        <v>33.333333333333336</v>
      </c>
      <c r="E38" s="42">
        <v>32.919820185625696</v>
      </c>
      <c r="F38" s="43">
        <v>26.666666666666668</v>
      </c>
      <c r="G38" s="44">
        <v>1.0215434534303263</v>
      </c>
      <c r="H38" s="44"/>
      <c r="I38" s="44"/>
      <c r="J38" s="44"/>
      <c r="K38" s="44"/>
      <c r="L38" s="44"/>
      <c r="M38" s="44">
        <f t="shared" si="0"/>
        <v>44.368772934213077</v>
      </c>
      <c r="N38">
        <f t="shared" si="2"/>
        <v>66.400324472971207</v>
      </c>
      <c r="O38">
        <f t="shared" si="1"/>
        <v>33.629026798729434</v>
      </c>
    </row>
    <row r="39" spans="1:15" ht="18" x14ac:dyDescent="0.25">
      <c r="A39" s="38" t="s">
        <v>683</v>
      </c>
      <c r="B39" s="39">
        <v>77.5</v>
      </c>
      <c r="C39" s="40">
        <v>58.75</v>
      </c>
      <c r="D39" s="41">
        <v>75</v>
      </c>
      <c r="E39" s="42">
        <v>77.437436847666234</v>
      </c>
      <c r="F39" s="43">
        <v>43.333333333333336</v>
      </c>
      <c r="G39" s="44">
        <v>0.92035842027448089</v>
      </c>
      <c r="H39" s="44"/>
      <c r="I39" s="44"/>
      <c r="J39" s="44"/>
      <c r="K39" s="44"/>
      <c r="L39" s="44"/>
      <c r="M39" s="44">
        <f t="shared" si="0"/>
        <v>65.146614628421347</v>
      </c>
      <c r="N39">
        <f t="shared" si="2"/>
        <v>71.327777571272264</v>
      </c>
      <c r="O39">
        <f t="shared" si="1"/>
        <v>71.270197047222979</v>
      </c>
    </row>
    <row r="40" spans="1:15" ht="18" x14ac:dyDescent="0.25">
      <c r="A40" s="38" t="s">
        <v>37</v>
      </c>
      <c r="B40" s="39">
        <v>65</v>
      </c>
      <c r="C40" s="40">
        <v>65</v>
      </c>
      <c r="D40" s="41">
        <v>33.333333333333336</v>
      </c>
      <c r="E40" s="42">
        <v>63.927075912190546</v>
      </c>
      <c r="F40" s="43">
        <v>50</v>
      </c>
      <c r="G40" s="44">
        <v>1.0787019307624031</v>
      </c>
      <c r="H40" s="44"/>
      <c r="I40" s="44"/>
      <c r="J40" s="44"/>
      <c r="K40" s="44"/>
      <c r="L40" s="44"/>
      <c r="M40" s="44">
        <f t="shared" si="0"/>
        <v>60.210603164253634</v>
      </c>
      <c r="N40">
        <f t="shared" si="2"/>
        <v>70.115625499556202</v>
      </c>
      <c r="O40">
        <f t="shared" si="1"/>
        <v>68.958260214474649</v>
      </c>
    </row>
    <row r="41" spans="1:15" ht="18" x14ac:dyDescent="0.25">
      <c r="A41" s="38" t="s">
        <v>684</v>
      </c>
      <c r="B41" s="39">
        <v>55</v>
      </c>
      <c r="C41" s="40">
        <v>82.5</v>
      </c>
      <c r="D41" s="41">
        <v>58.333333333333336</v>
      </c>
      <c r="E41" s="42">
        <v>51.729792677242955</v>
      </c>
      <c r="F41" s="43">
        <v>66.666666666666671</v>
      </c>
      <c r="G41" s="44">
        <v>1.0083593123825825</v>
      </c>
      <c r="H41" s="44"/>
      <c r="I41" s="44"/>
      <c r="J41" s="44"/>
      <c r="K41" s="44"/>
      <c r="L41" s="44"/>
      <c r="M41" s="44">
        <f t="shared" si="0"/>
        <v>61.990617888323882</v>
      </c>
      <c r="N41">
        <f t="shared" si="2"/>
        <v>55.459762181042038</v>
      </c>
      <c r="O41">
        <f t="shared" si="1"/>
        <v>52.162218173718259</v>
      </c>
    </row>
    <row r="42" spans="1:15" ht="18" x14ac:dyDescent="0.25">
      <c r="A42" s="38" t="s">
        <v>39</v>
      </c>
      <c r="B42" s="39">
        <v>75</v>
      </c>
      <c r="C42" s="40">
        <v>70</v>
      </c>
      <c r="D42" s="41">
        <v>75</v>
      </c>
      <c r="E42" s="42">
        <v>67.48997446184211</v>
      </c>
      <c r="F42" s="43">
        <v>43.333333333333336</v>
      </c>
      <c r="G42" s="44">
        <v>0.92035842027448089</v>
      </c>
      <c r="H42" s="44"/>
      <c r="I42" s="44"/>
      <c r="J42" s="44"/>
      <c r="K42" s="44"/>
      <c r="L42" s="44"/>
      <c r="M42" s="44">
        <f t="shared" si="0"/>
        <v>64.189866188137032</v>
      </c>
      <c r="N42">
        <f t="shared" si="2"/>
        <v>69.026881520586073</v>
      </c>
      <c r="O42">
        <f t="shared" si="1"/>
        <v>62.114966280066064</v>
      </c>
    </row>
    <row r="43" spans="1:15" ht="18" x14ac:dyDescent="0.25">
      <c r="A43" s="38" t="s">
        <v>40</v>
      </c>
      <c r="B43" s="39">
        <v>10</v>
      </c>
      <c r="C43" s="40">
        <v>58.75</v>
      </c>
      <c r="D43" s="41">
        <v>58.333333333333336</v>
      </c>
      <c r="E43" s="42">
        <v>59.064482811209814</v>
      </c>
      <c r="F43" s="43">
        <v>43.333333333333336</v>
      </c>
      <c r="G43" s="44">
        <v>0.93460077186507284</v>
      </c>
      <c r="H43" s="44"/>
      <c r="I43" s="44"/>
      <c r="J43" s="44"/>
      <c r="K43" s="44"/>
      <c r="L43" s="44"/>
      <c r="M43" s="44">
        <f t="shared" si="0"/>
        <v>45.429714911280556</v>
      </c>
      <c r="N43">
        <f t="shared" si="2"/>
        <v>9.3460077186507284</v>
      </c>
      <c r="O43">
        <f t="shared" si="1"/>
        <v>55.201711225168019</v>
      </c>
    </row>
    <row r="44" spans="1:15" ht="18" x14ac:dyDescent="0.25">
      <c r="A44" s="38" t="s">
        <v>41</v>
      </c>
      <c r="B44" s="39">
        <v>10</v>
      </c>
      <c r="C44" s="40">
        <v>37.5</v>
      </c>
      <c r="D44" s="41">
        <v>41.666666666666664</v>
      </c>
      <c r="E44" s="42">
        <v>66.219901113466079</v>
      </c>
      <c r="F44" s="43">
        <v>33.333333333333336</v>
      </c>
      <c r="G44" s="44">
        <v>1.0714579080237403</v>
      </c>
      <c r="H44" s="44"/>
      <c r="I44" s="44"/>
      <c r="J44" s="44"/>
      <c r="K44" s="44"/>
      <c r="L44" s="44"/>
      <c r="M44" s="44">
        <f t="shared" si="0"/>
        <v>42.178466831019477</v>
      </c>
      <c r="N44">
        <f t="shared" si="2"/>
        <v>10.714579080237403</v>
      </c>
      <c r="O44">
        <f t="shared" si="1"/>
        <v>70.951836716573311</v>
      </c>
    </row>
    <row r="45" spans="1:15" ht="18" x14ac:dyDescent="0.25">
      <c r="A45" s="38" t="s">
        <v>42</v>
      </c>
      <c r="B45" s="39">
        <v>20</v>
      </c>
      <c r="C45" s="40">
        <v>55</v>
      </c>
      <c r="D45" s="41">
        <v>33.333333333333336</v>
      </c>
      <c r="E45" s="42">
        <v>63.15139482828711</v>
      </c>
      <c r="F45" s="43">
        <v>43.333333333333336</v>
      </c>
      <c r="G45" s="44">
        <v>0.92035842027448089</v>
      </c>
      <c r="H45" s="44"/>
      <c r="I45" s="44"/>
      <c r="J45" s="44"/>
      <c r="K45" s="44"/>
      <c r="L45" s="44"/>
      <c r="M45" s="44">
        <f t="shared" si="0"/>
        <v>43.618009075785622</v>
      </c>
      <c r="N45">
        <f t="shared" si="2"/>
        <v>18.407168405489617</v>
      </c>
      <c r="O45">
        <f t="shared" si="1"/>
        <v>58.121917982292345</v>
      </c>
    </row>
    <row r="46" spans="1:15" ht="18" x14ac:dyDescent="0.25">
      <c r="A46" s="38" t="s">
        <v>685</v>
      </c>
      <c r="B46" s="39">
        <v>10</v>
      </c>
      <c r="C46" s="40">
        <v>83.75</v>
      </c>
      <c r="D46" s="41">
        <v>83.333333333333329</v>
      </c>
      <c r="E46" s="42">
        <v>43.45916912537416</v>
      </c>
      <c r="F46" s="43">
        <v>26.666666666666668</v>
      </c>
      <c r="G46" s="44">
        <v>1.0087484018118333</v>
      </c>
      <c r="H46" s="44"/>
      <c r="I46" s="44"/>
      <c r="J46" s="44"/>
      <c r="K46" s="44"/>
      <c r="L46" s="44"/>
      <c r="M46" s="44">
        <f t="shared" si="0"/>
        <v>48.419307023411072</v>
      </c>
      <c r="N46">
        <f t="shared" si="2"/>
        <v>10.087484018118333</v>
      </c>
      <c r="O46">
        <f t="shared" si="1"/>
        <v>43.839367399291355</v>
      </c>
    </row>
    <row r="47" spans="1:15" ht="18" x14ac:dyDescent="0.25">
      <c r="A47" s="38" t="s">
        <v>44</v>
      </c>
      <c r="B47" s="39">
        <v>10</v>
      </c>
      <c r="C47" s="40">
        <v>37.5</v>
      </c>
      <c r="D47" s="41">
        <v>58.333333333333336</v>
      </c>
      <c r="E47" s="42">
        <v>63.595037087058884</v>
      </c>
      <c r="F47" s="43">
        <v>60</v>
      </c>
      <c r="G47" s="44">
        <v>0.98683679855504047</v>
      </c>
      <c r="H47" s="44"/>
      <c r="I47" s="44"/>
      <c r="J47" s="44"/>
      <c r="K47" s="44"/>
      <c r="L47" s="44"/>
      <c r="M47" s="44">
        <f t="shared" si="0"/>
        <v>46.051050438004758</v>
      </c>
      <c r="N47">
        <f t="shared" si="2"/>
        <v>9.868367985550405</v>
      </c>
      <c r="O47">
        <f t="shared" si="1"/>
        <v>62.757922802982257</v>
      </c>
    </row>
    <row r="48" spans="1:15" ht="18" x14ac:dyDescent="0.25">
      <c r="A48" s="38" t="s">
        <v>686</v>
      </c>
      <c r="B48" s="39">
        <v>42.5</v>
      </c>
      <c r="C48" s="40">
        <v>65</v>
      </c>
      <c r="D48" s="41">
        <v>41.666666666666664</v>
      </c>
      <c r="E48" s="42">
        <v>59.676089958147045</v>
      </c>
      <c r="F48" s="43">
        <v>26.666666666666668</v>
      </c>
      <c r="G48" s="44">
        <v>0.92489005356049747</v>
      </c>
      <c r="H48" s="44"/>
      <c r="I48" s="44"/>
      <c r="J48" s="44"/>
      <c r="K48" s="44"/>
      <c r="L48" s="44"/>
      <c r="M48" s="44">
        <f t="shared" si="0"/>
        <v>47.669712066565737</v>
      </c>
      <c r="N48">
        <f t="shared" si="2"/>
        <v>39.307827276321142</v>
      </c>
      <c r="O48">
        <f t="shared" si="1"/>
        <v>55.193822037671687</v>
      </c>
    </row>
    <row r="49" spans="1:15" ht="18" x14ac:dyDescent="0.25">
      <c r="A49" s="38" t="s">
        <v>46</v>
      </c>
      <c r="B49" s="39">
        <v>10</v>
      </c>
      <c r="C49" s="40">
        <v>33.75</v>
      </c>
      <c r="D49" s="41">
        <v>25</v>
      </c>
      <c r="E49" s="42">
        <v>58.958813360584671</v>
      </c>
      <c r="F49" s="43">
        <v>26.666666666666668</v>
      </c>
      <c r="G49" s="44">
        <v>1.0003860229848884</v>
      </c>
      <c r="H49" s="44"/>
      <c r="I49" s="44"/>
      <c r="J49" s="44"/>
      <c r="K49" s="44"/>
      <c r="L49" s="44"/>
      <c r="M49" s="44">
        <f t="shared" si="0"/>
        <v>34.19524389128086</v>
      </c>
      <c r="N49">
        <f t="shared" si="2"/>
        <v>10.003860229848884</v>
      </c>
      <c r="O49">
        <f t="shared" si="1"/>
        <v>58.981572817703601</v>
      </c>
    </row>
    <row r="50" spans="1:15" ht="18" x14ac:dyDescent="0.25">
      <c r="A50" s="38" t="s">
        <v>47</v>
      </c>
      <c r="B50" s="39">
        <v>0</v>
      </c>
      <c r="C50" s="40">
        <v>60</v>
      </c>
      <c r="D50" s="41">
        <v>75</v>
      </c>
      <c r="E50" s="42">
        <v>60.912833812487115</v>
      </c>
      <c r="F50" s="43">
        <v>66.666666666666671</v>
      </c>
      <c r="G50" s="44">
        <v>1.0770942218661876</v>
      </c>
      <c r="H50" s="44"/>
      <c r="I50" s="44"/>
      <c r="J50" s="44"/>
      <c r="K50" s="44"/>
      <c r="L50" s="44"/>
      <c r="M50" s="44">
        <f t="shared" si="0"/>
        <v>52.93265840107756</v>
      </c>
      <c r="N50">
        <f t="shared" si="2"/>
        <v>0</v>
      </c>
      <c r="O50">
        <f t="shared" si="1"/>
        <v>65.608861336925216</v>
      </c>
    </row>
    <row r="51" spans="1:15" ht="18" x14ac:dyDescent="0.25">
      <c r="A51" s="38" t="s">
        <v>48</v>
      </c>
      <c r="B51" s="39">
        <v>10</v>
      </c>
      <c r="C51" s="40">
        <v>55</v>
      </c>
      <c r="D51" s="41">
        <v>50</v>
      </c>
      <c r="E51" s="42">
        <v>71.398842227887584</v>
      </c>
      <c r="F51" s="43">
        <v>26.666666666666668</v>
      </c>
      <c r="G51" s="44">
        <v>1.072619881814399</v>
      </c>
      <c r="H51" s="44"/>
      <c r="I51" s="44"/>
      <c r="J51" s="44"/>
      <c r="K51" s="44"/>
      <c r="L51" s="44"/>
      <c r="M51" s="44">
        <f t="shared" si="0"/>
        <v>47.620385077277305</v>
      </c>
      <c r="N51">
        <f t="shared" si="2"/>
        <v>10.72619881814399</v>
      </c>
      <c r="O51">
        <f t="shared" si="1"/>
        <v>76.583817712161704</v>
      </c>
    </row>
    <row r="52" spans="1:15" ht="18" x14ac:dyDescent="0.25">
      <c r="A52" s="38" t="s">
        <v>49</v>
      </c>
      <c r="B52" s="39">
        <v>75</v>
      </c>
      <c r="C52" s="40">
        <v>66.25</v>
      </c>
      <c r="D52" s="41">
        <v>83.333333333333329</v>
      </c>
      <c r="E52" s="42">
        <v>54.594304926778634</v>
      </c>
      <c r="F52" s="43">
        <v>43.333333333333336</v>
      </c>
      <c r="G52" s="44">
        <v>0.92035842027448089</v>
      </c>
      <c r="H52" s="44"/>
      <c r="I52" s="44"/>
      <c r="J52" s="44"/>
      <c r="K52" s="44"/>
      <c r="L52" s="44"/>
      <c r="M52" s="44">
        <f t="shared" si="0"/>
        <v>61.129274775635196</v>
      </c>
      <c r="N52">
        <f t="shared" si="2"/>
        <v>69.026881520586073</v>
      </c>
      <c r="O52">
        <f t="shared" si="1"/>
        <v>50.246328238393289</v>
      </c>
    </row>
    <row r="53" spans="1:15" ht="18" x14ac:dyDescent="0.25">
      <c r="A53" s="38" t="s">
        <v>687</v>
      </c>
      <c r="B53" s="39">
        <v>10</v>
      </c>
      <c r="C53" s="40">
        <v>65</v>
      </c>
      <c r="D53" s="41">
        <v>75</v>
      </c>
      <c r="E53" s="42">
        <v>63.712336401838897</v>
      </c>
      <c r="F53" s="43">
        <v>26.666666666666668</v>
      </c>
      <c r="G53" s="44">
        <v>1.007845475665885</v>
      </c>
      <c r="H53" s="44"/>
      <c r="I53" s="44"/>
      <c r="J53" s="44"/>
      <c r="K53" s="44"/>
      <c r="L53" s="44"/>
      <c r="M53" s="44">
        <f t="shared" si="0"/>
        <v>49.529347947340632</v>
      </c>
      <c r="N53">
        <f t="shared" si="2"/>
        <v>10.07845475665885</v>
      </c>
      <c r="O53">
        <f t="shared" si="1"/>
        <v>64.212189986696202</v>
      </c>
    </row>
    <row r="54" spans="1:15" ht="18" x14ac:dyDescent="0.25">
      <c r="A54" s="38" t="s">
        <v>51</v>
      </c>
      <c r="B54" s="39">
        <v>75</v>
      </c>
      <c r="C54" s="40">
        <v>87.5</v>
      </c>
      <c r="D54" s="41">
        <v>83.333333333333329</v>
      </c>
      <c r="E54" s="42">
        <v>68.646903726205949</v>
      </c>
      <c r="F54" s="43">
        <v>60</v>
      </c>
      <c r="G54" s="44">
        <v>0.98363847815598415</v>
      </c>
      <c r="H54" s="44"/>
      <c r="I54" s="44"/>
      <c r="J54" s="44"/>
      <c r="K54" s="44"/>
      <c r="L54" s="44"/>
      <c r="M54" s="44">
        <f t="shared" si="0"/>
        <v>74.011697945749432</v>
      </c>
      <c r="N54">
        <f t="shared" si="2"/>
        <v>73.772885861698811</v>
      </c>
      <c r="O54">
        <f t="shared" si="1"/>
        <v>67.523735911365577</v>
      </c>
    </row>
    <row r="55" spans="1:15" ht="18" x14ac:dyDescent="0.25">
      <c r="A55" s="38" t="s">
        <v>688</v>
      </c>
      <c r="B55" s="39">
        <v>75</v>
      </c>
      <c r="C55" s="40">
        <v>60</v>
      </c>
      <c r="D55" s="41">
        <v>58.333333333333336</v>
      </c>
      <c r="E55" s="42">
        <v>72.267147700641814</v>
      </c>
      <c r="F55" s="43">
        <v>26.666666666666668</v>
      </c>
      <c r="G55" s="44">
        <v>0.92035842027448089</v>
      </c>
      <c r="H55" s="44"/>
      <c r="I55" s="44"/>
      <c r="J55" s="44"/>
      <c r="K55" s="44"/>
      <c r="L55" s="44"/>
      <c r="M55" s="44">
        <f t="shared" si="0"/>
        <v>58.508879672768799</v>
      </c>
      <c r="N55">
        <f t="shared" si="2"/>
        <v>69.026881520586073</v>
      </c>
      <c r="O55">
        <f t="shared" si="1"/>
        <v>66.511677895505287</v>
      </c>
    </row>
    <row r="56" spans="1:15" ht="18" x14ac:dyDescent="0.25">
      <c r="A56" s="38" t="s">
        <v>53</v>
      </c>
      <c r="B56" s="39">
        <v>10</v>
      </c>
      <c r="C56" s="40">
        <v>38.75</v>
      </c>
      <c r="D56" s="41">
        <v>41.666666666666664</v>
      </c>
      <c r="E56" s="42">
        <v>53.308679807597322</v>
      </c>
      <c r="F56" s="43">
        <v>43.333333333333336</v>
      </c>
      <c r="G56" s="44">
        <v>0.99031377703253243</v>
      </c>
      <c r="H56" s="44"/>
      <c r="I56" s="44"/>
      <c r="J56" s="44"/>
      <c r="K56" s="44"/>
      <c r="L56" s="44"/>
      <c r="M56" s="44">
        <f t="shared" si="0"/>
        <v>38.318323568728943</v>
      </c>
      <c r="N56">
        <f t="shared" si="2"/>
        <v>9.9031377703253245</v>
      </c>
      <c r="O56">
        <f t="shared" si="1"/>
        <v>52.792320048879596</v>
      </c>
    </row>
    <row r="57" spans="1:15" ht="18" x14ac:dyDescent="0.25">
      <c r="A57" s="38" t="s">
        <v>54</v>
      </c>
      <c r="B57" s="39">
        <v>35</v>
      </c>
      <c r="C57" s="40">
        <v>71.25</v>
      </c>
      <c r="D57" s="41">
        <v>91.666666666666671</v>
      </c>
      <c r="E57" s="42">
        <v>71.703711725512022</v>
      </c>
      <c r="F57" s="43">
        <v>66.666666666666671</v>
      </c>
      <c r="G57" s="44">
        <v>0.92035842027448089</v>
      </c>
      <c r="H57" s="44"/>
      <c r="I57" s="44"/>
      <c r="J57" s="44"/>
      <c r="K57" s="44"/>
      <c r="L57" s="44"/>
      <c r="M57" s="44">
        <f t="shared" si="0"/>
        <v>64.240443397374065</v>
      </c>
      <c r="N57">
        <f t="shared" si="2"/>
        <v>32.212544709606831</v>
      </c>
      <c r="O57">
        <f t="shared" si="1"/>
        <v>65.99311485150902</v>
      </c>
    </row>
    <row r="58" spans="1:15" ht="18" x14ac:dyDescent="0.25">
      <c r="A58" s="38" t="s">
        <v>55</v>
      </c>
      <c r="B58" s="39">
        <v>20</v>
      </c>
      <c r="C58" s="40">
        <v>61.25</v>
      </c>
      <c r="D58" s="41">
        <v>58.333333333333336</v>
      </c>
      <c r="E58" s="42">
        <v>78.139083843207885</v>
      </c>
      <c r="F58" s="43">
        <v>26.666666666666668</v>
      </c>
      <c r="G58" s="44">
        <v>0.95330799382027653</v>
      </c>
      <c r="H58" s="44"/>
      <c r="I58" s="44"/>
      <c r="J58" s="44"/>
      <c r="K58" s="44"/>
      <c r="L58" s="44"/>
      <c r="M58" s="44">
        <f t="shared" si="0"/>
        <v>51.160415952537974</v>
      </c>
      <c r="N58">
        <f t="shared" si="2"/>
        <v>19.066159876405532</v>
      </c>
      <c r="O58">
        <f t="shared" si="1"/>
        <v>74.490613257522895</v>
      </c>
    </row>
    <row r="59" spans="1:15" ht="18" x14ac:dyDescent="0.25">
      <c r="A59" s="38" t="s">
        <v>56</v>
      </c>
      <c r="B59" s="39">
        <v>40</v>
      </c>
      <c r="C59" s="40">
        <v>87.5</v>
      </c>
      <c r="D59" s="41">
        <v>83.333333333333329</v>
      </c>
      <c r="E59" s="42">
        <v>51.794310696575721</v>
      </c>
      <c r="F59" s="43">
        <v>60</v>
      </c>
      <c r="G59" s="44">
        <v>1.0448854623214794</v>
      </c>
      <c r="H59" s="44"/>
      <c r="I59" s="44"/>
      <c r="J59" s="44"/>
      <c r="K59" s="44"/>
      <c r="L59" s="44"/>
      <c r="M59" s="44">
        <f t="shared" si="0"/>
        <v>63.594820381915994</v>
      </c>
      <c r="N59">
        <f t="shared" si="2"/>
        <v>41.795418492859177</v>
      </c>
      <c r="O59">
        <f t="shared" si="1"/>
        <v>54.119122277813865</v>
      </c>
    </row>
    <row r="60" spans="1:15" ht="18" x14ac:dyDescent="0.25">
      <c r="A60" s="38" t="s">
        <v>57</v>
      </c>
      <c r="B60" s="39">
        <v>20</v>
      </c>
      <c r="C60" s="40">
        <v>66.25</v>
      </c>
      <c r="D60" s="41">
        <v>50</v>
      </c>
      <c r="E60" s="42">
        <v>49.072825787450185</v>
      </c>
      <c r="F60" s="43">
        <v>60</v>
      </c>
      <c r="G60" s="44">
        <v>1.0861884242329052</v>
      </c>
      <c r="H60" s="44"/>
      <c r="I60" s="44"/>
      <c r="J60" s="44"/>
      <c r="K60" s="44"/>
      <c r="L60" s="44"/>
      <c r="M60" s="44">
        <f t="shared" si="0"/>
        <v>50.085454291349535</v>
      </c>
      <c r="N60">
        <f t="shared" si="2"/>
        <v>21.723768484658102</v>
      </c>
      <c r="O60">
        <f t="shared" si="1"/>
        <v>53.302335314726392</v>
      </c>
    </row>
    <row r="61" spans="1:15" ht="18" x14ac:dyDescent="0.25">
      <c r="A61" s="38" t="s">
        <v>58</v>
      </c>
      <c r="B61" s="39">
        <v>65</v>
      </c>
      <c r="C61" s="40">
        <v>70</v>
      </c>
      <c r="D61" s="41">
        <v>75</v>
      </c>
      <c r="E61" s="42">
        <v>52.205781763725852</v>
      </c>
      <c r="F61" s="43">
        <v>60</v>
      </c>
      <c r="G61" s="44">
        <v>1.0373487820804117</v>
      </c>
      <c r="H61" s="44"/>
      <c r="I61" s="44"/>
      <c r="J61" s="44"/>
      <c r="K61" s="44"/>
      <c r="L61" s="44"/>
      <c r="M61" s="44">
        <f t="shared" si="0"/>
        <v>63.982215406092386</v>
      </c>
      <c r="N61">
        <f t="shared" si="2"/>
        <v>67.427670835226763</v>
      </c>
      <c r="O61">
        <f t="shared" si="1"/>
        <v>54.155604130156782</v>
      </c>
    </row>
    <row r="62" spans="1:15" ht="18" x14ac:dyDescent="0.25">
      <c r="A62" s="38" t="s">
        <v>59</v>
      </c>
      <c r="B62" s="39">
        <v>12.5</v>
      </c>
      <c r="C62" s="40">
        <v>77.5</v>
      </c>
      <c r="D62" s="41">
        <v>91.666666666666671</v>
      </c>
      <c r="E62" s="42">
        <v>60.37435922991493</v>
      </c>
      <c r="F62" s="43">
        <v>66.666666666666671</v>
      </c>
      <c r="G62" s="44">
        <v>1.0163769142999053</v>
      </c>
      <c r="H62" s="44"/>
      <c r="I62" s="44"/>
      <c r="J62" s="44"/>
      <c r="K62" s="44"/>
      <c r="L62" s="44"/>
      <c r="M62" s="44">
        <f t="shared" si="0"/>
        <v>60.199873766830244</v>
      </c>
      <c r="N62">
        <f t="shared" si="2"/>
        <v>12.704711428748816</v>
      </c>
      <c r="O62">
        <f t="shared" si="1"/>
        <v>61.363104936934945</v>
      </c>
    </row>
    <row r="63" spans="1:15" ht="18" x14ac:dyDescent="0.25">
      <c r="A63" s="38" t="s">
        <v>60</v>
      </c>
      <c r="B63" s="39">
        <v>62.5</v>
      </c>
      <c r="C63" s="40">
        <v>58.75</v>
      </c>
      <c r="D63" s="41">
        <v>33.333333333333336</v>
      </c>
      <c r="E63" s="42">
        <v>54.448837509978446</v>
      </c>
      <c r="F63" s="43">
        <v>26.666666666666668</v>
      </c>
      <c r="G63" s="44">
        <v>0.96163364883324676</v>
      </c>
      <c r="H63" s="44"/>
      <c r="I63" s="44"/>
      <c r="J63" s="44"/>
      <c r="K63" s="44"/>
      <c r="L63" s="44"/>
      <c r="M63" s="44">
        <f t="shared" si="0"/>
        <v>48.478370897250322</v>
      </c>
      <c r="N63">
        <f t="shared" si="2"/>
        <v>60.102103052077922</v>
      </c>
      <c r="O63">
        <f t="shared" si="1"/>
        <v>52.359834289449125</v>
      </c>
    </row>
    <row r="64" spans="1:15" ht="18" x14ac:dyDescent="0.25">
      <c r="A64" s="38" t="s">
        <v>61</v>
      </c>
      <c r="B64" s="39">
        <v>65</v>
      </c>
      <c r="C64" s="40">
        <v>60</v>
      </c>
      <c r="D64" s="41">
        <v>58.333333333333336</v>
      </c>
      <c r="E64" s="42">
        <v>56.164391762626011</v>
      </c>
      <c r="F64" s="43">
        <v>43.333333333333336</v>
      </c>
      <c r="G64" s="44">
        <v>1.0732387269210868</v>
      </c>
      <c r="H64" s="44"/>
      <c r="I64" s="44"/>
      <c r="J64" s="44"/>
      <c r="K64" s="44"/>
      <c r="L64" s="44"/>
      <c r="M64" s="44">
        <f t="shared" si="0"/>
        <v>59.285443544059504</v>
      </c>
      <c r="N64">
        <f t="shared" si="2"/>
        <v>69.760517249870645</v>
      </c>
      <c r="O64">
        <f t="shared" si="1"/>
        <v>60.277800313617917</v>
      </c>
    </row>
    <row r="65" spans="1:15" ht="18" x14ac:dyDescent="0.25">
      <c r="A65" s="38" t="s">
        <v>62</v>
      </c>
      <c r="B65" s="39">
        <v>65</v>
      </c>
      <c r="C65" s="40">
        <v>42.5</v>
      </c>
      <c r="D65" s="41">
        <v>50</v>
      </c>
      <c r="E65" s="42">
        <v>75.828546087780808</v>
      </c>
      <c r="F65" s="43">
        <v>26.666666666666668</v>
      </c>
      <c r="G65" s="44">
        <v>0.92035842027448089</v>
      </c>
      <c r="H65" s="44"/>
      <c r="I65" s="44"/>
      <c r="J65" s="44"/>
      <c r="K65" s="44"/>
      <c r="L65" s="44"/>
      <c r="M65" s="44">
        <f t="shared" si="0"/>
        <v>52.901491730286438</v>
      </c>
      <c r="N65">
        <f t="shared" si="2"/>
        <v>59.823297317841259</v>
      </c>
      <c r="O65">
        <f t="shared" si="1"/>
        <v>69.789440889060614</v>
      </c>
    </row>
    <row r="66" spans="1:15" ht="18" x14ac:dyDescent="0.25">
      <c r="A66" s="38" t="s">
        <v>63</v>
      </c>
      <c r="B66" s="39">
        <v>20</v>
      </c>
      <c r="C66" s="40">
        <v>56.25</v>
      </c>
      <c r="D66" s="41">
        <v>75</v>
      </c>
      <c r="E66" s="42">
        <v>77.079567745908363</v>
      </c>
      <c r="F66" s="43">
        <v>60</v>
      </c>
      <c r="G66" s="44">
        <v>0.96095867364724941</v>
      </c>
      <c r="H66" s="44"/>
      <c r="I66" s="44"/>
      <c r="J66" s="44"/>
      <c r="K66" s="44"/>
      <c r="L66" s="44"/>
      <c r="M66" s="44">
        <f t="shared" si="0"/>
        <v>57.564918450512423</v>
      </c>
      <c r="N66">
        <f t="shared" si="2"/>
        <v>19.219173472944988</v>
      </c>
      <c r="O66">
        <f t="shared" si="1"/>
        <v>74.070279186411412</v>
      </c>
    </row>
    <row r="67" spans="1:15" ht="18" x14ac:dyDescent="0.25">
      <c r="A67" s="38" t="s">
        <v>64</v>
      </c>
      <c r="B67" s="39">
        <v>20</v>
      </c>
      <c r="C67" s="40">
        <v>55</v>
      </c>
      <c r="D67" s="41">
        <v>83.333333333333329</v>
      </c>
      <c r="E67" s="42">
        <v>48.645824509326701</v>
      </c>
      <c r="F67" s="43">
        <v>43.333333333333336</v>
      </c>
      <c r="G67" s="44">
        <v>1.0861884242329052</v>
      </c>
      <c r="H67" s="44"/>
      <c r="I67" s="44"/>
      <c r="J67" s="44"/>
      <c r="K67" s="44"/>
      <c r="L67" s="44"/>
      <c r="M67" s="44">
        <f t="shared" ref="M67:M130" si="3">((G67*$H$3*B67)+($I$3*C67)+($J$3*D67)+(G67*$K$3*E67)+($L$3*F67))</f>
        <v>50.196313137720423</v>
      </c>
      <c r="N67">
        <f t="shared" ref="N67:N130" si="4">B67*G67</f>
        <v>21.723768484658102</v>
      </c>
      <c r="O67">
        <f t="shared" ref="O67:O130" si="5">E67*G67</f>
        <v>52.838531469296008</v>
      </c>
    </row>
    <row r="68" spans="1:15" ht="18" x14ac:dyDescent="0.25">
      <c r="A68" s="38" t="s">
        <v>65</v>
      </c>
      <c r="B68" s="39">
        <v>20</v>
      </c>
      <c r="C68" s="40">
        <v>77.5</v>
      </c>
      <c r="D68" s="41">
        <v>75</v>
      </c>
      <c r="E68" s="42">
        <v>71.320439176169344</v>
      </c>
      <c r="F68" s="43">
        <v>33.333333333333336</v>
      </c>
      <c r="G68" s="44">
        <v>0.92035842027448089</v>
      </c>
      <c r="H68" s="44"/>
      <c r="I68" s="44"/>
      <c r="J68" s="44"/>
      <c r="K68" s="44"/>
      <c r="L68" s="44"/>
      <c r="M68" s="44">
        <f t="shared" si="3"/>
        <v>55.123543701136349</v>
      </c>
      <c r="N68">
        <f t="shared" si="4"/>
        <v>18.407168405489617</v>
      </c>
      <c r="O68">
        <f t="shared" si="5"/>
        <v>65.64036673346142</v>
      </c>
    </row>
    <row r="69" spans="1:15" ht="18" x14ac:dyDescent="0.25">
      <c r="A69" s="38" t="s">
        <v>66</v>
      </c>
      <c r="B69" s="39">
        <v>12.5</v>
      </c>
      <c r="C69" s="40">
        <v>77.5</v>
      </c>
      <c r="D69" s="41">
        <v>91.666666666666671</v>
      </c>
      <c r="E69" s="42">
        <v>49.363463200492191</v>
      </c>
      <c r="F69" s="43">
        <v>50</v>
      </c>
      <c r="G69" s="44">
        <v>0.98162048393079326</v>
      </c>
      <c r="H69" s="44"/>
      <c r="I69" s="44"/>
      <c r="J69" s="44"/>
      <c r="K69" s="44"/>
      <c r="L69" s="44"/>
      <c r="M69" s="44">
        <f t="shared" si="3"/>
        <v>53.7409072004371</v>
      </c>
      <c r="N69">
        <f t="shared" si="4"/>
        <v>12.270256049134916</v>
      </c>
      <c r="O69">
        <f t="shared" si="5"/>
        <v>48.456186635367047</v>
      </c>
    </row>
    <row r="70" spans="1:15" ht="18" x14ac:dyDescent="0.25">
      <c r="A70" s="38" t="s">
        <v>67</v>
      </c>
      <c r="B70" s="39">
        <v>30</v>
      </c>
      <c r="C70" s="40">
        <v>77.5</v>
      </c>
      <c r="D70" s="41">
        <v>75</v>
      </c>
      <c r="E70" s="42">
        <v>53.054159180871736</v>
      </c>
      <c r="F70" s="43">
        <v>50</v>
      </c>
      <c r="G70" s="44">
        <v>0.93236423560662918</v>
      </c>
      <c r="H70" s="44"/>
      <c r="I70" s="44"/>
      <c r="J70" s="44"/>
      <c r="K70" s="44"/>
      <c r="L70" s="44"/>
      <c r="M70" s="44">
        <f t="shared" si="3"/>
        <v>54.68392558476755</v>
      </c>
      <c r="N70">
        <f t="shared" si="4"/>
        <v>27.970927068198876</v>
      </c>
      <c r="O70">
        <f t="shared" si="5"/>
        <v>49.465800570425905</v>
      </c>
    </row>
    <row r="71" spans="1:15" ht="18" x14ac:dyDescent="0.25">
      <c r="A71" s="38" t="s">
        <v>68</v>
      </c>
      <c r="B71" s="39">
        <v>0</v>
      </c>
      <c r="C71" s="40">
        <v>77.5</v>
      </c>
      <c r="D71" s="41">
        <v>83.333333333333329</v>
      </c>
      <c r="E71" s="42">
        <v>53.603823110165173</v>
      </c>
      <c r="F71" s="43">
        <v>43.333333333333336</v>
      </c>
      <c r="G71" s="44">
        <v>0.92268580808411205</v>
      </c>
      <c r="H71" s="44"/>
      <c r="I71" s="44"/>
      <c r="J71" s="44"/>
      <c r="K71" s="44"/>
      <c r="L71" s="44"/>
      <c r="M71" s="44">
        <f t="shared" si="3"/>
        <v>49.337846052840163</v>
      </c>
      <c r="N71">
        <f t="shared" si="4"/>
        <v>0</v>
      </c>
      <c r="O71">
        <f t="shared" si="5"/>
        <v>49.459486842800551</v>
      </c>
    </row>
    <row r="72" spans="1:15" ht="18" x14ac:dyDescent="0.25">
      <c r="A72" s="38" t="s">
        <v>69</v>
      </c>
      <c r="B72" s="39">
        <v>67.5</v>
      </c>
      <c r="C72" s="40">
        <v>58.75</v>
      </c>
      <c r="D72" s="41">
        <v>58.333333333333336</v>
      </c>
      <c r="E72" s="42">
        <v>58.155196740374919</v>
      </c>
      <c r="F72" s="43">
        <v>26.666666666666668</v>
      </c>
      <c r="G72" s="44">
        <v>1.010391727769488</v>
      </c>
      <c r="H72" s="44"/>
      <c r="I72" s="44"/>
      <c r="J72" s="44"/>
      <c r="K72" s="44"/>
      <c r="L72" s="44"/>
      <c r="M72" s="44">
        <f t="shared" si="3"/>
        <v>55.768147238872658</v>
      </c>
      <c r="N72">
        <f t="shared" si="4"/>
        <v>68.201441624440449</v>
      </c>
      <c r="O72">
        <f t="shared" si="5"/>
        <v>58.759529713281914</v>
      </c>
    </row>
    <row r="73" spans="1:15" ht="18" x14ac:dyDescent="0.25">
      <c r="A73" s="38" t="s">
        <v>70</v>
      </c>
      <c r="B73" s="39">
        <v>20</v>
      </c>
      <c r="C73" s="40">
        <v>82.5</v>
      </c>
      <c r="D73" s="41">
        <v>83.333333333333329</v>
      </c>
      <c r="E73" s="42">
        <v>48.042412552681633</v>
      </c>
      <c r="F73" s="43">
        <v>60</v>
      </c>
      <c r="G73" s="44">
        <v>0.92035842027448089</v>
      </c>
      <c r="H73" s="44"/>
      <c r="I73" s="44"/>
      <c r="J73" s="44"/>
      <c r="K73" s="44"/>
      <c r="L73" s="44"/>
      <c r="M73" s="44">
        <f t="shared" si="3"/>
        <v>54.946305358046203</v>
      </c>
      <c r="N73">
        <f t="shared" si="4"/>
        <v>18.407168405489617</v>
      </c>
      <c r="O73">
        <f t="shared" si="5"/>
        <v>44.216238923160958</v>
      </c>
    </row>
    <row r="74" spans="1:15" ht="18" x14ac:dyDescent="0.25">
      <c r="A74" s="38" t="s">
        <v>71</v>
      </c>
      <c r="B74" s="39">
        <v>0</v>
      </c>
      <c r="C74" s="40">
        <v>77.5</v>
      </c>
      <c r="D74" s="41">
        <v>83.333333333333329</v>
      </c>
      <c r="E74" s="42">
        <v>37.255082794640259</v>
      </c>
      <c r="F74" s="43">
        <v>43.333333333333336</v>
      </c>
      <c r="G74" s="44">
        <v>1.0582569412051155</v>
      </c>
      <c r="H74" s="44"/>
      <c r="I74" s="44"/>
      <c r="J74" s="44"/>
      <c r="K74" s="44"/>
      <c r="L74" s="44"/>
      <c r="M74" s="44">
        <f t="shared" si="3"/>
        <v>46.327634988779799</v>
      </c>
      <c r="N74">
        <f t="shared" si="4"/>
        <v>0</v>
      </c>
      <c r="O74">
        <f t="shared" si="5"/>
        <v>39.425449962599323</v>
      </c>
    </row>
    <row r="75" spans="1:15" ht="18" x14ac:dyDescent="0.25">
      <c r="A75" s="38" t="s">
        <v>72</v>
      </c>
      <c r="B75" s="39">
        <v>75</v>
      </c>
      <c r="C75" s="40">
        <v>77.5</v>
      </c>
      <c r="D75" s="41">
        <v>83.333333333333329</v>
      </c>
      <c r="E75" s="42">
        <v>60.503134017896627</v>
      </c>
      <c r="F75" s="43">
        <v>66.666666666666671</v>
      </c>
      <c r="G75" s="44">
        <v>0.96524871099594145</v>
      </c>
      <c r="H75" s="44"/>
      <c r="I75" s="44"/>
      <c r="J75" s="44"/>
      <c r="K75" s="44"/>
      <c r="L75" s="44"/>
      <c r="M75" s="44">
        <f t="shared" si="3"/>
        <v>69.998902301535949</v>
      </c>
      <c r="N75">
        <f t="shared" si="4"/>
        <v>72.393653324695606</v>
      </c>
      <c r="O75">
        <f t="shared" si="5"/>
        <v>58.400572121989413</v>
      </c>
    </row>
    <row r="76" spans="1:15" ht="18" x14ac:dyDescent="0.25">
      <c r="A76" s="38" t="s">
        <v>73</v>
      </c>
      <c r="B76" s="39">
        <v>10</v>
      </c>
      <c r="C76" s="40">
        <v>66.25</v>
      </c>
      <c r="D76" s="41">
        <v>66.666666666666671</v>
      </c>
      <c r="E76" s="42">
        <v>59.274398418403322</v>
      </c>
      <c r="F76" s="43">
        <v>43.333333333333336</v>
      </c>
      <c r="G76" s="44">
        <v>1.0427922560745797</v>
      </c>
      <c r="H76" s="44"/>
      <c r="I76" s="44"/>
      <c r="J76" s="44"/>
      <c r="K76" s="44"/>
      <c r="L76" s="44"/>
      <c r="M76" s="44">
        <f t="shared" si="3"/>
        <v>50.378849608406249</v>
      </c>
      <c r="N76">
        <f t="shared" si="4"/>
        <v>10.427922560745797</v>
      </c>
      <c r="O76">
        <f t="shared" si="5"/>
        <v>61.810883654190299</v>
      </c>
    </row>
    <row r="77" spans="1:15" ht="18" x14ac:dyDescent="0.25">
      <c r="A77" s="38" t="s">
        <v>689</v>
      </c>
      <c r="B77" s="39">
        <v>65</v>
      </c>
      <c r="C77" s="40">
        <v>82.5</v>
      </c>
      <c r="D77" s="41">
        <v>91.666666666666671</v>
      </c>
      <c r="E77" s="42">
        <v>77.586833274056787</v>
      </c>
      <c r="F77" s="43">
        <v>66.666666666666671</v>
      </c>
      <c r="G77" s="44">
        <v>0.93985671324878151</v>
      </c>
      <c r="H77" s="44"/>
      <c r="I77" s="44"/>
      <c r="J77" s="44"/>
      <c r="K77" s="44"/>
      <c r="L77" s="44"/>
      <c r="M77" s="44">
        <f t="shared" si="3"/>
        <v>74.344289105935019</v>
      </c>
      <c r="N77">
        <f t="shared" si="4"/>
        <v>61.090686361170796</v>
      </c>
      <c r="O77">
        <f t="shared" si="5"/>
        <v>72.920506112336213</v>
      </c>
    </row>
    <row r="78" spans="1:15" ht="18" x14ac:dyDescent="0.25">
      <c r="A78" s="38" t="s">
        <v>75</v>
      </c>
      <c r="B78" s="39">
        <v>55</v>
      </c>
      <c r="C78" s="40">
        <v>53.75</v>
      </c>
      <c r="D78" s="41">
        <v>25</v>
      </c>
      <c r="E78" s="42">
        <v>61.796372599602947</v>
      </c>
      <c r="F78" s="43">
        <v>43.333333333333336</v>
      </c>
      <c r="G78" s="44">
        <v>1.0213987592459346</v>
      </c>
      <c r="H78" s="44"/>
      <c r="I78" s="44"/>
      <c r="J78" s="44"/>
      <c r="K78" s="44"/>
      <c r="L78" s="44"/>
      <c r="M78" s="44">
        <f t="shared" si="3"/>
        <v>51.171007841445459</v>
      </c>
      <c r="N78">
        <f t="shared" si="4"/>
        <v>56.176931758526401</v>
      </c>
      <c r="O78">
        <f t="shared" si="5"/>
        <v>63.118738299133916</v>
      </c>
    </row>
    <row r="79" spans="1:15" ht="18" x14ac:dyDescent="0.25">
      <c r="A79" s="38" t="s">
        <v>76</v>
      </c>
      <c r="B79" s="39">
        <v>20</v>
      </c>
      <c r="C79" s="40">
        <v>83.75</v>
      </c>
      <c r="D79" s="41">
        <v>91.666666666666671</v>
      </c>
      <c r="E79" s="42">
        <v>45.557570401005847</v>
      </c>
      <c r="F79" s="43">
        <v>66.666666666666671</v>
      </c>
      <c r="G79" s="44">
        <v>0.99915145558103347</v>
      </c>
      <c r="H79" s="44"/>
      <c r="I79" s="44"/>
      <c r="J79" s="44"/>
      <c r="K79" s="44"/>
      <c r="L79" s="44"/>
      <c r="M79" s="44">
        <f t="shared" si="3"/>
        <v>58.152279655994256</v>
      </c>
      <c r="N79">
        <f t="shared" si="4"/>
        <v>19.98302911162067</v>
      </c>
      <c r="O79">
        <f t="shared" si="5"/>
        <v>45.5189127789004</v>
      </c>
    </row>
    <row r="80" spans="1:15" ht="18" x14ac:dyDescent="0.25">
      <c r="A80" s="38" t="s">
        <v>77</v>
      </c>
      <c r="B80" s="39">
        <v>10</v>
      </c>
      <c r="C80" s="40">
        <v>82.5</v>
      </c>
      <c r="D80" s="41">
        <v>83.333333333333329</v>
      </c>
      <c r="E80" s="42">
        <v>61.18469681494382</v>
      </c>
      <c r="F80" s="43">
        <v>43.333333333333336</v>
      </c>
      <c r="G80" s="44">
        <v>0.92385236937466597</v>
      </c>
      <c r="H80" s="44"/>
      <c r="I80" s="44"/>
      <c r="J80" s="44"/>
      <c r="K80" s="44"/>
      <c r="L80" s="44"/>
      <c r="M80" s="44">
        <f t="shared" si="3"/>
        <v>54.305392875336253</v>
      </c>
      <c r="N80">
        <f t="shared" si="4"/>
        <v>9.238523693746659</v>
      </c>
      <c r="O80">
        <f t="shared" si="5"/>
        <v>56.525627121956425</v>
      </c>
    </row>
    <row r="81" spans="1:15" ht="18" x14ac:dyDescent="0.25">
      <c r="A81" s="38" t="s">
        <v>78</v>
      </c>
      <c r="B81" s="39">
        <v>0</v>
      </c>
      <c r="C81" s="40">
        <v>58.75</v>
      </c>
      <c r="D81" s="41">
        <v>83.333333333333329</v>
      </c>
      <c r="E81" s="42">
        <v>58.909223762565965</v>
      </c>
      <c r="F81" s="43">
        <v>43.333333333333336</v>
      </c>
      <c r="G81" s="44">
        <v>1.0855435235695083</v>
      </c>
      <c r="H81" s="44"/>
      <c r="I81" s="44"/>
      <c r="J81" s="44"/>
      <c r="K81" s="44"/>
      <c r="L81" s="44"/>
      <c r="M81" s="44">
        <f t="shared" si="3"/>
        <v>49.934557900188139</v>
      </c>
      <c r="N81">
        <f t="shared" si="4"/>
        <v>0</v>
      </c>
      <c r="O81">
        <f t="shared" si="5"/>
        <v>63.948526333960466</v>
      </c>
    </row>
    <row r="82" spans="1:15" ht="18" x14ac:dyDescent="0.25">
      <c r="A82" s="38" t="s">
        <v>79</v>
      </c>
      <c r="B82" s="39">
        <v>32.5</v>
      </c>
      <c r="C82" s="40">
        <v>65</v>
      </c>
      <c r="D82" s="41">
        <v>75</v>
      </c>
      <c r="E82" s="42">
        <v>42.783952980638645</v>
      </c>
      <c r="F82" s="43">
        <v>50</v>
      </c>
      <c r="G82" s="44">
        <v>1.0455476497231624</v>
      </c>
      <c r="H82" s="44"/>
      <c r="I82" s="44"/>
      <c r="J82" s="44"/>
      <c r="K82" s="44"/>
      <c r="L82" s="44"/>
      <c r="M82" s="44">
        <f t="shared" si="3"/>
        <v>51.965858168632465</v>
      </c>
      <c r="N82">
        <f t="shared" si="4"/>
        <v>33.980298616002777</v>
      </c>
      <c r="O82">
        <f t="shared" si="5"/>
        <v>44.732661484773026</v>
      </c>
    </row>
    <row r="83" spans="1:15" ht="18" x14ac:dyDescent="0.25">
      <c r="A83" s="38" t="s">
        <v>80</v>
      </c>
      <c r="B83" s="39">
        <v>0</v>
      </c>
      <c r="C83" s="40">
        <v>70</v>
      </c>
      <c r="D83" s="41">
        <v>83.333333333333329</v>
      </c>
      <c r="E83" s="42">
        <v>53.859746559879916</v>
      </c>
      <c r="F83" s="43">
        <v>66.666666666666671</v>
      </c>
      <c r="G83" s="44">
        <v>0.92035842027448089</v>
      </c>
      <c r="H83" s="44"/>
      <c r="I83" s="44"/>
      <c r="J83" s="44"/>
      <c r="K83" s="44"/>
      <c r="L83" s="44"/>
      <c r="M83" s="44">
        <f t="shared" si="3"/>
        <v>51.371081378070492</v>
      </c>
      <c r="N83">
        <f t="shared" si="4"/>
        <v>0</v>
      </c>
      <c r="O83">
        <f t="shared" si="5"/>
        <v>49.570271260234989</v>
      </c>
    </row>
    <row r="84" spans="1:15" ht="18" x14ac:dyDescent="0.25">
      <c r="A84" s="38" t="s">
        <v>81</v>
      </c>
      <c r="B84" s="39">
        <v>10</v>
      </c>
      <c r="C84" s="40">
        <v>47.5</v>
      </c>
      <c r="D84" s="41">
        <v>91.666666666666671</v>
      </c>
      <c r="E84" s="42">
        <v>53.75450464972203</v>
      </c>
      <c r="F84" s="43">
        <v>50</v>
      </c>
      <c r="G84" s="44">
        <v>1.0861884242329052</v>
      </c>
      <c r="H84" s="44"/>
      <c r="I84" s="44"/>
      <c r="J84" s="44"/>
      <c r="K84" s="44"/>
      <c r="L84" s="44"/>
      <c r="M84" s="44">
        <f t="shared" si="3"/>
        <v>50.438633058736393</v>
      </c>
      <c r="N84">
        <f t="shared" si="4"/>
        <v>10.861884242329051</v>
      </c>
      <c r="O84">
        <f t="shared" si="5"/>
        <v>58.387520700901945</v>
      </c>
    </row>
    <row r="85" spans="1:15" ht="18" x14ac:dyDescent="0.25">
      <c r="A85" s="38" t="s">
        <v>82</v>
      </c>
      <c r="B85" s="39">
        <v>0</v>
      </c>
      <c r="C85" s="40">
        <v>32.5</v>
      </c>
      <c r="D85" s="41">
        <v>50</v>
      </c>
      <c r="E85" s="42">
        <v>59.486158379766337</v>
      </c>
      <c r="F85" s="43">
        <v>13.333333333333334</v>
      </c>
      <c r="G85" s="44">
        <v>0.94994284655512584</v>
      </c>
      <c r="H85" s="44"/>
      <c r="I85" s="44"/>
      <c r="J85" s="44"/>
      <c r="K85" s="44"/>
      <c r="L85" s="44"/>
      <c r="M85" s="44">
        <f t="shared" si="3"/>
        <v>32.952535186571282</v>
      </c>
      <c r="N85">
        <f t="shared" si="4"/>
        <v>0</v>
      </c>
      <c r="O85">
        <f t="shared" si="5"/>
        <v>56.508450621904288</v>
      </c>
    </row>
    <row r="86" spans="1:15" ht="18" x14ac:dyDescent="0.25">
      <c r="A86" s="38" t="s">
        <v>83</v>
      </c>
      <c r="B86" s="39">
        <v>10</v>
      </c>
      <c r="C86" s="40">
        <v>37.5</v>
      </c>
      <c r="D86" s="41">
        <v>33.333333333333336</v>
      </c>
      <c r="E86" s="42">
        <v>60.447458344296763</v>
      </c>
      <c r="F86" s="43">
        <v>30</v>
      </c>
      <c r="G86" s="44">
        <v>1.0400307993216384</v>
      </c>
      <c r="H86" s="44"/>
      <c r="I86" s="44"/>
      <c r="J86" s="44"/>
      <c r="K86" s="44"/>
      <c r="L86" s="44"/>
      <c r="M86" s="44">
        <f t="shared" si="3"/>
        <v>37.940227124277399</v>
      </c>
      <c r="N86">
        <f t="shared" si="4"/>
        <v>10.400307993216384</v>
      </c>
      <c r="O86">
        <f t="shared" si="5"/>
        <v>62.867218418780404</v>
      </c>
    </row>
    <row r="87" spans="1:15" ht="18" x14ac:dyDescent="0.25">
      <c r="A87" s="38" t="s">
        <v>84</v>
      </c>
      <c r="B87" s="39">
        <v>87.5</v>
      </c>
      <c r="C87" s="40">
        <v>58.75</v>
      </c>
      <c r="D87" s="41">
        <v>16.666666666666668</v>
      </c>
      <c r="E87" s="42">
        <v>41.173361344209056</v>
      </c>
      <c r="F87" s="43">
        <v>26.666666666666668</v>
      </c>
      <c r="G87" s="44">
        <v>0.98275582291873964</v>
      </c>
      <c r="H87" s="44"/>
      <c r="I87" s="44"/>
      <c r="J87" s="44"/>
      <c r="K87" s="44"/>
      <c r="L87" s="44"/>
      <c r="M87" s="44">
        <f t="shared" si="3"/>
        <v>47.587235084125581</v>
      </c>
      <c r="N87">
        <f t="shared" si="4"/>
        <v>85.991134505389724</v>
      </c>
      <c r="O87">
        <f t="shared" si="5"/>
        <v>40.463360610158794</v>
      </c>
    </row>
    <row r="88" spans="1:15" ht="18" x14ac:dyDescent="0.25">
      <c r="A88" s="38" t="s">
        <v>85</v>
      </c>
      <c r="B88" s="39">
        <v>20</v>
      </c>
      <c r="C88" s="40">
        <v>72.5</v>
      </c>
      <c r="D88" s="41">
        <v>83.333333333333329</v>
      </c>
      <c r="E88" s="42">
        <v>75.333000361503935</v>
      </c>
      <c r="F88" s="43">
        <v>33.333333333333336</v>
      </c>
      <c r="G88" s="44">
        <v>0.92035842027448089</v>
      </c>
      <c r="H88" s="44"/>
      <c r="I88" s="44"/>
      <c r="J88" s="44"/>
      <c r="K88" s="44"/>
      <c r="L88" s="44"/>
      <c r="M88" s="44">
        <f t="shared" si="3"/>
        <v>56.48144204327312</v>
      </c>
      <c r="N88">
        <f t="shared" si="4"/>
        <v>18.407168405489617</v>
      </c>
      <c r="O88">
        <f t="shared" si="5"/>
        <v>69.333361207250661</v>
      </c>
    </row>
    <row r="89" spans="1:15" ht="18" x14ac:dyDescent="0.25">
      <c r="A89" s="38" t="s">
        <v>86</v>
      </c>
      <c r="B89" s="39">
        <v>10</v>
      </c>
      <c r="C89" s="40">
        <v>81.25</v>
      </c>
      <c r="D89" s="41">
        <v>91.666666666666671</v>
      </c>
      <c r="E89" s="42">
        <v>58.943648101614862</v>
      </c>
      <c r="F89" s="43">
        <v>60</v>
      </c>
      <c r="G89" s="44">
        <v>0.92035842027448089</v>
      </c>
      <c r="H89" s="44"/>
      <c r="I89" s="44"/>
      <c r="J89" s="44"/>
      <c r="K89" s="44"/>
      <c r="L89" s="44"/>
      <c r="M89" s="44">
        <f t="shared" si="3"/>
        <v>57.115501696154105</v>
      </c>
      <c r="N89">
        <f t="shared" si="4"/>
        <v>9.2035842027448087</v>
      </c>
      <c r="O89">
        <f t="shared" si="5"/>
        <v>54.24928285201716</v>
      </c>
    </row>
    <row r="90" spans="1:15" ht="18" x14ac:dyDescent="0.25">
      <c r="A90" s="38" t="s">
        <v>690</v>
      </c>
      <c r="B90" s="39">
        <v>62.5</v>
      </c>
      <c r="C90" s="40">
        <v>77.5</v>
      </c>
      <c r="D90" s="41">
        <v>75</v>
      </c>
      <c r="E90" s="42">
        <v>28.864813128863236</v>
      </c>
      <c r="F90" s="43">
        <v>60</v>
      </c>
      <c r="G90" s="44">
        <v>0.92159946389226599</v>
      </c>
      <c r="H90" s="44"/>
      <c r="I90" s="44"/>
      <c r="J90" s="44"/>
      <c r="K90" s="44"/>
      <c r="L90" s="44"/>
      <c r="M90" s="44">
        <f t="shared" si="3"/>
        <v>55.250532190126563</v>
      </c>
      <c r="N90">
        <f t="shared" si="4"/>
        <v>57.599966493266628</v>
      </c>
      <c r="O90">
        <f t="shared" si="5"/>
        <v>26.601796304910799</v>
      </c>
    </row>
    <row r="91" spans="1:15" ht="18" x14ac:dyDescent="0.25">
      <c r="A91" s="38" t="s">
        <v>88</v>
      </c>
      <c r="B91" s="39">
        <v>52.5</v>
      </c>
      <c r="C91" s="40">
        <v>76.25</v>
      </c>
      <c r="D91" s="41">
        <v>66.666666666666671</v>
      </c>
      <c r="E91" s="42">
        <v>54.62130906495922</v>
      </c>
      <c r="F91" s="43">
        <v>43.333333333333336</v>
      </c>
      <c r="G91" s="44">
        <v>0.9278839348042387</v>
      </c>
      <c r="H91" s="44"/>
      <c r="I91" s="44"/>
      <c r="J91" s="44"/>
      <c r="K91" s="44"/>
      <c r="L91" s="44"/>
      <c r="M91" s="44">
        <f t="shared" si="3"/>
        <v>56.697451869250344</v>
      </c>
      <c r="N91">
        <f t="shared" si="4"/>
        <v>48.713906577222531</v>
      </c>
      <c r="O91">
        <f t="shared" si="5"/>
        <v>50.682235179352794</v>
      </c>
    </row>
    <row r="92" spans="1:15" ht="18" x14ac:dyDescent="0.25">
      <c r="A92" s="38" t="s">
        <v>89</v>
      </c>
      <c r="B92" s="39">
        <v>65</v>
      </c>
      <c r="C92" s="40">
        <v>66.25</v>
      </c>
      <c r="D92" s="41">
        <v>83.333333333333329</v>
      </c>
      <c r="E92" s="42">
        <v>57.836750002750819</v>
      </c>
      <c r="F92" s="43">
        <v>50</v>
      </c>
      <c r="G92" s="44">
        <v>1.0584513346795681</v>
      </c>
      <c r="H92" s="44"/>
      <c r="I92" s="44"/>
      <c r="J92" s="44"/>
      <c r="K92" s="44"/>
      <c r="L92" s="44"/>
      <c r="M92" s="44">
        <f t="shared" si="3"/>
        <v>65.375082921016414</v>
      </c>
      <c r="N92">
        <f t="shared" si="4"/>
        <v>68.799336754171932</v>
      </c>
      <c r="O92">
        <f t="shared" si="5"/>
        <v>61.217385233940121</v>
      </c>
    </row>
    <row r="93" spans="1:15" ht="18" x14ac:dyDescent="0.25">
      <c r="A93" s="38" t="s">
        <v>90</v>
      </c>
      <c r="B93" s="39">
        <v>10</v>
      </c>
      <c r="C93" s="40">
        <v>42.5</v>
      </c>
      <c r="D93" s="41">
        <v>25</v>
      </c>
      <c r="E93" s="42">
        <v>58.956684047375447</v>
      </c>
      <c r="F93" s="43">
        <v>33.333333333333336</v>
      </c>
      <c r="G93" s="44">
        <v>1.0439990240288379</v>
      </c>
      <c r="H93" s="44"/>
      <c r="I93" s="44"/>
      <c r="J93" s="44"/>
      <c r="K93" s="44"/>
      <c r="L93" s="44"/>
      <c r="M93" s="44">
        <f t="shared" si="3"/>
        <v>37.803214229688635</v>
      </c>
      <c r="N93">
        <f t="shared" si="4"/>
        <v>10.439990240288379</v>
      </c>
      <c r="O93">
        <f t="shared" si="5"/>
        <v>61.550720605436524</v>
      </c>
    </row>
    <row r="94" spans="1:15" ht="18" x14ac:dyDescent="0.25">
      <c r="A94" s="38" t="s">
        <v>91</v>
      </c>
      <c r="B94" s="39">
        <v>65</v>
      </c>
      <c r="C94" s="40">
        <v>76.25</v>
      </c>
      <c r="D94" s="41">
        <v>75</v>
      </c>
      <c r="E94" s="42">
        <v>77.340022981273407</v>
      </c>
      <c r="F94" s="43">
        <v>43.333333333333336</v>
      </c>
      <c r="G94" s="44">
        <v>0.92035842027448089</v>
      </c>
      <c r="H94" s="44"/>
      <c r="I94" s="44"/>
      <c r="J94" s="44"/>
      <c r="K94" s="44"/>
      <c r="L94" s="44"/>
      <c r="M94" s="44">
        <f t="shared" si="3"/>
        <v>66.318821876079298</v>
      </c>
      <c r="N94">
        <f t="shared" si="4"/>
        <v>59.823297317841259</v>
      </c>
      <c r="O94">
        <f t="shared" si="5"/>
        <v>71.180541375036839</v>
      </c>
    </row>
    <row r="95" spans="1:15" ht="18" x14ac:dyDescent="0.25">
      <c r="A95" s="38" t="s">
        <v>92</v>
      </c>
      <c r="B95" s="39">
        <v>20</v>
      </c>
      <c r="C95" s="40">
        <v>76.25</v>
      </c>
      <c r="D95" s="41">
        <v>91.666666666666671</v>
      </c>
      <c r="E95" s="42">
        <v>57.520700225688586</v>
      </c>
      <c r="F95" s="43">
        <v>60</v>
      </c>
      <c r="G95" s="44">
        <v>0.97202131166840344</v>
      </c>
      <c r="H95" s="44"/>
      <c r="I95" s="44"/>
      <c r="J95" s="44"/>
      <c r="K95" s="44"/>
      <c r="L95" s="44"/>
      <c r="M95" s="44">
        <f t="shared" si="3"/>
        <v>58.661489191111265</v>
      </c>
      <c r="N95">
        <f t="shared" si="4"/>
        <v>19.440426233368068</v>
      </c>
      <c r="O95">
        <f t="shared" si="5"/>
        <v>55.91134648145885</v>
      </c>
    </row>
    <row r="96" spans="1:15" ht="18" x14ac:dyDescent="0.25">
      <c r="A96" s="38" t="s">
        <v>93</v>
      </c>
      <c r="B96" s="39">
        <v>10</v>
      </c>
      <c r="C96" s="40">
        <v>88.75</v>
      </c>
      <c r="D96" s="41">
        <v>66.666666666666671</v>
      </c>
      <c r="E96" s="42">
        <v>63.581017110725796</v>
      </c>
      <c r="F96" s="43">
        <v>60</v>
      </c>
      <c r="G96" s="44">
        <v>0.97326039103799267</v>
      </c>
      <c r="H96" s="44"/>
      <c r="I96" s="44"/>
      <c r="J96" s="44"/>
      <c r="K96" s="44"/>
      <c r="L96" s="44"/>
      <c r="M96" s="44">
        <f t="shared" si="3"/>
        <v>57.260786454809477</v>
      </c>
      <c r="N96">
        <f t="shared" si="4"/>
        <v>9.7326039103799271</v>
      </c>
      <c r="O96">
        <f t="shared" si="5"/>
        <v>61.880885575778294</v>
      </c>
    </row>
    <row r="97" spans="1:15" ht="18" x14ac:dyDescent="0.25">
      <c r="A97" s="38" t="s">
        <v>94</v>
      </c>
      <c r="B97" s="39">
        <v>65</v>
      </c>
      <c r="C97" s="40">
        <v>0</v>
      </c>
      <c r="D97" s="41">
        <v>8.3333333333333339</v>
      </c>
      <c r="E97" s="42">
        <v>63.574076641181847</v>
      </c>
      <c r="F97" s="43">
        <v>13.333333333333334</v>
      </c>
      <c r="G97" s="44">
        <v>0.92035842027448089</v>
      </c>
      <c r="H97" s="44"/>
      <c r="I97" s="44"/>
      <c r="J97" s="44"/>
      <c r="K97" s="44"/>
      <c r="L97" s="44"/>
      <c r="M97" s="44">
        <f t="shared" si="3"/>
        <v>32.767940487934318</v>
      </c>
      <c r="N97">
        <f t="shared" si="4"/>
        <v>59.823297317841259</v>
      </c>
      <c r="O97">
        <f t="shared" si="5"/>
        <v>58.510936747886902</v>
      </c>
    </row>
    <row r="98" spans="1:15" ht="18" x14ac:dyDescent="0.25">
      <c r="A98" s="38" t="s">
        <v>95</v>
      </c>
      <c r="B98" s="39">
        <v>65</v>
      </c>
      <c r="C98" s="40">
        <v>88.75</v>
      </c>
      <c r="D98" s="41">
        <v>91.666666666666671</v>
      </c>
      <c r="E98" s="42">
        <v>68.293799920874875</v>
      </c>
      <c r="F98" s="43">
        <v>66.666666666666671</v>
      </c>
      <c r="G98" s="44">
        <v>0.94411173014782024</v>
      </c>
      <c r="H98" s="44"/>
      <c r="I98" s="44"/>
      <c r="J98" s="44"/>
      <c r="K98" s="44"/>
      <c r="L98" s="44"/>
      <c r="M98" s="44">
        <f t="shared" si="3"/>
        <v>73.116545772421532</v>
      </c>
      <c r="N98">
        <f t="shared" si="4"/>
        <v>61.367262459608312</v>
      </c>
      <c r="O98">
        <f t="shared" si="5"/>
        <v>64.476977601666249</v>
      </c>
    </row>
    <row r="99" spans="1:15" ht="18" x14ac:dyDescent="0.25">
      <c r="A99" s="38" t="s">
        <v>96</v>
      </c>
      <c r="B99" s="39">
        <v>35</v>
      </c>
      <c r="C99" s="40">
        <v>77.5</v>
      </c>
      <c r="D99" s="41">
        <v>83.333333333333329</v>
      </c>
      <c r="E99" s="42">
        <v>63.728306937160696</v>
      </c>
      <c r="F99" s="43">
        <v>66.666666666666671</v>
      </c>
      <c r="G99" s="44">
        <v>0.94595776893775008</v>
      </c>
      <c r="H99" s="44"/>
      <c r="I99" s="44"/>
      <c r="J99" s="44"/>
      <c r="K99" s="44"/>
      <c r="L99" s="44"/>
      <c r="M99" s="44">
        <f t="shared" si="3"/>
        <v>62.706990497101259</v>
      </c>
      <c r="N99">
        <f t="shared" si="4"/>
        <v>33.108521912821253</v>
      </c>
      <c r="O99">
        <f t="shared" si="5"/>
        <v>60.284287048456676</v>
      </c>
    </row>
    <row r="100" spans="1:15" ht="18" x14ac:dyDescent="0.25">
      <c r="A100" s="38" t="s">
        <v>97</v>
      </c>
      <c r="B100" s="39">
        <v>42.5</v>
      </c>
      <c r="C100" s="40">
        <v>36.25</v>
      </c>
      <c r="D100" s="41">
        <v>58.333333333333336</v>
      </c>
      <c r="E100" s="42">
        <v>47.657002330801603</v>
      </c>
      <c r="F100" s="43">
        <v>26.666666666666668</v>
      </c>
      <c r="G100" s="44">
        <v>1.0861884242329052</v>
      </c>
      <c r="H100" s="44"/>
      <c r="I100" s="44"/>
      <c r="J100" s="44"/>
      <c r="K100" s="44"/>
      <c r="L100" s="44"/>
      <c r="M100" s="44">
        <f t="shared" si="3"/>
        <v>44.76194688558688</v>
      </c>
      <c r="N100">
        <f t="shared" si="4"/>
        <v>46.163008029898471</v>
      </c>
      <c r="O100">
        <f t="shared" si="5"/>
        <v>51.764484265357282</v>
      </c>
    </row>
    <row r="101" spans="1:15" ht="18" x14ac:dyDescent="0.25">
      <c r="A101" s="38" t="s">
        <v>98</v>
      </c>
      <c r="B101" s="39">
        <v>10</v>
      </c>
      <c r="C101" s="40">
        <v>53.75</v>
      </c>
      <c r="D101" s="41">
        <v>41.666666666666664</v>
      </c>
      <c r="E101" s="42">
        <v>58.658203949358679</v>
      </c>
      <c r="F101" s="43">
        <v>43.333333333333336</v>
      </c>
      <c r="G101" s="44">
        <v>0.98832016945080292</v>
      </c>
      <c r="H101" s="44"/>
      <c r="I101" s="44"/>
      <c r="J101" s="44"/>
      <c r="K101" s="44"/>
      <c r="L101" s="44"/>
      <c r="M101" s="44">
        <f t="shared" si="3"/>
        <v>42.868566158974588</v>
      </c>
      <c r="N101">
        <f t="shared" si="4"/>
        <v>9.8832016945080294</v>
      </c>
      <c r="O101">
        <f t="shared" si="5"/>
        <v>57.973086066909929</v>
      </c>
    </row>
    <row r="102" spans="1:15" ht="18" x14ac:dyDescent="0.25">
      <c r="A102" s="38" t="s">
        <v>99</v>
      </c>
      <c r="B102" s="39">
        <v>10</v>
      </c>
      <c r="C102" s="40">
        <v>47.5</v>
      </c>
      <c r="D102" s="41">
        <v>41.666666666666664</v>
      </c>
      <c r="E102" s="42">
        <v>54.531458938815547</v>
      </c>
      <c r="F102" s="43">
        <v>13.333333333333334</v>
      </c>
      <c r="G102" s="44">
        <v>1.0628555374028341</v>
      </c>
      <c r="H102" s="44"/>
      <c r="I102" s="44"/>
      <c r="J102" s="44"/>
      <c r="K102" s="44"/>
      <c r="L102" s="44"/>
      <c r="M102" s="44">
        <f t="shared" si="3"/>
        <v>37.263430003538282</v>
      </c>
      <c r="N102">
        <f t="shared" si="4"/>
        <v>10.628555374028341</v>
      </c>
      <c r="O102">
        <f t="shared" si="5"/>
        <v>57.959063095775377</v>
      </c>
    </row>
    <row r="103" spans="1:15" ht="18" x14ac:dyDescent="0.25">
      <c r="A103" s="38" t="s">
        <v>100</v>
      </c>
      <c r="B103" s="39">
        <v>0</v>
      </c>
      <c r="C103" s="40">
        <v>6.25</v>
      </c>
      <c r="D103" s="41">
        <v>8.3333333333333339</v>
      </c>
      <c r="E103" s="42">
        <v>55.913601250324703</v>
      </c>
      <c r="F103" s="43">
        <v>13.333333333333334</v>
      </c>
      <c r="G103" s="44">
        <v>1.0861884242329052</v>
      </c>
      <c r="H103" s="44"/>
      <c r="I103" s="44"/>
      <c r="J103" s="44"/>
      <c r="K103" s="44"/>
      <c r="L103" s="44"/>
      <c r="M103" s="44">
        <f t="shared" si="3"/>
        <v>22.719811930583155</v>
      </c>
      <c r="N103">
        <f t="shared" si="4"/>
        <v>0</v>
      </c>
      <c r="O103">
        <f t="shared" si="5"/>
        <v>60.732706435277187</v>
      </c>
    </row>
    <row r="104" spans="1:15" ht="18" x14ac:dyDescent="0.25">
      <c r="A104" s="38" t="s">
        <v>101</v>
      </c>
      <c r="B104" s="39">
        <v>0</v>
      </c>
      <c r="C104" s="40">
        <v>66.25</v>
      </c>
      <c r="D104" s="41">
        <v>66.666666666666671</v>
      </c>
      <c r="E104" s="42">
        <v>44.874515936945159</v>
      </c>
      <c r="F104" s="43">
        <v>50</v>
      </c>
      <c r="G104" s="44">
        <v>1.0861884242329052</v>
      </c>
      <c r="H104" s="44"/>
      <c r="I104" s="44"/>
      <c r="J104" s="44"/>
      <c r="K104" s="44"/>
      <c r="L104" s="44"/>
      <c r="M104" s="44">
        <f t="shared" si="3"/>
        <v>45.372653926129452</v>
      </c>
      <c r="N104">
        <f t="shared" si="4"/>
        <v>0</v>
      </c>
      <c r="O104">
        <f t="shared" si="5"/>
        <v>48.742179753764852</v>
      </c>
    </row>
    <row r="105" spans="1:15" ht="18" x14ac:dyDescent="0.25">
      <c r="A105" s="38" t="s">
        <v>102</v>
      </c>
      <c r="B105" s="39">
        <v>20</v>
      </c>
      <c r="C105" s="40">
        <v>43.75</v>
      </c>
      <c r="D105" s="41">
        <v>58.333333333333336</v>
      </c>
      <c r="E105" s="42">
        <v>53.267246217200132</v>
      </c>
      <c r="F105" s="43">
        <v>60</v>
      </c>
      <c r="G105" s="44">
        <v>0.98935980744804897</v>
      </c>
      <c r="H105" s="44"/>
      <c r="I105" s="44"/>
      <c r="J105" s="44"/>
      <c r="K105" s="44"/>
      <c r="L105" s="44"/>
      <c r="M105" s="44">
        <f t="shared" si="3"/>
        <v>46.267580968013277</v>
      </c>
      <c r="N105">
        <f t="shared" si="4"/>
        <v>19.78719614896098</v>
      </c>
      <c r="O105">
        <f t="shared" si="5"/>
        <v>52.70047246073694</v>
      </c>
    </row>
    <row r="106" spans="1:15" ht="18" x14ac:dyDescent="0.25">
      <c r="A106" s="38" t="s">
        <v>103</v>
      </c>
      <c r="B106" s="39">
        <v>10</v>
      </c>
      <c r="C106" s="40">
        <v>50</v>
      </c>
      <c r="D106" s="41">
        <v>66.666666666666671</v>
      </c>
      <c r="E106" s="42">
        <v>44.014297539756768</v>
      </c>
      <c r="F106" s="43">
        <v>43.333333333333336</v>
      </c>
      <c r="G106" s="44">
        <v>0.99712728574066567</v>
      </c>
      <c r="H106" s="44"/>
      <c r="I106" s="44"/>
      <c r="J106" s="44"/>
      <c r="K106" s="44"/>
      <c r="L106" s="44"/>
      <c r="M106" s="44">
        <f t="shared" si="3"/>
        <v>41.660611683361246</v>
      </c>
      <c r="N106">
        <f t="shared" si="4"/>
        <v>9.9712728574066567</v>
      </c>
      <c r="O106">
        <f t="shared" si="5"/>
        <v>43.887857039599723</v>
      </c>
    </row>
    <row r="107" spans="1:15" ht="18" x14ac:dyDescent="0.25">
      <c r="A107" s="38" t="s">
        <v>104</v>
      </c>
      <c r="B107" s="39">
        <v>10</v>
      </c>
      <c r="C107" s="40">
        <v>50</v>
      </c>
      <c r="D107" s="41">
        <v>66.666666666666671</v>
      </c>
      <c r="E107" s="42">
        <v>54.128472989027394</v>
      </c>
      <c r="F107" s="43">
        <v>60</v>
      </c>
      <c r="G107" s="44">
        <v>0.92135930496978646</v>
      </c>
      <c r="H107" s="44"/>
      <c r="I107" s="44"/>
      <c r="J107" s="44"/>
      <c r="K107" s="44"/>
      <c r="L107" s="44"/>
      <c r="M107" s="44">
        <f t="shared" si="3"/>
        <v>45.804250285613413</v>
      </c>
      <c r="N107">
        <f t="shared" si="4"/>
        <v>9.2135930496978649</v>
      </c>
      <c r="O107">
        <f t="shared" si="5"/>
        <v>49.871772252246139</v>
      </c>
    </row>
    <row r="108" spans="1:15" ht="18" x14ac:dyDescent="0.25">
      <c r="A108" s="38" t="s">
        <v>105</v>
      </c>
      <c r="B108" s="39">
        <v>10</v>
      </c>
      <c r="C108" s="40">
        <v>53.75</v>
      </c>
      <c r="D108" s="41">
        <v>41.666666666666664</v>
      </c>
      <c r="E108" s="42">
        <v>66.132994923006819</v>
      </c>
      <c r="F108" s="43">
        <v>43.333333333333336</v>
      </c>
      <c r="G108" s="44">
        <v>1.0861884242329052</v>
      </c>
      <c r="H108" s="44"/>
      <c r="I108" s="44"/>
      <c r="J108" s="44"/>
      <c r="K108" s="44"/>
      <c r="L108" s="44"/>
      <c r="M108" s="44">
        <f t="shared" si="3"/>
        <v>47.222244912032856</v>
      </c>
      <c r="N108">
        <f t="shared" si="4"/>
        <v>10.861884242329051</v>
      </c>
      <c r="O108">
        <f t="shared" si="5"/>
        <v>71.832893545223499</v>
      </c>
    </row>
    <row r="109" spans="1:15" ht="18" x14ac:dyDescent="0.25">
      <c r="A109" s="38" t="s">
        <v>106</v>
      </c>
      <c r="B109" s="39">
        <v>65</v>
      </c>
      <c r="C109" s="40">
        <v>47.5</v>
      </c>
      <c r="D109" s="41">
        <v>16.666666666666668</v>
      </c>
      <c r="E109" s="42">
        <v>58.80508896552459</v>
      </c>
      <c r="F109" s="43">
        <v>26.666666666666668</v>
      </c>
      <c r="G109" s="44">
        <v>1.0160806602136412</v>
      </c>
      <c r="H109" s="44"/>
      <c r="I109" s="44"/>
      <c r="J109" s="44"/>
      <c r="K109" s="44"/>
      <c r="L109" s="44"/>
      <c r="M109" s="44">
        <f t="shared" si="3"/>
        <v>47.134262668780977</v>
      </c>
      <c r="N109">
        <f t="shared" si="4"/>
        <v>66.045242913886682</v>
      </c>
      <c r="O109">
        <f t="shared" si="5"/>
        <v>59.750713620012128</v>
      </c>
    </row>
    <row r="110" spans="1:15" ht="18" x14ac:dyDescent="0.25">
      <c r="A110" s="38" t="s">
        <v>107</v>
      </c>
      <c r="B110" s="39">
        <v>32.5</v>
      </c>
      <c r="C110" s="40">
        <v>65</v>
      </c>
      <c r="D110" s="41">
        <v>83.333333333333329</v>
      </c>
      <c r="E110" s="42">
        <v>61.36727097148686</v>
      </c>
      <c r="F110" s="43">
        <v>26.666666666666668</v>
      </c>
      <c r="G110" s="44">
        <v>0.92035842027448089</v>
      </c>
      <c r="H110" s="44"/>
      <c r="I110" s="44"/>
      <c r="J110" s="44"/>
      <c r="K110" s="44"/>
      <c r="L110" s="44"/>
      <c r="M110" s="44">
        <f t="shared" si="3"/>
        <v>52.42629510214622</v>
      </c>
      <c r="N110">
        <f t="shared" si="4"/>
        <v>29.91164865892063</v>
      </c>
      <c r="O110">
        <f t="shared" si="5"/>
        <v>56.479884567873654</v>
      </c>
    </row>
    <row r="111" spans="1:15" ht="18" x14ac:dyDescent="0.25">
      <c r="A111" s="38" t="s">
        <v>108</v>
      </c>
      <c r="B111" s="39">
        <v>40</v>
      </c>
      <c r="C111" s="40">
        <v>58.75</v>
      </c>
      <c r="D111" s="41">
        <v>58.333333333333336</v>
      </c>
      <c r="E111" s="42">
        <v>59.947947582911681</v>
      </c>
      <c r="F111" s="43">
        <v>60</v>
      </c>
      <c r="G111" s="44">
        <v>0.94398917594650522</v>
      </c>
      <c r="H111" s="44"/>
      <c r="I111" s="44"/>
      <c r="J111" s="44"/>
      <c r="K111" s="44"/>
      <c r="L111" s="44"/>
      <c r="M111" s="44">
        <f t="shared" si="3"/>
        <v>54.028977499115172</v>
      </c>
      <c r="N111">
        <f t="shared" si="4"/>
        <v>37.759567037860208</v>
      </c>
      <c r="O111">
        <f t="shared" si="5"/>
        <v>56.590213638477088</v>
      </c>
    </row>
    <row r="112" spans="1:15" ht="18" x14ac:dyDescent="0.25">
      <c r="A112" s="38" t="s">
        <v>109</v>
      </c>
      <c r="B112" s="39">
        <v>20</v>
      </c>
      <c r="C112" s="40">
        <v>58.75</v>
      </c>
      <c r="D112" s="41">
        <v>66.666666666666671</v>
      </c>
      <c r="E112" s="42">
        <v>66.252309375905753</v>
      </c>
      <c r="F112" s="43">
        <v>66.666666666666671</v>
      </c>
      <c r="G112" s="44">
        <v>1.0861884242329052</v>
      </c>
      <c r="H112" s="44"/>
      <c r="I112" s="44"/>
      <c r="J112" s="44"/>
      <c r="K112" s="44"/>
      <c r="L112" s="44"/>
      <c r="M112" s="44">
        <f t="shared" si="3"/>
        <v>57.68350115377342</v>
      </c>
      <c r="N112">
        <f t="shared" si="4"/>
        <v>21.723768484658102</v>
      </c>
      <c r="O112">
        <f t="shared" si="5"/>
        <v>71.962491522806005</v>
      </c>
    </row>
    <row r="113" spans="1:15" ht="18" x14ac:dyDescent="0.25">
      <c r="A113" s="38" t="s">
        <v>110</v>
      </c>
      <c r="B113" s="39">
        <v>10</v>
      </c>
      <c r="C113" s="40">
        <v>83.75</v>
      </c>
      <c r="D113" s="41">
        <v>91.666666666666671</v>
      </c>
      <c r="E113" s="42">
        <v>73.783033021493509</v>
      </c>
      <c r="F113" s="43">
        <v>66.666666666666671</v>
      </c>
      <c r="G113" s="44">
        <v>1.0861884242329052</v>
      </c>
      <c r="H113" s="44"/>
      <c r="I113" s="44"/>
      <c r="J113" s="44"/>
      <c r="K113" s="44"/>
      <c r="L113" s="44"/>
      <c r="M113" s="44">
        <f t="shared" si="3"/>
        <v>66.715059760287943</v>
      </c>
      <c r="N113">
        <f t="shared" si="4"/>
        <v>10.861884242329051</v>
      </c>
      <c r="O113">
        <f t="shared" si="5"/>
        <v>80.14227637274044</v>
      </c>
    </row>
    <row r="114" spans="1:15" ht="18" x14ac:dyDescent="0.25">
      <c r="A114" s="38" t="s">
        <v>111</v>
      </c>
      <c r="B114" s="39">
        <v>42.5</v>
      </c>
      <c r="C114" s="40">
        <v>77.5</v>
      </c>
      <c r="D114" s="41">
        <v>91.666666666666671</v>
      </c>
      <c r="E114" s="42">
        <v>74.654481813744198</v>
      </c>
      <c r="F114" s="43">
        <v>66.666666666666671</v>
      </c>
      <c r="G114" s="44">
        <v>0.92035842027448089</v>
      </c>
      <c r="H114" s="44"/>
      <c r="I114" s="44"/>
      <c r="J114" s="44"/>
      <c r="K114" s="44"/>
      <c r="L114" s="44"/>
      <c r="M114" s="44">
        <f t="shared" si="3"/>
        <v>67.68571085688535</v>
      </c>
      <c r="N114">
        <f t="shared" si="4"/>
        <v>39.11523286166544</v>
      </c>
      <c r="O114">
        <f t="shared" si="5"/>
        <v>68.70888094850757</v>
      </c>
    </row>
    <row r="115" spans="1:15" ht="18" x14ac:dyDescent="0.25">
      <c r="A115" s="38" t="s">
        <v>112</v>
      </c>
      <c r="B115" s="39">
        <v>25</v>
      </c>
      <c r="C115" s="40">
        <v>72.5</v>
      </c>
      <c r="D115" s="41">
        <v>58.333333333333336</v>
      </c>
      <c r="E115" s="42">
        <v>67.201478926795801</v>
      </c>
      <c r="F115" s="43">
        <v>43.333333333333336</v>
      </c>
      <c r="G115" s="44">
        <v>1.0661507717311354</v>
      </c>
      <c r="H115" s="44"/>
      <c r="I115" s="44"/>
      <c r="J115" s="44"/>
      <c r="K115" s="44"/>
      <c r="L115" s="44"/>
      <c r="M115" s="44">
        <f t="shared" si="3"/>
        <v>56.57482644443877</v>
      </c>
      <c r="N115">
        <f t="shared" si="4"/>
        <v>26.653769293278383</v>
      </c>
      <c r="O115">
        <f t="shared" si="5"/>
        <v>71.646908619276971</v>
      </c>
    </row>
    <row r="116" spans="1:15" ht="18" x14ac:dyDescent="0.25">
      <c r="A116" s="38" t="s">
        <v>113</v>
      </c>
      <c r="B116" s="39">
        <v>75</v>
      </c>
      <c r="C116" s="40">
        <v>46.25</v>
      </c>
      <c r="D116" s="41">
        <v>66.666666666666671</v>
      </c>
      <c r="E116" s="42">
        <v>61.453985120714179</v>
      </c>
      <c r="F116" s="43">
        <v>26.666666666666668</v>
      </c>
      <c r="G116" s="44">
        <v>1.0861884242329052</v>
      </c>
      <c r="H116" s="44"/>
      <c r="I116" s="44"/>
      <c r="J116" s="44"/>
      <c r="K116" s="44"/>
      <c r="L116" s="44"/>
      <c r="M116" s="44">
        <f t="shared" si="3"/>
        <v>59.568008541823858</v>
      </c>
      <c r="N116">
        <f t="shared" si="4"/>
        <v>81.464131817467887</v>
      </c>
      <c r="O116">
        <f t="shared" si="5"/>
        <v>66.750607261100939</v>
      </c>
    </row>
    <row r="117" spans="1:15" ht="18" x14ac:dyDescent="0.25">
      <c r="A117" s="38" t="s">
        <v>114</v>
      </c>
      <c r="B117" s="39">
        <v>42.5</v>
      </c>
      <c r="C117" s="40">
        <v>90</v>
      </c>
      <c r="D117" s="41">
        <v>91.666666666666671</v>
      </c>
      <c r="E117" s="42">
        <v>63.652482245667144</v>
      </c>
      <c r="F117" s="43">
        <v>66.666666666666671</v>
      </c>
      <c r="G117" s="44">
        <v>1.0211326542639714</v>
      </c>
      <c r="H117" s="44"/>
      <c r="I117" s="44"/>
      <c r="J117" s="44"/>
      <c r="K117" s="44"/>
      <c r="L117" s="44"/>
      <c r="M117" s="44">
        <f t="shared" si="3"/>
        <v>69.928916005046275</v>
      </c>
      <c r="N117">
        <f t="shared" si="4"/>
        <v>43.398137806218784</v>
      </c>
      <c r="O117">
        <f t="shared" si="5"/>
        <v>64.99762814600841</v>
      </c>
    </row>
    <row r="118" spans="1:15" ht="18" x14ac:dyDescent="0.25">
      <c r="A118" s="38" t="s">
        <v>115</v>
      </c>
      <c r="B118" s="39">
        <v>32.5</v>
      </c>
      <c r="C118" s="40">
        <v>82.5</v>
      </c>
      <c r="D118" s="41">
        <v>83.333333333333329</v>
      </c>
      <c r="E118" s="42">
        <v>47.139980280516873</v>
      </c>
      <c r="F118" s="43">
        <v>66.666666666666671</v>
      </c>
      <c r="G118" s="44">
        <v>0.98703729020087061</v>
      </c>
      <c r="H118" s="44"/>
      <c r="I118" s="44"/>
      <c r="J118" s="44"/>
      <c r="K118" s="44"/>
      <c r="L118" s="44"/>
      <c r="M118" s="44">
        <f t="shared" si="3"/>
        <v>59.374417905166816</v>
      </c>
      <c r="N118">
        <f t="shared" si="4"/>
        <v>32.078711931528296</v>
      </c>
      <c r="O118">
        <f t="shared" si="5"/>
        <v>46.528918396203849</v>
      </c>
    </row>
    <row r="119" spans="1:15" ht="18" x14ac:dyDescent="0.25">
      <c r="A119" s="38" t="s">
        <v>116</v>
      </c>
      <c r="B119" s="39">
        <v>10</v>
      </c>
      <c r="C119" s="40">
        <v>53.75</v>
      </c>
      <c r="D119" s="41">
        <v>58.333333333333336</v>
      </c>
      <c r="E119" s="42">
        <v>53.853375205496988</v>
      </c>
      <c r="F119" s="43">
        <v>26.666666666666668</v>
      </c>
      <c r="G119" s="44">
        <v>1.0296970336996123</v>
      </c>
      <c r="H119" s="44"/>
      <c r="I119" s="44"/>
      <c r="J119" s="44"/>
      <c r="K119" s="44"/>
      <c r="L119" s="44"/>
      <c r="M119" s="44">
        <f t="shared" si="3"/>
        <v>42.195192278542976</v>
      </c>
      <c r="N119">
        <f t="shared" si="4"/>
        <v>10.296970336996123</v>
      </c>
      <c r="O119">
        <f t="shared" si="5"/>
        <v>55.452660703812498</v>
      </c>
    </row>
    <row r="120" spans="1:15" ht="18" x14ac:dyDescent="0.25">
      <c r="A120" s="38" t="s">
        <v>117</v>
      </c>
      <c r="B120" s="39">
        <v>62.5</v>
      </c>
      <c r="C120" s="40">
        <v>65</v>
      </c>
      <c r="D120" s="41">
        <v>50</v>
      </c>
      <c r="E120" s="42">
        <v>62.634002783027796</v>
      </c>
      <c r="F120" s="43">
        <v>43.333333333333336</v>
      </c>
      <c r="G120" s="44">
        <v>0.92035842027448089</v>
      </c>
      <c r="H120" s="44"/>
      <c r="I120" s="44"/>
      <c r="J120" s="44"/>
      <c r="K120" s="44"/>
      <c r="L120" s="44"/>
      <c r="M120" s="44">
        <f t="shared" si="3"/>
        <v>55.798199810487482</v>
      </c>
      <c r="N120">
        <f t="shared" si="4"/>
        <v>57.522401267155054</v>
      </c>
      <c r="O120">
        <f t="shared" si="5"/>
        <v>57.645731856854901</v>
      </c>
    </row>
    <row r="121" spans="1:15" ht="18" x14ac:dyDescent="0.25">
      <c r="A121" s="38" t="s">
        <v>118</v>
      </c>
      <c r="B121" s="39">
        <v>20</v>
      </c>
      <c r="C121" s="40">
        <v>53.75</v>
      </c>
      <c r="D121" s="41">
        <v>16.666666666666668</v>
      </c>
      <c r="E121" s="42">
        <v>79.275212462506886</v>
      </c>
      <c r="F121" s="43">
        <v>43.333333333333336</v>
      </c>
      <c r="G121" s="44">
        <v>0.95206965986969316</v>
      </c>
      <c r="H121" s="44"/>
      <c r="I121" s="44"/>
      <c r="J121" s="44"/>
      <c r="K121" s="44"/>
      <c r="L121" s="44"/>
      <c r="M121" s="44">
        <f t="shared" si="3"/>
        <v>46.200936009061749</v>
      </c>
      <c r="N121">
        <f t="shared" si="4"/>
        <v>19.041393197393862</v>
      </c>
      <c r="O121">
        <f t="shared" si="5"/>
        <v>75.475524565276586</v>
      </c>
    </row>
    <row r="122" spans="1:15" ht="18" x14ac:dyDescent="0.25">
      <c r="A122" s="38" t="s">
        <v>119</v>
      </c>
      <c r="B122" s="39">
        <v>65</v>
      </c>
      <c r="C122" s="40">
        <v>27.5</v>
      </c>
      <c r="D122" s="41">
        <v>41.666666666666664</v>
      </c>
      <c r="E122" s="42">
        <v>70.04722544079884</v>
      </c>
      <c r="F122" s="43">
        <v>13.333333333333334</v>
      </c>
      <c r="G122" s="44">
        <v>0.93330326212484827</v>
      </c>
      <c r="H122" s="44"/>
      <c r="I122" s="44"/>
      <c r="J122" s="44"/>
      <c r="K122" s="44"/>
      <c r="L122" s="44"/>
      <c r="M122" s="44">
        <f t="shared" si="3"/>
        <v>45.495533609630698</v>
      </c>
      <c r="N122">
        <f t="shared" si="4"/>
        <v>60.664712038115134</v>
      </c>
      <c r="O122">
        <f t="shared" si="5"/>
        <v>65.375304006692218</v>
      </c>
    </row>
    <row r="123" spans="1:15" ht="18" x14ac:dyDescent="0.25">
      <c r="A123" s="38" t="s">
        <v>120</v>
      </c>
      <c r="B123" s="39">
        <v>10</v>
      </c>
      <c r="C123" s="40">
        <v>76.25</v>
      </c>
      <c r="D123" s="41">
        <v>58.333333333333336</v>
      </c>
      <c r="E123" s="42">
        <v>53.142353537574323</v>
      </c>
      <c r="F123" s="43">
        <v>43.333333333333336</v>
      </c>
      <c r="G123" s="44">
        <v>0.94011939798767241</v>
      </c>
      <c r="H123" s="44"/>
      <c r="I123" s="44"/>
      <c r="J123" s="44"/>
      <c r="K123" s="44"/>
      <c r="L123" s="44"/>
      <c r="M123" s="44">
        <f t="shared" si="3"/>
        <v>47.368286020593075</v>
      </c>
      <c r="N123">
        <f t="shared" si="4"/>
        <v>9.4011939798767248</v>
      </c>
      <c r="O123">
        <f t="shared" si="5"/>
        <v>49.960157415392423</v>
      </c>
    </row>
    <row r="124" spans="1:15" ht="18" x14ac:dyDescent="0.25">
      <c r="A124" s="38" t="s">
        <v>691</v>
      </c>
      <c r="B124" s="39">
        <v>10</v>
      </c>
      <c r="C124" s="40">
        <v>77.5</v>
      </c>
      <c r="D124" s="41">
        <v>91.666666666666671</v>
      </c>
      <c r="E124" s="42">
        <v>65.978094549937865</v>
      </c>
      <c r="F124" s="43">
        <v>33.333333333333336</v>
      </c>
      <c r="G124" s="44">
        <v>0.95819293905114511</v>
      </c>
      <c r="H124" s="44"/>
      <c r="I124" s="44"/>
      <c r="J124" s="44"/>
      <c r="K124" s="44"/>
      <c r="L124" s="44"/>
      <c r="M124" s="44">
        <f t="shared" si="3"/>
        <v>55.132309177042082</v>
      </c>
      <c r="N124">
        <f t="shared" si="4"/>
        <v>9.5819293905114513</v>
      </c>
      <c r="O124">
        <f t="shared" si="5"/>
        <v>63.219744329799305</v>
      </c>
    </row>
    <row r="125" spans="1:15" ht="18" x14ac:dyDescent="0.25">
      <c r="A125" s="38" t="s">
        <v>122</v>
      </c>
      <c r="B125" s="39">
        <v>20</v>
      </c>
      <c r="C125" s="40">
        <v>21.25</v>
      </c>
      <c r="D125" s="41">
        <v>25</v>
      </c>
      <c r="E125" s="42">
        <v>53.46071462637893</v>
      </c>
      <c r="F125" s="43">
        <v>30</v>
      </c>
      <c r="G125" s="44">
        <v>1.0861884242329052</v>
      </c>
      <c r="H125" s="44"/>
      <c r="I125" s="44"/>
      <c r="J125" s="44"/>
      <c r="K125" s="44"/>
      <c r="L125" s="44"/>
      <c r="M125" s="44">
        <f t="shared" si="3"/>
        <v>34.265276510449084</v>
      </c>
      <c r="N125">
        <f t="shared" si="4"/>
        <v>21.723768484658102</v>
      </c>
      <c r="O125">
        <f t="shared" si="5"/>
        <v>58.068409378391557</v>
      </c>
    </row>
    <row r="126" spans="1:15" ht="18" x14ac:dyDescent="0.25">
      <c r="A126" s="38" t="s">
        <v>123</v>
      </c>
      <c r="B126" s="39">
        <v>22.5</v>
      </c>
      <c r="C126" s="40">
        <v>58.75</v>
      </c>
      <c r="D126" s="41">
        <v>33.333333333333336</v>
      </c>
      <c r="E126" s="42">
        <v>47.297892766933678</v>
      </c>
      <c r="F126" s="43">
        <v>26.666666666666668</v>
      </c>
      <c r="G126" s="44">
        <v>1.0312710225207264</v>
      </c>
      <c r="H126" s="44"/>
      <c r="I126" s="44"/>
      <c r="J126" s="44"/>
      <c r="K126" s="44"/>
      <c r="L126" s="44"/>
      <c r="M126" s="44">
        <f t="shared" si="3"/>
        <v>40.023803472392679</v>
      </c>
      <c r="N126">
        <f t="shared" si="4"/>
        <v>23.203598006716344</v>
      </c>
      <c r="O126">
        <f t="shared" si="5"/>
        <v>48.776946236831364</v>
      </c>
    </row>
    <row r="127" spans="1:15" ht="18" x14ac:dyDescent="0.25">
      <c r="A127" s="38" t="s">
        <v>124</v>
      </c>
      <c r="B127" s="39">
        <v>30</v>
      </c>
      <c r="C127" s="40">
        <v>32.5</v>
      </c>
      <c r="D127" s="41">
        <v>66.666666666666671</v>
      </c>
      <c r="E127" s="42">
        <v>57.345495329151902</v>
      </c>
      <c r="F127" s="43">
        <v>43.333333333333336</v>
      </c>
      <c r="G127" s="44">
        <v>0.92035842027448089</v>
      </c>
      <c r="H127" s="44"/>
      <c r="I127" s="44"/>
      <c r="J127" s="44"/>
      <c r="K127" s="44"/>
      <c r="L127" s="44"/>
      <c r="M127" s="44">
        <f t="shared" si="3"/>
        <v>44.355673368945645</v>
      </c>
      <c r="N127">
        <f t="shared" si="4"/>
        <v>27.610752608234428</v>
      </c>
      <c r="O127">
        <f t="shared" si="5"/>
        <v>52.77840949099587</v>
      </c>
    </row>
    <row r="128" spans="1:15" ht="18" x14ac:dyDescent="0.25">
      <c r="A128" s="38" t="s">
        <v>125</v>
      </c>
      <c r="B128" s="39">
        <v>77.5</v>
      </c>
      <c r="C128" s="40">
        <v>88.75</v>
      </c>
      <c r="D128" s="41">
        <v>75</v>
      </c>
      <c r="E128" s="42">
        <v>48.491377931751174</v>
      </c>
      <c r="F128" s="43">
        <v>60</v>
      </c>
      <c r="G128" s="44">
        <v>0.92035842027448089</v>
      </c>
      <c r="H128" s="44"/>
      <c r="I128" s="44"/>
      <c r="J128" s="44"/>
      <c r="K128" s="44"/>
      <c r="L128" s="44"/>
      <c r="M128" s="44">
        <f t="shared" si="3"/>
        <v>65.654389911314254</v>
      </c>
      <c r="N128">
        <f t="shared" si="4"/>
        <v>71.327777571272264</v>
      </c>
      <c r="O128">
        <f t="shared" si="5"/>
        <v>44.629447990199338</v>
      </c>
    </row>
    <row r="129" spans="1:15" ht="18" x14ac:dyDescent="0.25">
      <c r="A129" s="38" t="s">
        <v>126</v>
      </c>
      <c r="B129" s="39">
        <v>20</v>
      </c>
      <c r="C129" s="40">
        <v>65</v>
      </c>
      <c r="D129" s="41">
        <v>66.666666666666671</v>
      </c>
      <c r="E129" s="42">
        <v>56.399539553896943</v>
      </c>
      <c r="F129" s="43">
        <v>66.666666666666671</v>
      </c>
      <c r="G129" s="44">
        <v>1.0630637544670267</v>
      </c>
      <c r="H129" s="44"/>
      <c r="I129" s="44"/>
      <c r="J129" s="44"/>
      <c r="K129" s="44"/>
      <c r="L129" s="44"/>
      <c r="M129" s="44">
        <f t="shared" si="3"/>
        <v>55.239146898381286</v>
      </c>
      <c r="N129">
        <f t="shared" si="4"/>
        <v>21.261275089340536</v>
      </c>
      <c r="O129">
        <f t="shared" si="5"/>
        <v>59.956306268377261</v>
      </c>
    </row>
    <row r="130" spans="1:15" ht="18" x14ac:dyDescent="0.25">
      <c r="A130" s="38" t="s">
        <v>127</v>
      </c>
      <c r="B130" s="39">
        <v>0</v>
      </c>
      <c r="C130" s="40">
        <v>65</v>
      </c>
      <c r="D130" s="41">
        <v>75</v>
      </c>
      <c r="E130" s="42">
        <v>36.995270290956341</v>
      </c>
      <c r="F130" s="43">
        <v>43.333333333333336</v>
      </c>
      <c r="G130" s="44">
        <v>1.0257914060631408</v>
      </c>
      <c r="H130" s="44"/>
      <c r="I130" s="44"/>
      <c r="J130" s="44"/>
      <c r="K130" s="44"/>
      <c r="L130" s="44"/>
      <c r="M130" s="44">
        <f t="shared" si="3"/>
        <v>42.134829098833812</v>
      </c>
      <c r="N130">
        <f t="shared" si="4"/>
        <v>0</v>
      </c>
      <c r="O130">
        <f t="shared" si="5"/>
        <v>37.949430329446045</v>
      </c>
    </row>
    <row r="131" spans="1:15" ht="18" x14ac:dyDescent="0.25">
      <c r="A131" s="38" t="s">
        <v>128</v>
      </c>
      <c r="B131" s="39">
        <v>20</v>
      </c>
      <c r="C131" s="40">
        <v>45</v>
      </c>
      <c r="D131" s="41">
        <v>75</v>
      </c>
      <c r="E131" s="42">
        <v>62.41300000430752</v>
      </c>
      <c r="F131" s="43">
        <v>43.333333333333336</v>
      </c>
      <c r="G131" s="44">
        <v>0.92992508662066853</v>
      </c>
      <c r="H131" s="44"/>
      <c r="I131" s="44"/>
      <c r="J131" s="44"/>
      <c r="K131" s="44"/>
      <c r="L131" s="44"/>
      <c r="M131" s="44">
        <f t="shared" ref="M131:M194" si="6">((G131*$H$3*B131)+($I$3*C131)+($J$3*D131)+(G131*$K$3*E131)+($L$3*F131))</f>
        <v>47.881524677061108</v>
      </c>
      <c r="N131">
        <f t="shared" ref="N131:N194" si="7">B131*G131</f>
        <v>18.598501732413371</v>
      </c>
      <c r="O131">
        <f t="shared" ref="O131:O194" si="8">E131*G131</f>
        <v>58.039414435261456</v>
      </c>
    </row>
    <row r="132" spans="1:15" ht="18" x14ac:dyDescent="0.25">
      <c r="A132" s="38" t="s">
        <v>129</v>
      </c>
      <c r="B132" s="39">
        <v>0</v>
      </c>
      <c r="C132" s="40">
        <v>50</v>
      </c>
      <c r="D132" s="41">
        <v>83.333333333333329</v>
      </c>
      <c r="E132" s="42">
        <v>54.982557967500973</v>
      </c>
      <c r="F132" s="43">
        <v>43.333333333333336</v>
      </c>
      <c r="G132" s="44">
        <v>0.92035842027448089</v>
      </c>
      <c r="H132" s="44"/>
      <c r="I132" s="44"/>
      <c r="J132" s="44"/>
      <c r="K132" s="44"/>
      <c r="L132" s="44"/>
      <c r="M132" s="44">
        <f t="shared" si="6"/>
        <v>44.18109805808578</v>
      </c>
      <c r="N132">
        <f t="shared" si="7"/>
        <v>0</v>
      </c>
      <c r="O132">
        <f t="shared" si="8"/>
        <v>50.60366019361927</v>
      </c>
    </row>
    <row r="133" spans="1:15" ht="18" x14ac:dyDescent="0.25">
      <c r="A133" s="38" t="s">
        <v>130</v>
      </c>
      <c r="B133" s="39">
        <v>10</v>
      </c>
      <c r="C133" s="40">
        <v>65</v>
      </c>
      <c r="D133" s="41">
        <v>83.333333333333329</v>
      </c>
      <c r="E133" s="42">
        <v>73.639802780338783</v>
      </c>
      <c r="F133" s="43">
        <v>33.333333333333336</v>
      </c>
      <c r="G133" s="44">
        <v>0.92035842027448089</v>
      </c>
      <c r="H133" s="44"/>
      <c r="I133" s="44"/>
      <c r="J133" s="44"/>
      <c r="K133" s="44"/>
      <c r="L133" s="44"/>
      <c r="M133" s="44">
        <f t="shared" si="6"/>
        <v>52.673220607420035</v>
      </c>
      <c r="N133">
        <f t="shared" si="7"/>
        <v>9.2035842027448087</v>
      </c>
      <c r="O133">
        <f t="shared" si="8"/>
        <v>67.775012556236931</v>
      </c>
    </row>
    <row r="134" spans="1:15" ht="18" x14ac:dyDescent="0.25">
      <c r="A134" s="38" t="s">
        <v>131</v>
      </c>
      <c r="B134" s="39">
        <v>0</v>
      </c>
      <c r="C134" s="40">
        <v>65</v>
      </c>
      <c r="D134" s="41">
        <v>66.666666666666671</v>
      </c>
      <c r="E134" s="42">
        <v>72.555982922729143</v>
      </c>
      <c r="F134" s="43">
        <v>26.666666666666668</v>
      </c>
      <c r="G134" s="44">
        <v>0.92035842027448089</v>
      </c>
      <c r="H134" s="44"/>
      <c r="I134" s="44"/>
      <c r="J134" s="44"/>
      <c r="K134" s="44"/>
      <c r="L134" s="44"/>
      <c r="M134" s="44">
        <f t="shared" si="6"/>
        <v>47.033252947267556</v>
      </c>
      <c r="N134">
        <f t="shared" si="7"/>
        <v>0</v>
      </c>
      <c r="O134">
        <f t="shared" si="8"/>
        <v>66.777509824225206</v>
      </c>
    </row>
    <row r="135" spans="1:15" ht="18" x14ac:dyDescent="0.25">
      <c r="A135" s="38" t="s">
        <v>132</v>
      </c>
      <c r="B135" s="39">
        <v>0</v>
      </c>
      <c r="C135" s="40">
        <v>76.25</v>
      </c>
      <c r="D135" s="41">
        <v>66.666666666666671</v>
      </c>
      <c r="E135" s="42">
        <v>47.16249055827123</v>
      </c>
      <c r="F135" s="43">
        <v>50</v>
      </c>
      <c r="G135" s="44">
        <v>1.0188244175697843</v>
      </c>
      <c r="H135" s="44"/>
      <c r="I135" s="44"/>
      <c r="J135" s="44"/>
      <c r="K135" s="44"/>
      <c r="L135" s="44"/>
      <c r="M135" s="44">
        <f t="shared" si="6"/>
        <v>47.165089092251336</v>
      </c>
      <c r="N135">
        <f t="shared" si="7"/>
        <v>0</v>
      </c>
      <c r="O135">
        <f t="shared" si="8"/>
        <v>48.050296974171133</v>
      </c>
    </row>
    <row r="136" spans="1:15" ht="18" x14ac:dyDescent="0.25">
      <c r="A136" s="38" t="s">
        <v>133</v>
      </c>
      <c r="B136" s="39">
        <v>10</v>
      </c>
      <c r="C136" s="40">
        <v>88.75</v>
      </c>
      <c r="D136" s="41">
        <v>91.666666666666671</v>
      </c>
      <c r="E136" s="42">
        <v>87.502182322135837</v>
      </c>
      <c r="F136" s="43">
        <v>66.666666666666671</v>
      </c>
      <c r="G136" s="44">
        <v>0.99789863864612149</v>
      </c>
      <c r="H136" s="44"/>
      <c r="I136" s="44"/>
      <c r="J136" s="44"/>
      <c r="K136" s="44"/>
      <c r="L136" s="44"/>
      <c r="M136" s="44">
        <f t="shared" si="6"/>
        <v>69.691289862639451</v>
      </c>
      <c r="N136">
        <f t="shared" si="7"/>
        <v>9.9789863864612158</v>
      </c>
      <c r="O136">
        <f t="shared" si="8"/>
        <v>87.318308617824073</v>
      </c>
    </row>
    <row r="137" spans="1:15" ht="18" x14ac:dyDescent="0.25">
      <c r="A137" s="38" t="s">
        <v>134</v>
      </c>
      <c r="B137" s="39">
        <v>57.5</v>
      </c>
      <c r="C137" s="40">
        <v>60</v>
      </c>
      <c r="D137" s="41">
        <v>58.333333333333336</v>
      </c>
      <c r="E137" s="42">
        <v>45.106290581936676</v>
      </c>
      <c r="F137" s="43">
        <v>13.333333333333334</v>
      </c>
      <c r="G137" s="44">
        <v>1.0465712588631939</v>
      </c>
      <c r="H137" s="44"/>
      <c r="I137" s="44"/>
      <c r="J137" s="44"/>
      <c r="K137" s="44"/>
      <c r="L137" s="44"/>
      <c r="M137" s="44">
        <f t="shared" si="6"/>
        <v>48.947653672022682</v>
      </c>
      <c r="N137">
        <f t="shared" si="7"/>
        <v>60.177847384633651</v>
      </c>
      <c r="O137">
        <f t="shared" si="8"/>
        <v>47.206947316986493</v>
      </c>
    </row>
    <row r="138" spans="1:15" ht="18" x14ac:dyDescent="0.25">
      <c r="A138" s="38" t="s">
        <v>135</v>
      </c>
      <c r="B138" s="39">
        <v>75</v>
      </c>
      <c r="C138" s="40">
        <v>27.5</v>
      </c>
      <c r="D138" s="41">
        <v>16.666666666666668</v>
      </c>
      <c r="E138" s="42">
        <v>76.128195684245668</v>
      </c>
      <c r="F138" s="43">
        <v>26.666666666666668</v>
      </c>
      <c r="G138" s="44">
        <v>0.922003899419229</v>
      </c>
      <c r="H138" s="44"/>
      <c r="I138" s="44"/>
      <c r="J138" s="44"/>
      <c r="K138" s="44"/>
      <c r="L138" s="44"/>
      <c r="M138" s="44">
        <f t="shared" si="6"/>
        <v>46.887206474275828</v>
      </c>
      <c r="N138">
        <f t="shared" si="7"/>
        <v>69.150292456442173</v>
      </c>
      <c r="O138">
        <f t="shared" si="8"/>
        <v>70.190493276624622</v>
      </c>
    </row>
    <row r="139" spans="1:15" ht="18" x14ac:dyDescent="0.25">
      <c r="A139" s="38" t="s">
        <v>136</v>
      </c>
      <c r="B139" s="39">
        <v>10</v>
      </c>
      <c r="C139" s="40">
        <v>82.5</v>
      </c>
      <c r="D139" s="41">
        <v>75</v>
      </c>
      <c r="E139" s="42">
        <v>56.925240340837568</v>
      </c>
      <c r="F139" s="43">
        <v>60</v>
      </c>
      <c r="G139" s="44">
        <v>0.92035842027448089</v>
      </c>
      <c r="H139" s="44"/>
      <c r="I139" s="44"/>
      <c r="J139" s="44"/>
      <c r="K139" s="44"/>
      <c r="L139" s="44"/>
      <c r="M139" s="44">
        <f t="shared" si="6"/>
        <v>54.308204122700488</v>
      </c>
      <c r="N139">
        <f t="shared" si="7"/>
        <v>9.2035842027448087</v>
      </c>
      <c r="O139">
        <f t="shared" si="8"/>
        <v>52.391624273838417</v>
      </c>
    </row>
    <row r="140" spans="1:15" ht="18" x14ac:dyDescent="0.25">
      <c r="A140" s="38" t="s">
        <v>692</v>
      </c>
      <c r="B140" s="39">
        <v>0</v>
      </c>
      <c r="C140" s="40">
        <v>82.5</v>
      </c>
      <c r="D140" s="41">
        <v>75</v>
      </c>
      <c r="E140" s="42">
        <v>64.768363738346778</v>
      </c>
      <c r="F140" s="43">
        <v>60</v>
      </c>
      <c r="G140" s="44">
        <v>1.0594613390750269</v>
      </c>
      <c r="H140" s="44"/>
      <c r="I140" s="44"/>
      <c r="J140" s="44"/>
      <c r="K140" s="44"/>
      <c r="L140" s="44"/>
      <c r="M140" s="44">
        <f t="shared" si="6"/>
        <v>57.335873212778182</v>
      </c>
      <c r="N140">
        <f t="shared" si="7"/>
        <v>0</v>
      </c>
      <c r="O140">
        <f t="shared" si="8"/>
        <v>68.619577375927292</v>
      </c>
    </row>
    <row r="141" spans="1:15" ht="18" x14ac:dyDescent="0.25">
      <c r="A141" s="38" t="s">
        <v>138</v>
      </c>
      <c r="B141" s="39">
        <v>0</v>
      </c>
      <c r="C141" s="40">
        <v>40</v>
      </c>
      <c r="D141" s="41">
        <v>25</v>
      </c>
      <c r="E141" s="42">
        <v>55.467858081792002</v>
      </c>
      <c r="F141" s="43">
        <v>43.333333333333336</v>
      </c>
      <c r="G141" s="44">
        <v>1.04797426478682</v>
      </c>
      <c r="H141" s="44"/>
      <c r="I141" s="44"/>
      <c r="J141" s="44"/>
      <c r="K141" s="44"/>
      <c r="L141" s="44"/>
      <c r="M141" s="44">
        <f t="shared" si="6"/>
        <v>35.688666337769689</v>
      </c>
      <c r="N141">
        <f t="shared" si="7"/>
        <v>0</v>
      </c>
      <c r="O141">
        <f t="shared" si="8"/>
        <v>58.128887792565642</v>
      </c>
    </row>
    <row r="142" spans="1:15" ht="18" x14ac:dyDescent="0.25">
      <c r="A142" s="38" t="s">
        <v>139</v>
      </c>
      <c r="B142" s="39">
        <v>75</v>
      </c>
      <c r="C142" s="40">
        <v>75</v>
      </c>
      <c r="D142" s="41">
        <v>66.666666666666671</v>
      </c>
      <c r="E142" s="42">
        <v>46.267038663349794</v>
      </c>
      <c r="F142" s="43">
        <v>66.666666666666671</v>
      </c>
      <c r="G142" s="44">
        <v>1.0248350670547226</v>
      </c>
      <c r="H142" s="44"/>
      <c r="I142" s="44"/>
      <c r="J142" s="44"/>
      <c r="K142" s="44"/>
      <c r="L142" s="44"/>
      <c r="M142" s="44">
        <f t="shared" si="6"/>
        <v>64.597351107114093</v>
      </c>
      <c r="N142">
        <f t="shared" si="7"/>
        <v>76.862630029104196</v>
      </c>
      <c r="O142">
        <f t="shared" si="8"/>
        <v>47.416083670977528</v>
      </c>
    </row>
    <row r="143" spans="1:15" ht="18" x14ac:dyDescent="0.25">
      <c r="A143" s="38" t="s">
        <v>140</v>
      </c>
      <c r="B143" s="39">
        <v>10</v>
      </c>
      <c r="C143" s="40">
        <v>32.5</v>
      </c>
      <c r="D143" s="41">
        <v>25</v>
      </c>
      <c r="E143" s="42">
        <v>58.625377358077813</v>
      </c>
      <c r="F143" s="43">
        <v>43.333333333333336</v>
      </c>
      <c r="G143" s="44">
        <v>0.99846477727292804</v>
      </c>
      <c r="H143" s="44"/>
      <c r="I143" s="44"/>
      <c r="J143" s="44"/>
      <c r="K143" s="44"/>
      <c r="L143" s="44"/>
      <c r="M143" s="44">
        <f t="shared" si="6"/>
        <v>36.307541858458215</v>
      </c>
      <c r="N143">
        <f t="shared" si="7"/>
        <v>9.9846477727292804</v>
      </c>
      <c r="O143">
        <f t="shared" si="8"/>
        <v>58.535374346374525</v>
      </c>
    </row>
    <row r="144" spans="1:15" ht="18" x14ac:dyDescent="0.25">
      <c r="A144" s="38" t="s">
        <v>141</v>
      </c>
      <c r="B144" s="39">
        <v>20</v>
      </c>
      <c r="C144" s="40">
        <v>72.5</v>
      </c>
      <c r="D144" s="41">
        <v>83.333333333333329</v>
      </c>
      <c r="E144" s="42">
        <v>56.555179689140516</v>
      </c>
      <c r="F144" s="43">
        <v>60</v>
      </c>
      <c r="G144" s="44">
        <v>0.97679200921662279</v>
      </c>
      <c r="H144" s="44"/>
      <c r="I144" s="44"/>
      <c r="J144" s="44"/>
      <c r="K144" s="44"/>
      <c r="L144" s="44"/>
      <c r="M144" s="44">
        <f t="shared" si="6"/>
        <v>56.479962316915291</v>
      </c>
      <c r="N144">
        <f t="shared" si="7"/>
        <v>19.535840184332457</v>
      </c>
      <c r="O144">
        <f t="shared" si="8"/>
        <v>55.242647600162698</v>
      </c>
    </row>
    <row r="145" spans="1:15" ht="18" x14ac:dyDescent="0.25">
      <c r="A145" s="38" t="s">
        <v>142</v>
      </c>
      <c r="B145" s="39">
        <v>20</v>
      </c>
      <c r="C145" s="40">
        <v>76.25</v>
      </c>
      <c r="D145" s="41">
        <v>91.666666666666671</v>
      </c>
      <c r="E145" s="42">
        <v>63.913717855164379</v>
      </c>
      <c r="F145" s="43">
        <v>60</v>
      </c>
      <c r="G145" s="44">
        <v>0.98830924735064807</v>
      </c>
      <c r="H145" s="44"/>
      <c r="I145" s="44"/>
      <c r="J145" s="44"/>
      <c r="K145" s="44"/>
      <c r="L145" s="44"/>
      <c r="M145" s="44">
        <f t="shared" si="6"/>
        <v>60.903192506048356</v>
      </c>
      <c r="N145">
        <f t="shared" si="7"/>
        <v>19.76618494701296</v>
      </c>
      <c r="O145">
        <f t="shared" si="8"/>
        <v>63.166518388819185</v>
      </c>
    </row>
    <row r="146" spans="1:15" ht="18" x14ac:dyDescent="0.25">
      <c r="A146" s="38" t="s">
        <v>143</v>
      </c>
      <c r="B146" s="39">
        <v>75</v>
      </c>
      <c r="C146" s="40">
        <v>77.5</v>
      </c>
      <c r="D146" s="41">
        <v>83.333333333333329</v>
      </c>
      <c r="E146" s="42">
        <v>51.614370532565076</v>
      </c>
      <c r="F146" s="43">
        <v>60</v>
      </c>
      <c r="G146" s="44">
        <v>1.037122133267081</v>
      </c>
      <c r="H146" s="44"/>
      <c r="I146" s="44"/>
      <c r="J146" s="44"/>
      <c r="K146" s="44"/>
      <c r="L146" s="44"/>
      <c r="M146" s="44">
        <f t="shared" si="6"/>
        <v>68.61595382119765</v>
      </c>
      <c r="N146">
        <f t="shared" si="7"/>
        <v>77.784159995031075</v>
      </c>
      <c r="O146">
        <f t="shared" si="8"/>
        <v>53.530406073971456</v>
      </c>
    </row>
    <row r="147" spans="1:15" ht="18" x14ac:dyDescent="0.25">
      <c r="A147" s="38" t="s">
        <v>144</v>
      </c>
      <c r="B147" s="39">
        <v>65</v>
      </c>
      <c r="C147" s="40">
        <v>60</v>
      </c>
      <c r="D147" s="41">
        <v>50</v>
      </c>
      <c r="E147" s="42">
        <v>68.710923756227217</v>
      </c>
      <c r="F147" s="43">
        <v>60</v>
      </c>
      <c r="G147" s="44">
        <v>1.0715381048038377</v>
      </c>
      <c r="H147" s="44"/>
      <c r="I147" s="44"/>
      <c r="J147" s="44"/>
      <c r="K147" s="44"/>
      <c r="L147" s="44"/>
      <c r="M147" s="44">
        <f t="shared" si="6"/>
        <v>64.5179072687705</v>
      </c>
      <c r="N147">
        <f t="shared" si="7"/>
        <v>69.649976812249449</v>
      </c>
      <c r="O147">
        <f t="shared" si="8"/>
        <v>73.626373021068702</v>
      </c>
    </row>
    <row r="148" spans="1:15" ht="18" x14ac:dyDescent="0.25">
      <c r="A148" s="38" t="s">
        <v>145</v>
      </c>
      <c r="B148" s="39">
        <v>0</v>
      </c>
      <c r="C148" s="40">
        <v>82.5</v>
      </c>
      <c r="D148" s="41">
        <v>75</v>
      </c>
      <c r="E148" s="42">
        <v>42.59720586963418</v>
      </c>
      <c r="F148" s="43">
        <v>66.666666666666671</v>
      </c>
      <c r="G148" s="44">
        <v>0.98217010045602193</v>
      </c>
      <c r="H148" s="44"/>
      <c r="I148" s="44"/>
      <c r="J148" s="44"/>
      <c r="K148" s="44"/>
      <c r="L148" s="44"/>
      <c r="M148" s="44">
        <f t="shared" si="6"/>
        <v>50.301310590437332</v>
      </c>
      <c r="N148">
        <f t="shared" si="7"/>
        <v>0</v>
      </c>
      <c r="O148">
        <f t="shared" si="8"/>
        <v>41.837701968124449</v>
      </c>
    </row>
    <row r="149" spans="1:15" ht="18" x14ac:dyDescent="0.25">
      <c r="A149" s="38" t="s">
        <v>146</v>
      </c>
      <c r="B149" s="39">
        <v>0</v>
      </c>
      <c r="C149" s="40">
        <v>82.5</v>
      </c>
      <c r="D149" s="41">
        <v>66.666666666666671</v>
      </c>
      <c r="E149" s="42">
        <v>60.600991717502374</v>
      </c>
      <c r="F149" s="43">
        <v>66.666666666666671</v>
      </c>
      <c r="G149" s="44">
        <v>0.96262015930040112</v>
      </c>
      <c r="H149" s="44"/>
      <c r="I149" s="44"/>
      <c r="J149" s="44"/>
      <c r="K149" s="44"/>
      <c r="L149" s="44"/>
      <c r="M149" s="44">
        <f t="shared" si="6"/>
        <v>54.000720890259331</v>
      </c>
      <c r="N149">
        <f t="shared" si="7"/>
        <v>0</v>
      </c>
      <c r="O149">
        <f t="shared" si="8"/>
        <v>58.335736300864426</v>
      </c>
    </row>
    <row r="150" spans="1:15" ht="18" x14ac:dyDescent="0.25">
      <c r="A150" s="38" t="s">
        <v>147</v>
      </c>
      <c r="B150" s="39">
        <v>10</v>
      </c>
      <c r="C150" s="40">
        <v>65</v>
      </c>
      <c r="D150" s="41">
        <v>83.333333333333329</v>
      </c>
      <c r="E150" s="42">
        <v>71.671178076765315</v>
      </c>
      <c r="F150" s="43">
        <v>66.666666666666671</v>
      </c>
      <c r="G150" s="44">
        <v>1.0861884242329052</v>
      </c>
      <c r="H150" s="44"/>
      <c r="I150" s="44"/>
      <c r="J150" s="44"/>
      <c r="K150" s="44"/>
      <c r="L150" s="44"/>
      <c r="M150" s="44">
        <f t="shared" si="6"/>
        <v>61.026898041901106</v>
      </c>
      <c r="N150">
        <f t="shared" si="7"/>
        <v>10.861884242329051</v>
      </c>
      <c r="O150">
        <f t="shared" si="8"/>
        <v>77.848403978117659</v>
      </c>
    </row>
    <row r="151" spans="1:15" ht="18" x14ac:dyDescent="0.25">
      <c r="A151" s="38" t="s">
        <v>148</v>
      </c>
      <c r="B151" s="39">
        <v>10</v>
      </c>
      <c r="C151" s="40">
        <v>88.75</v>
      </c>
      <c r="D151" s="41">
        <v>91.666666666666671</v>
      </c>
      <c r="E151" s="42">
        <v>77.065428846378481</v>
      </c>
      <c r="F151" s="43">
        <v>66.666666666666671</v>
      </c>
      <c r="G151" s="44">
        <v>0.99778853500294606</v>
      </c>
      <c r="H151" s="44"/>
      <c r="I151" s="44"/>
      <c r="J151" s="44"/>
      <c r="K151" s="44"/>
      <c r="L151" s="44"/>
      <c r="M151" s="44">
        <f t="shared" si="6"/>
        <v>66.564077474406417</v>
      </c>
      <c r="N151">
        <f t="shared" si="7"/>
        <v>9.9778853500294602</v>
      </c>
      <c r="O151">
        <f t="shared" si="8"/>
        <v>76.89500134800177</v>
      </c>
    </row>
    <row r="152" spans="1:15" ht="18" x14ac:dyDescent="0.25">
      <c r="A152" s="38" t="s">
        <v>149</v>
      </c>
      <c r="B152" s="39">
        <v>10</v>
      </c>
      <c r="C152" s="40">
        <v>66.25</v>
      </c>
      <c r="D152" s="41">
        <v>25</v>
      </c>
      <c r="E152" s="42">
        <v>36.917569551278106</v>
      </c>
      <c r="F152" s="43">
        <v>26.666666666666668</v>
      </c>
      <c r="G152" s="44">
        <v>0.96668889202081898</v>
      </c>
      <c r="H152" s="44"/>
      <c r="I152" s="44"/>
      <c r="J152" s="44"/>
      <c r="K152" s="44"/>
      <c r="L152" s="44"/>
      <c r="M152" s="44">
        <f t="shared" si="6"/>
        <v>33.639719105729604</v>
      </c>
      <c r="N152">
        <f t="shared" si="7"/>
        <v>9.6668889202081907</v>
      </c>
      <c r="O152">
        <f t="shared" si="8"/>
        <v>35.687804405626558</v>
      </c>
    </row>
    <row r="153" spans="1:15" ht="18" x14ac:dyDescent="0.25">
      <c r="A153" s="38" t="s">
        <v>150</v>
      </c>
      <c r="B153" s="39">
        <v>20</v>
      </c>
      <c r="C153" s="40">
        <v>48.75</v>
      </c>
      <c r="D153" s="41">
        <v>58.333333333333336</v>
      </c>
      <c r="E153" s="42">
        <v>53.55111915984741</v>
      </c>
      <c r="F153" s="43">
        <v>60</v>
      </c>
      <c r="G153" s="44">
        <v>1.0861884242329052</v>
      </c>
      <c r="H153" s="44"/>
      <c r="I153" s="44"/>
      <c r="J153" s="44"/>
      <c r="K153" s="44"/>
      <c r="L153" s="44"/>
      <c r="M153" s="44">
        <f t="shared" si="6"/>
        <v>49.294735417774575</v>
      </c>
      <c r="N153">
        <f t="shared" si="7"/>
        <v>21.723768484658102</v>
      </c>
      <c r="O153">
        <f t="shared" si="8"/>
        <v>58.166605736143197</v>
      </c>
    </row>
    <row r="154" spans="1:15" ht="18" x14ac:dyDescent="0.25">
      <c r="A154" s="38" t="s">
        <v>151</v>
      </c>
      <c r="B154" s="39">
        <v>20</v>
      </c>
      <c r="C154" s="40">
        <v>72.5</v>
      </c>
      <c r="D154" s="41">
        <v>58.333333333333336</v>
      </c>
      <c r="E154" s="42">
        <v>75.298578814637168</v>
      </c>
      <c r="F154" s="43">
        <v>43.333333333333336</v>
      </c>
      <c r="G154" s="44">
        <v>0.92035842027448089</v>
      </c>
      <c r="H154" s="44"/>
      <c r="I154" s="44"/>
      <c r="J154" s="44"/>
      <c r="K154" s="44"/>
      <c r="L154" s="44"/>
      <c r="M154" s="44">
        <f t="shared" si="6"/>
        <v>54.22193799512381</v>
      </c>
      <c r="N154">
        <f t="shared" si="7"/>
        <v>18.407168405489617</v>
      </c>
      <c r="O154">
        <f t="shared" si="8"/>
        <v>69.301681046752961</v>
      </c>
    </row>
    <row r="155" spans="1:15" ht="18" x14ac:dyDescent="0.25">
      <c r="A155" s="38" t="s">
        <v>152</v>
      </c>
      <c r="B155" s="39">
        <v>10</v>
      </c>
      <c r="C155" s="40">
        <v>66.25</v>
      </c>
      <c r="D155" s="41">
        <v>50</v>
      </c>
      <c r="E155" s="42">
        <v>62.163982346664739</v>
      </c>
      <c r="F155" s="43">
        <v>26.666666666666668</v>
      </c>
      <c r="G155" s="44">
        <v>1.0305384057745832</v>
      </c>
      <c r="H155" s="44"/>
      <c r="I155" s="44"/>
      <c r="J155" s="44"/>
      <c r="K155" s="44"/>
      <c r="L155" s="44"/>
      <c r="M155" s="44">
        <f t="shared" si="6"/>
        <v>46.02978819078853</v>
      </c>
      <c r="N155">
        <f t="shared" si="7"/>
        <v>10.305384057745833</v>
      </c>
      <c r="O155">
        <f t="shared" si="8"/>
        <v>64.062371264131215</v>
      </c>
    </row>
    <row r="156" spans="1:15" ht="18" x14ac:dyDescent="0.25">
      <c r="A156" s="38" t="s">
        <v>153</v>
      </c>
      <c r="B156" s="39">
        <v>10</v>
      </c>
      <c r="C156" s="40">
        <v>32.5</v>
      </c>
      <c r="D156" s="41">
        <v>33.333333333333336</v>
      </c>
      <c r="E156" s="42">
        <v>61.467119378641421</v>
      </c>
      <c r="F156" s="43">
        <v>26.666666666666668</v>
      </c>
      <c r="G156" s="44">
        <v>0.92035842027448089</v>
      </c>
      <c r="H156" s="44"/>
      <c r="I156" s="44"/>
      <c r="J156" s="44"/>
      <c r="K156" s="44"/>
      <c r="L156" s="44"/>
      <c r="M156" s="44">
        <f t="shared" si="6"/>
        <v>34.312251107593767</v>
      </c>
      <c r="N156">
        <f t="shared" si="7"/>
        <v>9.2035842027448087</v>
      </c>
      <c r="O156">
        <f t="shared" si="8"/>
        <v>56.571780890149348</v>
      </c>
    </row>
    <row r="157" spans="1:15" ht="18" x14ac:dyDescent="0.25">
      <c r="A157" s="38" t="s">
        <v>154</v>
      </c>
      <c r="B157" s="39">
        <v>65</v>
      </c>
      <c r="C157" s="40">
        <v>88.75</v>
      </c>
      <c r="D157" s="41">
        <v>66.666666666666671</v>
      </c>
      <c r="E157" s="42">
        <v>73.427183053475432</v>
      </c>
      <c r="F157" s="43">
        <v>60</v>
      </c>
      <c r="G157" s="44">
        <v>0.95944404069270672</v>
      </c>
      <c r="H157" s="44"/>
      <c r="I157" s="44"/>
      <c r="J157" s="44"/>
      <c r="K157" s="44"/>
      <c r="L157" s="44"/>
      <c r="M157" s="44">
        <f t="shared" si="6"/>
        <v>70.357554490658046</v>
      </c>
      <c r="N157">
        <f t="shared" si="7"/>
        <v>62.363862645025939</v>
      </c>
      <c r="O157">
        <f t="shared" si="8"/>
        <v>70.449273205509513</v>
      </c>
    </row>
    <row r="158" spans="1:15" ht="18" x14ac:dyDescent="0.25">
      <c r="A158" s="38" t="s">
        <v>155</v>
      </c>
      <c r="B158" s="39">
        <v>10</v>
      </c>
      <c r="C158" s="40">
        <v>66.25</v>
      </c>
      <c r="D158" s="41">
        <v>83.333333333333329</v>
      </c>
      <c r="E158" s="42">
        <v>75.818531493329829</v>
      </c>
      <c r="F158" s="43">
        <v>43.333333333333336</v>
      </c>
      <c r="G158" s="44">
        <v>0.94102124460834258</v>
      </c>
      <c r="H158" s="44"/>
      <c r="I158" s="44"/>
      <c r="J158" s="44"/>
      <c r="K158" s="44"/>
      <c r="L158" s="44"/>
      <c r="M158" s="44">
        <f t="shared" si="6"/>
        <v>55.536097150285698</v>
      </c>
      <c r="N158">
        <f t="shared" si="7"/>
        <v>9.4102124460834258</v>
      </c>
      <c r="O158">
        <f t="shared" si="8"/>
        <v>71.346848870230048</v>
      </c>
    </row>
    <row r="159" spans="1:15" ht="18" x14ac:dyDescent="0.25">
      <c r="A159" s="38" t="s">
        <v>156</v>
      </c>
      <c r="B159" s="39">
        <v>12.5</v>
      </c>
      <c r="C159" s="40">
        <v>76.25</v>
      </c>
      <c r="D159" s="41">
        <v>83.333333333333329</v>
      </c>
      <c r="E159" s="42">
        <v>42.353931503159259</v>
      </c>
      <c r="F159" s="43">
        <v>66.666666666666671</v>
      </c>
      <c r="G159" s="44">
        <v>1.0088717190225456</v>
      </c>
      <c r="H159" s="44"/>
      <c r="I159" s="44"/>
      <c r="J159" s="44"/>
      <c r="K159" s="44"/>
      <c r="L159" s="44"/>
      <c r="M159" s="44">
        <f t="shared" si="6"/>
        <v>53.091084402442988</v>
      </c>
      <c r="N159">
        <f t="shared" si="7"/>
        <v>12.610896487781819</v>
      </c>
      <c r="O159">
        <f t="shared" si="8"/>
        <v>42.729683682955432</v>
      </c>
    </row>
    <row r="160" spans="1:15" ht="18" x14ac:dyDescent="0.25">
      <c r="A160" s="38" t="s">
        <v>157</v>
      </c>
      <c r="B160" s="39">
        <v>40</v>
      </c>
      <c r="C160" s="40">
        <v>11.25</v>
      </c>
      <c r="D160" s="41">
        <v>8.3333333333333339</v>
      </c>
      <c r="E160" s="42">
        <v>63.86820778032714</v>
      </c>
      <c r="F160" s="43">
        <v>13.333333333333334</v>
      </c>
      <c r="G160" s="44">
        <v>0.92035842027448089</v>
      </c>
      <c r="H160" s="44"/>
      <c r="I160" s="44"/>
      <c r="J160" s="44"/>
      <c r="K160" s="44"/>
      <c r="L160" s="44"/>
      <c r="M160" s="44">
        <f t="shared" si="6"/>
        <v>30.497360207735102</v>
      </c>
      <c r="N160">
        <f t="shared" si="7"/>
        <v>36.814336810979235</v>
      </c>
      <c r="O160">
        <f t="shared" si="8"/>
        <v>58.781642818464199</v>
      </c>
    </row>
    <row r="161" spans="1:15" ht="18" x14ac:dyDescent="0.25">
      <c r="A161" s="38" t="s">
        <v>158</v>
      </c>
      <c r="B161" s="39">
        <v>65</v>
      </c>
      <c r="C161" s="40">
        <v>77.5</v>
      </c>
      <c r="D161" s="41">
        <v>75</v>
      </c>
      <c r="E161" s="42">
        <v>71.47068329403389</v>
      </c>
      <c r="F161" s="43">
        <v>26.666666666666668</v>
      </c>
      <c r="G161" s="44">
        <v>0.92035842027448089</v>
      </c>
      <c r="H161" s="44"/>
      <c r="I161" s="44"/>
      <c r="J161" s="44"/>
      <c r="K161" s="44"/>
      <c r="L161" s="44"/>
      <c r="M161" s="44">
        <f t="shared" si="6"/>
        <v>62.448253015298675</v>
      </c>
      <c r="N161">
        <f t="shared" si="7"/>
        <v>59.823297317841259</v>
      </c>
      <c r="O161">
        <f t="shared" si="8"/>
        <v>65.778645172434764</v>
      </c>
    </row>
    <row r="162" spans="1:15" ht="18" x14ac:dyDescent="0.25">
      <c r="A162" s="38" t="s">
        <v>159</v>
      </c>
      <c r="B162" s="39">
        <v>65</v>
      </c>
      <c r="C162" s="40">
        <v>65</v>
      </c>
      <c r="D162" s="41">
        <v>66.666666666666671</v>
      </c>
      <c r="E162" s="42">
        <v>56.091241356985606</v>
      </c>
      <c r="F162" s="43">
        <v>60</v>
      </c>
      <c r="G162" s="44">
        <v>0.92035842027448089</v>
      </c>
      <c r="H162" s="44"/>
      <c r="I162" s="44"/>
      <c r="J162" s="44"/>
      <c r="K162" s="44"/>
      <c r="L162" s="44"/>
      <c r="M162" s="44">
        <f t="shared" si="6"/>
        <v>59.451873349533223</v>
      </c>
      <c r="N162">
        <f t="shared" si="7"/>
        <v>59.823297317841259</v>
      </c>
      <c r="O162">
        <f t="shared" si="8"/>
        <v>51.624046286549905</v>
      </c>
    </row>
    <row r="163" spans="1:15" ht="18" x14ac:dyDescent="0.25">
      <c r="A163" s="38" t="s">
        <v>160</v>
      </c>
      <c r="B163" s="39">
        <v>25</v>
      </c>
      <c r="C163" s="40">
        <v>66.25</v>
      </c>
      <c r="D163" s="41">
        <v>83.333333333333329</v>
      </c>
      <c r="E163" s="42">
        <v>55.737688530126398</v>
      </c>
      <c r="F163" s="43">
        <v>43.333333333333336</v>
      </c>
      <c r="G163" s="44">
        <v>0.94506644658343708</v>
      </c>
      <c r="H163" s="44"/>
      <c r="I163" s="44"/>
      <c r="J163" s="44"/>
      <c r="K163" s="44"/>
      <c r="L163" s="44"/>
      <c r="M163" s="44">
        <f t="shared" si="6"/>
        <v>52.77807800489947</v>
      </c>
      <c r="N163">
        <f t="shared" si="7"/>
        <v>23.626661164585926</v>
      </c>
      <c r="O163">
        <f t="shared" si="8"/>
        <v>52.675819239940957</v>
      </c>
    </row>
    <row r="164" spans="1:15" ht="18" x14ac:dyDescent="0.25">
      <c r="A164" s="38" t="s">
        <v>161</v>
      </c>
      <c r="B164" s="39">
        <v>42.5</v>
      </c>
      <c r="C164" s="40">
        <v>77.5</v>
      </c>
      <c r="D164" s="41">
        <v>83.333333333333329</v>
      </c>
      <c r="E164" s="42">
        <v>53.976220245332541</v>
      </c>
      <c r="F164" s="43">
        <v>50</v>
      </c>
      <c r="G164" s="44">
        <v>0.97240046562707005</v>
      </c>
      <c r="H164" s="44"/>
      <c r="I164" s="44"/>
      <c r="J164" s="44"/>
      <c r="K164" s="44"/>
      <c r="L164" s="44"/>
      <c r="M164" s="44">
        <f t="shared" si="6"/>
        <v>59.511354467635286</v>
      </c>
      <c r="N164">
        <f t="shared" si="7"/>
        <v>41.327019789150476</v>
      </c>
      <c r="O164">
        <f t="shared" si="8"/>
        <v>52.486501699350647</v>
      </c>
    </row>
    <row r="165" spans="1:15" ht="18" x14ac:dyDescent="0.25">
      <c r="A165" s="38" t="s">
        <v>162</v>
      </c>
      <c r="B165" s="39">
        <v>77.5</v>
      </c>
      <c r="C165" s="40">
        <v>53.75</v>
      </c>
      <c r="D165" s="41">
        <v>25</v>
      </c>
      <c r="E165" s="42">
        <v>64.956086365123795</v>
      </c>
      <c r="F165" s="43">
        <v>43.333333333333336</v>
      </c>
      <c r="G165" s="44">
        <v>1.0243102220613962</v>
      </c>
      <c r="H165" s="44"/>
      <c r="I165" s="44"/>
      <c r="J165" s="44"/>
      <c r="K165" s="44"/>
      <c r="L165" s="44"/>
      <c r="M165" s="44">
        <f t="shared" si="6"/>
        <v>56.8373634166214</v>
      </c>
      <c r="N165">
        <f t="shared" si="7"/>
        <v>79.384042209758206</v>
      </c>
      <c r="O165">
        <f t="shared" si="8"/>
        <v>66.535183248899187</v>
      </c>
    </row>
    <row r="166" spans="1:15" ht="18" x14ac:dyDescent="0.25">
      <c r="A166" s="38" t="s">
        <v>163</v>
      </c>
      <c r="B166" s="39">
        <v>0</v>
      </c>
      <c r="C166" s="40">
        <v>61.25</v>
      </c>
      <c r="D166" s="41">
        <v>66.666666666666671</v>
      </c>
      <c r="E166" s="42">
        <v>55.793476625303725</v>
      </c>
      <c r="F166" s="43">
        <v>43.333333333333336</v>
      </c>
      <c r="G166" s="44">
        <v>1.06954484577403</v>
      </c>
      <c r="H166" s="44"/>
      <c r="I166" s="44"/>
      <c r="J166" s="44"/>
      <c r="K166" s="44"/>
      <c r="L166" s="44"/>
      <c r="M166" s="44">
        <f t="shared" si="6"/>
        <v>46.65208760572223</v>
      </c>
      <c r="N166">
        <f t="shared" si="7"/>
        <v>0</v>
      </c>
      <c r="O166">
        <f t="shared" si="8"/>
        <v>59.67362535240742</v>
      </c>
    </row>
    <row r="167" spans="1:15" ht="18" x14ac:dyDescent="0.25">
      <c r="A167" s="38" t="s">
        <v>164</v>
      </c>
      <c r="B167" s="39">
        <v>10</v>
      </c>
      <c r="C167" s="40">
        <v>77.5</v>
      </c>
      <c r="D167" s="41">
        <v>66.666666666666671</v>
      </c>
      <c r="E167" s="42">
        <v>77.26837905479421</v>
      </c>
      <c r="F167" s="43">
        <v>43.333333333333336</v>
      </c>
      <c r="G167" s="44">
        <v>0.92035842027448089</v>
      </c>
      <c r="H167" s="44"/>
      <c r="I167" s="44"/>
      <c r="J167" s="44"/>
      <c r="K167" s="44"/>
      <c r="L167" s="44"/>
      <c r="M167" s="44">
        <f t="shared" si="6"/>
        <v>55.175097825761014</v>
      </c>
      <c r="N167">
        <f t="shared" si="7"/>
        <v>9.2035842027448087</v>
      </c>
      <c r="O167">
        <f t="shared" si="8"/>
        <v>71.114603284040186</v>
      </c>
    </row>
    <row r="168" spans="1:15" ht="18" x14ac:dyDescent="0.25">
      <c r="A168" s="38" t="s">
        <v>165</v>
      </c>
      <c r="B168" s="39">
        <v>0</v>
      </c>
      <c r="C168" s="40">
        <v>0</v>
      </c>
      <c r="D168" s="41">
        <v>0</v>
      </c>
      <c r="E168" s="42">
        <v>54.015198144912986</v>
      </c>
      <c r="F168" s="43">
        <v>0</v>
      </c>
      <c r="G168" s="44">
        <v>1.0151991465906902</v>
      </c>
      <c r="H168" s="44"/>
      <c r="I168" s="44"/>
      <c r="J168" s="44"/>
      <c r="K168" s="44"/>
      <c r="L168" s="44"/>
      <c r="M168" s="44">
        <f t="shared" si="6"/>
        <v>16.450854917892809</v>
      </c>
      <c r="N168">
        <f t="shared" si="7"/>
        <v>0</v>
      </c>
      <c r="O168">
        <f t="shared" si="8"/>
        <v>54.8361830596427</v>
      </c>
    </row>
    <row r="169" spans="1:15" ht="18" x14ac:dyDescent="0.25">
      <c r="A169" s="38" t="s">
        <v>693</v>
      </c>
      <c r="B169" s="39">
        <v>42.5</v>
      </c>
      <c r="C169" s="40">
        <v>63.75</v>
      </c>
      <c r="D169" s="41">
        <v>75</v>
      </c>
      <c r="E169" s="42">
        <v>37.902301796272184</v>
      </c>
      <c r="F169" s="43">
        <v>43.333333333333336</v>
      </c>
      <c r="G169" s="44">
        <v>1.0861884242329052</v>
      </c>
      <c r="H169" s="44"/>
      <c r="I169" s="44"/>
      <c r="J169" s="44"/>
      <c r="K169" s="44"/>
      <c r="L169" s="44"/>
      <c r="M169" s="44">
        <f t="shared" si="6"/>
        <v>52.083314044847562</v>
      </c>
      <c r="N169">
        <f t="shared" si="7"/>
        <v>46.163008029898471</v>
      </c>
      <c r="O169">
        <f t="shared" si="8"/>
        <v>41.169041462892892</v>
      </c>
    </row>
    <row r="170" spans="1:15" ht="18" x14ac:dyDescent="0.25">
      <c r="A170" s="38" t="s">
        <v>167</v>
      </c>
      <c r="B170" s="39">
        <v>10</v>
      </c>
      <c r="C170" s="40">
        <v>23.75</v>
      </c>
      <c r="D170" s="41">
        <v>33.333333333333336</v>
      </c>
      <c r="E170" s="42">
        <v>51.01071464092233</v>
      </c>
      <c r="F170" s="43">
        <v>30</v>
      </c>
      <c r="G170" s="44">
        <v>1.072922722201</v>
      </c>
      <c r="H170" s="44"/>
      <c r="I170" s="44"/>
      <c r="J170" s="44"/>
      <c r="K170" s="44"/>
      <c r="L170" s="44"/>
      <c r="M170" s="44">
        <f t="shared" si="6"/>
        <v>32.815011888589041</v>
      </c>
      <c r="N170">
        <f t="shared" si="7"/>
        <v>10.72922722201</v>
      </c>
      <c r="O170">
        <f t="shared" si="8"/>
        <v>54.730554813956793</v>
      </c>
    </row>
    <row r="171" spans="1:15" ht="18" x14ac:dyDescent="0.25">
      <c r="A171" s="38" t="s">
        <v>168</v>
      </c>
      <c r="B171" s="39">
        <v>75</v>
      </c>
      <c r="C171" s="40">
        <v>28.75</v>
      </c>
      <c r="D171" s="41">
        <v>33.333333333333336</v>
      </c>
      <c r="E171" s="42">
        <v>63.54649479776581</v>
      </c>
      <c r="F171" s="43">
        <v>43.333333333333336</v>
      </c>
      <c r="G171" s="44">
        <v>0.99801762417336992</v>
      </c>
      <c r="H171" s="44"/>
      <c r="I171" s="44"/>
      <c r="J171" s="44"/>
      <c r="K171" s="44"/>
      <c r="L171" s="44"/>
      <c r="M171" s="44">
        <f t="shared" si="6"/>
        <v>51.246420891384048</v>
      </c>
      <c r="N171">
        <f t="shared" si="7"/>
        <v>74.851321813002741</v>
      </c>
      <c r="O171">
        <f t="shared" si="8"/>
        <v>63.420521762611642</v>
      </c>
    </row>
    <row r="172" spans="1:15" ht="18" x14ac:dyDescent="0.25">
      <c r="A172" s="38" t="s">
        <v>169</v>
      </c>
      <c r="B172" s="39">
        <v>0</v>
      </c>
      <c r="C172" s="40">
        <v>76.25</v>
      </c>
      <c r="D172" s="41">
        <v>66.666666666666671</v>
      </c>
      <c r="E172" s="42">
        <v>59.585918914145203</v>
      </c>
      <c r="F172" s="43">
        <v>43.333333333333336</v>
      </c>
      <c r="G172" s="44">
        <v>1.0767654249824674</v>
      </c>
      <c r="H172" s="44"/>
      <c r="I172" s="44"/>
      <c r="J172" s="44"/>
      <c r="K172" s="44"/>
      <c r="L172" s="44"/>
      <c r="M172" s="44">
        <f t="shared" si="6"/>
        <v>50.998017190768124</v>
      </c>
      <c r="N172">
        <f t="shared" si="7"/>
        <v>0</v>
      </c>
      <c r="O172">
        <f t="shared" si="8"/>
        <v>64.160057302560404</v>
      </c>
    </row>
    <row r="173" spans="1:15" ht="18" x14ac:dyDescent="0.25">
      <c r="A173" s="38" t="s">
        <v>170</v>
      </c>
      <c r="B173" s="39">
        <v>75</v>
      </c>
      <c r="C173" s="40">
        <v>53.75</v>
      </c>
      <c r="D173" s="41">
        <v>33.333333333333336</v>
      </c>
      <c r="E173" s="42">
        <v>80.349350073164146</v>
      </c>
      <c r="F173" s="43">
        <v>26.666666666666668</v>
      </c>
      <c r="G173" s="44">
        <v>0.92035842027448089</v>
      </c>
      <c r="H173" s="44"/>
      <c r="I173" s="44"/>
      <c r="J173" s="44"/>
      <c r="K173" s="44"/>
      <c r="L173" s="44"/>
      <c r="M173" s="44">
        <f t="shared" si="6"/>
        <v>55.740436575142795</v>
      </c>
      <c r="N173">
        <f t="shared" si="7"/>
        <v>69.026881520586073</v>
      </c>
      <c r="O173">
        <f t="shared" si="8"/>
        <v>73.950200903418605</v>
      </c>
    </row>
    <row r="174" spans="1:15" ht="18" x14ac:dyDescent="0.25">
      <c r="A174" s="38" t="s">
        <v>171</v>
      </c>
      <c r="B174" s="39">
        <v>10</v>
      </c>
      <c r="C174" s="40">
        <v>48.75</v>
      </c>
      <c r="D174" s="41">
        <v>58.333333333333336</v>
      </c>
      <c r="E174" s="42">
        <v>52.096143541876643</v>
      </c>
      <c r="F174" s="43">
        <v>13.333333333333334</v>
      </c>
      <c r="G174" s="44">
        <v>1.0151377802952035</v>
      </c>
      <c r="H174" s="44"/>
      <c r="I174" s="44"/>
      <c r="J174" s="44"/>
      <c r="K174" s="44"/>
      <c r="L174" s="44"/>
      <c r="M174" s="44">
        <f t="shared" si="6"/>
        <v>38.395704615702698</v>
      </c>
      <c r="N174">
        <f t="shared" si="7"/>
        <v>10.151377802952036</v>
      </c>
      <c r="O174">
        <f t="shared" si="8"/>
        <v>52.884763517040959</v>
      </c>
    </row>
    <row r="175" spans="1:15" ht="18" x14ac:dyDescent="0.25">
      <c r="A175" s="38" t="s">
        <v>172</v>
      </c>
      <c r="B175" s="39">
        <v>10</v>
      </c>
      <c r="C175" s="40">
        <v>71.25</v>
      </c>
      <c r="D175" s="41">
        <v>83.333333333333329</v>
      </c>
      <c r="E175" s="42">
        <v>54.633152328997397</v>
      </c>
      <c r="F175" s="43">
        <v>60</v>
      </c>
      <c r="G175" s="44">
        <v>1.0742499877791833</v>
      </c>
      <c r="H175" s="44"/>
      <c r="I175" s="44"/>
      <c r="J175" s="44"/>
      <c r="K175" s="44"/>
      <c r="L175" s="44"/>
      <c r="M175" s="44">
        <f t="shared" si="6"/>
        <v>55.505398942087481</v>
      </c>
      <c r="N175">
        <f t="shared" si="7"/>
        <v>10.742499877791833</v>
      </c>
      <c r="O175">
        <f t="shared" si="8"/>
        <v>58.689663221763716</v>
      </c>
    </row>
    <row r="176" spans="1:15" ht="18" x14ac:dyDescent="0.25">
      <c r="A176" s="38" t="s">
        <v>173</v>
      </c>
      <c r="B176" s="39">
        <v>55</v>
      </c>
      <c r="C176" s="40">
        <v>65</v>
      </c>
      <c r="D176" s="41">
        <v>91.666666666666671</v>
      </c>
      <c r="E176" s="42">
        <v>57.752875997253234</v>
      </c>
      <c r="F176" s="43">
        <v>66.666666666666671</v>
      </c>
      <c r="G176" s="44">
        <v>1.0861884242329052</v>
      </c>
      <c r="H176" s="44"/>
      <c r="I176" s="44"/>
      <c r="J176" s="44"/>
      <c r="K176" s="44"/>
      <c r="L176" s="44"/>
      <c r="M176" s="44">
        <f t="shared" si="6"/>
        <v>67.517224278874409</v>
      </c>
      <c r="N176">
        <f t="shared" si="7"/>
        <v>59.740363332809785</v>
      </c>
      <c r="O176">
        <f t="shared" si="8"/>
        <v>62.730505374374864</v>
      </c>
    </row>
    <row r="177" spans="1:15" ht="18" x14ac:dyDescent="0.25">
      <c r="A177" s="38" t="s">
        <v>174</v>
      </c>
      <c r="B177" s="39">
        <v>45</v>
      </c>
      <c r="C177" s="40">
        <v>21.25</v>
      </c>
      <c r="D177" s="41">
        <v>8.3333333333333339</v>
      </c>
      <c r="E177" s="42">
        <v>72.007232867251759</v>
      </c>
      <c r="F177" s="43">
        <v>26.666666666666668</v>
      </c>
      <c r="G177" s="44">
        <v>0.92035842027448089</v>
      </c>
      <c r="H177" s="44"/>
      <c r="I177" s="44"/>
      <c r="J177" s="44"/>
      <c r="K177" s="44"/>
      <c r="L177" s="44"/>
      <c r="M177" s="44">
        <f t="shared" si="6"/>
        <v>37.664964709482476</v>
      </c>
      <c r="N177">
        <f t="shared" si="7"/>
        <v>41.416128912351638</v>
      </c>
      <c r="O177">
        <f t="shared" si="8"/>
        <v>66.272463090040503</v>
      </c>
    </row>
    <row r="178" spans="1:15" ht="18" x14ac:dyDescent="0.25">
      <c r="A178" s="38" t="s">
        <v>175</v>
      </c>
      <c r="B178" s="39">
        <v>10</v>
      </c>
      <c r="C178" s="40">
        <v>37.5</v>
      </c>
      <c r="D178" s="41">
        <v>50</v>
      </c>
      <c r="E178" s="42">
        <v>42.024484477494049</v>
      </c>
      <c r="F178" s="43">
        <v>26.666666666666668</v>
      </c>
      <c r="G178" s="44">
        <v>1.031311215583711</v>
      </c>
      <c r="H178" s="44"/>
      <c r="I178" s="44"/>
      <c r="J178" s="44"/>
      <c r="K178" s="44"/>
      <c r="L178" s="44"/>
      <c r="M178" s="44">
        <f t="shared" si="6"/>
        <v>34.06471908239638</v>
      </c>
      <c r="N178">
        <f t="shared" si="7"/>
        <v>10.313112155837111</v>
      </c>
      <c r="O178">
        <f t="shared" si="8"/>
        <v>43.34032217076318</v>
      </c>
    </row>
    <row r="179" spans="1:15" ht="18" x14ac:dyDescent="0.25">
      <c r="A179" s="38" t="s">
        <v>176</v>
      </c>
      <c r="B179" s="39">
        <v>0</v>
      </c>
      <c r="C179" s="40">
        <v>65</v>
      </c>
      <c r="D179" s="41">
        <v>66.666666666666671</v>
      </c>
      <c r="E179" s="42">
        <v>65.540370361845902</v>
      </c>
      <c r="F179" s="43">
        <v>60</v>
      </c>
      <c r="G179" s="44">
        <v>0.94494652492619058</v>
      </c>
      <c r="H179" s="44"/>
      <c r="I179" s="44"/>
      <c r="J179" s="44"/>
      <c r="K179" s="44"/>
      <c r="L179" s="44"/>
      <c r="M179" s="44">
        <f t="shared" si="6"/>
        <v>50.579643564740536</v>
      </c>
      <c r="N179">
        <f t="shared" si="7"/>
        <v>0</v>
      </c>
      <c r="O179">
        <f t="shared" si="8"/>
        <v>61.932145215801782</v>
      </c>
    </row>
    <row r="180" spans="1:15" ht="18" x14ac:dyDescent="0.25">
      <c r="A180" s="38" t="s">
        <v>177</v>
      </c>
      <c r="B180" s="39">
        <v>32.5</v>
      </c>
      <c r="C180" s="40">
        <v>38.75</v>
      </c>
      <c r="D180" s="41">
        <v>41.666666666666664</v>
      </c>
      <c r="E180" s="42">
        <v>51.422657003490826</v>
      </c>
      <c r="F180" s="43">
        <v>43.333333333333336</v>
      </c>
      <c r="G180" s="44">
        <v>1.0321228222588212</v>
      </c>
      <c r="H180" s="44"/>
      <c r="I180" s="44"/>
      <c r="J180" s="44"/>
      <c r="K180" s="44"/>
      <c r="L180" s="44"/>
      <c r="M180" s="44">
        <f t="shared" si="6"/>
        <v>43.131147707029427</v>
      </c>
      <c r="N180">
        <f t="shared" si="7"/>
        <v>33.543991723411693</v>
      </c>
      <c r="O180">
        <f t="shared" si="8"/>
        <v>53.074497874490291</v>
      </c>
    </row>
    <row r="181" spans="1:15" ht="18" x14ac:dyDescent="0.25">
      <c r="A181" s="38" t="s">
        <v>178</v>
      </c>
      <c r="B181" s="39">
        <v>65</v>
      </c>
      <c r="C181" s="40">
        <v>47.5</v>
      </c>
      <c r="D181" s="41">
        <v>33.333333333333336</v>
      </c>
      <c r="E181" s="42">
        <v>61.647846809928872</v>
      </c>
      <c r="F181" s="43">
        <v>26.666666666666668</v>
      </c>
      <c r="G181" s="44">
        <v>0.96606069900903646</v>
      </c>
      <c r="H181" s="44"/>
      <c r="I181" s="44"/>
      <c r="J181" s="44"/>
      <c r="K181" s="44"/>
      <c r="L181" s="44"/>
      <c r="M181" s="44">
        <f t="shared" si="6"/>
        <v>48.92545768159804</v>
      </c>
      <c r="N181">
        <f t="shared" si="7"/>
        <v>62.793945435587368</v>
      </c>
      <c r="O181">
        <f t="shared" si="8"/>
        <v>59.555561981601883</v>
      </c>
    </row>
    <row r="182" spans="1:15" ht="18" x14ac:dyDescent="0.25">
      <c r="A182" s="38" t="s">
        <v>179</v>
      </c>
      <c r="B182" s="39">
        <v>62.5</v>
      </c>
      <c r="C182" s="40">
        <v>71.25</v>
      </c>
      <c r="D182" s="41">
        <v>58.333333333333336</v>
      </c>
      <c r="E182" s="42">
        <v>60.243489717361712</v>
      </c>
      <c r="F182" s="43">
        <v>26.666666666666668</v>
      </c>
      <c r="G182" s="44">
        <v>0.92035842027448089</v>
      </c>
      <c r="H182" s="44"/>
      <c r="I182" s="44"/>
      <c r="J182" s="44"/>
      <c r="K182" s="44"/>
      <c r="L182" s="44"/>
      <c r="M182" s="44">
        <f t="shared" si="6"/>
        <v>55.138161161858896</v>
      </c>
      <c r="N182">
        <f t="shared" si="7"/>
        <v>57.522401267155054</v>
      </c>
      <c r="O182">
        <f t="shared" si="8"/>
        <v>55.445603028092961</v>
      </c>
    </row>
    <row r="183" spans="1:15" ht="18" x14ac:dyDescent="0.25">
      <c r="A183" s="38" t="s">
        <v>180</v>
      </c>
      <c r="B183" s="39">
        <v>65</v>
      </c>
      <c r="C183" s="40">
        <v>47.5</v>
      </c>
      <c r="D183" s="41">
        <v>50</v>
      </c>
      <c r="E183" s="42">
        <v>42.771461769282915</v>
      </c>
      <c r="F183" s="43">
        <v>50</v>
      </c>
      <c r="G183" s="44">
        <v>1.0861884242329052</v>
      </c>
      <c r="H183" s="44"/>
      <c r="I183" s="44"/>
      <c r="J183" s="44"/>
      <c r="K183" s="44"/>
      <c r="L183" s="44"/>
      <c r="M183" s="44">
        <f t="shared" si="6"/>
        <v>52.55780951342237</v>
      </c>
      <c r="N183">
        <f t="shared" si="7"/>
        <v>70.602247575138833</v>
      </c>
      <c r="O183">
        <f t="shared" si="8"/>
        <v>46.457866661315357</v>
      </c>
    </row>
    <row r="184" spans="1:15" ht="18" x14ac:dyDescent="0.25">
      <c r="A184" s="38" t="s">
        <v>181</v>
      </c>
      <c r="B184" s="39">
        <v>0</v>
      </c>
      <c r="C184" s="40">
        <v>63.75</v>
      </c>
      <c r="D184" s="41">
        <v>100</v>
      </c>
      <c r="E184" s="42">
        <v>72.836239728175727</v>
      </c>
      <c r="F184" s="43">
        <v>13.333333333333334</v>
      </c>
      <c r="G184" s="44">
        <v>0.92035842027448089</v>
      </c>
      <c r="H184" s="44"/>
      <c r="I184" s="44"/>
      <c r="J184" s="44"/>
      <c r="K184" s="44"/>
      <c r="L184" s="44"/>
      <c r="M184" s="44">
        <f t="shared" si="6"/>
        <v>49.860633960487156</v>
      </c>
      <c r="N184">
        <f t="shared" si="7"/>
        <v>0</v>
      </c>
      <c r="O184">
        <f t="shared" si="8"/>
        <v>67.035446534957202</v>
      </c>
    </row>
    <row r="185" spans="1:15" ht="18" x14ac:dyDescent="0.25">
      <c r="A185" s="38" t="s">
        <v>182</v>
      </c>
      <c r="B185" s="39">
        <v>0</v>
      </c>
      <c r="C185" s="40">
        <v>90</v>
      </c>
      <c r="D185" s="41">
        <v>91.666666666666671</v>
      </c>
      <c r="E185" s="42">
        <v>56.288346865589368</v>
      </c>
      <c r="F185" s="43">
        <v>60</v>
      </c>
      <c r="G185" s="44">
        <v>0.99085890904832907</v>
      </c>
      <c r="H185" s="44"/>
      <c r="I185" s="44"/>
      <c r="J185" s="44"/>
      <c r="K185" s="44"/>
      <c r="L185" s="44"/>
      <c r="M185" s="44">
        <f t="shared" si="6"/>
        <v>57.482142990211543</v>
      </c>
      <c r="N185">
        <f t="shared" si="7"/>
        <v>0</v>
      </c>
      <c r="O185">
        <f t="shared" si="8"/>
        <v>55.773809967371811</v>
      </c>
    </row>
    <row r="186" spans="1:15" ht="18" x14ac:dyDescent="0.25">
      <c r="A186" s="38" t="s">
        <v>183</v>
      </c>
      <c r="B186" s="39">
        <v>10</v>
      </c>
      <c r="C186" s="40">
        <v>71.25</v>
      </c>
      <c r="D186" s="41">
        <v>66.666666666666671</v>
      </c>
      <c r="E186" s="42">
        <v>71.789236660332364</v>
      </c>
      <c r="F186" s="43">
        <v>43.333333333333336</v>
      </c>
      <c r="G186" s="44">
        <v>1.069012778135783</v>
      </c>
      <c r="H186" s="44"/>
      <c r="I186" s="44"/>
      <c r="J186" s="44"/>
      <c r="K186" s="44"/>
      <c r="L186" s="44"/>
      <c r="M186" s="44">
        <f t="shared" si="6"/>
        <v>55.911108953024296</v>
      </c>
      <c r="N186">
        <f t="shared" si="7"/>
        <v>10.69012778135783</v>
      </c>
      <c r="O186">
        <f t="shared" si="8"/>
        <v>76.743611322509096</v>
      </c>
    </row>
    <row r="187" spans="1:15" ht="18" x14ac:dyDescent="0.25">
      <c r="A187" s="38" t="s">
        <v>184</v>
      </c>
      <c r="B187" s="39">
        <v>55</v>
      </c>
      <c r="C187" s="40">
        <v>88.75</v>
      </c>
      <c r="D187" s="41">
        <v>91.666666666666671</v>
      </c>
      <c r="E187" s="42">
        <v>78.059628786280228</v>
      </c>
      <c r="F187" s="43">
        <v>66.666666666666671</v>
      </c>
      <c r="G187" s="44">
        <v>0.98137999197163606</v>
      </c>
      <c r="H187" s="44"/>
      <c r="I187" s="44"/>
      <c r="J187" s="44"/>
      <c r="K187" s="44"/>
      <c r="L187" s="44"/>
      <c r="M187" s="44">
        <f t="shared" si="6"/>
        <v>75.277027273164563</v>
      </c>
      <c r="N187">
        <f t="shared" si="7"/>
        <v>53.975899558439984</v>
      </c>
      <c r="O187">
        <f t="shared" si="8"/>
        <v>76.606157871588579</v>
      </c>
    </row>
    <row r="188" spans="1:15" ht="18" x14ac:dyDescent="0.25">
      <c r="A188" s="38" t="s">
        <v>185</v>
      </c>
      <c r="B188" s="39">
        <v>20</v>
      </c>
      <c r="C188" s="40">
        <v>76.25</v>
      </c>
      <c r="D188" s="41">
        <v>75</v>
      </c>
      <c r="E188" s="42">
        <v>42.835035276279967</v>
      </c>
      <c r="F188" s="43">
        <v>66.666666666666671</v>
      </c>
      <c r="G188" s="44">
        <v>1.0394894244633139</v>
      </c>
      <c r="H188" s="44"/>
      <c r="I188" s="44"/>
      <c r="J188" s="44"/>
      <c r="K188" s="44"/>
      <c r="L188" s="44"/>
      <c r="M188" s="44">
        <f t="shared" si="6"/>
        <v>54.015927547715059</v>
      </c>
      <c r="N188">
        <f t="shared" si="7"/>
        <v>20.789788489266279</v>
      </c>
      <c r="O188">
        <f t="shared" si="8"/>
        <v>44.52656616620601</v>
      </c>
    </row>
    <row r="189" spans="1:15" ht="18" x14ac:dyDescent="0.25">
      <c r="A189" s="38" t="s">
        <v>186</v>
      </c>
      <c r="B189" s="39">
        <v>55</v>
      </c>
      <c r="C189" s="40">
        <v>66.25</v>
      </c>
      <c r="D189" s="41">
        <v>25</v>
      </c>
      <c r="E189" s="42">
        <v>82.600121150192308</v>
      </c>
      <c r="F189" s="43">
        <v>26.666666666666668</v>
      </c>
      <c r="G189" s="44">
        <v>0.92035842027448089</v>
      </c>
      <c r="H189" s="44"/>
      <c r="I189" s="44"/>
      <c r="J189" s="44"/>
      <c r="K189" s="44"/>
      <c r="L189" s="44"/>
      <c r="M189" s="44">
        <f t="shared" si="6"/>
        <v>53.930457727900802</v>
      </c>
      <c r="N189">
        <f t="shared" si="7"/>
        <v>50.619713115096452</v>
      </c>
      <c r="O189">
        <f t="shared" si="8"/>
        <v>76.021717016271737</v>
      </c>
    </row>
    <row r="190" spans="1:15" ht="18" x14ac:dyDescent="0.25">
      <c r="A190" s="38" t="s">
        <v>187</v>
      </c>
      <c r="B190" s="39">
        <v>75</v>
      </c>
      <c r="C190" s="40">
        <v>88.75</v>
      </c>
      <c r="D190" s="41">
        <v>91.666666666666671</v>
      </c>
      <c r="E190" s="42">
        <v>55.775268427003475</v>
      </c>
      <c r="F190" s="43">
        <v>50</v>
      </c>
      <c r="G190" s="44">
        <v>1.0097819060406659</v>
      </c>
      <c r="H190" s="44"/>
      <c r="I190" s="44"/>
      <c r="J190" s="44"/>
      <c r="K190" s="44"/>
      <c r="L190" s="44"/>
      <c r="M190" s="44">
        <f t="shared" si="6"/>
        <v>71.042985649254788</v>
      </c>
      <c r="N190">
        <f t="shared" si="7"/>
        <v>75.733642953049937</v>
      </c>
      <c r="O190">
        <f t="shared" si="8"/>
        <v>56.320856862149341</v>
      </c>
    </row>
    <row r="191" spans="1:15" ht="18" x14ac:dyDescent="0.25">
      <c r="A191" s="38" t="s">
        <v>188</v>
      </c>
      <c r="B191" s="39">
        <v>55</v>
      </c>
      <c r="C191" s="40">
        <v>47.5</v>
      </c>
      <c r="D191" s="41">
        <v>58.333333333333336</v>
      </c>
      <c r="E191" s="42">
        <v>70.983311796367687</v>
      </c>
      <c r="F191" s="43">
        <v>43.333333333333336</v>
      </c>
      <c r="G191" s="44">
        <v>0.99668249531345354</v>
      </c>
      <c r="H191" s="44"/>
      <c r="I191" s="44"/>
      <c r="J191" s="44"/>
      <c r="K191" s="44"/>
      <c r="L191" s="44"/>
      <c r="M191" s="44">
        <f t="shared" si="6"/>
        <v>56.937854746492988</v>
      </c>
      <c r="N191">
        <f t="shared" si="7"/>
        <v>54.817537242239943</v>
      </c>
      <c r="O191">
        <f t="shared" si="8"/>
        <v>70.747824326816655</v>
      </c>
    </row>
    <row r="192" spans="1:15" ht="18" x14ac:dyDescent="0.25">
      <c r="A192" s="38" t="s">
        <v>189</v>
      </c>
      <c r="B192" s="39">
        <v>10</v>
      </c>
      <c r="C192" s="40">
        <v>55</v>
      </c>
      <c r="D192" s="41">
        <v>75</v>
      </c>
      <c r="E192" s="42">
        <v>55.136738483495094</v>
      </c>
      <c r="F192" s="43">
        <v>66.666666666666671</v>
      </c>
      <c r="G192" s="44">
        <v>0.98750151777076434</v>
      </c>
      <c r="H192" s="44"/>
      <c r="I192" s="44"/>
      <c r="J192" s="44"/>
      <c r="K192" s="44"/>
      <c r="L192" s="44"/>
      <c r="M192" s="44">
        <f t="shared" si="6"/>
        <v>50.559286916755866</v>
      </c>
      <c r="N192">
        <f t="shared" si="7"/>
        <v>9.8750151777076436</v>
      </c>
      <c r="O192">
        <f t="shared" si="8"/>
        <v>54.447612937381116</v>
      </c>
    </row>
    <row r="193" spans="1:15" ht="18" x14ac:dyDescent="0.25">
      <c r="A193" s="38" t="s">
        <v>190</v>
      </c>
      <c r="B193" s="39">
        <v>55</v>
      </c>
      <c r="C193" s="40">
        <v>38.75</v>
      </c>
      <c r="D193" s="41">
        <v>50</v>
      </c>
      <c r="E193" s="42">
        <v>60.796487122641224</v>
      </c>
      <c r="F193" s="43">
        <v>26.666666666666668</v>
      </c>
      <c r="G193" s="44">
        <v>0.92102772856564563</v>
      </c>
      <c r="H193" s="44"/>
      <c r="I193" s="44"/>
      <c r="J193" s="44"/>
      <c r="K193" s="44"/>
      <c r="L193" s="44"/>
      <c r="M193" s="44">
        <f t="shared" si="6"/>
        <v>46.17988014602313</v>
      </c>
      <c r="N193">
        <f t="shared" si="7"/>
        <v>50.656525071110508</v>
      </c>
      <c r="O193">
        <f t="shared" si="8"/>
        <v>55.995250439336772</v>
      </c>
    </row>
    <row r="194" spans="1:15" ht="18" x14ac:dyDescent="0.25">
      <c r="A194" s="38" t="s">
        <v>191</v>
      </c>
      <c r="B194" s="39">
        <v>55</v>
      </c>
      <c r="C194" s="40">
        <v>76.25</v>
      </c>
      <c r="D194" s="41">
        <v>75</v>
      </c>
      <c r="E194" s="42">
        <v>58.620729058055929</v>
      </c>
      <c r="F194" s="43">
        <v>60</v>
      </c>
      <c r="G194" s="44">
        <v>0.9216750651617539</v>
      </c>
      <c r="H194" s="44"/>
      <c r="I194" s="44"/>
      <c r="J194" s="44"/>
      <c r="K194" s="44"/>
      <c r="L194" s="44"/>
      <c r="M194" s="44">
        <f t="shared" si="6"/>
        <v>61.847204999103262</v>
      </c>
      <c r="N194">
        <f t="shared" si="7"/>
        <v>50.692128583896462</v>
      </c>
      <c r="O194">
        <f t="shared" si="8"/>
        <v>54.029264274413215</v>
      </c>
    </row>
    <row r="195" spans="1:15" ht="18" x14ac:dyDescent="0.25">
      <c r="A195" s="38" t="s">
        <v>192</v>
      </c>
      <c r="B195" s="39">
        <v>0</v>
      </c>
      <c r="C195" s="40">
        <v>70</v>
      </c>
      <c r="D195" s="41">
        <v>75</v>
      </c>
      <c r="E195" s="42">
        <v>71.276407107745825</v>
      </c>
      <c r="F195" s="43">
        <v>50</v>
      </c>
      <c r="G195" s="44">
        <v>0.92035842027448089</v>
      </c>
      <c r="H195" s="44"/>
      <c r="I195" s="44"/>
      <c r="J195" s="44"/>
      <c r="K195" s="44"/>
      <c r="L195" s="44"/>
      <c r="M195" s="44">
        <f t="shared" ref="M195:M258" si="9">((G195*$H$3*B195)+($I$3*C195)+($J$3*D195)+(G195*$K$3*E195)+($L$3*F195))</f>
        <v>52.42995243455772</v>
      </c>
      <c r="N195">
        <f t="shared" ref="N195:N258" si="10">B195*G195</f>
        <v>0</v>
      </c>
      <c r="O195">
        <f t="shared" ref="O195:O258" si="11">E195*G195</f>
        <v>65.599841448525723</v>
      </c>
    </row>
    <row r="196" spans="1:15" ht="18" x14ac:dyDescent="0.25">
      <c r="A196" s="38" t="s">
        <v>193</v>
      </c>
      <c r="B196" s="39">
        <v>32.5</v>
      </c>
      <c r="C196" s="40">
        <v>82.5</v>
      </c>
      <c r="D196" s="41">
        <v>83.333333333333329</v>
      </c>
      <c r="E196" s="42">
        <v>63.017732158402168</v>
      </c>
      <c r="F196" s="43">
        <v>66.666666666666671</v>
      </c>
      <c r="G196" s="44">
        <v>0.96315076151750401</v>
      </c>
      <c r="H196" s="44"/>
      <c r="I196" s="44"/>
      <c r="J196" s="44"/>
      <c r="K196" s="44"/>
      <c r="L196" s="44"/>
      <c r="M196" s="44">
        <f t="shared" si="9"/>
        <v>63.46915296510511</v>
      </c>
      <c r="N196">
        <f t="shared" si="10"/>
        <v>31.30239974931888</v>
      </c>
      <c r="O196">
        <f t="shared" si="11"/>
        <v>60.695576717471148</v>
      </c>
    </row>
    <row r="197" spans="1:15" ht="18" x14ac:dyDescent="0.25">
      <c r="A197" s="38" t="s">
        <v>194</v>
      </c>
      <c r="B197" s="39">
        <v>10</v>
      </c>
      <c r="C197" s="40">
        <v>71.25</v>
      </c>
      <c r="D197" s="41">
        <v>91.666666666666671</v>
      </c>
      <c r="E197" s="42">
        <v>71.459975670458391</v>
      </c>
      <c r="F197" s="43">
        <v>50</v>
      </c>
      <c r="G197" s="44">
        <v>0.92035842027448089</v>
      </c>
      <c r="H197" s="44"/>
      <c r="I197" s="44"/>
      <c r="J197" s="44"/>
      <c r="K197" s="44"/>
      <c r="L197" s="44"/>
      <c r="M197" s="44">
        <f t="shared" si="9"/>
        <v>57.071353936823741</v>
      </c>
      <c r="N197">
        <f t="shared" si="10"/>
        <v>9.2035842027448087</v>
      </c>
      <c r="O197">
        <f t="shared" si="11"/>
        <v>65.768790320915926</v>
      </c>
    </row>
    <row r="198" spans="1:15" ht="18" x14ac:dyDescent="0.25">
      <c r="A198" s="38" t="s">
        <v>195</v>
      </c>
      <c r="B198" s="39">
        <v>10</v>
      </c>
      <c r="C198" s="40">
        <v>71.25</v>
      </c>
      <c r="D198" s="41">
        <v>91.666666666666671</v>
      </c>
      <c r="E198" s="42">
        <v>59.123473925827327</v>
      </c>
      <c r="F198" s="43">
        <v>43.333333333333336</v>
      </c>
      <c r="G198" s="44">
        <v>0.98543333774022268</v>
      </c>
      <c r="H198" s="44"/>
      <c r="I198" s="44"/>
      <c r="J198" s="44"/>
      <c r="K198" s="44"/>
      <c r="L198" s="44"/>
      <c r="M198" s="44">
        <f t="shared" si="9"/>
        <v>53.949539350337957</v>
      </c>
      <c r="N198">
        <f t="shared" si="10"/>
        <v>9.8543333774022273</v>
      </c>
      <c r="O198">
        <f t="shared" si="11"/>
        <v>58.262242249525052</v>
      </c>
    </row>
    <row r="199" spans="1:15" ht="18" x14ac:dyDescent="0.25">
      <c r="A199" s="38" t="s">
        <v>196</v>
      </c>
      <c r="B199" s="39">
        <v>10</v>
      </c>
      <c r="C199" s="40">
        <v>27.5</v>
      </c>
      <c r="D199" s="41">
        <v>16.666666666666668</v>
      </c>
      <c r="E199" s="42">
        <v>55.379110195357619</v>
      </c>
      <c r="F199" s="43">
        <v>13.333333333333334</v>
      </c>
      <c r="G199" s="44">
        <v>1.0715571738075789</v>
      </c>
      <c r="H199" s="44"/>
      <c r="I199" s="44"/>
      <c r="J199" s="44"/>
      <c r="K199" s="44"/>
      <c r="L199" s="44"/>
      <c r="M199" s="44">
        <f t="shared" si="9"/>
        <v>29.945679190289923</v>
      </c>
      <c r="N199">
        <f t="shared" si="10"/>
        <v>10.715571738075788</v>
      </c>
      <c r="O199">
        <f t="shared" si="11"/>
        <v>59.341882808915884</v>
      </c>
    </row>
    <row r="200" spans="1:15" ht="18" x14ac:dyDescent="0.25">
      <c r="A200" s="38" t="s">
        <v>197</v>
      </c>
      <c r="B200" s="39">
        <v>0</v>
      </c>
      <c r="C200" s="40">
        <v>45</v>
      </c>
      <c r="D200" s="41">
        <v>41.666666666666664</v>
      </c>
      <c r="E200" s="42">
        <v>46.436178016721712</v>
      </c>
      <c r="F200" s="43">
        <v>43.333333333333336</v>
      </c>
      <c r="G200" s="44">
        <v>1.0861884242329052</v>
      </c>
      <c r="H200" s="44"/>
      <c r="I200" s="44"/>
      <c r="J200" s="44"/>
      <c r="K200" s="44"/>
      <c r="L200" s="44"/>
      <c r="M200" s="44">
        <f t="shared" si="9"/>
        <v>36.881531708214489</v>
      </c>
      <c r="N200">
        <f t="shared" si="10"/>
        <v>0</v>
      </c>
      <c r="O200">
        <f t="shared" si="11"/>
        <v>50.438439027381627</v>
      </c>
    </row>
    <row r="201" spans="1:15" ht="18" x14ac:dyDescent="0.25">
      <c r="A201" s="38" t="s">
        <v>198</v>
      </c>
      <c r="B201" s="39">
        <v>10</v>
      </c>
      <c r="C201" s="40">
        <v>71.25</v>
      </c>
      <c r="D201" s="41">
        <v>83.333333333333329</v>
      </c>
      <c r="E201" s="42">
        <v>52.823728017197418</v>
      </c>
      <c r="F201" s="43">
        <v>60</v>
      </c>
      <c r="G201" s="44">
        <v>1.0671299968472034</v>
      </c>
      <c r="H201" s="44"/>
      <c r="I201" s="44"/>
      <c r="J201" s="44"/>
      <c r="K201" s="44"/>
      <c r="L201" s="44"/>
      <c r="M201" s="44">
        <f t="shared" si="9"/>
        <v>54.795195407429233</v>
      </c>
      <c r="N201">
        <f t="shared" si="10"/>
        <v>10.671299968472034</v>
      </c>
      <c r="O201">
        <f t="shared" si="11"/>
        <v>56.369784712449416</v>
      </c>
    </row>
    <row r="202" spans="1:15" ht="18" x14ac:dyDescent="0.25">
      <c r="A202" s="38" t="s">
        <v>199</v>
      </c>
      <c r="B202" s="39">
        <v>10</v>
      </c>
      <c r="C202" s="40">
        <v>32.5</v>
      </c>
      <c r="D202" s="41">
        <v>75</v>
      </c>
      <c r="E202" s="42">
        <v>58.233357980520211</v>
      </c>
      <c r="F202" s="43">
        <v>43.333333333333336</v>
      </c>
      <c r="G202" s="44">
        <v>0.92035842027448089</v>
      </c>
      <c r="H202" s="44"/>
      <c r="I202" s="44"/>
      <c r="J202" s="44"/>
      <c r="K202" s="44"/>
      <c r="L202" s="44"/>
      <c r="M202" s="44">
        <f t="shared" si="9"/>
        <v>42.169385248017939</v>
      </c>
      <c r="N202">
        <f t="shared" si="10"/>
        <v>9.2035842027448087</v>
      </c>
      <c r="O202">
        <f t="shared" si="11"/>
        <v>53.595561358229915</v>
      </c>
    </row>
    <row r="203" spans="1:15" ht="18" x14ac:dyDescent="0.25">
      <c r="A203" s="38" t="s">
        <v>200</v>
      </c>
      <c r="B203" s="39">
        <v>57.5</v>
      </c>
      <c r="C203" s="40">
        <v>28.75</v>
      </c>
      <c r="D203" s="41">
        <v>58.333333333333336</v>
      </c>
      <c r="E203" s="42">
        <v>48.732010776376576</v>
      </c>
      <c r="F203" s="43">
        <v>26.666666666666668</v>
      </c>
      <c r="G203" s="44">
        <v>1.0861884242329052</v>
      </c>
      <c r="H203" s="44"/>
      <c r="I203" s="44"/>
      <c r="J203" s="44"/>
      <c r="K203" s="44"/>
      <c r="L203" s="44"/>
      <c r="M203" s="44">
        <f t="shared" si="9"/>
        <v>46.870810677146437</v>
      </c>
      <c r="N203">
        <f t="shared" si="10"/>
        <v>62.455834393392045</v>
      </c>
      <c r="O203">
        <f t="shared" si="11"/>
        <v>52.932145994893425</v>
      </c>
    </row>
    <row r="204" spans="1:15" ht="18" x14ac:dyDescent="0.25">
      <c r="A204" s="38" t="s">
        <v>201</v>
      </c>
      <c r="B204" s="39">
        <v>20</v>
      </c>
      <c r="C204" s="40">
        <v>56.25</v>
      </c>
      <c r="D204" s="41">
        <v>75</v>
      </c>
      <c r="E204" s="42">
        <v>52.993347344037389</v>
      </c>
      <c r="F204" s="43">
        <v>60</v>
      </c>
      <c r="G204" s="44">
        <v>0.9674647154692283</v>
      </c>
      <c r="H204" s="44"/>
      <c r="I204" s="44"/>
      <c r="J204" s="44"/>
      <c r="K204" s="44"/>
      <c r="L204" s="44"/>
      <c r="M204" s="44">
        <f t="shared" si="9"/>
        <v>50.750616974865245</v>
      </c>
      <c r="N204">
        <f t="shared" si="10"/>
        <v>19.349294309384565</v>
      </c>
      <c r="O204">
        <f t="shared" si="11"/>
        <v>51.269193709961115</v>
      </c>
    </row>
    <row r="205" spans="1:15" ht="18" x14ac:dyDescent="0.25">
      <c r="A205" s="38" t="s">
        <v>202</v>
      </c>
      <c r="B205" s="39">
        <v>30</v>
      </c>
      <c r="C205" s="40">
        <v>76.25</v>
      </c>
      <c r="D205" s="41">
        <v>83.333333333333329</v>
      </c>
      <c r="E205" s="42">
        <v>54.274674372286043</v>
      </c>
      <c r="F205" s="43">
        <v>60</v>
      </c>
      <c r="G205" s="44">
        <v>0.92035842027448089</v>
      </c>
      <c r="H205" s="44"/>
      <c r="I205" s="44"/>
      <c r="J205" s="44"/>
      <c r="K205" s="44"/>
      <c r="L205" s="44"/>
      <c r="M205" s="44">
        <f t="shared" si="9"/>
        <v>57.257796591503592</v>
      </c>
      <c r="N205">
        <f t="shared" si="10"/>
        <v>27.610752608234428</v>
      </c>
      <c r="O205">
        <f t="shared" si="11"/>
        <v>49.952153566189033</v>
      </c>
    </row>
    <row r="206" spans="1:15" ht="18" x14ac:dyDescent="0.25">
      <c r="A206" s="38" t="s">
        <v>203</v>
      </c>
      <c r="B206" s="39">
        <v>0</v>
      </c>
      <c r="C206" s="40">
        <v>71.25</v>
      </c>
      <c r="D206" s="41">
        <v>75</v>
      </c>
      <c r="E206" s="42">
        <v>58.608649831105296</v>
      </c>
      <c r="F206" s="43">
        <v>26.666666666666668</v>
      </c>
      <c r="G206" s="44">
        <v>1.0166896167724373</v>
      </c>
      <c r="H206" s="44"/>
      <c r="I206" s="44"/>
      <c r="J206" s="44"/>
      <c r="K206" s="44"/>
      <c r="L206" s="44"/>
      <c r="M206" s="44">
        <f t="shared" si="9"/>
        <v>47.376041720900929</v>
      </c>
      <c r="N206">
        <f t="shared" si="10"/>
        <v>0</v>
      </c>
      <c r="O206">
        <f t="shared" si="11"/>
        <v>59.586805736336416</v>
      </c>
    </row>
    <row r="207" spans="1:15" ht="18" x14ac:dyDescent="0.25">
      <c r="A207" s="38" t="s">
        <v>204</v>
      </c>
      <c r="B207" s="39">
        <v>0</v>
      </c>
      <c r="C207" s="40">
        <v>27.5</v>
      </c>
      <c r="D207" s="41">
        <v>33.333333333333336</v>
      </c>
      <c r="E207" s="42">
        <v>48.954750903115247</v>
      </c>
      <c r="F207" s="43">
        <v>26.666666666666668</v>
      </c>
      <c r="G207" s="44">
        <v>1.0861884242329052</v>
      </c>
      <c r="H207" s="44"/>
      <c r="I207" s="44"/>
      <c r="J207" s="44"/>
      <c r="K207" s="44"/>
      <c r="L207" s="44"/>
      <c r="M207" s="44">
        <f t="shared" si="9"/>
        <v>30.452225122650741</v>
      </c>
      <c r="N207">
        <f t="shared" si="10"/>
        <v>0</v>
      </c>
      <c r="O207">
        <f t="shared" si="11"/>
        <v>53.174083742169145</v>
      </c>
    </row>
    <row r="208" spans="1:15" ht="18" x14ac:dyDescent="0.25">
      <c r="A208" s="38" t="s">
        <v>205</v>
      </c>
      <c r="B208" s="39">
        <v>65</v>
      </c>
      <c r="C208" s="40">
        <v>71.25</v>
      </c>
      <c r="D208" s="41">
        <v>75</v>
      </c>
      <c r="E208" s="42">
        <v>82.148222061461411</v>
      </c>
      <c r="F208" s="43">
        <v>66.666666666666671</v>
      </c>
      <c r="G208" s="44">
        <v>0.92250083849466036</v>
      </c>
      <c r="H208" s="44"/>
      <c r="I208" s="44"/>
      <c r="J208" s="44"/>
      <c r="K208" s="44"/>
      <c r="L208" s="44"/>
      <c r="M208" s="44">
        <f t="shared" si="9"/>
        <v>70.227052020193696</v>
      </c>
      <c r="N208">
        <f t="shared" si="10"/>
        <v>59.962554502152926</v>
      </c>
      <c r="O208">
        <f t="shared" si="11"/>
        <v>75.781803732543707</v>
      </c>
    </row>
    <row r="209" spans="1:15" ht="18" x14ac:dyDescent="0.25">
      <c r="A209" s="38" t="s">
        <v>206</v>
      </c>
      <c r="B209" s="39">
        <v>65</v>
      </c>
      <c r="C209" s="40">
        <v>65</v>
      </c>
      <c r="D209" s="41">
        <v>58.333333333333336</v>
      </c>
      <c r="E209" s="42">
        <v>48.033938187643457</v>
      </c>
      <c r="F209" s="43">
        <v>43.333333333333336</v>
      </c>
      <c r="G209" s="44">
        <v>1.0861884242329052</v>
      </c>
      <c r="H209" s="44"/>
      <c r="I209" s="44"/>
      <c r="J209" s="44"/>
      <c r="K209" s="44"/>
      <c r="L209" s="44"/>
      <c r="M209" s="44">
        <f t="shared" si="9"/>
        <v>58.02262180394893</v>
      </c>
      <c r="N209">
        <f t="shared" si="10"/>
        <v>70.602247575138833</v>
      </c>
      <c r="O209">
        <f t="shared" si="11"/>
        <v>52.173907629737215</v>
      </c>
    </row>
    <row r="210" spans="1:15" ht="18" x14ac:dyDescent="0.25">
      <c r="A210" s="38" t="s">
        <v>207</v>
      </c>
      <c r="B210" s="39">
        <v>10</v>
      </c>
      <c r="C210" s="40">
        <v>78.75</v>
      </c>
      <c r="D210" s="41">
        <v>83.333333333333329</v>
      </c>
      <c r="E210" s="42">
        <v>54.437234717611837</v>
      </c>
      <c r="F210" s="43">
        <v>66.666666666666671</v>
      </c>
      <c r="G210" s="44">
        <v>0.92035842027448089</v>
      </c>
      <c r="H210" s="44"/>
      <c r="I210" s="44"/>
      <c r="J210" s="44"/>
      <c r="K210" s="44"/>
      <c r="L210" s="44"/>
      <c r="M210" s="44">
        <f t="shared" si="9"/>
        <v>55.121247045192661</v>
      </c>
      <c r="N210">
        <f t="shared" si="10"/>
        <v>9.2035842027448087</v>
      </c>
      <c r="O210">
        <f t="shared" si="11"/>
        <v>50.101767348812359</v>
      </c>
    </row>
    <row r="211" spans="1:15" ht="18" x14ac:dyDescent="0.25">
      <c r="A211" s="38" t="s">
        <v>208</v>
      </c>
      <c r="B211" s="39">
        <v>20</v>
      </c>
      <c r="C211" s="40">
        <v>32.5</v>
      </c>
      <c r="D211" s="41">
        <v>50</v>
      </c>
      <c r="E211" s="42">
        <v>52.160501914116082</v>
      </c>
      <c r="F211" s="43">
        <v>13.333333333333334</v>
      </c>
      <c r="G211" s="44">
        <v>1.0236415013327018</v>
      </c>
      <c r="H211" s="44"/>
      <c r="I211" s="44"/>
      <c r="J211" s="44"/>
      <c r="K211" s="44"/>
      <c r="L211" s="44"/>
      <c r="M211" s="44">
        <f t="shared" si="9"/>
        <v>36.112662352220724</v>
      </c>
      <c r="N211">
        <f t="shared" si="10"/>
        <v>20.472830026654037</v>
      </c>
      <c r="O211">
        <f t="shared" si="11"/>
        <v>53.39365448963305</v>
      </c>
    </row>
    <row r="212" spans="1:15" ht="18" x14ac:dyDescent="0.25">
      <c r="A212" s="38" t="s">
        <v>694</v>
      </c>
      <c r="B212" s="39">
        <v>52.5</v>
      </c>
      <c r="C212" s="40">
        <v>83.75</v>
      </c>
      <c r="D212" s="41">
        <v>91.666666666666671</v>
      </c>
      <c r="E212" s="42">
        <v>55.534088523030881</v>
      </c>
      <c r="F212" s="43">
        <v>66.666666666666671</v>
      </c>
      <c r="G212" s="44">
        <v>1.0861884242329052</v>
      </c>
      <c r="H212" s="44"/>
      <c r="I212" s="44"/>
      <c r="J212" s="44"/>
      <c r="K212" s="44"/>
      <c r="L212" s="44"/>
      <c r="M212" s="44">
        <f t="shared" si="9"/>
        <v>70.001123685657973</v>
      </c>
      <c r="N212">
        <f t="shared" si="10"/>
        <v>57.024892272227525</v>
      </c>
      <c r="O212">
        <f t="shared" si="11"/>
        <v>60.320484104041576</v>
      </c>
    </row>
    <row r="213" spans="1:15" ht="18" x14ac:dyDescent="0.25">
      <c r="A213" s="38" t="s">
        <v>210</v>
      </c>
      <c r="B213" s="39">
        <v>0</v>
      </c>
      <c r="C213" s="40">
        <v>0</v>
      </c>
      <c r="D213" s="41">
        <v>0</v>
      </c>
      <c r="E213" s="42">
        <v>91.758896915197766</v>
      </c>
      <c r="F213" s="43">
        <v>0</v>
      </c>
      <c r="G213" s="44">
        <v>0.9287196207575894</v>
      </c>
      <c r="H213" s="44"/>
      <c r="I213" s="44"/>
      <c r="J213" s="44"/>
      <c r="K213" s="44"/>
      <c r="L213" s="44"/>
      <c r="M213" s="44">
        <f t="shared" si="9"/>
        <v>25.56548638326516</v>
      </c>
      <c r="N213">
        <f t="shared" si="10"/>
        <v>0</v>
      </c>
      <c r="O213">
        <f t="shared" si="11"/>
        <v>85.218287944217209</v>
      </c>
    </row>
    <row r="214" spans="1:15" ht="18" x14ac:dyDescent="0.25">
      <c r="A214" s="38" t="s">
        <v>211</v>
      </c>
      <c r="B214" s="39">
        <v>87.5</v>
      </c>
      <c r="C214" s="40">
        <v>56.25</v>
      </c>
      <c r="D214" s="41">
        <v>75</v>
      </c>
      <c r="E214" s="42">
        <v>62.489526482966852</v>
      </c>
      <c r="F214" s="43">
        <v>66.666666666666671</v>
      </c>
      <c r="G214" s="44">
        <v>0.92354760254785906</v>
      </c>
      <c r="H214" s="44"/>
      <c r="I214" s="44"/>
      <c r="J214" s="44"/>
      <c r="K214" s="44"/>
      <c r="L214" s="44"/>
      <c r="M214" s="44">
        <f t="shared" si="9"/>
        <v>65.97569875489603</v>
      </c>
      <c r="N214">
        <f t="shared" si="10"/>
        <v>80.810415222937664</v>
      </c>
      <c r="O214">
        <f t="shared" si="11"/>
        <v>57.71205236769498</v>
      </c>
    </row>
    <row r="215" spans="1:15" ht="18" x14ac:dyDescent="0.25">
      <c r="A215" s="38" t="s">
        <v>212</v>
      </c>
      <c r="B215" s="39">
        <v>20</v>
      </c>
      <c r="C215" s="40">
        <v>76.25</v>
      </c>
      <c r="D215" s="41">
        <v>83.333333333333329</v>
      </c>
      <c r="E215" s="42">
        <v>83.012558103788294</v>
      </c>
      <c r="F215" s="43">
        <v>50</v>
      </c>
      <c r="G215" s="44">
        <v>1.0861884242329052</v>
      </c>
      <c r="H215" s="44"/>
      <c r="I215" s="44"/>
      <c r="J215" s="44"/>
      <c r="K215" s="44"/>
      <c r="L215" s="44"/>
      <c r="M215" s="44">
        <f t="shared" si="9"/>
        <v>66.644937600420505</v>
      </c>
      <c r="N215">
        <f t="shared" si="10"/>
        <v>21.723768484658102</v>
      </c>
      <c r="O215">
        <f t="shared" si="11"/>
        <v>90.167279678296296</v>
      </c>
    </row>
    <row r="216" spans="1:15" ht="18" x14ac:dyDescent="0.25">
      <c r="A216" s="38" t="s">
        <v>213</v>
      </c>
      <c r="B216" s="39">
        <v>77.5</v>
      </c>
      <c r="C216" s="40">
        <v>70</v>
      </c>
      <c r="D216" s="41">
        <v>91.666666666666671</v>
      </c>
      <c r="E216" s="42">
        <v>75.224706111244004</v>
      </c>
      <c r="F216" s="43">
        <v>60</v>
      </c>
      <c r="G216" s="44">
        <v>0.92035842027448089</v>
      </c>
      <c r="H216" s="44"/>
      <c r="I216" s="44"/>
      <c r="J216" s="44"/>
      <c r="K216" s="44"/>
      <c r="L216" s="44"/>
      <c r="M216" s="44">
        <f t="shared" si="9"/>
        <v>71.785663018901445</v>
      </c>
      <c r="N216">
        <f t="shared" si="10"/>
        <v>71.327777571272264</v>
      </c>
      <c r="O216">
        <f t="shared" si="11"/>
        <v>69.233691682156618</v>
      </c>
    </row>
    <row r="217" spans="1:15" ht="18" x14ac:dyDescent="0.25">
      <c r="A217" s="38" t="s">
        <v>214</v>
      </c>
      <c r="B217" s="39">
        <v>22.5</v>
      </c>
      <c r="C217" s="40">
        <v>32.5</v>
      </c>
      <c r="D217" s="41">
        <v>41.666666666666664</v>
      </c>
      <c r="E217" s="42">
        <v>59.347831654763873</v>
      </c>
      <c r="F217" s="43">
        <v>60</v>
      </c>
      <c r="G217" s="44">
        <v>1.0064790004448334</v>
      </c>
      <c r="H217" s="44"/>
      <c r="I217" s="44"/>
      <c r="J217" s="44"/>
      <c r="K217" s="44"/>
      <c r="L217" s="44"/>
      <c r="M217" s="44">
        <f t="shared" si="9"/>
        <v>44.198859386738249</v>
      </c>
      <c r="N217">
        <f t="shared" si="10"/>
        <v>22.645777510008752</v>
      </c>
      <c r="O217">
        <f t="shared" si="11"/>
        <v>59.732346282454984</v>
      </c>
    </row>
    <row r="218" spans="1:15" ht="18" x14ac:dyDescent="0.25">
      <c r="A218" s="38" t="s">
        <v>215</v>
      </c>
      <c r="B218" s="39">
        <v>0</v>
      </c>
      <c r="C218" s="40">
        <v>77.5</v>
      </c>
      <c r="D218" s="41">
        <v>83.333333333333329</v>
      </c>
      <c r="E218" s="42">
        <v>60.525728682892392</v>
      </c>
      <c r="F218" s="43">
        <v>66.666666666666671</v>
      </c>
      <c r="G218" s="44">
        <v>1.0111688242405901</v>
      </c>
      <c r="H218" s="44"/>
      <c r="I218" s="44"/>
      <c r="J218" s="44"/>
      <c r="K218" s="44"/>
      <c r="L218" s="44"/>
      <c r="M218" s="44">
        <f t="shared" si="9"/>
        <v>56.360518972575576</v>
      </c>
      <c r="N218">
        <f t="shared" si="10"/>
        <v>0</v>
      </c>
      <c r="O218">
        <f t="shared" si="11"/>
        <v>61.201729908585257</v>
      </c>
    </row>
    <row r="219" spans="1:15" ht="18" x14ac:dyDescent="0.25">
      <c r="A219" s="38" t="s">
        <v>216</v>
      </c>
      <c r="B219" s="39">
        <v>0</v>
      </c>
      <c r="C219" s="40">
        <v>50</v>
      </c>
      <c r="D219" s="41">
        <v>66.666666666666671</v>
      </c>
      <c r="E219" s="42">
        <v>87.727466753379204</v>
      </c>
      <c r="F219" s="43">
        <v>60</v>
      </c>
      <c r="G219" s="44">
        <v>1.0514952610242463</v>
      </c>
      <c r="H219" s="44"/>
      <c r="I219" s="44"/>
      <c r="J219" s="44"/>
      <c r="K219" s="44"/>
      <c r="L219" s="44"/>
      <c r="M219" s="44">
        <f t="shared" si="9"/>
        <v>56.673504665852107</v>
      </c>
      <c r="N219">
        <f t="shared" si="10"/>
        <v>0</v>
      </c>
      <c r="O219">
        <f t="shared" si="11"/>
        <v>92.245015552840357</v>
      </c>
    </row>
    <row r="220" spans="1:15" ht="18" x14ac:dyDescent="0.25">
      <c r="A220" s="38" t="s">
        <v>217</v>
      </c>
      <c r="B220" s="39">
        <v>65</v>
      </c>
      <c r="C220" s="40">
        <v>21.25</v>
      </c>
      <c r="D220" s="41">
        <v>58.333333333333336</v>
      </c>
      <c r="E220" s="42">
        <v>81.098682283955014</v>
      </c>
      <c r="F220" s="43">
        <v>43.333333333333336</v>
      </c>
      <c r="G220" s="44">
        <v>0.94180898772599264</v>
      </c>
      <c r="H220" s="44"/>
      <c r="I220" s="44"/>
      <c r="J220" s="44"/>
      <c r="K220" s="44"/>
      <c r="L220" s="44"/>
      <c r="M220" s="44">
        <f t="shared" si="9"/>
        <v>54.657357200766974</v>
      </c>
      <c r="N220">
        <f t="shared" si="10"/>
        <v>61.217584202189521</v>
      </c>
      <c r="O220">
        <f t="shared" si="11"/>
        <v>76.379467867763566</v>
      </c>
    </row>
    <row r="221" spans="1:15" ht="18" x14ac:dyDescent="0.25">
      <c r="A221" s="38" t="s">
        <v>218</v>
      </c>
      <c r="B221" s="39">
        <v>65</v>
      </c>
      <c r="C221" s="40">
        <v>76.25</v>
      </c>
      <c r="D221" s="41">
        <v>83.333333333333329</v>
      </c>
      <c r="E221" s="42">
        <v>60.916304994541917</v>
      </c>
      <c r="F221" s="43">
        <v>60</v>
      </c>
      <c r="G221" s="44">
        <v>1.0819188131253366</v>
      </c>
      <c r="H221" s="44"/>
      <c r="I221" s="44"/>
      <c r="J221" s="44"/>
      <c r="K221" s="44"/>
      <c r="L221" s="44"/>
      <c r="M221" s="44">
        <f t="shared" si="9"/>
        <v>70.586893490532105</v>
      </c>
      <c r="N221">
        <f t="shared" si="10"/>
        <v>70.324722853146881</v>
      </c>
      <c r="O221">
        <f t="shared" si="11"/>
        <v>65.906496399675802</v>
      </c>
    </row>
    <row r="222" spans="1:15" ht="18" x14ac:dyDescent="0.25">
      <c r="A222" s="38" t="s">
        <v>219</v>
      </c>
      <c r="B222" s="39">
        <v>0</v>
      </c>
      <c r="C222" s="40">
        <v>65</v>
      </c>
      <c r="D222" s="41">
        <v>75</v>
      </c>
      <c r="E222" s="42">
        <v>55.870889310074816</v>
      </c>
      <c r="F222" s="43">
        <v>43.333333333333336</v>
      </c>
      <c r="G222" s="44">
        <v>1.0698726630612674</v>
      </c>
      <c r="H222" s="44"/>
      <c r="I222" s="44"/>
      <c r="J222" s="44"/>
      <c r="K222" s="44"/>
      <c r="L222" s="44"/>
      <c r="M222" s="44">
        <f t="shared" si="9"/>
        <v>48.682421140131311</v>
      </c>
      <c r="N222">
        <f t="shared" si="10"/>
        <v>0</v>
      </c>
      <c r="O222">
        <f t="shared" si="11"/>
        <v>59.77473713377104</v>
      </c>
    </row>
    <row r="223" spans="1:15" ht="18" x14ac:dyDescent="0.25">
      <c r="A223" s="38" t="s">
        <v>220</v>
      </c>
      <c r="B223" s="39">
        <v>10</v>
      </c>
      <c r="C223" s="40">
        <v>42.5</v>
      </c>
      <c r="D223" s="41">
        <v>25</v>
      </c>
      <c r="E223" s="42">
        <v>62.666273852367581</v>
      </c>
      <c r="F223" s="43">
        <v>30</v>
      </c>
      <c r="G223" s="44">
        <v>0.97302558540617912</v>
      </c>
      <c r="H223" s="44"/>
      <c r="I223" s="44"/>
      <c r="J223" s="44"/>
      <c r="K223" s="44"/>
      <c r="L223" s="44"/>
      <c r="M223" s="44">
        <f t="shared" si="9"/>
        <v>36.988817510939526</v>
      </c>
      <c r="N223">
        <f t="shared" si="10"/>
        <v>9.7302558540617916</v>
      </c>
      <c r="O223">
        <f t="shared" si="11"/>
        <v>60.975887800423898</v>
      </c>
    </row>
    <row r="224" spans="1:15" ht="18" x14ac:dyDescent="0.25">
      <c r="A224" s="38" t="s">
        <v>221</v>
      </c>
      <c r="B224" s="39">
        <v>0</v>
      </c>
      <c r="C224" s="40">
        <v>0</v>
      </c>
      <c r="D224" s="41">
        <v>8.3333333333333339</v>
      </c>
      <c r="E224" s="42">
        <v>57.415228330387201</v>
      </c>
      <c r="F224" s="43">
        <v>26.666666666666668</v>
      </c>
      <c r="G224" s="44">
        <v>1.0047976264329039</v>
      </c>
      <c r="H224" s="44"/>
      <c r="I224" s="44"/>
      <c r="J224" s="44"/>
      <c r="K224" s="44"/>
      <c r="L224" s="44"/>
      <c r="M224" s="44">
        <f t="shared" si="9"/>
        <v>22.557205544242883</v>
      </c>
      <c r="N224">
        <f t="shared" si="10"/>
        <v>0</v>
      </c>
      <c r="O224">
        <f t="shared" si="11"/>
        <v>57.69068514747628</v>
      </c>
    </row>
    <row r="225" spans="1:15" ht="18" x14ac:dyDescent="0.25">
      <c r="A225" s="38" t="s">
        <v>222</v>
      </c>
      <c r="B225" s="39">
        <v>20</v>
      </c>
      <c r="C225" s="40">
        <v>48.75</v>
      </c>
      <c r="D225" s="41">
        <v>66.666666666666671</v>
      </c>
      <c r="E225" s="42">
        <v>48.644897507557417</v>
      </c>
      <c r="F225" s="43">
        <v>60</v>
      </c>
      <c r="G225" s="44">
        <v>1.0575999110704775</v>
      </c>
      <c r="H225" s="44"/>
      <c r="I225" s="44"/>
      <c r="J225" s="44"/>
      <c r="K225" s="44"/>
      <c r="L225" s="44"/>
      <c r="M225" s="44">
        <f t="shared" si="9"/>
        <v>48.414451427689471</v>
      </c>
      <c r="N225">
        <f t="shared" si="10"/>
        <v>21.151998221409549</v>
      </c>
      <c r="O225">
        <f t="shared" si="11"/>
        <v>51.446839278025216</v>
      </c>
    </row>
    <row r="226" spans="1:15" ht="18" x14ac:dyDescent="0.25">
      <c r="A226" s="38" t="s">
        <v>223</v>
      </c>
      <c r="B226" s="39">
        <v>75</v>
      </c>
      <c r="C226" s="40">
        <v>77.5</v>
      </c>
      <c r="D226" s="41">
        <v>91.666666666666671</v>
      </c>
      <c r="E226" s="42">
        <v>46.511653435273473</v>
      </c>
      <c r="F226" s="43">
        <v>66.666666666666671</v>
      </c>
      <c r="G226" s="44">
        <v>0.99104690643977911</v>
      </c>
      <c r="H226" s="44"/>
      <c r="I226" s="44"/>
      <c r="J226" s="44"/>
      <c r="K226" s="44"/>
      <c r="L226" s="44"/>
      <c r="M226" s="44">
        <f t="shared" si="9"/>
        <v>67.944272671724761</v>
      </c>
      <c r="N226">
        <f t="shared" si="10"/>
        <v>74.328517982983428</v>
      </c>
      <c r="O226">
        <f t="shared" si="11"/>
        <v>46.095230250426901</v>
      </c>
    </row>
    <row r="227" spans="1:15" ht="18" x14ac:dyDescent="0.25">
      <c r="A227" s="38" t="s">
        <v>224</v>
      </c>
      <c r="B227" s="39">
        <v>0</v>
      </c>
      <c r="C227" s="40">
        <v>70</v>
      </c>
      <c r="D227" s="41">
        <v>83.333333333333329</v>
      </c>
      <c r="E227" s="42">
        <v>66.173665906584432</v>
      </c>
      <c r="F227" s="43">
        <v>66.666666666666671</v>
      </c>
      <c r="G227" s="44">
        <v>1.0466186559340642</v>
      </c>
      <c r="H227" s="44"/>
      <c r="I227" s="44"/>
      <c r="J227" s="44"/>
      <c r="K227" s="44"/>
      <c r="L227" s="44"/>
      <c r="M227" s="44">
        <f t="shared" si="9"/>
        <v>57.27757798081376</v>
      </c>
      <c r="N227">
        <f t="shared" si="10"/>
        <v>0</v>
      </c>
      <c r="O227">
        <f t="shared" si="11"/>
        <v>69.258593269379205</v>
      </c>
    </row>
    <row r="228" spans="1:15" ht="18" x14ac:dyDescent="0.25">
      <c r="A228" s="38" t="s">
        <v>225</v>
      </c>
      <c r="B228" s="39">
        <v>0</v>
      </c>
      <c r="C228" s="40">
        <v>93.75</v>
      </c>
      <c r="D228" s="41">
        <v>91.666666666666671</v>
      </c>
      <c r="E228" s="42">
        <v>43.231335984611235</v>
      </c>
      <c r="F228" s="43">
        <v>50</v>
      </c>
      <c r="G228" s="44">
        <v>1.0861884242329052</v>
      </c>
      <c r="H228" s="44"/>
      <c r="I228" s="44"/>
      <c r="J228" s="44"/>
      <c r="K228" s="44"/>
      <c r="L228" s="44"/>
      <c r="M228" s="44">
        <f t="shared" si="9"/>
        <v>54.087213013182449</v>
      </c>
      <c r="N228">
        <f t="shared" si="10"/>
        <v>0</v>
      </c>
      <c r="O228">
        <f t="shared" si="11"/>
        <v>46.957376710608166</v>
      </c>
    </row>
    <row r="229" spans="1:15" ht="18" x14ac:dyDescent="0.25">
      <c r="A229" s="38" t="s">
        <v>226</v>
      </c>
      <c r="B229" s="39">
        <v>10</v>
      </c>
      <c r="C229" s="40">
        <v>32.5</v>
      </c>
      <c r="D229" s="41">
        <v>33.333333333333336</v>
      </c>
      <c r="E229" s="42">
        <v>65.437075047020784</v>
      </c>
      <c r="F229" s="43">
        <v>30</v>
      </c>
      <c r="G229" s="44">
        <v>1.0619236178016014</v>
      </c>
      <c r="H229" s="44"/>
      <c r="I229" s="44"/>
      <c r="J229" s="44"/>
      <c r="K229" s="44"/>
      <c r="L229" s="44"/>
      <c r="M229" s="44">
        <f t="shared" si="9"/>
        <v>38.970599877289366</v>
      </c>
      <c r="N229">
        <f t="shared" si="10"/>
        <v>10.619236178016013</v>
      </c>
      <c r="O229">
        <f t="shared" si="11"/>
        <v>69.489175472287201</v>
      </c>
    </row>
    <row r="230" spans="1:15" ht="18" x14ac:dyDescent="0.25">
      <c r="A230" s="38" t="s">
        <v>227</v>
      </c>
      <c r="B230" s="39">
        <v>65</v>
      </c>
      <c r="C230" s="40">
        <v>76.25</v>
      </c>
      <c r="D230" s="41">
        <v>91.666666666666671</v>
      </c>
      <c r="E230" s="42">
        <v>75.111472280337011</v>
      </c>
      <c r="F230" s="43">
        <v>66.666666666666671</v>
      </c>
      <c r="G230" s="44">
        <v>0.95557276690530324</v>
      </c>
      <c r="H230" s="44"/>
      <c r="I230" s="44"/>
      <c r="J230" s="44"/>
      <c r="K230" s="44"/>
      <c r="L230" s="44"/>
      <c r="M230" s="44">
        <f t="shared" si="9"/>
        <v>72.954789187744723</v>
      </c>
      <c r="N230">
        <f t="shared" si="10"/>
        <v>62.112229848844713</v>
      </c>
      <c r="O230">
        <f t="shared" si="11"/>
        <v>71.774477393252624</v>
      </c>
    </row>
    <row r="231" spans="1:15" ht="18" x14ac:dyDescent="0.25">
      <c r="A231" s="38" t="s">
        <v>228</v>
      </c>
      <c r="B231" s="39">
        <v>0</v>
      </c>
      <c r="C231" s="40">
        <v>60</v>
      </c>
      <c r="D231" s="41">
        <v>66.666666666666671</v>
      </c>
      <c r="E231" s="42">
        <v>46.606425314733407</v>
      </c>
      <c r="F231" s="43">
        <v>66.666666666666671</v>
      </c>
      <c r="G231" s="44">
        <v>1.0380707477178501</v>
      </c>
      <c r="H231" s="44"/>
      <c r="I231" s="44"/>
      <c r="J231" s="44"/>
      <c r="K231" s="44"/>
      <c r="L231" s="44"/>
      <c r="M231" s="44">
        <f t="shared" si="9"/>
        <v>46.514230032476434</v>
      </c>
      <c r="N231">
        <f t="shared" si="10"/>
        <v>0</v>
      </c>
      <c r="O231">
        <f t="shared" si="11"/>
        <v>48.380766774921447</v>
      </c>
    </row>
    <row r="232" spans="1:15" ht="18" x14ac:dyDescent="0.25">
      <c r="A232" s="38" t="s">
        <v>695</v>
      </c>
      <c r="B232" s="39">
        <v>77.5</v>
      </c>
      <c r="C232" s="40">
        <v>65</v>
      </c>
      <c r="D232" s="41">
        <v>50</v>
      </c>
      <c r="E232" s="42">
        <v>67.477198516420472</v>
      </c>
      <c r="F232" s="43">
        <v>43.333333333333336</v>
      </c>
      <c r="G232" s="44">
        <v>0.92035842027448089</v>
      </c>
      <c r="H232" s="44"/>
      <c r="I232" s="44"/>
      <c r="J232" s="44"/>
      <c r="K232" s="44"/>
      <c r="L232" s="44"/>
      <c r="M232" s="44">
        <f t="shared" si="9"/>
        <v>59.896517863590546</v>
      </c>
      <c r="N232">
        <f t="shared" si="10"/>
        <v>71.327777571272264</v>
      </c>
      <c r="O232">
        <f t="shared" si="11"/>
        <v>62.103207831120294</v>
      </c>
    </row>
    <row r="233" spans="1:15" ht="18" x14ac:dyDescent="0.25">
      <c r="A233" s="38" t="s">
        <v>696</v>
      </c>
      <c r="B233" s="39">
        <v>20</v>
      </c>
      <c r="C233" s="40">
        <v>27.5</v>
      </c>
      <c r="D233" s="41">
        <v>33.333333333333336</v>
      </c>
      <c r="E233" s="42">
        <v>64.532838961004302</v>
      </c>
      <c r="F233" s="43">
        <v>43.333333333333336</v>
      </c>
      <c r="G233" s="44">
        <v>1.0285386758532915</v>
      </c>
      <c r="H233" s="44"/>
      <c r="I233" s="44"/>
      <c r="J233" s="44"/>
      <c r="K233" s="44"/>
      <c r="L233" s="44"/>
      <c r="M233" s="44">
        <f t="shared" si="9"/>
        <v>41.02651092361468</v>
      </c>
      <c r="N233">
        <f t="shared" si="10"/>
        <v>20.570773517065831</v>
      </c>
      <c r="O233">
        <f t="shared" si="11"/>
        <v>66.37452073400506</v>
      </c>
    </row>
    <row r="234" spans="1:15" ht="18" x14ac:dyDescent="0.25">
      <c r="A234" s="38" t="s">
        <v>231</v>
      </c>
      <c r="B234" s="39">
        <v>10</v>
      </c>
      <c r="C234" s="40">
        <v>65</v>
      </c>
      <c r="D234" s="41">
        <v>75</v>
      </c>
      <c r="E234" s="42">
        <v>75.343012349427369</v>
      </c>
      <c r="F234" s="43">
        <v>50</v>
      </c>
      <c r="G234" s="44">
        <v>0.96382664932009887</v>
      </c>
      <c r="H234" s="44"/>
      <c r="I234" s="44"/>
      <c r="J234" s="44"/>
      <c r="K234" s="44"/>
      <c r="L234" s="44"/>
      <c r="M234" s="44">
        <f t="shared" si="9"/>
        <v>55.462934241369624</v>
      </c>
      <c r="N234">
        <f t="shared" si="10"/>
        <v>9.6382664932009892</v>
      </c>
      <c r="O234">
        <f t="shared" si="11"/>
        <v>72.617603142431406</v>
      </c>
    </row>
    <row r="235" spans="1:15" ht="18" x14ac:dyDescent="0.25">
      <c r="A235" s="38" t="s">
        <v>697</v>
      </c>
      <c r="B235" s="39">
        <v>10</v>
      </c>
      <c r="C235" s="40">
        <v>72.5</v>
      </c>
      <c r="D235" s="41">
        <v>75</v>
      </c>
      <c r="E235" s="42">
        <v>42.959256028168838</v>
      </c>
      <c r="F235" s="43">
        <v>60</v>
      </c>
      <c r="G235" s="44">
        <v>1.0861884242329052</v>
      </c>
      <c r="H235" s="44"/>
      <c r="I235" s="44"/>
      <c r="J235" s="44"/>
      <c r="K235" s="44"/>
      <c r="L235" s="44"/>
      <c r="M235" s="44">
        <f t="shared" si="9"/>
        <v>50.920930831902197</v>
      </c>
      <c r="N235">
        <f t="shared" si="10"/>
        <v>10.861884242329051</v>
      </c>
      <c r="O235">
        <f t="shared" si="11"/>
        <v>46.661846611454642</v>
      </c>
    </row>
    <row r="236" spans="1:15" ht="18" x14ac:dyDescent="0.25">
      <c r="A236" s="38" t="s">
        <v>233</v>
      </c>
      <c r="B236" s="39">
        <v>65</v>
      </c>
      <c r="C236" s="40">
        <v>77.5</v>
      </c>
      <c r="D236" s="41">
        <v>83.333333333333329</v>
      </c>
      <c r="E236" s="42">
        <v>60.699890056977225</v>
      </c>
      <c r="F236" s="43">
        <v>66.666666666666671</v>
      </c>
      <c r="G236" s="44">
        <v>1.0180052868492218</v>
      </c>
      <c r="H236" s="44"/>
      <c r="I236" s="44"/>
      <c r="J236" s="44"/>
      <c r="K236" s="44"/>
      <c r="L236" s="44"/>
      <c r="M236" s="44">
        <f t="shared" si="9"/>
        <v>69.771911425790677</v>
      </c>
      <c r="N236">
        <f t="shared" si="10"/>
        <v>66.170343645199409</v>
      </c>
      <c r="O236">
        <f t="shared" si="11"/>
        <v>61.792808989169323</v>
      </c>
    </row>
    <row r="237" spans="1:15" ht="18" x14ac:dyDescent="0.25">
      <c r="A237" s="38" t="s">
        <v>234</v>
      </c>
      <c r="B237" s="39">
        <v>0</v>
      </c>
      <c r="C237" s="40">
        <v>66.25</v>
      </c>
      <c r="D237" s="41">
        <v>58.333333333333336</v>
      </c>
      <c r="E237" s="42">
        <v>71.965878944659337</v>
      </c>
      <c r="F237" s="43">
        <v>60</v>
      </c>
      <c r="G237" s="44">
        <v>0.98166550268777741</v>
      </c>
      <c r="H237" s="44"/>
      <c r="I237" s="44"/>
      <c r="J237" s="44"/>
      <c r="K237" s="44"/>
      <c r="L237" s="44"/>
      <c r="M237" s="44">
        <f t="shared" si="9"/>
        <v>52.193926219173022</v>
      </c>
      <c r="N237">
        <f t="shared" si="10"/>
        <v>0</v>
      </c>
      <c r="O237">
        <f t="shared" si="11"/>
        <v>70.64642073057675</v>
      </c>
    </row>
    <row r="238" spans="1:15" ht="18" x14ac:dyDescent="0.25">
      <c r="A238" s="38" t="s">
        <v>235</v>
      </c>
      <c r="B238" s="39">
        <v>75</v>
      </c>
      <c r="C238" s="40">
        <v>42.5</v>
      </c>
      <c r="D238" s="41">
        <v>58.333333333333336</v>
      </c>
      <c r="E238" s="42">
        <v>48.900736543919422</v>
      </c>
      <c r="F238" s="43">
        <v>26.666666666666668</v>
      </c>
      <c r="G238" s="44">
        <v>0.92078883541035106</v>
      </c>
      <c r="H238" s="44"/>
      <c r="I238" s="44"/>
      <c r="J238" s="44"/>
      <c r="K238" s="44"/>
      <c r="L238" s="44"/>
      <c r="M238" s="44">
        <f t="shared" si="9"/>
        <v>48.570008207050456</v>
      </c>
      <c r="N238">
        <f t="shared" si="10"/>
        <v>69.059162655776333</v>
      </c>
      <c r="O238">
        <f t="shared" si="11"/>
        <v>45.027252252983956</v>
      </c>
    </row>
    <row r="239" spans="1:15" ht="18" x14ac:dyDescent="0.25">
      <c r="A239" s="38" t="s">
        <v>236</v>
      </c>
      <c r="B239" s="39">
        <v>0</v>
      </c>
      <c r="C239" s="40">
        <v>37.5</v>
      </c>
      <c r="D239" s="41">
        <v>91.666666666666671</v>
      </c>
      <c r="E239" s="42">
        <v>61.146368540228906</v>
      </c>
      <c r="F239" s="43">
        <v>13.333333333333334</v>
      </c>
      <c r="G239" s="44">
        <v>0.92035842027448089</v>
      </c>
      <c r="H239" s="44"/>
      <c r="I239" s="44"/>
      <c r="J239" s="44"/>
      <c r="K239" s="44"/>
      <c r="L239" s="44"/>
      <c r="M239" s="44">
        <f t="shared" si="9"/>
        <v>40.132972546561888</v>
      </c>
      <c r="N239">
        <f t="shared" si="10"/>
        <v>0</v>
      </c>
      <c r="O239">
        <f t="shared" si="11"/>
        <v>56.276575155206295</v>
      </c>
    </row>
    <row r="240" spans="1:15" ht="18" x14ac:dyDescent="0.25">
      <c r="A240" s="38" t="s">
        <v>237</v>
      </c>
      <c r="B240" s="39">
        <v>0</v>
      </c>
      <c r="C240" s="40">
        <v>71.25</v>
      </c>
      <c r="D240" s="41">
        <v>33.333333333333336</v>
      </c>
      <c r="E240" s="42">
        <v>31.894212946198522</v>
      </c>
      <c r="F240" s="43">
        <v>26.666666666666668</v>
      </c>
      <c r="G240" s="44">
        <v>1.0350243114840945</v>
      </c>
      <c r="H240" s="44"/>
      <c r="I240" s="44"/>
      <c r="J240" s="44"/>
      <c r="K240" s="44"/>
      <c r="L240" s="44"/>
      <c r="M240" s="44">
        <f t="shared" si="9"/>
        <v>33.153385738489867</v>
      </c>
      <c r="N240">
        <f t="shared" si="10"/>
        <v>0</v>
      </c>
      <c r="O240">
        <f t="shared" si="11"/>
        <v>33.01128579496622</v>
      </c>
    </row>
    <row r="241" spans="1:15" ht="18" x14ac:dyDescent="0.25">
      <c r="A241" s="38" t="s">
        <v>238</v>
      </c>
      <c r="B241" s="39">
        <v>42.5</v>
      </c>
      <c r="C241" s="40">
        <v>67.5</v>
      </c>
      <c r="D241" s="41">
        <v>66.666666666666671</v>
      </c>
      <c r="E241" s="42">
        <v>43.542005236301279</v>
      </c>
      <c r="F241" s="43">
        <v>26.666666666666668</v>
      </c>
      <c r="G241" s="44">
        <v>1.0861884242329052</v>
      </c>
      <c r="H241" s="44"/>
      <c r="I241" s="44"/>
      <c r="J241" s="44"/>
      <c r="K241" s="44"/>
      <c r="L241" s="44"/>
      <c r="M241" s="44">
        <f t="shared" si="9"/>
        <v>50.921048222647393</v>
      </c>
      <c r="N241">
        <f t="shared" si="10"/>
        <v>46.163008029898471</v>
      </c>
      <c r="O241">
        <f t="shared" si="11"/>
        <v>47.294822055558996</v>
      </c>
    </row>
    <row r="242" spans="1:15" ht="18" x14ac:dyDescent="0.25">
      <c r="A242" s="38" t="s">
        <v>239</v>
      </c>
      <c r="B242" s="39">
        <v>20</v>
      </c>
      <c r="C242" s="40">
        <v>65</v>
      </c>
      <c r="D242" s="41">
        <v>75</v>
      </c>
      <c r="E242" s="42">
        <v>55.676998162269761</v>
      </c>
      <c r="F242" s="43">
        <v>60</v>
      </c>
      <c r="G242" s="44">
        <v>1.0861884242329052</v>
      </c>
      <c r="H242" s="44"/>
      <c r="I242" s="44"/>
      <c r="J242" s="44"/>
      <c r="K242" s="44"/>
      <c r="L242" s="44"/>
      <c r="M242" s="44">
        <f t="shared" si="9"/>
        <v>55.737466966899859</v>
      </c>
      <c r="N242">
        <f t="shared" si="10"/>
        <v>21.723768484658102</v>
      </c>
      <c r="O242">
        <f t="shared" si="11"/>
        <v>60.475710899894153</v>
      </c>
    </row>
    <row r="243" spans="1:15" ht="18" x14ac:dyDescent="0.25">
      <c r="A243" s="38" t="s">
        <v>240</v>
      </c>
      <c r="B243" s="39">
        <v>10</v>
      </c>
      <c r="C243" s="40">
        <v>65</v>
      </c>
      <c r="D243" s="41">
        <v>66.666666666666671</v>
      </c>
      <c r="E243" s="42">
        <v>47.443383960529658</v>
      </c>
      <c r="F243" s="43">
        <v>60</v>
      </c>
      <c r="G243" s="44">
        <v>0.92035842027448089</v>
      </c>
      <c r="H243" s="44"/>
      <c r="I243" s="44"/>
      <c r="J243" s="44"/>
      <c r="K243" s="44"/>
      <c r="L243" s="44"/>
      <c r="M243" s="44">
        <f t="shared" si="9"/>
        <v>46.940192214865576</v>
      </c>
      <c r="N243">
        <f t="shared" si="10"/>
        <v>9.2035842027448087</v>
      </c>
      <c r="O243">
        <f t="shared" si="11"/>
        <v>43.664917914388724</v>
      </c>
    </row>
    <row r="244" spans="1:15" ht="18" x14ac:dyDescent="0.25">
      <c r="A244" s="38" t="s">
        <v>241</v>
      </c>
      <c r="B244" s="39">
        <v>0</v>
      </c>
      <c r="C244" s="40">
        <v>76.25</v>
      </c>
      <c r="D244" s="41">
        <v>58.333333333333336</v>
      </c>
      <c r="E244" s="42">
        <v>47.810807589789945</v>
      </c>
      <c r="F244" s="43">
        <v>26.666666666666668</v>
      </c>
      <c r="G244" s="44">
        <v>1.0432740822886371</v>
      </c>
      <c r="H244" s="44"/>
      <c r="I244" s="44"/>
      <c r="J244" s="44"/>
      <c r="K244" s="44"/>
      <c r="L244" s="44"/>
      <c r="M244" s="44">
        <f t="shared" si="9"/>
        <v>42.96393292351501</v>
      </c>
      <c r="N244">
        <f t="shared" si="10"/>
        <v>0</v>
      </c>
      <c r="O244">
        <f t="shared" si="11"/>
        <v>49.879776411716705</v>
      </c>
    </row>
    <row r="245" spans="1:15" ht="18" x14ac:dyDescent="0.25">
      <c r="A245" s="38" t="s">
        <v>242</v>
      </c>
      <c r="B245" s="39">
        <v>42.5</v>
      </c>
      <c r="C245" s="40">
        <v>71.25</v>
      </c>
      <c r="D245" s="41">
        <v>66.666666666666671</v>
      </c>
      <c r="E245" s="42">
        <v>42.41645876675981</v>
      </c>
      <c r="F245" s="43">
        <v>43.333333333333336</v>
      </c>
      <c r="G245" s="44">
        <v>1.0861884242329052</v>
      </c>
      <c r="H245" s="44"/>
      <c r="I245" s="44"/>
      <c r="J245" s="44"/>
      <c r="K245" s="44"/>
      <c r="L245" s="44"/>
      <c r="M245" s="44">
        <f t="shared" si="9"/>
        <v>53.804281558801748</v>
      </c>
      <c r="N245">
        <f t="shared" si="10"/>
        <v>46.163008029898471</v>
      </c>
      <c r="O245">
        <f t="shared" si="11"/>
        <v>46.072266509406838</v>
      </c>
    </row>
    <row r="246" spans="1:15" ht="18" x14ac:dyDescent="0.25">
      <c r="A246" s="38" t="s">
        <v>243</v>
      </c>
      <c r="B246" s="39">
        <v>10</v>
      </c>
      <c r="C246" s="40">
        <v>71.25</v>
      </c>
      <c r="D246" s="41">
        <v>50</v>
      </c>
      <c r="E246" s="42">
        <v>65.499450077380217</v>
      </c>
      <c r="F246" s="43">
        <v>33.333333333333336</v>
      </c>
      <c r="G246" s="44">
        <v>1.0861884242329052</v>
      </c>
      <c r="H246" s="44"/>
      <c r="I246" s="44"/>
      <c r="J246" s="44"/>
      <c r="K246" s="44"/>
      <c r="L246" s="44"/>
      <c r="M246" s="44">
        <f t="shared" si="9"/>
        <v>50.265800188767244</v>
      </c>
      <c r="N246">
        <f t="shared" si="10"/>
        <v>10.861884242329051</v>
      </c>
      <c r="O246">
        <f t="shared" si="11"/>
        <v>71.144744467671458</v>
      </c>
    </row>
    <row r="247" spans="1:15" ht="18" x14ac:dyDescent="0.25">
      <c r="A247" s="38" t="s">
        <v>244</v>
      </c>
      <c r="B247" s="39">
        <v>55</v>
      </c>
      <c r="C247" s="40">
        <v>45</v>
      </c>
      <c r="D247" s="41">
        <v>33.333333333333336</v>
      </c>
      <c r="E247" s="42">
        <v>34.397221837986052</v>
      </c>
      <c r="F247" s="43">
        <v>43.333333333333336</v>
      </c>
      <c r="G247" s="44">
        <v>1.0861884242329052</v>
      </c>
      <c r="H247" s="44"/>
      <c r="I247" s="44"/>
      <c r="J247" s="44"/>
      <c r="K247" s="44"/>
      <c r="L247" s="44"/>
      <c r="M247" s="44">
        <f t="shared" si="9"/>
        <v>43.656631922419479</v>
      </c>
      <c r="N247">
        <f t="shared" si="10"/>
        <v>59.740363332809785</v>
      </c>
      <c r="O247">
        <f t="shared" si="11"/>
        <v>37.361864186191745</v>
      </c>
    </row>
    <row r="248" spans="1:15" ht="18" x14ac:dyDescent="0.25">
      <c r="A248" s="38" t="s">
        <v>245</v>
      </c>
      <c r="B248" s="39">
        <v>20</v>
      </c>
      <c r="C248" s="40">
        <v>50</v>
      </c>
      <c r="D248" s="41">
        <v>75</v>
      </c>
      <c r="E248" s="42">
        <v>58.332428287139109</v>
      </c>
      <c r="F248" s="43">
        <v>43.333333333333336</v>
      </c>
      <c r="G248" s="44">
        <v>0.99961427481268783</v>
      </c>
      <c r="H248" s="44"/>
      <c r="I248" s="44"/>
      <c r="J248" s="44"/>
      <c r="K248" s="44"/>
      <c r="L248" s="44"/>
      <c r="M248" s="44">
        <f t="shared" si="9"/>
        <v>49.241435499344249</v>
      </c>
      <c r="N248">
        <f t="shared" si="10"/>
        <v>19.992285496253757</v>
      </c>
      <c r="O248">
        <f t="shared" si="11"/>
        <v>58.309928000311679</v>
      </c>
    </row>
    <row r="249" spans="1:15" ht="18" x14ac:dyDescent="0.25">
      <c r="A249" s="38" t="s">
        <v>246</v>
      </c>
      <c r="B249" s="39">
        <v>62.5</v>
      </c>
      <c r="C249" s="40">
        <v>27.5</v>
      </c>
      <c r="D249" s="41">
        <v>16.666666666666668</v>
      </c>
      <c r="E249" s="42">
        <v>71.922861406301635</v>
      </c>
      <c r="F249" s="43">
        <v>43.333333333333336</v>
      </c>
      <c r="G249" s="44">
        <v>0.92035842027448089</v>
      </c>
      <c r="H249" s="44"/>
      <c r="I249" s="44"/>
      <c r="J249" s="44"/>
      <c r="K249" s="44"/>
      <c r="L249" s="44"/>
      <c r="M249" s="44">
        <f t="shared" si="9"/>
        <v>45.862923585088268</v>
      </c>
      <c r="N249">
        <f t="shared" si="10"/>
        <v>57.522401267155054</v>
      </c>
      <c r="O249">
        <f t="shared" si="11"/>
        <v>66.194811105524195</v>
      </c>
    </row>
    <row r="250" spans="1:15" ht="18" x14ac:dyDescent="0.25">
      <c r="A250" s="38" t="s">
        <v>247</v>
      </c>
      <c r="B250" s="39">
        <v>52.5</v>
      </c>
      <c r="C250" s="40">
        <v>48.75</v>
      </c>
      <c r="D250" s="41">
        <v>50</v>
      </c>
      <c r="E250" s="42">
        <v>58.339171761455489</v>
      </c>
      <c r="F250" s="43">
        <v>43.333333333333336</v>
      </c>
      <c r="G250" s="44">
        <v>1.0861884242329052</v>
      </c>
      <c r="H250" s="44"/>
      <c r="I250" s="44"/>
      <c r="J250" s="44"/>
      <c r="K250" s="44"/>
      <c r="L250" s="44"/>
      <c r="M250" s="44">
        <f t="shared" si="9"/>
        <v>54.165178368433942</v>
      </c>
      <c r="N250">
        <f t="shared" si="10"/>
        <v>57.024892272227525</v>
      </c>
      <c r="O250">
        <f t="shared" si="11"/>
        <v>63.36733304662814</v>
      </c>
    </row>
    <row r="251" spans="1:15" ht="18" x14ac:dyDescent="0.25">
      <c r="A251" s="38" t="s">
        <v>248</v>
      </c>
      <c r="B251" s="39">
        <v>75</v>
      </c>
      <c r="C251" s="40">
        <v>42.5</v>
      </c>
      <c r="D251" s="41">
        <v>41.666666666666664</v>
      </c>
      <c r="E251" s="42">
        <v>60.852637703127378</v>
      </c>
      <c r="F251" s="43">
        <v>43.333333333333336</v>
      </c>
      <c r="G251" s="44">
        <v>0.98318396958441934</v>
      </c>
      <c r="H251" s="44"/>
      <c r="I251" s="44"/>
      <c r="J251" s="44"/>
      <c r="K251" s="44"/>
      <c r="L251" s="44"/>
      <c r="M251" s="44">
        <f t="shared" si="9"/>
        <v>53.946560912759274</v>
      </c>
      <c r="N251">
        <f t="shared" si="10"/>
        <v>73.738797718831449</v>
      </c>
      <c r="O251">
        <f t="shared" si="11"/>
        <v>59.829337896643274</v>
      </c>
    </row>
    <row r="252" spans="1:15" ht="18" x14ac:dyDescent="0.25">
      <c r="A252" s="38" t="s">
        <v>249</v>
      </c>
      <c r="B252" s="39">
        <v>65</v>
      </c>
      <c r="C252" s="40">
        <v>53.75</v>
      </c>
      <c r="D252" s="41">
        <v>58.333333333333336</v>
      </c>
      <c r="E252" s="42">
        <v>64.434198440344559</v>
      </c>
      <c r="F252" s="43">
        <v>43.333333333333336</v>
      </c>
      <c r="G252" s="44">
        <v>0.95445587752622862</v>
      </c>
      <c r="H252" s="44"/>
      <c r="I252" s="44"/>
      <c r="J252" s="44"/>
      <c r="K252" s="44"/>
      <c r="L252" s="44"/>
      <c r="M252" s="44">
        <f t="shared" si="9"/>
        <v>56.857806232364439</v>
      </c>
      <c r="N252">
        <f t="shared" si="10"/>
        <v>62.039632039204861</v>
      </c>
      <c r="O252">
        <f t="shared" si="11"/>
        <v>61.499599415078215</v>
      </c>
    </row>
    <row r="253" spans="1:15" ht="18" x14ac:dyDescent="0.25">
      <c r="A253" s="38" t="s">
        <v>250</v>
      </c>
      <c r="B253" s="39">
        <v>10</v>
      </c>
      <c r="C253" s="40">
        <v>60</v>
      </c>
      <c r="D253" s="41">
        <v>75</v>
      </c>
      <c r="E253" s="42">
        <v>52.337639591309539</v>
      </c>
      <c r="F253" s="43">
        <v>60</v>
      </c>
      <c r="G253" s="44">
        <v>1.0861884242329052</v>
      </c>
      <c r="H253" s="44"/>
      <c r="I253" s="44"/>
      <c r="J253" s="44"/>
      <c r="K253" s="44"/>
      <c r="L253" s="44"/>
      <c r="M253" s="44">
        <f t="shared" si="9"/>
        <v>51.476938331192073</v>
      </c>
      <c r="N253">
        <f t="shared" si="10"/>
        <v>10.861884242329051</v>
      </c>
      <c r="O253">
        <f t="shared" si="11"/>
        <v>56.848538275754223</v>
      </c>
    </row>
    <row r="254" spans="1:15" ht="18" x14ac:dyDescent="0.25">
      <c r="A254" s="38" t="s">
        <v>251</v>
      </c>
      <c r="B254" s="39">
        <v>20</v>
      </c>
      <c r="C254" s="40">
        <v>32.5</v>
      </c>
      <c r="D254" s="41">
        <v>58.333333333333336</v>
      </c>
      <c r="E254" s="42">
        <v>58.659002920232197</v>
      </c>
      <c r="F254" s="43">
        <v>13.333333333333334</v>
      </c>
      <c r="G254" s="44">
        <v>1.0486957774450114</v>
      </c>
      <c r="H254" s="44"/>
      <c r="I254" s="44"/>
      <c r="J254" s="44"/>
      <c r="K254" s="44"/>
      <c r="L254" s="44"/>
      <c r="M254" s="44">
        <f t="shared" si="9"/>
        <v>39.899417711254678</v>
      </c>
      <c r="N254">
        <f t="shared" si="10"/>
        <v>20.97391554890023</v>
      </c>
      <c r="O254">
        <f t="shared" si="11"/>
        <v>61.515448671582099</v>
      </c>
    </row>
    <row r="255" spans="1:15" ht="18" x14ac:dyDescent="0.25">
      <c r="A255" s="38" t="s">
        <v>252</v>
      </c>
      <c r="B255" s="39">
        <v>45</v>
      </c>
      <c r="C255" s="40">
        <v>33.75</v>
      </c>
      <c r="D255" s="41">
        <v>41.666666666666664</v>
      </c>
      <c r="E255" s="42">
        <v>57.60237970318731</v>
      </c>
      <c r="F255" s="43">
        <v>43.333333333333336</v>
      </c>
      <c r="G255" s="44">
        <v>1.0537959410922184</v>
      </c>
      <c r="H255" s="44"/>
      <c r="I255" s="44"/>
      <c r="J255" s="44"/>
      <c r="K255" s="44"/>
      <c r="L255" s="44"/>
      <c r="M255" s="44">
        <f t="shared" si="9"/>
        <v>47.194509648371437</v>
      </c>
      <c r="N255">
        <f t="shared" si="10"/>
        <v>47.420817349149829</v>
      </c>
      <c r="O255">
        <f t="shared" si="11"/>
        <v>60.70115392847157</v>
      </c>
    </row>
    <row r="256" spans="1:15" ht="18" x14ac:dyDescent="0.25">
      <c r="A256" s="38" t="s">
        <v>253</v>
      </c>
      <c r="B256" s="39">
        <v>75</v>
      </c>
      <c r="C256" s="40">
        <v>88.75</v>
      </c>
      <c r="D256" s="41">
        <v>91.666666666666671</v>
      </c>
      <c r="E256" s="42">
        <v>67.458542865191589</v>
      </c>
      <c r="F256" s="43">
        <v>66.666666666666671</v>
      </c>
      <c r="G256" s="44">
        <v>0.95043016321945983</v>
      </c>
      <c r="H256" s="44"/>
      <c r="I256" s="44"/>
      <c r="J256" s="44"/>
      <c r="K256" s="44"/>
      <c r="L256" s="44"/>
      <c r="M256" s="44">
        <f t="shared" si="9"/>
        <v>74.990842620065195</v>
      </c>
      <c r="N256">
        <f t="shared" si="10"/>
        <v>71.282262241459492</v>
      </c>
      <c r="O256">
        <f t="shared" si="11"/>
        <v>64.114633905910964</v>
      </c>
    </row>
    <row r="257" spans="1:15" ht="18" x14ac:dyDescent="0.25">
      <c r="A257" s="38" t="s">
        <v>254</v>
      </c>
      <c r="B257" s="39">
        <v>30</v>
      </c>
      <c r="C257" s="40">
        <v>0</v>
      </c>
      <c r="D257" s="41">
        <v>0</v>
      </c>
      <c r="E257" s="42">
        <v>73.85768563202997</v>
      </c>
      <c r="F257" s="43">
        <v>0</v>
      </c>
      <c r="G257" s="44">
        <v>1.0747031096970729</v>
      </c>
      <c r="H257" s="44"/>
      <c r="I257" s="44"/>
      <c r="J257" s="44"/>
      <c r="K257" s="44"/>
      <c r="L257" s="44"/>
      <c r="M257" s="44">
        <f t="shared" si="9"/>
        <v>30.260743985313866</v>
      </c>
      <c r="N257">
        <f t="shared" si="10"/>
        <v>32.24109329091219</v>
      </c>
      <c r="O257">
        <f t="shared" si="11"/>
        <v>79.375084423771426</v>
      </c>
    </row>
    <row r="258" spans="1:15" ht="18" x14ac:dyDescent="0.25">
      <c r="A258" s="38" t="s">
        <v>255</v>
      </c>
      <c r="B258" s="39">
        <v>0</v>
      </c>
      <c r="C258" s="40">
        <v>88.75</v>
      </c>
      <c r="D258" s="41">
        <v>75</v>
      </c>
      <c r="E258" s="42">
        <v>57.838081528131042</v>
      </c>
      <c r="F258" s="43">
        <v>60</v>
      </c>
      <c r="G258" s="44">
        <v>0.92035842027448089</v>
      </c>
      <c r="H258" s="44"/>
      <c r="I258" s="44"/>
      <c r="J258" s="44"/>
      <c r="K258" s="44"/>
      <c r="L258" s="44"/>
      <c r="M258" s="44">
        <f t="shared" si="9"/>
        <v>53.969529604081195</v>
      </c>
      <c r="N258">
        <f t="shared" si="10"/>
        <v>0</v>
      </c>
      <c r="O258">
        <f t="shared" si="11"/>
        <v>53.231765346937323</v>
      </c>
    </row>
    <row r="259" spans="1:15" ht="18" x14ac:dyDescent="0.25">
      <c r="A259" s="38" t="s">
        <v>256</v>
      </c>
      <c r="B259" s="39">
        <v>65</v>
      </c>
      <c r="C259" s="40">
        <v>82.5</v>
      </c>
      <c r="D259" s="41">
        <v>83.333333333333329</v>
      </c>
      <c r="E259" s="42">
        <v>75.197538102003648</v>
      </c>
      <c r="F259" s="43">
        <v>50</v>
      </c>
      <c r="G259" s="44">
        <v>0.93246305099931981</v>
      </c>
      <c r="H259" s="44"/>
      <c r="I259" s="44"/>
      <c r="J259" s="44"/>
      <c r="K259" s="44"/>
      <c r="L259" s="44"/>
      <c r="M259" s="44">
        <f t="shared" ref="M259:M294" si="12">((G259*$H$3*B259)+($I$3*C259)+($J$3*D259)+(G259*$K$3*E259)+($L$3*F259))</f>
        <v>69.657697404860727</v>
      </c>
      <c r="N259">
        <f t="shared" ref="N259:N294" si="13">B259*G259</f>
        <v>60.610098314955785</v>
      </c>
      <c r="O259">
        <f t="shared" ref="O259:O294" si="14">E259*G259</f>
        <v>70.118925806231928</v>
      </c>
    </row>
    <row r="260" spans="1:15" ht="18" x14ac:dyDescent="0.25">
      <c r="A260" s="38" t="s">
        <v>257</v>
      </c>
      <c r="B260" s="39">
        <v>10</v>
      </c>
      <c r="C260" s="40">
        <v>43.75</v>
      </c>
      <c r="D260" s="41">
        <v>58.333333333333336</v>
      </c>
      <c r="E260" s="42">
        <v>66.204614533756171</v>
      </c>
      <c r="F260" s="43">
        <v>26.666666666666668</v>
      </c>
      <c r="G260" s="44">
        <v>0.92035842027448089</v>
      </c>
      <c r="H260" s="44"/>
      <c r="I260" s="44"/>
      <c r="J260" s="44"/>
      <c r="K260" s="44"/>
      <c r="L260" s="44"/>
      <c r="M260" s="44">
        <f t="shared" si="12"/>
        <v>41.620309174699592</v>
      </c>
      <c r="N260">
        <f t="shared" si="13"/>
        <v>9.2035842027448087</v>
      </c>
      <c r="O260">
        <f t="shared" si="14"/>
        <v>60.93197444716877</v>
      </c>
    </row>
    <row r="261" spans="1:15" ht="18" x14ac:dyDescent="0.25">
      <c r="A261" s="38" t="s">
        <v>258</v>
      </c>
      <c r="B261" s="39">
        <v>30</v>
      </c>
      <c r="C261" s="40">
        <v>52.5</v>
      </c>
      <c r="D261" s="41">
        <v>75</v>
      </c>
      <c r="E261" s="42">
        <v>53.264992089074354</v>
      </c>
      <c r="F261" s="43">
        <v>43.333333333333336</v>
      </c>
      <c r="G261" s="44">
        <v>1.0861884242329052</v>
      </c>
      <c r="H261" s="44"/>
      <c r="I261" s="44"/>
      <c r="J261" s="44"/>
      <c r="K261" s="44"/>
      <c r="L261" s="44"/>
      <c r="M261" s="44">
        <f t="shared" si="12"/>
        <v>52.123875892600381</v>
      </c>
      <c r="N261">
        <f t="shared" si="13"/>
        <v>32.585652726987156</v>
      </c>
      <c r="O261">
        <f t="shared" si="14"/>
        <v>57.855817824009833</v>
      </c>
    </row>
    <row r="262" spans="1:15" ht="18" x14ac:dyDescent="0.25">
      <c r="A262" s="38" t="s">
        <v>259</v>
      </c>
      <c r="B262" s="39">
        <v>10</v>
      </c>
      <c r="C262" s="40">
        <v>66.25</v>
      </c>
      <c r="D262" s="41">
        <v>66.666666666666671</v>
      </c>
      <c r="E262" s="42">
        <v>42.955456386579748</v>
      </c>
      <c r="F262" s="43">
        <v>50</v>
      </c>
      <c r="G262" s="44">
        <v>1.0861884242329052</v>
      </c>
      <c r="H262" s="44"/>
      <c r="I262" s="44"/>
      <c r="J262" s="44"/>
      <c r="K262" s="44"/>
      <c r="L262" s="44"/>
      <c r="M262" s="44">
        <f t="shared" si="12"/>
        <v>46.919692693889111</v>
      </c>
      <c r="N262">
        <f t="shared" si="13"/>
        <v>10.861884242329051</v>
      </c>
      <c r="O262">
        <f t="shared" si="14"/>
        <v>46.657719484744341</v>
      </c>
    </row>
    <row r="263" spans="1:15" ht="18" x14ac:dyDescent="0.25">
      <c r="A263" s="38" t="s">
        <v>260</v>
      </c>
      <c r="B263" s="39">
        <v>10</v>
      </c>
      <c r="C263" s="40">
        <v>82.5</v>
      </c>
      <c r="D263" s="41">
        <v>83.333333333333329</v>
      </c>
      <c r="E263" s="42">
        <v>60.901651875274226</v>
      </c>
      <c r="F263" s="43">
        <v>43.333333333333336</v>
      </c>
      <c r="G263" s="44">
        <v>0.97749499101086323</v>
      </c>
      <c r="H263" s="44"/>
      <c r="I263" s="44"/>
      <c r="J263" s="44"/>
      <c r="K263" s="44"/>
      <c r="L263" s="44"/>
      <c r="M263" s="44">
        <f t="shared" si="12"/>
        <v>55.314307877732091</v>
      </c>
      <c r="N263">
        <f t="shared" si="13"/>
        <v>9.7749499101086315</v>
      </c>
      <c r="O263">
        <f t="shared" si="14"/>
        <v>59.531059652367901</v>
      </c>
    </row>
    <row r="264" spans="1:15" ht="18" x14ac:dyDescent="0.25">
      <c r="A264" s="38" t="s">
        <v>261</v>
      </c>
      <c r="B264" s="39">
        <v>42.5</v>
      </c>
      <c r="C264" s="40">
        <v>38.75</v>
      </c>
      <c r="D264" s="41">
        <v>66.666666666666671</v>
      </c>
      <c r="E264" s="42">
        <v>69.351981886849671</v>
      </c>
      <c r="F264" s="43">
        <v>43.333333333333336</v>
      </c>
      <c r="G264" s="44">
        <v>1.053755528933396</v>
      </c>
      <c r="H264" s="44"/>
      <c r="I264" s="44"/>
      <c r="J264" s="44"/>
      <c r="K264" s="44"/>
      <c r="L264" s="44"/>
      <c r="M264" s="44">
        <f t="shared" si="12"/>
        <v>55.130932302660838</v>
      </c>
      <c r="N264">
        <f t="shared" si="13"/>
        <v>44.784609979669327</v>
      </c>
      <c r="O264">
        <f t="shared" si="14"/>
        <v>73.080034355756567</v>
      </c>
    </row>
    <row r="265" spans="1:15" ht="18" x14ac:dyDescent="0.25">
      <c r="A265" s="38" t="s">
        <v>262</v>
      </c>
      <c r="B265" s="39">
        <v>10</v>
      </c>
      <c r="C265" s="40">
        <v>48.75</v>
      </c>
      <c r="D265" s="41">
        <v>16.666666666666668</v>
      </c>
      <c r="E265" s="42">
        <v>54.459900498527659</v>
      </c>
      <c r="F265" s="43">
        <v>50</v>
      </c>
      <c r="G265" s="44">
        <v>1.0375032071366035</v>
      </c>
      <c r="H265" s="44"/>
      <c r="I265" s="44"/>
      <c r="J265" s="44"/>
      <c r="K265" s="44"/>
      <c r="L265" s="44"/>
      <c r="M265" s="44">
        <f t="shared" si="12"/>
        <v>38.775702842542032</v>
      </c>
      <c r="N265">
        <f t="shared" si="13"/>
        <v>10.375032071366036</v>
      </c>
      <c r="O265">
        <f t="shared" si="14"/>
        <v>56.502321427562755</v>
      </c>
    </row>
    <row r="266" spans="1:15" ht="18" x14ac:dyDescent="0.25">
      <c r="A266" s="38" t="s">
        <v>263</v>
      </c>
      <c r="B266" s="39">
        <v>0</v>
      </c>
      <c r="C266" s="40">
        <v>66.25</v>
      </c>
      <c r="D266" s="41">
        <v>25</v>
      </c>
      <c r="E266" s="42">
        <v>48.804060978710801</v>
      </c>
      <c r="F266" s="43">
        <v>26.666666666666668</v>
      </c>
      <c r="G266" s="44">
        <v>1.0861884242329052</v>
      </c>
      <c r="H266" s="44"/>
      <c r="I266" s="44"/>
      <c r="J266" s="44"/>
      <c r="K266" s="44"/>
      <c r="L266" s="44"/>
      <c r="M266" s="44">
        <f t="shared" si="12"/>
        <v>36.90312182718975</v>
      </c>
      <c r="N266">
        <f t="shared" si="13"/>
        <v>0</v>
      </c>
      <c r="O266">
        <f t="shared" si="14"/>
        <v>53.0104060906325</v>
      </c>
    </row>
    <row r="267" spans="1:15" ht="18" x14ac:dyDescent="0.25">
      <c r="A267" s="38" t="s">
        <v>264</v>
      </c>
      <c r="B267" s="39">
        <v>0</v>
      </c>
      <c r="C267" s="40">
        <v>76.25</v>
      </c>
      <c r="D267" s="41">
        <v>91.666666666666671</v>
      </c>
      <c r="E267" s="42">
        <v>43.101228247770983</v>
      </c>
      <c r="F267" s="43">
        <v>66.666666666666671</v>
      </c>
      <c r="G267" s="44">
        <v>1.0266156366690784</v>
      </c>
      <c r="H267" s="44"/>
      <c r="I267" s="44"/>
      <c r="J267" s="44"/>
      <c r="K267" s="44"/>
      <c r="L267" s="44"/>
      <c r="M267" s="44">
        <f t="shared" si="12"/>
        <v>52.2745184636414</v>
      </c>
      <c r="N267">
        <f t="shared" si="13"/>
        <v>0</v>
      </c>
      <c r="O267">
        <f t="shared" si="14"/>
        <v>44.248394878804675</v>
      </c>
    </row>
    <row r="268" spans="1:15" ht="18" x14ac:dyDescent="0.25">
      <c r="A268" s="38" t="s">
        <v>265</v>
      </c>
      <c r="B268" s="39">
        <v>42.5</v>
      </c>
      <c r="C268" s="40">
        <v>93.75</v>
      </c>
      <c r="D268" s="41">
        <v>91.666666666666671</v>
      </c>
      <c r="E268" s="42">
        <v>69.336922015061617</v>
      </c>
      <c r="F268" s="43">
        <v>66.666666666666671</v>
      </c>
      <c r="G268" s="44">
        <v>0.92035842027448089</v>
      </c>
      <c r="H268" s="44"/>
      <c r="I268" s="44"/>
      <c r="J268" s="44"/>
      <c r="K268" s="44"/>
      <c r="L268" s="44"/>
      <c r="M268" s="44">
        <f t="shared" si="12"/>
        <v>69.467492576076182</v>
      </c>
      <c r="N268">
        <f t="shared" si="13"/>
        <v>39.11523286166544</v>
      </c>
      <c r="O268">
        <f t="shared" si="14"/>
        <v>63.814820012476986</v>
      </c>
    </row>
    <row r="269" spans="1:15" ht="18" x14ac:dyDescent="0.25">
      <c r="A269" s="38" t="s">
        <v>266</v>
      </c>
      <c r="B269" s="39">
        <v>52.5</v>
      </c>
      <c r="C269" s="40">
        <v>81.25</v>
      </c>
      <c r="D269" s="41">
        <v>83.333333333333329</v>
      </c>
      <c r="E269" s="42">
        <v>67.978463829034141</v>
      </c>
      <c r="F269" s="43">
        <v>60</v>
      </c>
      <c r="G269" s="44">
        <v>0.92035842027448089</v>
      </c>
      <c r="H269" s="44"/>
      <c r="I269" s="44"/>
      <c r="J269" s="44"/>
      <c r="K269" s="44"/>
      <c r="L269" s="44"/>
      <c r="M269" s="44">
        <f t="shared" si="12"/>
        <v>66.183128887594791</v>
      </c>
      <c r="N269">
        <f t="shared" si="13"/>
        <v>48.318817064410247</v>
      </c>
      <c r="O269">
        <f t="shared" si="14"/>
        <v>62.564551582375799</v>
      </c>
    </row>
    <row r="270" spans="1:15" ht="18" x14ac:dyDescent="0.25">
      <c r="A270" s="38" t="s">
        <v>267</v>
      </c>
      <c r="B270" s="39">
        <v>10</v>
      </c>
      <c r="C270" s="40">
        <v>76.25</v>
      </c>
      <c r="D270" s="41">
        <v>66.666666666666671</v>
      </c>
      <c r="E270" s="42">
        <v>81.435125959304173</v>
      </c>
      <c r="F270" s="43">
        <v>66.666666666666671</v>
      </c>
      <c r="G270" s="44">
        <v>0.94678786169994256</v>
      </c>
      <c r="H270" s="44"/>
      <c r="I270" s="44"/>
      <c r="J270" s="44"/>
      <c r="K270" s="44"/>
      <c r="L270" s="44"/>
      <c r="M270" s="44">
        <f t="shared" si="12"/>
        <v>60.274112355682405</v>
      </c>
      <c r="N270">
        <f t="shared" si="13"/>
        <v>9.4678786169994247</v>
      </c>
      <c r="O270">
        <f t="shared" si="14"/>
        <v>77.101788774275079</v>
      </c>
    </row>
    <row r="271" spans="1:15" ht="18" x14ac:dyDescent="0.25">
      <c r="A271" s="38" t="s">
        <v>268</v>
      </c>
      <c r="B271" s="39">
        <v>10</v>
      </c>
      <c r="C271" s="40">
        <v>61.25</v>
      </c>
      <c r="D271" s="41">
        <v>75</v>
      </c>
      <c r="E271" s="42">
        <v>43.030338087292719</v>
      </c>
      <c r="F271" s="43">
        <v>60</v>
      </c>
      <c r="G271" s="44">
        <v>1.0861884242329052</v>
      </c>
      <c r="H271" s="44"/>
      <c r="I271" s="44"/>
      <c r="J271" s="44"/>
      <c r="K271" s="44"/>
      <c r="L271" s="44"/>
      <c r="M271" s="44">
        <f t="shared" si="12"/>
        <v>48.694093384839505</v>
      </c>
      <c r="N271">
        <f t="shared" si="13"/>
        <v>10.861884242329051</v>
      </c>
      <c r="O271">
        <f t="shared" si="14"/>
        <v>46.739055121245642</v>
      </c>
    </row>
    <row r="272" spans="1:15" ht="18" x14ac:dyDescent="0.25">
      <c r="A272" s="38" t="s">
        <v>269</v>
      </c>
      <c r="B272" s="39">
        <v>10</v>
      </c>
      <c r="C272" s="40">
        <v>66.25</v>
      </c>
      <c r="D272" s="41">
        <v>66.666666666666671</v>
      </c>
      <c r="E272" s="42">
        <v>65.550128508473577</v>
      </c>
      <c r="F272" s="43">
        <v>43.333333333333336</v>
      </c>
      <c r="G272" s="44">
        <v>0.98970333859454085</v>
      </c>
      <c r="H272" s="44"/>
      <c r="I272" s="44"/>
      <c r="J272" s="44"/>
      <c r="K272" s="44"/>
      <c r="L272" s="44"/>
      <c r="M272" s="44">
        <f t="shared" si="12"/>
        <v>51.191960986230328</v>
      </c>
      <c r="N272">
        <f t="shared" si="13"/>
        <v>9.8970333859454094</v>
      </c>
      <c r="O272">
        <f t="shared" si="14"/>
        <v>64.875181030137483</v>
      </c>
    </row>
    <row r="273" spans="1:15" ht="18" x14ac:dyDescent="0.25">
      <c r="A273" s="38" t="s">
        <v>270</v>
      </c>
      <c r="B273" s="39">
        <v>30</v>
      </c>
      <c r="C273" s="40">
        <v>43.75</v>
      </c>
      <c r="D273" s="41">
        <v>33.333333333333336</v>
      </c>
      <c r="E273" s="42">
        <v>86.058039496279491</v>
      </c>
      <c r="F273" s="43">
        <v>43.333333333333336</v>
      </c>
      <c r="G273" s="44">
        <v>0.95628258375197084</v>
      </c>
      <c r="H273" s="44"/>
      <c r="I273" s="44"/>
      <c r="J273" s="44"/>
      <c r="K273" s="44"/>
      <c r="L273" s="44"/>
      <c r="M273" s="44">
        <f t="shared" si="12"/>
        <v>50.67643681115122</v>
      </c>
      <c r="N273">
        <f t="shared" si="13"/>
        <v>28.688477512559125</v>
      </c>
      <c r="O273">
        <f t="shared" si="14"/>
        <v>82.295804362131307</v>
      </c>
    </row>
    <row r="274" spans="1:15" ht="18" x14ac:dyDescent="0.25">
      <c r="A274" s="38" t="s">
        <v>271</v>
      </c>
      <c r="B274" s="39">
        <v>0</v>
      </c>
      <c r="C274" s="40">
        <v>53.75</v>
      </c>
      <c r="D274" s="41">
        <v>25</v>
      </c>
      <c r="E274" s="42">
        <v>45.103285722267351</v>
      </c>
      <c r="F274" s="43">
        <v>26.666666666666668</v>
      </c>
      <c r="G274" s="44">
        <v>0.98939452199119904</v>
      </c>
      <c r="H274" s="44"/>
      <c r="I274" s="44"/>
      <c r="J274" s="44"/>
      <c r="K274" s="44"/>
      <c r="L274" s="44"/>
      <c r="M274" s="44">
        <f t="shared" si="12"/>
        <v>31.887483145224554</v>
      </c>
      <c r="N274">
        <f t="shared" si="13"/>
        <v>0</v>
      </c>
      <c r="O274">
        <f t="shared" si="14"/>
        <v>44.624943817415179</v>
      </c>
    </row>
    <row r="275" spans="1:15" ht="18" x14ac:dyDescent="0.25">
      <c r="A275" s="38" t="s">
        <v>272</v>
      </c>
      <c r="B275" s="39">
        <v>75</v>
      </c>
      <c r="C275" s="40">
        <v>60</v>
      </c>
      <c r="D275" s="41">
        <v>83.333333333333329</v>
      </c>
      <c r="E275" s="42">
        <v>84.71130229340946</v>
      </c>
      <c r="F275" s="43">
        <v>43.333333333333336</v>
      </c>
      <c r="G275" s="44">
        <v>1.0481478856236035</v>
      </c>
      <c r="H275" s="44"/>
      <c r="I275" s="44"/>
      <c r="J275" s="44"/>
      <c r="K275" s="44"/>
      <c r="L275" s="44"/>
      <c r="M275" s="44">
        <f t="shared" si="12"/>
        <v>73.35921000053176</v>
      </c>
      <c r="N275">
        <f t="shared" si="13"/>
        <v>78.611091421770269</v>
      </c>
      <c r="O275">
        <f t="shared" si="14"/>
        <v>88.789972387259041</v>
      </c>
    </row>
    <row r="276" spans="1:15" ht="18" x14ac:dyDescent="0.25">
      <c r="A276" s="38" t="s">
        <v>273</v>
      </c>
      <c r="B276" s="39">
        <v>10</v>
      </c>
      <c r="C276" s="40">
        <v>78.75</v>
      </c>
      <c r="D276" s="41">
        <v>75</v>
      </c>
      <c r="E276" s="42">
        <v>53.950308550319484</v>
      </c>
      <c r="F276" s="43">
        <v>43.333333333333336</v>
      </c>
      <c r="G276" s="44">
        <v>0.93334626397882836</v>
      </c>
      <c r="H276" s="44"/>
      <c r="I276" s="44"/>
      <c r="J276" s="44"/>
      <c r="K276" s="44"/>
      <c r="L276" s="44"/>
      <c r="M276" s="44">
        <f t="shared" si="12"/>
        <v>50.472988205741373</v>
      </c>
      <c r="N276">
        <f t="shared" si="13"/>
        <v>9.3334626397882836</v>
      </c>
      <c r="O276">
        <f t="shared" si="14"/>
        <v>50.354318925945726</v>
      </c>
    </row>
    <row r="277" spans="1:15" ht="18" x14ac:dyDescent="0.25">
      <c r="A277" s="38" t="s">
        <v>274</v>
      </c>
      <c r="B277" s="39">
        <v>30</v>
      </c>
      <c r="C277" s="40">
        <v>45</v>
      </c>
      <c r="D277" s="41">
        <v>75</v>
      </c>
      <c r="E277" s="42">
        <v>67.652704384966114</v>
      </c>
      <c r="F277" s="43">
        <v>26.666666666666668</v>
      </c>
      <c r="G277" s="44">
        <v>0.93586538895320825</v>
      </c>
      <c r="H277" s="44"/>
      <c r="I277" s="44"/>
      <c r="J277" s="44"/>
      <c r="K277" s="44"/>
      <c r="L277" s="44"/>
      <c r="M277" s="44">
        <f t="shared" si="12"/>
        <v>48.859339684611065</v>
      </c>
      <c r="N277">
        <f t="shared" si="13"/>
        <v>28.075961668596246</v>
      </c>
      <c r="O277">
        <f t="shared" si="14"/>
        <v>63.313824502972729</v>
      </c>
    </row>
    <row r="278" spans="1:15" ht="18" x14ac:dyDescent="0.25">
      <c r="A278" s="38" t="s">
        <v>275</v>
      </c>
      <c r="B278" s="39">
        <v>10</v>
      </c>
      <c r="C278" s="40">
        <v>71.25</v>
      </c>
      <c r="D278" s="41">
        <v>66.666666666666671</v>
      </c>
      <c r="E278" s="42">
        <v>53.578513401466033</v>
      </c>
      <c r="F278" s="43">
        <v>66.666666666666671</v>
      </c>
      <c r="G278" s="44">
        <v>0.92035842027448089</v>
      </c>
      <c r="H278" s="44"/>
      <c r="I278" s="44"/>
      <c r="J278" s="44"/>
      <c r="K278" s="44"/>
      <c r="L278" s="44"/>
      <c r="M278" s="44">
        <f t="shared" si="12"/>
        <v>50.884147626997475</v>
      </c>
      <c r="N278">
        <f t="shared" si="13"/>
        <v>9.2035842027448087</v>
      </c>
      <c r="O278">
        <f t="shared" si="14"/>
        <v>49.311435954828383</v>
      </c>
    </row>
    <row r="279" spans="1:15" ht="18" x14ac:dyDescent="0.25">
      <c r="A279" s="38" t="s">
        <v>276</v>
      </c>
      <c r="B279" s="39">
        <v>55</v>
      </c>
      <c r="C279" s="40">
        <v>66.25</v>
      </c>
      <c r="D279" s="41">
        <v>50</v>
      </c>
      <c r="E279" s="42">
        <v>37.475205678858686</v>
      </c>
      <c r="F279" s="43">
        <v>33.333333333333336</v>
      </c>
      <c r="G279" s="44">
        <v>1.0861884242329052</v>
      </c>
      <c r="H279" s="44"/>
      <c r="I279" s="44"/>
      <c r="J279" s="44"/>
      <c r="K279" s="44"/>
      <c r="L279" s="44"/>
      <c r="M279" s="44">
        <f t="shared" si="12"/>
        <v>49.909613047799013</v>
      </c>
      <c r="N279">
        <f t="shared" si="13"/>
        <v>59.740363332809785</v>
      </c>
      <c r="O279">
        <f t="shared" si="14"/>
        <v>40.705134604123536</v>
      </c>
    </row>
    <row r="280" spans="1:15" ht="18" x14ac:dyDescent="0.25">
      <c r="A280" s="38" t="s">
        <v>277</v>
      </c>
      <c r="B280" s="39">
        <v>0</v>
      </c>
      <c r="C280" s="40">
        <v>22.5</v>
      </c>
      <c r="D280" s="41">
        <v>16.666666666666668</v>
      </c>
      <c r="E280" s="42">
        <v>66.991109040314697</v>
      </c>
      <c r="F280" s="43">
        <v>13.333333333333334</v>
      </c>
      <c r="G280" s="44">
        <v>1.0499626611570552</v>
      </c>
      <c r="H280" s="44"/>
      <c r="I280" s="44"/>
      <c r="J280" s="44"/>
      <c r="K280" s="44"/>
      <c r="L280" s="44"/>
      <c r="M280" s="44">
        <f t="shared" si="12"/>
        <v>30.101448936549382</v>
      </c>
      <c r="N280">
        <f t="shared" si="13"/>
        <v>0</v>
      </c>
      <c r="O280">
        <f t="shared" si="14"/>
        <v>70.338163121831272</v>
      </c>
    </row>
    <row r="281" spans="1:15" ht="18" x14ac:dyDescent="0.25">
      <c r="A281" s="38" t="s">
        <v>278</v>
      </c>
      <c r="B281" s="39">
        <v>10</v>
      </c>
      <c r="C281" s="40">
        <v>65</v>
      </c>
      <c r="D281" s="41">
        <v>83.333333333333329</v>
      </c>
      <c r="E281" s="42">
        <v>51.929696758020924</v>
      </c>
      <c r="F281" s="43">
        <v>66.666666666666671</v>
      </c>
      <c r="G281" s="44">
        <v>0.9578165785423407</v>
      </c>
      <c r="H281" s="44"/>
      <c r="I281" s="44"/>
      <c r="J281" s="44"/>
      <c r="K281" s="44"/>
      <c r="L281" s="44"/>
      <c r="M281" s="44">
        <f t="shared" si="12"/>
        <v>52.337370499137343</v>
      </c>
      <c r="N281">
        <f t="shared" si="13"/>
        <v>9.5781657854234066</v>
      </c>
      <c r="O281">
        <f t="shared" si="14"/>
        <v>49.73912447350888</v>
      </c>
    </row>
    <row r="282" spans="1:15" ht="18" x14ac:dyDescent="0.25">
      <c r="A282" s="38" t="s">
        <v>279</v>
      </c>
      <c r="B282" s="39">
        <v>10</v>
      </c>
      <c r="C282" s="40">
        <v>61.25</v>
      </c>
      <c r="D282" s="41">
        <v>75</v>
      </c>
      <c r="E282" s="42">
        <v>35.318965389916549</v>
      </c>
      <c r="F282" s="43">
        <v>26.666666666666668</v>
      </c>
      <c r="G282" s="44">
        <v>1.0625076052031726</v>
      </c>
      <c r="H282" s="44"/>
      <c r="I282" s="44"/>
      <c r="J282" s="44"/>
      <c r="K282" s="44"/>
      <c r="L282" s="44"/>
      <c r="M282" s="44">
        <f t="shared" si="12"/>
        <v>40.883016010814536</v>
      </c>
      <c r="N282">
        <f t="shared" si="13"/>
        <v>10.625076052031726</v>
      </c>
      <c r="O282">
        <f t="shared" si="14"/>
        <v>37.52666933469397</v>
      </c>
    </row>
    <row r="283" spans="1:15" ht="18" x14ac:dyDescent="0.25">
      <c r="A283" s="38" t="s">
        <v>280</v>
      </c>
      <c r="B283" s="39">
        <v>0</v>
      </c>
      <c r="C283" s="40">
        <v>76.25</v>
      </c>
      <c r="D283" s="41">
        <v>83.333333333333329</v>
      </c>
      <c r="E283" s="42">
        <v>62.171175337627872</v>
      </c>
      <c r="F283" s="43">
        <v>50</v>
      </c>
      <c r="G283" s="44">
        <v>1.007246800656006</v>
      </c>
      <c r="H283" s="44"/>
      <c r="I283" s="44"/>
      <c r="J283" s="44"/>
      <c r="K283" s="44"/>
      <c r="L283" s="44"/>
      <c r="M283" s="44">
        <f t="shared" si="12"/>
        <v>54.036515235554774</v>
      </c>
      <c r="N283">
        <f t="shared" si="13"/>
        <v>0</v>
      </c>
      <c r="O283">
        <f t="shared" si="14"/>
        <v>62.621717451849257</v>
      </c>
    </row>
    <row r="284" spans="1:15" ht="18" x14ac:dyDescent="0.25">
      <c r="A284" s="38" t="s">
        <v>281</v>
      </c>
      <c r="B284" s="39">
        <v>10</v>
      </c>
      <c r="C284" s="40">
        <v>76.25</v>
      </c>
      <c r="D284" s="41">
        <v>75</v>
      </c>
      <c r="E284" s="42">
        <v>52.668939429286382</v>
      </c>
      <c r="F284" s="43">
        <v>50</v>
      </c>
      <c r="G284" s="44">
        <v>1.0527925976552359</v>
      </c>
      <c r="H284" s="44"/>
      <c r="I284" s="44"/>
      <c r="J284" s="44"/>
      <c r="K284" s="44"/>
      <c r="L284" s="44"/>
      <c r="M284" s="44">
        <f t="shared" si="12"/>
        <v>52.74042606256188</v>
      </c>
      <c r="N284">
        <f t="shared" si="13"/>
        <v>10.527925976552359</v>
      </c>
      <c r="O284">
        <f t="shared" si="14"/>
        <v>55.449469557504692</v>
      </c>
    </row>
    <row r="285" spans="1:15" ht="18" x14ac:dyDescent="0.25">
      <c r="A285" s="38" t="s">
        <v>282</v>
      </c>
      <c r="B285" s="39">
        <v>30</v>
      </c>
      <c r="C285" s="40">
        <v>66.25</v>
      </c>
      <c r="D285" s="41">
        <v>75</v>
      </c>
      <c r="E285" s="42">
        <v>68.017657287355561</v>
      </c>
      <c r="F285" s="43">
        <v>60</v>
      </c>
      <c r="G285" s="44">
        <v>1.0670995290340572</v>
      </c>
      <c r="H285" s="44"/>
      <c r="I285" s="44"/>
      <c r="J285" s="44"/>
      <c r="K285" s="44"/>
      <c r="L285" s="44"/>
      <c r="M285" s="44">
        <f t="shared" si="12"/>
        <v>61.677080191405452</v>
      </c>
      <c r="N285">
        <f t="shared" si="13"/>
        <v>32.012985871021719</v>
      </c>
      <c r="O285">
        <f t="shared" si="14"/>
        <v>72.581610057337031</v>
      </c>
    </row>
    <row r="286" spans="1:15" ht="18" x14ac:dyDescent="0.25">
      <c r="A286" s="38" t="s">
        <v>283</v>
      </c>
      <c r="B286" s="39">
        <v>10</v>
      </c>
      <c r="C286" s="40">
        <v>63.75</v>
      </c>
      <c r="D286" s="41">
        <v>83.333333333333329</v>
      </c>
      <c r="E286" s="42">
        <v>33.946905289616907</v>
      </c>
      <c r="F286" s="43">
        <v>66.666666666666671</v>
      </c>
      <c r="G286" s="44">
        <v>1.0861884242329052</v>
      </c>
      <c r="H286" s="44"/>
      <c r="I286" s="44"/>
      <c r="J286" s="44"/>
      <c r="K286" s="44"/>
      <c r="L286" s="44"/>
      <c r="M286" s="44">
        <f t="shared" si="12"/>
        <v>48.484197517699606</v>
      </c>
      <c r="N286">
        <f t="shared" si="13"/>
        <v>10.861884242329051</v>
      </c>
      <c r="O286">
        <f t="shared" si="14"/>
        <v>36.872735564112659</v>
      </c>
    </row>
    <row r="287" spans="1:15" ht="18" x14ac:dyDescent="0.25">
      <c r="A287" s="38" t="s">
        <v>284</v>
      </c>
      <c r="B287" s="39">
        <v>65</v>
      </c>
      <c r="C287" s="40">
        <v>60</v>
      </c>
      <c r="D287" s="41">
        <v>75</v>
      </c>
      <c r="E287" s="42">
        <v>67.73923993171158</v>
      </c>
      <c r="F287" s="43">
        <v>50</v>
      </c>
      <c r="G287" s="44">
        <v>0.9324086872146824</v>
      </c>
      <c r="H287" s="44"/>
      <c r="I287" s="44"/>
      <c r="J287" s="44"/>
      <c r="K287" s="44"/>
      <c r="L287" s="44"/>
      <c r="M287" s="44">
        <f t="shared" si="12"/>
        <v>61.81950966708515</v>
      </c>
      <c r="N287">
        <f t="shared" si="13"/>
        <v>60.606564668954356</v>
      </c>
      <c r="O287">
        <f t="shared" si="14"/>
        <v>63.160655777647584</v>
      </c>
    </row>
    <row r="288" spans="1:15" ht="18" x14ac:dyDescent="0.25">
      <c r="A288" s="38" t="s">
        <v>698</v>
      </c>
      <c r="B288" s="39">
        <v>0</v>
      </c>
      <c r="C288" s="40">
        <v>77.5</v>
      </c>
      <c r="D288" s="41">
        <v>58.333333333333336</v>
      </c>
      <c r="E288" s="42">
        <v>38.186164782881264</v>
      </c>
      <c r="F288" s="43">
        <v>60</v>
      </c>
      <c r="G288" s="44">
        <v>1.0296333825708335</v>
      </c>
      <c r="H288" s="44"/>
      <c r="I288" s="44"/>
      <c r="J288" s="44"/>
      <c r="K288" s="44"/>
      <c r="L288" s="44"/>
      <c r="M288" s="44">
        <f t="shared" si="12"/>
        <v>45.045325003841583</v>
      </c>
      <c r="N288">
        <f t="shared" si="13"/>
        <v>0</v>
      </c>
      <c r="O288">
        <f t="shared" si="14"/>
        <v>39.31775001280527</v>
      </c>
    </row>
    <row r="289" spans="1:15" ht="18" x14ac:dyDescent="0.25">
      <c r="A289" s="38" t="s">
        <v>286</v>
      </c>
      <c r="B289" s="39">
        <v>42.5</v>
      </c>
      <c r="C289" s="40">
        <v>77.5</v>
      </c>
      <c r="D289" s="41">
        <v>50</v>
      </c>
      <c r="E289" s="42">
        <v>42.436174344457058</v>
      </c>
      <c r="F289" s="43">
        <v>26.666666666666668</v>
      </c>
      <c r="G289" s="44">
        <v>1.0861884242329052</v>
      </c>
      <c r="H289" s="44"/>
      <c r="I289" s="44"/>
      <c r="J289" s="44"/>
      <c r="K289" s="44"/>
      <c r="L289" s="44"/>
      <c r="M289" s="44">
        <f t="shared" si="12"/>
        <v>50.060706008483287</v>
      </c>
      <c r="N289">
        <f t="shared" si="13"/>
        <v>46.163008029898471</v>
      </c>
      <c r="O289">
        <f t="shared" si="14"/>
        <v>46.093681341678646</v>
      </c>
    </row>
    <row r="290" spans="1:15" ht="18" x14ac:dyDescent="0.25">
      <c r="A290" s="38" t="s">
        <v>287</v>
      </c>
      <c r="B290" s="39">
        <v>10</v>
      </c>
      <c r="C290" s="40">
        <v>32.5</v>
      </c>
      <c r="D290" s="41">
        <v>41.666666666666664</v>
      </c>
      <c r="E290" s="42">
        <v>38.016912300656621</v>
      </c>
      <c r="F290" s="43">
        <v>43.333333333333336</v>
      </c>
      <c r="G290" s="44">
        <v>1.0861884242329052</v>
      </c>
      <c r="H290" s="44"/>
      <c r="I290" s="44"/>
      <c r="J290" s="44"/>
      <c r="K290" s="44"/>
      <c r="L290" s="44"/>
      <c r="M290" s="44">
        <f t="shared" si="12"/>
        <v>33.81043586828104</v>
      </c>
      <c r="N290">
        <f t="shared" si="13"/>
        <v>10.861884242329051</v>
      </c>
      <c r="O290">
        <f t="shared" si="14"/>
        <v>41.293530066050764</v>
      </c>
    </row>
    <row r="291" spans="1:15" ht="18" x14ac:dyDescent="0.25">
      <c r="A291" s="38" t="s">
        <v>288</v>
      </c>
      <c r="B291" s="39">
        <v>0</v>
      </c>
      <c r="C291" s="40">
        <v>70</v>
      </c>
      <c r="D291" s="41">
        <v>58.333333333333336</v>
      </c>
      <c r="E291" s="42">
        <v>43.772315765057506</v>
      </c>
      <c r="F291" s="43">
        <v>43.333333333333336</v>
      </c>
      <c r="G291" s="44">
        <v>0.92035842027448089</v>
      </c>
      <c r="H291" s="44"/>
      <c r="I291" s="44"/>
      <c r="J291" s="44"/>
      <c r="K291" s="44"/>
      <c r="L291" s="44"/>
      <c r="M291" s="44">
        <f t="shared" si="12"/>
        <v>41.335865816785223</v>
      </c>
      <c r="N291">
        <f t="shared" si="13"/>
        <v>0</v>
      </c>
      <c r="O291">
        <f t="shared" si="14"/>
        <v>40.286219389284085</v>
      </c>
    </row>
    <row r="292" spans="1:15" ht="18" x14ac:dyDescent="0.25">
      <c r="A292" s="38" t="s">
        <v>289</v>
      </c>
      <c r="B292" s="39">
        <v>65</v>
      </c>
      <c r="C292" s="40">
        <v>60</v>
      </c>
      <c r="D292" s="41">
        <v>91.666666666666671</v>
      </c>
      <c r="E292" s="42">
        <v>43.037959499143213</v>
      </c>
      <c r="F292" s="43">
        <v>60</v>
      </c>
      <c r="G292" s="44">
        <v>1.0861884242329052</v>
      </c>
      <c r="H292" s="44"/>
      <c r="I292" s="44"/>
      <c r="J292" s="44"/>
      <c r="K292" s="44"/>
      <c r="L292" s="44"/>
      <c r="M292" s="44">
        <f t="shared" si="12"/>
        <v>62.89464953819995</v>
      </c>
      <c r="N292">
        <f t="shared" si="13"/>
        <v>70.602247575138833</v>
      </c>
      <c r="O292">
        <f t="shared" si="14"/>
        <v>46.747333410573958</v>
      </c>
    </row>
    <row r="293" spans="1:15" ht="18" x14ac:dyDescent="0.25">
      <c r="A293" s="38" t="s">
        <v>290</v>
      </c>
      <c r="B293" s="39">
        <v>10</v>
      </c>
      <c r="C293" s="40">
        <v>33.75</v>
      </c>
      <c r="D293" s="41">
        <v>25</v>
      </c>
      <c r="E293" s="42">
        <v>76.722593443667179</v>
      </c>
      <c r="F293" s="43">
        <v>26.666666666666668</v>
      </c>
      <c r="G293" s="44">
        <v>0.92035842027448089</v>
      </c>
      <c r="H293" s="44"/>
      <c r="I293" s="44"/>
      <c r="J293" s="44"/>
      <c r="K293" s="44"/>
      <c r="L293" s="44"/>
      <c r="M293" s="44">
        <f t="shared" si="12"/>
        <v>37.524402310901394</v>
      </c>
      <c r="N293">
        <f t="shared" si="13"/>
        <v>9.2035842027448087</v>
      </c>
      <c r="O293">
        <f t="shared" si="14"/>
        <v>70.612284901174775</v>
      </c>
    </row>
    <row r="294" spans="1:15" ht="18" x14ac:dyDescent="0.25">
      <c r="A294" s="38" t="s">
        <v>291</v>
      </c>
      <c r="B294" s="39">
        <v>10</v>
      </c>
      <c r="C294" s="40">
        <v>83.75</v>
      </c>
      <c r="D294" s="41">
        <v>91.666666666666671</v>
      </c>
      <c r="E294" s="42">
        <v>42.455547393497348</v>
      </c>
      <c r="F294" s="43">
        <v>66.666666666666671</v>
      </c>
      <c r="G294" s="44">
        <v>1.0861884242329052</v>
      </c>
      <c r="H294" s="44"/>
      <c r="I294" s="44"/>
      <c r="J294" s="44"/>
      <c r="K294" s="44"/>
      <c r="L294" s="44"/>
      <c r="M294" s="44">
        <f t="shared" si="12"/>
        <v>56.506794085452299</v>
      </c>
      <c r="N294">
        <f t="shared" si="13"/>
        <v>10.861884242329051</v>
      </c>
      <c r="O294">
        <f t="shared" si="14"/>
        <v>46.114724123288312</v>
      </c>
    </row>
    <row r="295" spans="1:15" ht="18" x14ac:dyDescent="0.25">
      <c r="A295" s="38" t="s">
        <v>292</v>
      </c>
      <c r="B295" s="39">
        <v>0</v>
      </c>
      <c r="C295" s="40">
        <v>5</v>
      </c>
      <c r="D295" s="41">
        <v>0</v>
      </c>
      <c r="E295" s="42" t="s">
        <v>701</v>
      </c>
      <c r="F295" s="43">
        <v>13.333333333333334</v>
      </c>
      <c r="G295" s="44" t="s">
        <v>699</v>
      </c>
      <c r="H295" s="44"/>
      <c r="I295" s="44"/>
      <c r="J295" s="44"/>
      <c r="K295" s="44"/>
      <c r="L295" s="44"/>
      <c r="M295" s="44" t="s">
        <v>699</v>
      </c>
      <c r="N295" t="s">
        <v>699</v>
      </c>
      <c r="O295" t="s">
        <v>699</v>
      </c>
    </row>
    <row r="296" spans="1:15" ht="18" x14ac:dyDescent="0.25">
      <c r="A296" s="38" t="s">
        <v>293</v>
      </c>
      <c r="B296" s="39">
        <v>0</v>
      </c>
      <c r="C296" s="40">
        <v>32.5</v>
      </c>
      <c r="D296" s="41">
        <v>25</v>
      </c>
      <c r="E296" s="42">
        <v>36.687237229758438</v>
      </c>
      <c r="F296" s="43">
        <v>43.333333333333336</v>
      </c>
      <c r="G296" s="44">
        <v>1.0861884242329052</v>
      </c>
      <c r="H296" s="44"/>
      <c r="I296" s="44"/>
      <c r="J296" s="44"/>
      <c r="K296" s="44"/>
      <c r="L296" s="44"/>
      <c r="M296" s="44">
        <f>((G296*$H$3*B296)+($I$3*C296)+($J$3*D296)+(G296*$K$3*E296)+($L$3*F296))</f>
        <v>28.704775718815029</v>
      </c>
      <c r="N296">
        <f>B296*G296</f>
        <v>0</v>
      </c>
      <c r="O296">
        <f>E296*G296</f>
        <v>39.84925239605009</v>
      </c>
    </row>
    <row r="297" spans="1:15" ht="18" x14ac:dyDescent="0.25">
      <c r="A297" s="38" t="s">
        <v>700</v>
      </c>
      <c r="B297" s="39">
        <v>10</v>
      </c>
      <c r="C297" s="40">
        <v>71.25</v>
      </c>
      <c r="D297" s="41">
        <v>91.666666666666671</v>
      </c>
      <c r="E297" s="42">
        <v>37.794197349582952</v>
      </c>
      <c r="F297" s="43">
        <v>60</v>
      </c>
      <c r="G297" s="44">
        <v>1.0861884242329052</v>
      </c>
      <c r="H297" s="44"/>
      <c r="I297" s="44"/>
      <c r="J297" s="44"/>
      <c r="K297" s="44"/>
      <c r="L297" s="44"/>
      <c r="M297" s="44">
        <f>((G297*$H$3*B297)+($I$3*C297)+($J$3*D297)+(G297*$K$3*E297)+($L$3*F297))</f>
        <v>51.487862747753091</v>
      </c>
      <c r="N297">
        <f>B297*G297</f>
        <v>10.861884242329051</v>
      </c>
      <c r="O297">
        <f>E297*G297</f>
        <v>41.051619664290946</v>
      </c>
    </row>
    <row r="298" spans="1:15" ht="18" x14ac:dyDescent="0.25">
      <c r="A298" s="38" t="s">
        <v>295</v>
      </c>
      <c r="B298" s="39">
        <v>0</v>
      </c>
      <c r="C298" s="40">
        <v>82.5</v>
      </c>
      <c r="D298" s="41">
        <v>91.666666666666671</v>
      </c>
      <c r="E298" s="42">
        <v>31.913122015825941</v>
      </c>
      <c r="F298" s="43">
        <v>66.666666666666671</v>
      </c>
      <c r="G298" s="44">
        <v>1.0861884242329052</v>
      </c>
      <c r="H298" s="44"/>
      <c r="I298" s="44"/>
      <c r="J298" s="44"/>
      <c r="K298" s="44"/>
      <c r="L298" s="44"/>
      <c r="M298" s="44">
        <f>((G298*$H$3*B298)+($I$3*C298)+($J$3*D298)+(G298*$K$3*E298)+($L$3*F298))</f>
        <v>50.649099114416721</v>
      </c>
      <c r="N298">
        <f>B298*G298</f>
        <v>0</v>
      </c>
      <c r="O298">
        <f>E298*G298</f>
        <v>34.663663714722411</v>
      </c>
    </row>
    <row r="299" spans="1:15" ht="18" x14ac:dyDescent="0.25">
      <c r="A299" s="38" t="s">
        <v>296</v>
      </c>
      <c r="B299" s="39">
        <v>0</v>
      </c>
      <c r="C299" s="40">
        <v>70</v>
      </c>
      <c r="D299" s="41">
        <v>66.666666666666671</v>
      </c>
      <c r="E299" s="42">
        <v>32.271856529335466</v>
      </c>
      <c r="F299" s="43">
        <v>43.333333333333336</v>
      </c>
      <c r="G299" s="44">
        <v>1.0861884242329052</v>
      </c>
      <c r="H299" s="44"/>
      <c r="I299" s="44"/>
      <c r="J299" s="44"/>
      <c r="K299" s="44"/>
      <c r="L299" s="44"/>
      <c r="M299" s="44">
        <f>((G299*$H$3*B299)+($I$3*C299)+($J$3*D299)+(G299*$K$3*E299)+($L$3*F299))</f>
        <v>41.015995097200786</v>
      </c>
      <c r="N299">
        <f>B299*G299</f>
        <v>0</v>
      </c>
      <c r="O299">
        <f>E299*G299</f>
        <v>35.053316990669281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792B-CE20-429A-9A07-5CF1057C2456}">
  <dimension ref="A1:Q38"/>
  <sheetViews>
    <sheetView zoomScaleNormal="100" workbookViewId="0">
      <selection activeCell="G24" sqref="G24"/>
    </sheetView>
  </sheetViews>
  <sheetFormatPr defaultRowHeight="14.4" x14ac:dyDescent="0.25"/>
  <cols>
    <col min="13" max="13" width="19.44140625" customWidth="1"/>
    <col min="14" max="14" width="16.44140625" customWidth="1"/>
    <col min="15" max="15" width="18.33203125" customWidth="1"/>
    <col min="16" max="16" width="13.21875" customWidth="1"/>
    <col min="17" max="17" width="14.6640625" customWidth="1"/>
  </cols>
  <sheetData>
    <row r="1" spans="1:17" ht="20.399999999999999" x14ac:dyDescent="0.25">
      <c r="A1" s="32" t="s">
        <v>298</v>
      </c>
      <c r="B1" s="33" t="s">
        <v>702</v>
      </c>
      <c r="C1" s="34" t="s">
        <v>703</v>
      </c>
      <c r="D1" s="34" t="s">
        <v>704</v>
      </c>
      <c r="E1" s="34" t="s">
        <v>705</v>
      </c>
      <c r="F1" s="35" t="s">
        <v>706</v>
      </c>
      <c r="G1" s="36" t="s">
        <v>707</v>
      </c>
      <c r="H1" s="36" t="s">
        <v>662</v>
      </c>
      <c r="I1" s="36" t="s">
        <v>663</v>
      </c>
      <c r="J1" s="36" t="s">
        <v>664</v>
      </c>
      <c r="K1" s="36" t="s">
        <v>665</v>
      </c>
      <c r="L1" s="36" t="s">
        <v>666</v>
      </c>
      <c r="M1" s="37" t="s">
        <v>708</v>
      </c>
      <c r="N1" s="51" t="s">
        <v>712</v>
      </c>
      <c r="O1" s="36" t="s">
        <v>713</v>
      </c>
      <c r="P1" s="36" t="s">
        <v>714</v>
      </c>
    </row>
    <row r="2" spans="1:17" ht="18" x14ac:dyDescent="0.3">
      <c r="A2" s="38" t="s">
        <v>588</v>
      </c>
      <c r="B2" s="39">
        <v>65</v>
      </c>
      <c r="C2" s="40">
        <v>82.5</v>
      </c>
      <c r="D2" s="41">
        <v>91.666666666666671</v>
      </c>
      <c r="E2" s="42">
        <v>77.586833274056787</v>
      </c>
      <c r="F2" s="43">
        <v>66.666666666666671</v>
      </c>
      <c r="G2" s="44">
        <v>0.93985671324878151</v>
      </c>
      <c r="H2" s="44"/>
      <c r="I2" s="44"/>
      <c r="J2" s="44"/>
      <c r="K2" s="44"/>
      <c r="L2" s="44"/>
      <c r="M2" s="44">
        <v>73.719673050501981</v>
      </c>
      <c r="N2" s="50">
        <v>3</v>
      </c>
      <c r="O2" s="50">
        <f>RANK(M2,$M$2:$M$37,0)</f>
        <v>1</v>
      </c>
      <c r="P2" s="47">
        <v>4</v>
      </c>
      <c r="Q2" s="52">
        <f>O2-P2</f>
        <v>-3</v>
      </c>
    </row>
    <row r="3" spans="1:17" ht="18" x14ac:dyDescent="0.3">
      <c r="A3" s="38" t="s">
        <v>576</v>
      </c>
      <c r="B3" s="39">
        <v>42.5</v>
      </c>
      <c r="C3" s="40">
        <v>100</v>
      </c>
      <c r="D3" s="41">
        <v>91.666666666666671</v>
      </c>
      <c r="E3" s="42">
        <v>53.142945446008568</v>
      </c>
      <c r="F3" s="43">
        <v>66.666666666666671</v>
      </c>
      <c r="G3" s="44">
        <v>1.0861884242329052</v>
      </c>
      <c r="H3" s="44"/>
      <c r="I3" s="44"/>
      <c r="J3" s="44"/>
      <c r="K3" s="44"/>
      <c r="L3" s="44"/>
      <c r="M3" s="44">
        <v>68.155235808551154</v>
      </c>
      <c r="N3" s="50">
        <v>19</v>
      </c>
      <c r="O3" s="50">
        <f t="shared" ref="O3:O37" si="0">RANK(M3,$M$2:$M$37,0)</f>
        <v>2</v>
      </c>
      <c r="P3" s="47">
        <v>1</v>
      </c>
      <c r="Q3" s="52">
        <f t="shared" ref="Q3:Q37" si="1">O3-P3</f>
        <v>1</v>
      </c>
    </row>
    <row r="4" spans="1:17" ht="18" x14ac:dyDescent="0.3">
      <c r="A4" s="38" t="s">
        <v>581</v>
      </c>
      <c r="B4" s="39">
        <v>52.5</v>
      </c>
      <c r="C4" s="40">
        <v>83.75</v>
      </c>
      <c r="D4" s="41">
        <v>91.666666666666671</v>
      </c>
      <c r="E4" s="42">
        <v>55.534088523030881</v>
      </c>
      <c r="F4" s="43">
        <v>66.666666666666671</v>
      </c>
      <c r="G4" s="44">
        <v>1.0861884242329052</v>
      </c>
      <c r="H4" s="44"/>
      <c r="I4" s="44"/>
      <c r="J4" s="44"/>
      <c r="K4" s="44"/>
      <c r="L4" s="44"/>
      <c r="M4" s="44">
        <v>68.116505429395474</v>
      </c>
      <c r="N4" s="50">
        <v>20</v>
      </c>
      <c r="O4" s="50">
        <f t="shared" si="0"/>
        <v>3</v>
      </c>
      <c r="P4" s="47">
        <v>6</v>
      </c>
      <c r="Q4" s="52">
        <f t="shared" si="1"/>
        <v>-3</v>
      </c>
    </row>
    <row r="5" spans="1:17" ht="18" x14ac:dyDescent="0.3">
      <c r="A5" s="38" t="s">
        <v>578</v>
      </c>
      <c r="B5" s="39">
        <v>77.5</v>
      </c>
      <c r="C5" s="40">
        <v>58.75</v>
      </c>
      <c r="D5" s="41">
        <v>75</v>
      </c>
      <c r="E5" s="42">
        <v>77.437436847666234</v>
      </c>
      <c r="F5" s="43">
        <v>43.333333333333336</v>
      </c>
      <c r="G5" s="44">
        <v>0.92035842027448089</v>
      </c>
      <c r="H5" s="44"/>
      <c r="I5" s="44"/>
      <c r="J5" s="44"/>
      <c r="K5" s="44"/>
      <c r="L5" s="44"/>
      <c r="M5" s="44">
        <v>66.356967666476976</v>
      </c>
      <c r="N5" s="50">
        <v>27</v>
      </c>
      <c r="O5" s="50">
        <f t="shared" si="0"/>
        <v>4</v>
      </c>
      <c r="P5" s="47">
        <v>2</v>
      </c>
      <c r="Q5" s="52">
        <f t="shared" si="1"/>
        <v>2</v>
      </c>
    </row>
    <row r="6" spans="1:17" ht="18" x14ac:dyDescent="0.3">
      <c r="A6" s="38" t="s">
        <v>600</v>
      </c>
      <c r="B6" s="39">
        <v>45</v>
      </c>
      <c r="C6" s="40">
        <v>71.25</v>
      </c>
      <c r="D6" s="41">
        <v>50</v>
      </c>
      <c r="E6" s="42">
        <v>84.191477482262883</v>
      </c>
      <c r="F6" s="43">
        <v>43.333333333333336</v>
      </c>
      <c r="G6" s="44">
        <v>0.97133734679797301</v>
      </c>
      <c r="H6" s="44">
        <v>0.2</v>
      </c>
      <c r="I6" s="44">
        <v>0.2</v>
      </c>
      <c r="J6" s="44">
        <v>0.1</v>
      </c>
      <c r="K6" s="44">
        <v>0.4</v>
      </c>
      <c r="L6" s="44">
        <v>0.1</v>
      </c>
      <c r="M6" s="44">
        <v>65.036699998764092</v>
      </c>
      <c r="N6" s="50">
        <v>32</v>
      </c>
      <c r="O6" s="50">
        <f t="shared" si="0"/>
        <v>5</v>
      </c>
      <c r="P6" s="47">
        <v>3</v>
      </c>
      <c r="Q6" s="52">
        <f t="shared" si="1"/>
        <v>2</v>
      </c>
    </row>
    <row r="7" spans="1:17" ht="18" x14ac:dyDescent="0.3">
      <c r="A7" s="38" t="s">
        <v>585</v>
      </c>
      <c r="B7" s="39">
        <v>55</v>
      </c>
      <c r="C7" s="40">
        <v>65</v>
      </c>
      <c r="D7" s="41">
        <v>91.666666666666671</v>
      </c>
      <c r="E7" s="42">
        <v>75.142236558890716</v>
      </c>
      <c r="F7" s="43">
        <v>50</v>
      </c>
      <c r="G7" s="44">
        <v>0.92035842027448089</v>
      </c>
      <c r="H7" s="44"/>
      <c r="I7" s="44"/>
      <c r="J7" s="44"/>
      <c r="K7" s="44"/>
      <c r="L7" s="44"/>
      <c r="M7" s="44">
        <v>64.953725343778757</v>
      </c>
      <c r="N7" s="50">
        <v>34</v>
      </c>
      <c r="O7" s="50">
        <f t="shared" si="0"/>
        <v>6</v>
      </c>
      <c r="P7" s="47">
        <v>16</v>
      </c>
      <c r="Q7" s="52">
        <f t="shared" si="1"/>
        <v>-10</v>
      </c>
    </row>
    <row r="8" spans="1:17" ht="18" x14ac:dyDescent="0.3">
      <c r="A8" s="38" t="s">
        <v>586</v>
      </c>
      <c r="B8" s="39">
        <v>32.5</v>
      </c>
      <c r="C8" s="40">
        <v>77.5</v>
      </c>
      <c r="D8" s="41">
        <v>75</v>
      </c>
      <c r="E8" s="42">
        <v>71.758593177337261</v>
      </c>
      <c r="F8" s="43">
        <v>60</v>
      </c>
      <c r="G8" s="44">
        <v>0.97656578693234619</v>
      </c>
      <c r="H8" s="44"/>
      <c r="I8" s="44"/>
      <c r="J8" s="44"/>
      <c r="K8" s="44"/>
      <c r="L8" s="44"/>
      <c r="M8" s="44">
        <v>63.378472421214028</v>
      </c>
      <c r="N8" s="50">
        <v>41</v>
      </c>
      <c r="O8" s="50">
        <f t="shared" si="0"/>
        <v>7</v>
      </c>
      <c r="P8" s="47">
        <v>21</v>
      </c>
      <c r="Q8" s="52">
        <f t="shared" si="1"/>
        <v>-14</v>
      </c>
    </row>
    <row r="9" spans="1:17" ht="18" x14ac:dyDescent="0.3">
      <c r="A9" s="38" t="s">
        <v>593</v>
      </c>
      <c r="B9" s="39">
        <v>77.5</v>
      </c>
      <c r="C9" s="40">
        <v>65</v>
      </c>
      <c r="D9" s="41">
        <v>50</v>
      </c>
      <c r="E9" s="42">
        <v>67.477198516420472</v>
      </c>
      <c r="F9" s="43">
        <v>43.333333333333336</v>
      </c>
      <c r="G9" s="44">
        <v>0.92035842027448089</v>
      </c>
      <c r="H9" s="44"/>
      <c r="I9" s="44"/>
      <c r="J9" s="44"/>
      <c r="K9" s="44"/>
      <c r="L9" s="44"/>
      <c r="M9" s="44">
        <v>61.440171980035913</v>
      </c>
      <c r="N9" s="50">
        <v>53</v>
      </c>
      <c r="O9" s="50">
        <f t="shared" si="0"/>
        <v>8</v>
      </c>
      <c r="P9" s="47">
        <v>8</v>
      </c>
      <c r="Q9" s="52">
        <f t="shared" si="1"/>
        <v>0</v>
      </c>
    </row>
    <row r="10" spans="1:17" ht="18" x14ac:dyDescent="0.3">
      <c r="A10" s="38" t="s">
        <v>580</v>
      </c>
      <c r="B10" s="39">
        <v>55</v>
      </c>
      <c r="C10" s="40">
        <v>82.5</v>
      </c>
      <c r="D10" s="41">
        <v>58.333333333333336</v>
      </c>
      <c r="E10" s="42">
        <v>51.729792677242955</v>
      </c>
      <c r="F10" s="43">
        <v>66.666666666666671</v>
      </c>
      <c r="G10" s="44">
        <v>1.0083593123825825</v>
      </c>
      <c r="H10" s="44"/>
      <c r="I10" s="44"/>
      <c r="J10" s="44"/>
      <c r="K10" s="44"/>
      <c r="L10" s="44"/>
      <c r="M10" s="44">
        <v>60.956839705695714</v>
      </c>
      <c r="N10" s="50">
        <v>58</v>
      </c>
      <c r="O10" s="50">
        <f t="shared" si="0"/>
        <v>9</v>
      </c>
      <c r="P10" s="47">
        <v>12</v>
      </c>
      <c r="Q10" s="52">
        <f t="shared" si="1"/>
        <v>-3</v>
      </c>
    </row>
    <row r="11" spans="1:17" ht="18" x14ac:dyDescent="0.3">
      <c r="A11" s="38" t="s">
        <v>595</v>
      </c>
      <c r="B11" s="39">
        <v>75</v>
      </c>
      <c r="C11" s="40">
        <v>60</v>
      </c>
      <c r="D11" s="41">
        <v>58.333333333333336</v>
      </c>
      <c r="E11" s="42">
        <v>72.267147700641814</v>
      </c>
      <c r="F11" s="43">
        <v>26.666666666666668</v>
      </c>
      <c r="G11" s="44">
        <v>0.92035842027448089</v>
      </c>
      <c r="H11" s="44"/>
      <c r="I11" s="44"/>
      <c r="J11" s="44"/>
      <c r="K11" s="44"/>
      <c r="L11" s="44"/>
      <c r="M11" s="44">
        <v>60.910047462319326</v>
      </c>
      <c r="N11" s="50">
        <v>59</v>
      </c>
      <c r="O11" s="50">
        <f t="shared" si="0"/>
        <v>10</v>
      </c>
      <c r="P11" s="47">
        <v>15</v>
      </c>
      <c r="Q11" s="52">
        <f t="shared" si="1"/>
        <v>-5</v>
      </c>
    </row>
    <row r="12" spans="1:17" ht="18" x14ac:dyDescent="0.3">
      <c r="A12" s="38" t="s">
        <v>590</v>
      </c>
      <c r="B12" s="39">
        <v>75</v>
      </c>
      <c r="C12" s="40">
        <v>71.25</v>
      </c>
      <c r="D12" s="41">
        <v>50</v>
      </c>
      <c r="E12" s="42">
        <v>60.000910790443015</v>
      </c>
      <c r="F12" s="43">
        <v>30</v>
      </c>
      <c r="G12" s="44">
        <v>0.98340425162744405</v>
      </c>
      <c r="H12" s="44"/>
      <c r="I12" s="44"/>
      <c r="J12" s="44"/>
      <c r="K12" s="44"/>
      <c r="L12" s="44"/>
      <c r="M12" s="44">
        <v>60.603124083547925</v>
      </c>
      <c r="N12" s="50">
        <v>60</v>
      </c>
      <c r="O12" s="50">
        <f t="shared" si="0"/>
        <v>11</v>
      </c>
      <c r="P12" s="47">
        <v>28</v>
      </c>
      <c r="Q12" s="52">
        <f t="shared" si="1"/>
        <v>-17</v>
      </c>
    </row>
    <row r="13" spans="1:17" ht="18" x14ac:dyDescent="0.3">
      <c r="A13" s="38" t="s">
        <v>594</v>
      </c>
      <c r="B13" s="39">
        <v>40</v>
      </c>
      <c r="C13" s="40">
        <v>53.75</v>
      </c>
      <c r="D13" s="41">
        <v>66.666666666666671</v>
      </c>
      <c r="E13" s="42">
        <v>71.69761392915737</v>
      </c>
      <c r="F13" s="43">
        <v>43.333333333333336</v>
      </c>
      <c r="G13" s="44">
        <v>1.057165145243683</v>
      </c>
      <c r="H13" s="44"/>
      <c r="I13" s="44"/>
      <c r="J13" s="44"/>
      <c r="K13" s="44"/>
      <c r="L13" s="44"/>
      <c r="M13" s="44">
        <v>60.525808539166739</v>
      </c>
      <c r="N13" s="50">
        <v>61</v>
      </c>
      <c r="O13" s="50">
        <f t="shared" si="0"/>
        <v>12</v>
      </c>
      <c r="P13" s="47">
        <v>20</v>
      </c>
      <c r="Q13" s="52">
        <f t="shared" si="1"/>
        <v>-8</v>
      </c>
    </row>
    <row r="14" spans="1:17" ht="18" x14ac:dyDescent="0.3">
      <c r="A14" s="38" t="s">
        <v>589</v>
      </c>
      <c r="B14" s="39">
        <v>52.5</v>
      </c>
      <c r="C14" s="40">
        <v>71.25</v>
      </c>
      <c r="D14" s="41">
        <v>58.333333333333336</v>
      </c>
      <c r="E14" s="42">
        <v>67.221252015239486</v>
      </c>
      <c r="F14" s="43">
        <v>43.333333333333336</v>
      </c>
      <c r="G14" s="44">
        <v>0.93994340366882512</v>
      </c>
      <c r="H14" s="44"/>
      <c r="I14" s="44"/>
      <c r="J14" s="44"/>
      <c r="K14" s="44"/>
      <c r="L14" s="44"/>
      <c r="M14" s="44">
        <v>59.55974137242297</v>
      </c>
      <c r="N14" s="50">
        <v>70</v>
      </c>
      <c r="O14" s="50">
        <f t="shared" si="0"/>
        <v>13</v>
      </c>
      <c r="P14" s="47">
        <v>9</v>
      </c>
      <c r="Q14" s="52">
        <f t="shared" si="1"/>
        <v>4</v>
      </c>
    </row>
    <row r="15" spans="1:17" ht="18" x14ac:dyDescent="0.3">
      <c r="A15" s="38" t="s">
        <v>597</v>
      </c>
      <c r="B15" s="39">
        <v>77.5</v>
      </c>
      <c r="C15" s="40">
        <v>53.75</v>
      </c>
      <c r="D15" s="41">
        <v>58.333333333333336</v>
      </c>
      <c r="E15" s="42">
        <v>54.221434061930637</v>
      </c>
      <c r="F15" s="43">
        <v>43.333333333333336</v>
      </c>
      <c r="G15" s="44">
        <v>0.99647243839855126</v>
      </c>
      <c r="H15" s="44"/>
      <c r="I15" s="44"/>
      <c r="J15" s="44"/>
      <c r="K15" s="44"/>
      <c r="L15" s="44"/>
      <c r="M15" s="44">
        <v>57.974055307107527</v>
      </c>
      <c r="N15" s="50">
        <v>82</v>
      </c>
      <c r="O15" s="50">
        <f t="shared" si="0"/>
        <v>14</v>
      </c>
      <c r="P15" s="47">
        <v>7</v>
      </c>
      <c r="Q15" s="52">
        <f t="shared" si="1"/>
        <v>7</v>
      </c>
    </row>
    <row r="16" spans="1:17" ht="18" x14ac:dyDescent="0.3">
      <c r="A16" s="38" t="s">
        <v>584</v>
      </c>
      <c r="B16" s="39">
        <v>0</v>
      </c>
      <c r="C16" s="40">
        <v>82.5</v>
      </c>
      <c r="D16" s="41">
        <v>75</v>
      </c>
      <c r="E16" s="42">
        <v>64.768363738346778</v>
      </c>
      <c r="F16" s="43">
        <v>43.333333333333336</v>
      </c>
      <c r="G16" s="44">
        <v>1.0594613390750269</v>
      </c>
      <c r="H16" s="44"/>
      <c r="I16" s="44"/>
      <c r="J16" s="44"/>
      <c r="K16" s="44"/>
      <c r="L16" s="44"/>
      <c r="M16" s="44">
        <v>57.447830950370914</v>
      </c>
      <c r="N16" s="50">
        <v>86</v>
      </c>
      <c r="O16" s="50">
        <f t="shared" si="0"/>
        <v>15</v>
      </c>
      <c r="P16" s="47">
        <v>34</v>
      </c>
      <c r="Q16" s="52">
        <f t="shared" si="1"/>
        <v>-19</v>
      </c>
    </row>
    <row r="17" spans="1:17" ht="18" x14ac:dyDescent="0.3">
      <c r="A17" s="38" t="s">
        <v>360</v>
      </c>
      <c r="B17" s="39">
        <v>67.5</v>
      </c>
      <c r="C17" s="40">
        <v>58.75</v>
      </c>
      <c r="D17" s="41">
        <v>58.333333333333336</v>
      </c>
      <c r="E17" s="42">
        <v>58.155196740374919</v>
      </c>
      <c r="F17" s="43">
        <v>26.666666666666668</v>
      </c>
      <c r="G17" s="44">
        <v>1.010391727769488</v>
      </c>
      <c r="H17" s="44"/>
      <c r="I17" s="44"/>
      <c r="J17" s="44"/>
      <c r="K17" s="44"/>
      <c r="L17" s="44"/>
      <c r="M17" s="44">
        <v>57.394100210200854</v>
      </c>
      <c r="N17" s="47">
        <v>87</v>
      </c>
      <c r="O17" s="50">
        <f t="shared" si="0"/>
        <v>16</v>
      </c>
      <c r="P17" s="47">
        <v>10</v>
      </c>
      <c r="Q17" s="52">
        <f t="shared" si="1"/>
        <v>6</v>
      </c>
    </row>
    <row r="18" spans="1:17" ht="18" x14ac:dyDescent="0.3">
      <c r="A18" s="38" t="s">
        <v>452</v>
      </c>
      <c r="B18" s="39">
        <v>20</v>
      </c>
      <c r="C18" s="40">
        <v>77.5</v>
      </c>
      <c r="D18" s="41">
        <v>75</v>
      </c>
      <c r="E18" s="42">
        <v>71.320439176169344</v>
      </c>
      <c r="F18" s="43">
        <v>33.333333333333336</v>
      </c>
      <c r="G18" s="44">
        <v>0.92035842027448089</v>
      </c>
      <c r="H18" s="44"/>
      <c r="I18" s="44"/>
      <c r="J18" s="44"/>
      <c r="K18" s="44"/>
      <c r="L18" s="44"/>
      <c r="M18" s="44">
        <v>56.270913707815829</v>
      </c>
      <c r="N18" s="50">
        <v>101</v>
      </c>
      <c r="O18" s="50">
        <f t="shared" si="0"/>
        <v>17</v>
      </c>
      <c r="P18" s="47">
        <v>36</v>
      </c>
      <c r="Q18" s="52">
        <f t="shared" si="1"/>
        <v>-19</v>
      </c>
    </row>
    <row r="19" spans="1:17" ht="18" x14ac:dyDescent="0.3">
      <c r="A19" s="45" t="s">
        <v>710</v>
      </c>
      <c r="B19" s="39">
        <v>62.5</v>
      </c>
      <c r="C19" s="40">
        <v>61.25</v>
      </c>
      <c r="D19" s="46">
        <v>66.666666666666671</v>
      </c>
      <c r="E19" s="42">
        <v>42.504950574417848</v>
      </c>
      <c r="F19" s="43">
        <v>66.666666666666671</v>
      </c>
      <c r="G19" s="44">
        <v>1.0221745377458751</v>
      </c>
      <c r="H19" s="44"/>
      <c r="I19" s="44"/>
      <c r="J19" s="44"/>
      <c r="K19" s="44"/>
      <c r="L19" s="44"/>
      <c r="M19" s="44">
        <v>55.739506337283515</v>
      </c>
      <c r="N19" s="47">
        <v>105</v>
      </c>
      <c r="O19" s="50">
        <f t="shared" si="0"/>
        <v>18</v>
      </c>
      <c r="P19" s="47">
        <v>11</v>
      </c>
      <c r="Q19" s="52">
        <f t="shared" si="1"/>
        <v>7</v>
      </c>
    </row>
    <row r="20" spans="1:17" ht="18" x14ac:dyDescent="0.3">
      <c r="A20" s="38" t="s">
        <v>598</v>
      </c>
      <c r="B20" s="39">
        <v>10</v>
      </c>
      <c r="C20" s="40">
        <v>77.5</v>
      </c>
      <c r="D20" s="41">
        <v>91.666666666666671</v>
      </c>
      <c r="E20" s="42">
        <v>65.978094549937865</v>
      </c>
      <c r="F20" s="43">
        <v>33.333333333333336</v>
      </c>
      <c r="G20" s="44">
        <v>0.95819293905114511</v>
      </c>
      <c r="H20" s="44"/>
      <c r="I20" s="44"/>
      <c r="J20" s="44"/>
      <c r="K20" s="44"/>
      <c r="L20" s="44"/>
      <c r="M20" s="44">
        <v>55.20428361002201</v>
      </c>
      <c r="N20" s="50">
        <v>108</v>
      </c>
      <c r="O20" s="50">
        <f t="shared" si="0"/>
        <v>19</v>
      </c>
      <c r="P20" s="47">
        <v>5</v>
      </c>
      <c r="Q20" s="52">
        <f t="shared" si="1"/>
        <v>14</v>
      </c>
    </row>
    <row r="21" spans="1:17" ht="18" x14ac:dyDescent="0.3">
      <c r="A21" s="38" t="s">
        <v>582</v>
      </c>
      <c r="B21" s="39">
        <v>20</v>
      </c>
      <c r="C21" s="40">
        <v>65</v>
      </c>
      <c r="D21" s="41">
        <v>75</v>
      </c>
      <c r="E21" s="42">
        <v>66.044494299988841</v>
      </c>
      <c r="F21" s="43">
        <v>26.666666666666668</v>
      </c>
      <c r="G21" s="44">
        <v>1.0400722961926481</v>
      </c>
      <c r="H21" s="44"/>
      <c r="I21" s="44"/>
      <c r="J21" s="44"/>
      <c r="K21" s="44"/>
      <c r="L21" s="44"/>
      <c r="M21" s="44">
        <v>54.80337538642592</v>
      </c>
      <c r="N21" s="47">
        <v>116</v>
      </c>
      <c r="O21" s="50">
        <f t="shared" si="0"/>
        <v>20</v>
      </c>
      <c r="P21" s="47">
        <v>26</v>
      </c>
      <c r="Q21" s="52">
        <f t="shared" si="1"/>
        <v>-6</v>
      </c>
    </row>
    <row r="22" spans="1:17" ht="18" x14ac:dyDescent="0.3">
      <c r="A22" s="38" t="s">
        <v>366</v>
      </c>
      <c r="B22" s="39">
        <v>30</v>
      </c>
      <c r="C22" s="40">
        <v>77.5</v>
      </c>
      <c r="D22" s="41">
        <v>75</v>
      </c>
      <c r="E22" s="42">
        <v>53.054159180871736</v>
      </c>
      <c r="F22" s="43">
        <v>50</v>
      </c>
      <c r="G22" s="44">
        <v>0.93236423560662918</v>
      </c>
      <c r="H22" s="44"/>
      <c r="I22" s="44"/>
      <c r="J22" s="44"/>
      <c r="K22" s="44"/>
      <c r="L22" s="44"/>
      <c r="M22" s="44">
        <v>53.380505641810132</v>
      </c>
      <c r="N22" s="47">
        <v>127</v>
      </c>
      <c r="O22" s="50">
        <f t="shared" si="0"/>
        <v>21</v>
      </c>
      <c r="P22" s="47">
        <v>23</v>
      </c>
      <c r="Q22" s="52">
        <f t="shared" si="1"/>
        <v>-2</v>
      </c>
    </row>
    <row r="23" spans="1:17" ht="18" x14ac:dyDescent="0.3">
      <c r="A23" s="38" t="s">
        <v>599</v>
      </c>
      <c r="B23" s="39">
        <v>40</v>
      </c>
      <c r="C23" s="40">
        <v>60</v>
      </c>
      <c r="D23" s="41">
        <v>66.666666666666671</v>
      </c>
      <c r="E23" s="42">
        <v>48.478314422435211</v>
      </c>
      <c r="F23" s="43">
        <v>50</v>
      </c>
      <c r="G23" s="44">
        <v>1.0792580024366516</v>
      </c>
      <c r="H23" s="44"/>
      <c r="I23" s="44"/>
      <c r="J23" s="44"/>
      <c r="K23" s="44"/>
      <c r="L23" s="44"/>
      <c r="M23" s="44">
        <v>53.228974200181213</v>
      </c>
      <c r="N23" s="50">
        <v>131</v>
      </c>
      <c r="O23" s="50">
        <f t="shared" si="0"/>
        <v>22</v>
      </c>
      <c r="P23" s="47">
        <v>17</v>
      </c>
      <c r="Q23" s="52">
        <f t="shared" si="1"/>
        <v>5</v>
      </c>
    </row>
    <row r="24" spans="1:17" ht="18" x14ac:dyDescent="0.3">
      <c r="A24" s="38" t="s">
        <v>579</v>
      </c>
      <c r="B24" s="39">
        <v>62.5</v>
      </c>
      <c r="C24" s="40">
        <v>77.5</v>
      </c>
      <c r="D24" s="41">
        <v>75</v>
      </c>
      <c r="E24" s="42">
        <v>28.864813128863236</v>
      </c>
      <c r="F24" s="43">
        <v>60</v>
      </c>
      <c r="G24" s="44">
        <v>0.92159946389226599</v>
      </c>
      <c r="H24" s="44"/>
      <c r="I24" s="44"/>
      <c r="J24" s="44"/>
      <c r="K24" s="44"/>
      <c r="L24" s="44"/>
      <c r="M24" s="44">
        <v>51.160711820617649</v>
      </c>
      <c r="N24" s="50">
        <v>156</v>
      </c>
      <c r="O24" s="50">
        <f t="shared" si="0"/>
        <v>23</v>
      </c>
      <c r="P24" s="47">
        <v>18</v>
      </c>
      <c r="Q24" s="52">
        <f t="shared" si="1"/>
        <v>5</v>
      </c>
    </row>
    <row r="25" spans="1:17" ht="18" x14ac:dyDescent="0.3">
      <c r="A25" s="38" t="s">
        <v>592</v>
      </c>
      <c r="B25" s="39">
        <v>20</v>
      </c>
      <c r="C25" s="40">
        <v>71.25</v>
      </c>
      <c r="D25" s="41">
        <v>83.333333333333329</v>
      </c>
      <c r="E25" s="42">
        <v>42.344782973362499</v>
      </c>
      <c r="F25" s="43">
        <v>66.666666666666671</v>
      </c>
      <c r="G25" s="44">
        <v>1.0425436163323203</v>
      </c>
      <c r="H25" s="44"/>
      <c r="I25" s="44"/>
      <c r="J25" s="44"/>
      <c r="K25" s="44"/>
      <c r="L25" s="44"/>
      <c r="M25" s="44">
        <v>51.078687734871934</v>
      </c>
      <c r="N25" s="50">
        <v>157</v>
      </c>
      <c r="O25" s="50">
        <f t="shared" si="0"/>
        <v>24</v>
      </c>
      <c r="P25" s="47">
        <v>25</v>
      </c>
      <c r="Q25" s="52">
        <f t="shared" si="1"/>
        <v>-1</v>
      </c>
    </row>
    <row r="26" spans="1:17" ht="18" x14ac:dyDescent="0.3">
      <c r="A26" s="38" t="s">
        <v>577</v>
      </c>
      <c r="B26" s="39">
        <v>10</v>
      </c>
      <c r="C26" s="40">
        <v>65</v>
      </c>
      <c r="D26" s="41">
        <v>75</v>
      </c>
      <c r="E26" s="42">
        <v>63.712336401838897</v>
      </c>
      <c r="F26" s="43">
        <v>26.666666666666668</v>
      </c>
      <c r="G26" s="44">
        <v>1.007845475665885</v>
      </c>
      <c r="H26" s="44"/>
      <c r="I26" s="44"/>
      <c r="J26" s="44"/>
      <c r="K26" s="44"/>
      <c r="L26" s="44"/>
      <c r="M26" s="44">
        <v>50.86723361267692</v>
      </c>
      <c r="N26" s="50">
        <v>161</v>
      </c>
      <c r="O26" s="50">
        <f t="shared" si="0"/>
        <v>25</v>
      </c>
      <c r="P26" s="47">
        <v>22</v>
      </c>
      <c r="Q26" s="52">
        <f t="shared" si="1"/>
        <v>3</v>
      </c>
    </row>
    <row r="27" spans="1:17" ht="18" x14ac:dyDescent="0.3">
      <c r="A27" s="38" t="s">
        <v>575</v>
      </c>
      <c r="B27" s="39">
        <v>42.5</v>
      </c>
      <c r="C27" s="40">
        <v>63.75</v>
      </c>
      <c r="D27" s="41">
        <v>75</v>
      </c>
      <c r="E27" s="42">
        <v>37.902301796272184</v>
      </c>
      <c r="F27" s="43">
        <v>43.333333333333336</v>
      </c>
      <c r="G27" s="44">
        <v>1.0861884242329052</v>
      </c>
      <c r="H27" s="44"/>
      <c r="I27" s="44"/>
      <c r="J27" s="44"/>
      <c r="K27" s="44"/>
      <c r="L27" s="44"/>
      <c r="M27" s="44">
        <v>50.283551524470191</v>
      </c>
      <c r="N27" s="50">
        <v>166</v>
      </c>
      <c r="O27" s="50">
        <f t="shared" si="0"/>
        <v>26</v>
      </c>
      <c r="P27" s="47">
        <v>19</v>
      </c>
      <c r="Q27" s="52">
        <f t="shared" si="1"/>
        <v>7</v>
      </c>
    </row>
    <row r="28" spans="1:17" ht="18" x14ac:dyDescent="0.3">
      <c r="A28" s="38" t="s">
        <v>711</v>
      </c>
      <c r="B28" s="39">
        <v>42.5</v>
      </c>
      <c r="C28" s="40">
        <v>65</v>
      </c>
      <c r="D28" s="41">
        <v>41.666666666666664</v>
      </c>
      <c r="E28" s="42">
        <v>59.676089958147045</v>
      </c>
      <c r="F28" s="43">
        <v>26.666666666666668</v>
      </c>
      <c r="G28" s="44">
        <v>0.92489005356049747</v>
      </c>
      <c r="H28" s="44"/>
      <c r="I28" s="44"/>
      <c r="J28" s="44"/>
      <c r="K28" s="44"/>
      <c r="L28" s="44"/>
      <c r="M28" s="44">
        <v>49.772427603666237</v>
      </c>
      <c r="N28" s="50">
        <v>176</v>
      </c>
      <c r="O28" s="50">
        <f t="shared" si="0"/>
        <v>27</v>
      </c>
      <c r="P28" s="47">
        <v>13</v>
      </c>
      <c r="Q28" s="52">
        <f t="shared" si="1"/>
        <v>14</v>
      </c>
    </row>
    <row r="29" spans="1:17" ht="18" x14ac:dyDescent="0.3">
      <c r="A29" s="38" t="s">
        <v>601</v>
      </c>
      <c r="B29" s="39">
        <v>10</v>
      </c>
      <c r="C29" s="40">
        <v>72.5</v>
      </c>
      <c r="D29" s="41">
        <v>75</v>
      </c>
      <c r="E29" s="42">
        <v>42.959256028168838</v>
      </c>
      <c r="F29" s="43">
        <v>60</v>
      </c>
      <c r="G29" s="44">
        <v>1.0861884242329052</v>
      </c>
      <c r="H29" s="44"/>
      <c r="I29" s="44"/>
      <c r="J29" s="44"/>
      <c r="K29" s="44"/>
      <c r="L29" s="44"/>
      <c r="M29" s="44">
        <v>48.837115493047662</v>
      </c>
      <c r="N29" s="50">
        <v>191</v>
      </c>
      <c r="O29" s="50">
        <f t="shared" si="0"/>
        <v>28</v>
      </c>
      <c r="P29" s="47">
        <v>3</v>
      </c>
      <c r="Q29" s="52">
        <f t="shared" si="1"/>
        <v>25</v>
      </c>
    </row>
    <row r="30" spans="1:17" ht="18" x14ac:dyDescent="0.3">
      <c r="A30" s="38" t="s">
        <v>574</v>
      </c>
      <c r="B30" s="39">
        <v>10</v>
      </c>
      <c r="C30" s="40">
        <v>71.25</v>
      </c>
      <c r="D30" s="41">
        <v>91.666666666666671</v>
      </c>
      <c r="E30" s="42">
        <v>37.794197349582952</v>
      </c>
      <c r="F30" s="43">
        <v>60</v>
      </c>
      <c r="G30" s="44">
        <v>1.0861884242329052</v>
      </c>
      <c r="H30" s="44"/>
      <c r="I30" s="44"/>
      <c r="J30" s="44"/>
      <c r="K30" s="44"/>
      <c r="L30" s="44"/>
      <c r="M30" s="44">
        <v>48.009691380848857</v>
      </c>
      <c r="N30" s="50">
        <v>200</v>
      </c>
      <c r="O30" s="50">
        <f t="shared" si="0"/>
        <v>29</v>
      </c>
      <c r="P30" s="47">
        <v>32</v>
      </c>
      <c r="Q30" s="52">
        <f t="shared" si="1"/>
        <v>-3</v>
      </c>
    </row>
    <row r="31" spans="1:17" ht="18" x14ac:dyDescent="0.3">
      <c r="A31" s="38" t="s">
        <v>339</v>
      </c>
      <c r="B31" s="39">
        <v>55</v>
      </c>
      <c r="C31" s="40">
        <v>38.75</v>
      </c>
      <c r="D31" s="41">
        <v>50</v>
      </c>
      <c r="E31" s="42">
        <v>60.796487122641224</v>
      </c>
      <c r="F31" s="43">
        <v>26.666666666666668</v>
      </c>
      <c r="G31" s="44">
        <v>0.92102772856564563</v>
      </c>
      <c r="H31" s="44"/>
      <c r="I31" s="44"/>
      <c r="J31" s="44"/>
      <c r="K31" s="44"/>
      <c r="L31" s="44"/>
      <c r="M31" s="44">
        <v>47.946071856623476</v>
      </c>
      <c r="N31" s="50">
        <v>202</v>
      </c>
      <c r="O31" s="50">
        <f t="shared" si="0"/>
        <v>30</v>
      </c>
      <c r="P31" s="47">
        <v>24</v>
      </c>
      <c r="Q31" s="52">
        <f t="shared" si="1"/>
        <v>6</v>
      </c>
    </row>
    <row r="32" spans="1:17" ht="18" x14ac:dyDescent="0.3">
      <c r="A32" s="38" t="s">
        <v>591</v>
      </c>
      <c r="B32" s="39">
        <v>10</v>
      </c>
      <c r="C32" s="40">
        <v>83.75</v>
      </c>
      <c r="D32" s="41">
        <v>83.333333333333329</v>
      </c>
      <c r="E32" s="42">
        <v>43.45916912537416</v>
      </c>
      <c r="F32" s="43">
        <v>26.666666666666668</v>
      </c>
      <c r="G32" s="44">
        <v>1.0087484018118333</v>
      </c>
      <c r="H32" s="44"/>
      <c r="I32" s="44"/>
      <c r="J32" s="44"/>
      <c r="K32" s="44"/>
      <c r="L32" s="44"/>
      <c r="M32" s="44">
        <v>47.303243763340213</v>
      </c>
      <c r="N32" s="50">
        <v>206</v>
      </c>
      <c r="O32" s="50">
        <f t="shared" si="0"/>
        <v>31</v>
      </c>
      <c r="P32" s="47">
        <v>33</v>
      </c>
      <c r="Q32" s="52">
        <f t="shared" si="1"/>
        <v>-2</v>
      </c>
    </row>
    <row r="33" spans="1:17" ht="18" x14ac:dyDescent="0.3">
      <c r="A33" s="38" t="s">
        <v>583</v>
      </c>
      <c r="B33" s="39">
        <v>10</v>
      </c>
      <c r="C33" s="40">
        <v>72.5</v>
      </c>
      <c r="D33" s="41">
        <v>66.666666666666671</v>
      </c>
      <c r="E33" s="42">
        <v>37.018319420942042</v>
      </c>
      <c r="F33" s="43">
        <v>66.666666666666671</v>
      </c>
      <c r="G33" s="44">
        <v>1.0752525581411503</v>
      </c>
      <c r="H33" s="44"/>
      <c r="I33" s="44"/>
      <c r="J33" s="44"/>
      <c r="K33" s="44"/>
      <c r="L33" s="44"/>
      <c r="M33" s="44">
        <v>45.9054555117973</v>
      </c>
      <c r="N33" s="50">
        <v>217</v>
      </c>
      <c r="O33" s="50">
        <f t="shared" si="0"/>
        <v>32</v>
      </c>
      <c r="P33" s="47">
        <v>14</v>
      </c>
      <c r="Q33" s="52">
        <f t="shared" si="1"/>
        <v>18</v>
      </c>
    </row>
    <row r="34" spans="1:17" ht="18" x14ac:dyDescent="0.3">
      <c r="A34" s="38" t="s">
        <v>573</v>
      </c>
      <c r="B34" s="39">
        <v>32.5</v>
      </c>
      <c r="C34" s="40">
        <v>60</v>
      </c>
      <c r="D34" s="41">
        <v>66.666666666666671</v>
      </c>
      <c r="E34" s="42">
        <v>36.95912857751749</v>
      </c>
      <c r="F34" s="43">
        <v>60</v>
      </c>
      <c r="G34" s="44">
        <v>0.9862231742901113</v>
      </c>
      <c r="H34" s="44"/>
      <c r="I34" s="44"/>
      <c r="J34" s="44"/>
      <c r="K34" s="44"/>
      <c r="L34" s="44"/>
      <c r="M34" s="44">
        <v>45.65709694143866</v>
      </c>
      <c r="N34" s="50">
        <v>220</v>
      </c>
      <c r="O34" s="50">
        <f t="shared" si="0"/>
        <v>33</v>
      </c>
      <c r="P34" s="47">
        <v>29</v>
      </c>
      <c r="Q34" s="52">
        <f t="shared" si="1"/>
        <v>4</v>
      </c>
    </row>
    <row r="35" spans="1:17" ht="18" x14ac:dyDescent="0.3">
      <c r="A35" s="38" t="s">
        <v>596</v>
      </c>
      <c r="B35" s="39">
        <v>20</v>
      </c>
      <c r="C35" s="40">
        <v>27.5</v>
      </c>
      <c r="D35" s="41">
        <v>33.333333333333336</v>
      </c>
      <c r="E35" s="42">
        <v>64.532838961004302</v>
      </c>
      <c r="F35" s="43">
        <v>43.333333333333336</v>
      </c>
      <c r="G35" s="44">
        <v>1.0285386758532915</v>
      </c>
      <c r="H35" s="44"/>
      <c r="I35" s="44"/>
      <c r="J35" s="44"/>
      <c r="K35" s="44"/>
      <c r="L35" s="44"/>
      <c r="M35" s="44">
        <v>43.830629663681869</v>
      </c>
      <c r="N35" s="50">
        <v>236</v>
      </c>
      <c r="O35" s="50">
        <f t="shared" si="0"/>
        <v>34</v>
      </c>
      <c r="P35" s="47">
        <v>35</v>
      </c>
      <c r="Q35" s="52">
        <f t="shared" si="1"/>
        <v>-1</v>
      </c>
    </row>
    <row r="36" spans="1:17" ht="18" x14ac:dyDescent="0.3">
      <c r="A36" s="38" t="s">
        <v>587</v>
      </c>
      <c r="B36" s="39">
        <v>0</v>
      </c>
      <c r="C36" s="40">
        <v>77.5</v>
      </c>
      <c r="D36" s="41">
        <v>58.333333333333336</v>
      </c>
      <c r="E36" s="42">
        <v>38.186164782881264</v>
      </c>
      <c r="F36" s="43">
        <v>60</v>
      </c>
      <c r="G36" s="44">
        <v>1.0296333825708335</v>
      </c>
      <c r="H36" s="44"/>
      <c r="I36" s="44"/>
      <c r="J36" s="44"/>
      <c r="K36" s="44"/>
      <c r="L36" s="44"/>
      <c r="M36" s="44">
        <v>43.060433338455447</v>
      </c>
      <c r="N36" s="50">
        <v>241</v>
      </c>
      <c r="O36" s="50">
        <f t="shared" si="0"/>
        <v>35</v>
      </c>
      <c r="P36" s="47">
        <v>31</v>
      </c>
      <c r="Q36" s="52">
        <f t="shared" si="1"/>
        <v>4</v>
      </c>
    </row>
    <row r="37" spans="1:17" ht="18" x14ac:dyDescent="0.3">
      <c r="A37" s="38" t="s">
        <v>602</v>
      </c>
      <c r="B37" s="39">
        <v>10</v>
      </c>
      <c r="C37" s="40">
        <v>38.75</v>
      </c>
      <c r="D37" s="41">
        <v>58.333333333333336</v>
      </c>
      <c r="E37" s="42">
        <v>51.280732927031529</v>
      </c>
      <c r="F37" s="43">
        <v>43.333333333333336</v>
      </c>
      <c r="G37" s="44">
        <v>1.0288669736070541</v>
      </c>
      <c r="H37" s="44"/>
      <c r="I37" s="44"/>
      <c r="J37" s="44"/>
      <c r="K37" s="44"/>
      <c r="L37" s="44"/>
      <c r="M37" s="44">
        <v>41.078821610275398</v>
      </c>
      <c r="N37" s="50">
        <v>251</v>
      </c>
      <c r="O37" s="50">
        <f t="shared" si="0"/>
        <v>36</v>
      </c>
      <c r="P37" s="47">
        <v>27</v>
      </c>
      <c r="Q37" s="52">
        <f t="shared" si="1"/>
        <v>9</v>
      </c>
    </row>
    <row r="38" spans="1:17" ht="17.399999999999999" x14ac:dyDescent="0.3">
      <c r="M38" s="49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9F86-5A45-4D40-A036-DAFAE57477B3}">
  <dimension ref="A1:N299"/>
  <sheetViews>
    <sheetView zoomScaleNormal="100" workbookViewId="0">
      <pane ySplit="5172" topLeftCell="A295" activePane="bottomLeft"/>
      <selection activeCell="A2" sqref="A2:N298"/>
      <selection pane="bottomLeft" activeCell="O298" sqref="O298"/>
    </sheetView>
  </sheetViews>
  <sheetFormatPr defaultRowHeight="14.4" x14ac:dyDescent="0.25"/>
  <cols>
    <col min="13" max="13" width="19.44140625" customWidth="1"/>
    <col min="14" max="14" width="16.44140625" customWidth="1"/>
  </cols>
  <sheetData>
    <row r="1" spans="1:14" ht="20.399999999999999" x14ac:dyDescent="0.25">
      <c r="A1" s="32" t="s">
        <v>298</v>
      </c>
      <c r="B1" s="33" t="s">
        <v>702</v>
      </c>
      <c r="C1" s="34" t="s">
        <v>703</v>
      </c>
      <c r="D1" s="34" t="s">
        <v>704</v>
      </c>
      <c r="E1" s="34" t="s">
        <v>705</v>
      </c>
      <c r="F1" s="35" t="s">
        <v>706</v>
      </c>
      <c r="G1" s="36" t="s">
        <v>707</v>
      </c>
      <c r="H1" s="36" t="s">
        <v>662</v>
      </c>
      <c r="I1" s="36" t="s">
        <v>663</v>
      </c>
      <c r="J1" s="36" t="s">
        <v>664</v>
      </c>
      <c r="K1" s="36" t="s">
        <v>665</v>
      </c>
      <c r="L1" s="36" t="s">
        <v>666</v>
      </c>
      <c r="M1" s="37" t="s">
        <v>708</v>
      </c>
      <c r="N1" s="51" t="s">
        <v>709</v>
      </c>
    </row>
    <row r="2" spans="1:14" ht="18" x14ac:dyDescent="0.25">
      <c r="A2" s="38" t="s">
        <v>387</v>
      </c>
      <c r="B2" s="55">
        <v>55</v>
      </c>
      <c r="C2" s="56">
        <v>88.75</v>
      </c>
      <c r="D2" s="57">
        <v>91.666666666666671</v>
      </c>
      <c r="E2" s="58">
        <v>78.059628786280228</v>
      </c>
      <c r="F2" s="43">
        <v>66.666666666666671</v>
      </c>
      <c r="G2" s="44">
        <v>0.98137999197163606</v>
      </c>
      <c r="H2" s="44"/>
      <c r="I2" s="44"/>
      <c r="J2" s="44"/>
      <c r="K2" s="44"/>
      <c r="L2" s="44"/>
      <c r="M2" s="59">
        <v>75.277027273164563</v>
      </c>
      <c r="N2" s="60">
        <v>1</v>
      </c>
    </row>
    <row r="3" spans="1:14" ht="18" x14ac:dyDescent="0.25">
      <c r="A3" s="38" t="s">
        <v>438</v>
      </c>
      <c r="B3" s="39">
        <v>75</v>
      </c>
      <c r="C3" s="40">
        <v>88.75</v>
      </c>
      <c r="D3" s="41">
        <v>91.666666666666671</v>
      </c>
      <c r="E3" s="42">
        <v>67.458542865191589</v>
      </c>
      <c r="F3" s="43">
        <v>66.666666666666671</v>
      </c>
      <c r="G3" s="44">
        <v>0.95043016321945983</v>
      </c>
      <c r="H3" s="44"/>
      <c r="I3" s="44"/>
      <c r="J3" s="44"/>
      <c r="K3" s="44"/>
      <c r="L3" s="44"/>
      <c r="M3" s="44">
        <v>74.990842620065195</v>
      </c>
      <c r="N3" s="47">
        <v>2</v>
      </c>
    </row>
    <row r="4" spans="1:14" ht="18" x14ac:dyDescent="0.25">
      <c r="A4" s="38" t="s">
        <v>588</v>
      </c>
      <c r="B4" s="39">
        <v>65</v>
      </c>
      <c r="C4" s="40">
        <v>82.5</v>
      </c>
      <c r="D4" s="41">
        <v>91.666666666666671</v>
      </c>
      <c r="E4" s="42">
        <v>77.586833274056787</v>
      </c>
      <c r="F4" s="43">
        <v>66.666666666666671</v>
      </c>
      <c r="G4" s="44">
        <v>0.93985671324878151</v>
      </c>
      <c r="H4" s="44"/>
      <c r="I4" s="44"/>
      <c r="J4" s="44"/>
      <c r="K4" s="44"/>
      <c r="L4" s="44"/>
      <c r="M4" s="44">
        <v>74.344289105935019</v>
      </c>
      <c r="N4" s="47">
        <v>3</v>
      </c>
    </row>
    <row r="5" spans="1:14" ht="18" x14ac:dyDescent="0.25">
      <c r="A5" s="38" t="s">
        <v>548</v>
      </c>
      <c r="B5" s="39">
        <v>75</v>
      </c>
      <c r="C5" s="40">
        <v>87.5</v>
      </c>
      <c r="D5" s="41">
        <v>83.333333333333329</v>
      </c>
      <c r="E5" s="42">
        <v>68.646903726205949</v>
      </c>
      <c r="F5" s="43">
        <v>60</v>
      </c>
      <c r="G5" s="44">
        <v>0.98363847815598415</v>
      </c>
      <c r="H5" s="44"/>
      <c r="I5" s="44"/>
      <c r="J5" s="44"/>
      <c r="K5" s="44"/>
      <c r="L5" s="44"/>
      <c r="M5" s="44">
        <v>74.011697945749432</v>
      </c>
      <c r="N5" s="47">
        <v>4</v>
      </c>
    </row>
    <row r="6" spans="1:14" ht="18" x14ac:dyDescent="0.25">
      <c r="A6" s="38" t="s">
        <v>322</v>
      </c>
      <c r="B6" s="39">
        <v>75</v>
      </c>
      <c r="C6" s="40">
        <v>60</v>
      </c>
      <c r="D6" s="41">
        <v>83.333333333333329</v>
      </c>
      <c r="E6" s="42">
        <v>84.71130229340946</v>
      </c>
      <c r="F6" s="43">
        <v>43.333333333333336</v>
      </c>
      <c r="G6" s="44">
        <v>1.0481478856236035</v>
      </c>
      <c r="H6" s="44"/>
      <c r="I6" s="44"/>
      <c r="J6" s="44"/>
      <c r="K6" s="44"/>
      <c r="L6" s="44"/>
      <c r="M6" s="44">
        <v>73.35921000053176</v>
      </c>
      <c r="N6" s="47">
        <v>5</v>
      </c>
    </row>
    <row r="7" spans="1:14" ht="18" x14ac:dyDescent="0.25">
      <c r="A7" s="38" t="s">
        <v>319</v>
      </c>
      <c r="B7" s="39">
        <v>65</v>
      </c>
      <c r="C7" s="40">
        <v>88.75</v>
      </c>
      <c r="D7" s="41">
        <v>91.666666666666671</v>
      </c>
      <c r="E7" s="42">
        <v>68.293799920874875</v>
      </c>
      <c r="F7" s="43">
        <v>66.666666666666671</v>
      </c>
      <c r="G7" s="44">
        <v>0.94411173014782024</v>
      </c>
      <c r="H7" s="44"/>
      <c r="I7" s="44"/>
      <c r="J7" s="44"/>
      <c r="K7" s="44"/>
      <c r="L7" s="44"/>
      <c r="M7" s="44">
        <v>73.116545772421532</v>
      </c>
      <c r="N7" s="47">
        <v>6</v>
      </c>
    </row>
    <row r="8" spans="1:14" ht="18" x14ac:dyDescent="0.25">
      <c r="A8" s="38" t="s">
        <v>470</v>
      </c>
      <c r="B8" s="39">
        <v>65</v>
      </c>
      <c r="C8" s="40">
        <v>76.25</v>
      </c>
      <c r="D8" s="41">
        <v>91.666666666666671</v>
      </c>
      <c r="E8" s="42">
        <v>75.111472280337011</v>
      </c>
      <c r="F8" s="43">
        <v>66.666666666666671</v>
      </c>
      <c r="G8" s="44">
        <v>0.95557276690530324</v>
      </c>
      <c r="H8" s="44"/>
      <c r="I8" s="44"/>
      <c r="J8" s="44"/>
      <c r="K8" s="44"/>
      <c r="L8" s="44"/>
      <c r="M8" s="44">
        <v>72.954789187744723</v>
      </c>
      <c r="N8" s="47">
        <v>7</v>
      </c>
    </row>
    <row r="9" spans="1:14" ht="18" x14ac:dyDescent="0.25">
      <c r="A9" s="38" t="s">
        <v>432</v>
      </c>
      <c r="B9" s="39">
        <v>65</v>
      </c>
      <c r="C9" s="40">
        <v>77.5</v>
      </c>
      <c r="D9" s="41">
        <v>83.333333333333329</v>
      </c>
      <c r="E9" s="42">
        <v>78.2391744263806</v>
      </c>
      <c r="F9" s="43">
        <v>60</v>
      </c>
      <c r="G9" s="44">
        <v>0.96096693578165182</v>
      </c>
      <c r="H9" s="44"/>
      <c r="I9" s="44"/>
      <c r="J9" s="44"/>
      <c r="K9" s="44"/>
      <c r="L9" s="44"/>
      <c r="M9" s="44">
        <v>72.048148077143011</v>
      </c>
      <c r="N9" s="47">
        <v>8</v>
      </c>
    </row>
    <row r="10" spans="1:14" ht="18" x14ac:dyDescent="0.25">
      <c r="A10" s="38" t="s">
        <v>504</v>
      </c>
      <c r="B10" s="39">
        <v>77.5</v>
      </c>
      <c r="C10" s="40">
        <v>70</v>
      </c>
      <c r="D10" s="41">
        <v>91.666666666666671</v>
      </c>
      <c r="E10" s="42">
        <v>75.224706111244004</v>
      </c>
      <c r="F10" s="43">
        <v>60</v>
      </c>
      <c r="G10" s="44">
        <v>0.92035842027448089</v>
      </c>
      <c r="H10" s="44"/>
      <c r="I10" s="44"/>
      <c r="J10" s="44"/>
      <c r="K10" s="44"/>
      <c r="L10" s="44"/>
      <c r="M10" s="44">
        <v>71.785663018901445</v>
      </c>
      <c r="N10" s="47">
        <v>9</v>
      </c>
    </row>
    <row r="11" spans="1:14" ht="18" x14ac:dyDescent="0.25">
      <c r="A11" s="38" t="s">
        <v>492</v>
      </c>
      <c r="B11" s="39">
        <v>75</v>
      </c>
      <c r="C11" s="40">
        <v>88.75</v>
      </c>
      <c r="D11" s="41">
        <v>91.666666666666671</v>
      </c>
      <c r="E11" s="42">
        <v>55.775268427003475</v>
      </c>
      <c r="F11" s="43">
        <v>50</v>
      </c>
      <c r="G11" s="44">
        <v>1.0097819060406659</v>
      </c>
      <c r="H11" s="44"/>
      <c r="I11" s="44"/>
      <c r="J11" s="44"/>
      <c r="K11" s="44"/>
      <c r="L11" s="44"/>
      <c r="M11" s="44">
        <v>71.042985649254788</v>
      </c>
      <c r="N11" s="47">
        <v>10</v>
      </c>
    </row>
    <row r="12" spans="1:14" ht="18" x14ac:dyDescent="0.25">
      <c r="A12" s="38" t="s">
        <v>391</v>
      </c>
      <c r="B12" s="39">
        <v>65</v>
      </c>
      <c r="C12" s="40">
        <v>76.25</v>
      </c>
      <c r="D12" s="41">
        <v>83.333333333333329</v>
      </c>
      <c r="E12" s="42">
        <v>60.916304994541917</v>
      </c>
      <c r="F12" s="43">
        <v>60</v>
      </c>
      <c r="G12" s="44">
        <v>1.0819188131253366</v>
      </c>
      <c r="H12" s="44"/>
      <c r="I12" s="44"/>
      <c r="J12" s="44"/>
      <c r="K12" s="44"/>
      <c r="L12" s="44"/>
      <c r="M12" s="44">
        <v>70.586893490532105</v>
      </c>
      <c r="N12" s="47">
        <v>11</v>
      </c>
    </row>
    <row r="13" spans="1:14" ht="18" x14ac:dyDescent="0.25">
      <c r="A13" s="38" t="s">
        <v>381</v>
      </c>
      <c r="B13" s="39">
        <v>65</v>
      </c>
      <c r="C13" s="40">
        <v>88.75</v>
      </c>
      <c r="D13" s="41">
        <v>66.666666666666671</v>
      </c>
      <c r="E13" s="42">
        <v>73.427183053475432</v>
      </c>
      <c r="F13" s="43">
        <v>60</v>
      </c>
      <c r="G13" s="44">
        <v>0.95944404069270672</v>
      </c>
      <c r="H13" s="44"/>
      <c r="I13" s="44"/>
      <c r="J13" s="44"/>
      <c r="K13" s="44"/>
      <c r="L13" s="44"/>
      <c r="M13" s="44">
        <v>70.357554490658046</v>
      </c>
      <c r="N13" s="47">
        <v>12</v>
      </c>
    </row>
    <row r="14" spans="1:14" ht="18" x14ac:dyDescent="0.25">
      <c r="A14" s="38" t="s">
        <v>576</v>
      </c>
      <c r="B14" s="39">
        <v>42.5</v>
      </c>
      <c r="C14" s="40">
        <v>100</v>
      </c>
      <c r="D14" s="41">
        <v>91.666666666666671</v>
      </c>
      <c r="E14" s="42">
        <v>53.142945446008568</v>
      </c>
      <c r="F14" s="43">
        <v>66.666666666666671</v>
      </c>
      <c r="G14" s="44">
        <v>1.0861884242329052</v>
      </c>
      <c r="H14" s="44"/>
      <c r="I14" s="44"/>
      <c r="J14" s="44"/>
      <c r="K14" s="44"/>
      <c r="L14" s="44"/>
      <c r="M14" s="44">
        <v>70.299577257908282</v>
      </c>
      <c r="N14" s="47">
        <v>13</v>
      </c>
    </row>
    <row r="15" spans="1:14" ht="18" x14ac:dyDescent="0.25">
      <c r="A15" s="38" t="s">
        <v>326</v>
      </c>
      <c r="B15" s="39">
        <v>65</v>
      </c>
      <c r="C15" s="40">
        <v>71.25</v>
      </c>
      <c r="D15" s="41">
        <v>75</v>
      </c>
      <c r="E15" s="42">
        <v>82.148222061461411</v>
      </c>
      <c r="F15" s="43">
        <v>66.666666666666671</v>
      </c>
      <c r="G15" s="44">
        <v>0.92250083849466036</v>
      </c>
      <c r="H15" s="44"/>
      <c r="I15" s="44"/>
      <c r="J15" s="44"/>
      <c r="K15" s="44"/>
      <c r="L15" s="44"/>
      <c r="M15" s="44">
        <v>70.227052020193696</v>
      </c>
      <c r="N15" s="47">
        <v>14</v>
      </c>
    </row>
    <row r="16" spans="1:14" ht="18" x14ac:dyDescent="0.25">
      <c r="A16" s="38" t="s">
        <v>581</v>
      </c>
      <c r="B16" s="39">
        <v>52.5</v>
      </c>
      <c r="C16" s="40">
        <v>83.75</v>
      </c>
      <c r="D16" s="41">
        <v>91.666666666666671</v>
      </c>
      <c r="E16" s="42">
        <v>55.534088523030881</v>
      </c>
      <c r="F16" s="43">
        <v>66.666666666666671</v>
      </c>
      <c r="G16" s="44">
        <v>1.0861884242329052</v>
      </c>
      <c r="H16" s="44"/>
      <c r="I16" s="44"/>
      <c r="J16" s="44"/>
      <c r="K16" s="44"/>
      <c r="L16" s="44"/>
      <c r="M16" s="44">
        <v>70.001123685657973</v>
      </c>
      <c r="N16" s="47">
        <v>15</v>
      </c>
    </row>
    <row r="17" spans="1:14" ht="18" x14ac:dyDescent="0.25">
      <c r="A17" s="38" t="s">
        <v>384</v>
      </c>
      <c r="B17" s="39">
        <v>75</v>
      </c>
      <c r="C17" s="40">
        <v>77.5</v>
      </c>
      <c r="D17" s="41">
        <v>83.333333333333329</v>
      </c>
      <c r="E17" s="42">
        <v>60.503134017896627</v>
      </c>
      <c r="F17" s="43">
        <v>66.666666666666671</v>
      </c>
      <c r="G17" s="44">
        <v>0.96524871099594145</v>
      </c>
      <c r="H17" s="44"/>
      <c r="I17" s="44"/>
      <c r="J17" s="44"/>
      <c r="K17" s="44"/>
      <c r="L17" s="44"/>
      <c r="M17" s="44">
        <v>69.998902301535949</v>
      </c>
      <c r="N17" s="47">
        <v>16</v>
      </c>
    </row>
    <row r="18" spans="1:14" ht="18" x14ac:dyDescent="0.25">
      <c r="A18" s="38" t="s">
        <v>459</v>
      </c>
      <c r="B18" s="39">
        <v>42.5</v>
      </c>
      <c r="C18" s="40">
        <v>90</v>
      </c>
      <c r="D18" s="41">
        <v>91.666666666666671</v>
      </c>
      <c r="E18" s="42">
        <v>63.652482245667144</v>
      </c>
      <c r="F18" s="43">
        <v>66.666666666666671</v>
      </c>
      <c r="G18" s="44">
        <v>1.0211326542639714</v>
      </c>
      <c r="H18" s="44"/>
      <c r="I18" s="44"/>
      <c r="J18" s="44"/>
      <c r="K18" s="44"/>
      <c r="L18" s="44"/>
      <c r="M18" s="44">
        <v>69.928916005046275</v>
      </c>
      <c r="N18" s="47">
        <v>17</v>
      </c>
    </row>
    <row r="19" spans="1:14" ht="18" x14ac:dyDescent="0.25">
      <c r="A19" s="38" t="s">
        <v>356</v>
      </c>
      <c r="B19" s="39">
        <v>65</v>
      </c>
      <c r="C19" s="40">
        <v>77.5</v>
      </c>
      <c r="D19" s="41">
        <v>83.333333333333329</v>
      </c>
      <c r="E19" s="42">
        <v>60.699890056977225</v>
      </c>
      <c r="F19" s="43">
        <v>66.666666666666671</v>
      </c>
      <c r="G19" s="44">
        <v>1.0180052868492218</v>
      </c>
      <c r="H19" s="44"/>
      <c r="I19" s="44"/>
      <c r="J19" s="44"/>
      <c r="K19" s="44"/>
      <c r="L19" s="44"/>
      <c r="M19" s="44">
        <v>69.771911425790677</v>
      </c>
      <c r="N19" s="47">
        <v>18</v>
      </c>
    </row>
    <row r="20" spans="1:14" ht="18" x14ac:dyDescent="0.25">
      <c r="A20" s="38" t="s">
        <v>343</v>
      </c>
      <c r="B20" s="39">
        <v>10</v>
      </c>
      <c r="C20" s="40">
        <v>88.75</v>
      </c>
      <c r="D20" s="41">
        <v>91.666666666666671</v>
      </c>
      <c r="E20" s="42">
        <v>87.502182322135837</v>
      </c>
      <c r="F20" s="43">
        <v>66.666666666666671</v>
      </c>
      <c r="G20" s="44">
        <v>0.99789863864612149</v>
      </c>
      <c r="H20" s="44"/>
      <c r="I20" s="44"/>
      <c r="J20" s="44"/>
      <c r="K20" s="44"/>
      <c r="L20" s="44"/>
      <c r="M20" s="44">
        <v>69.691289862639451</v>
      </c>
      <c r="N20" s="47">
        <v>19</v>
      </c>
    </row>
    <row r="21" spans="1:14" ht="18" x14ac:dyDescent="0.25">
      <c r="A21" s="38" t="s">
        <v>549</v>
      </c>
      <c r="B21" s="39">
        <v>65</v>
      </c>
      <c r="C21" s="40">
        <v>82.5</v>
      </c>
      <c r="D21" s="41">
        <v>83.333333333333329</v>
      </c>
      <c r="E21" s="42">
        <v>75.197538102003648</v>
      </c>
      <c r="F21" s="43">
        <v>50</v>
      </c>
      <c r="G21" s="44">
        <v>0.93246305099931981</v>
      </c>
      <c r="H21" s="44"/>
      <c r="I21" s="44"/>
      <c r="J21" s="44"/>
      <c r="K21" s="44"/>
      <c r="L21" s="44"/>
      <c r="M21" s="44">
        <v>69.657697404860727</v>
      </c>
      <c r="N21" s="47">
        <v>20</v>
      </c>
    </row>
    <row r="22" spans="1:14" ht="18" x14ac:dyDescent="0.25">
      <c r="A22" s="38" t="s">
        <v>547</v>
      </c>
      <c r="B22" s="39">
        <v>42.5</v>
      </c>
      <c r="C22" s="40">
        <v>93.75</v>
      </c>
      <c r="D22" s="41">
        <v>91.666666666666671</v>
      </c>
      <c r="E22" s="42">
        <v>69.336922015061617</v>
      </c>
      <c r="F22" s="43">
        <v>66.666666666666671</v>
      </c>
      <c r="G22" s="44">
        <v>0.92035842027448089</v>
      </c>
      <c r="H22" s="44"/>
      <c r="I22" s="44"/>
      <c r="J22" s="44"/>
      <c r="K22" s="44"/>
      <c r="L22" s="44"/>
      <c r="M22" s="44">
        <v>69.467492576076182</v>
      </c>
      <c r="N22" s="47">
        <v>21</v>
      </c>
    </row>
    <row r="23" spans="1:14" ht="18" x14ac:dyDescent="0.25">
      <c r="A23" s="38" t="s">
        <v>497</v>
      </c>
      <c r="B23" s="39">
        <v>75</v>
      </c>
      <c r="C23" s="40">
        <v>77.5</v>
      </c>
      <c r="D23" s="41">
        <v>83.333333333333329</v>
      </c>
      <c r="E23" s="42">
        <v>51.614370532565076</v>
      </c>
      <c r="F23" s="43">
        <v>60</v>
      </c>
      <c r="G23" s="44">
        <v>1.037122133267081</v>
      </c>
      <c r="H23" s="44"/>
      <c r="I23" s="44"/>
      <c r="J23" s="44"/>
      <c r="K23" s="44"/>
      <c r="L23" s="44"/>
      <c r="M23" s="44">
        <v>68.61595382119765</v>
      </c>
      <c r="N23" s="47">
        <v>22</v>
      </c>
    </row>
    <row r="24" spans="1:14" ht="18" x14ac:dyDescent="0.25">
      <c r="A24" s="38" t="s">
        <v>542</v>
      </c>
      <c r="B24" s="39">
        <v>75</v>
      </c>
      <c r="C24" s="40">
        <v>77.5</v>
      </c>
      <c r="D24" s="41">
        <v>91.666666666666671</v>
      </c>
      <c r="E24" s="42">
        <v>46.511653435273473</v>
      </c>
      <c r="F24" s="43">
        <v>66.666666666666671</v>
      </c>
      <c r="G24" s="44">
        <v>0.99104690643977911</v>
      </c>
      <c r="H24" s="44"/>
      <c r="I24" s="44"/>
      <c r="J24" s="44"/>
      <c r="K24" s="44"/>
      <c r="L24" s="44"/>
      <c r="M24" s="44">
        <v>67.944272671724761</v>
      </c>
      <c r="N24" s="47">
        <v>23</v>
      </c>
    </row>
    <row r="25" spans="1:14" ht="18" x14ac:dyDescent="0.25">
      <c r="A25" s="38" t="s">
        <v>485</v>
      </c>
      <c r="B25" s="39">
        <v>42.5</v>
      </c>
      <c r="C25" s="40">
        <v>77.5</v>
      </c>
      <c r="D25" s="41">
        <v>91.666666666666671</v>
      </c>
      <c r="E25" s="42">
        <v>74.654481813744198</v>
      </c>
      <c r="F25" s="43">
        <v>66.666666666666671</v>
      </c>
      <c r="G25" s="44">
        <v>0.92035842027448089</v>
      </c>
      <c r="H25" s="44"/>
      <c r="I25" s="44"/>
      <c r="J25" s="44"/>
      <c r="K25" s="44"/>
      <c r="L25" s="44"/>
      <c r="M25" s="44">
        <v>67.68571085688535</v>
      </c>
      <c r="N25" s="47">
        <v>24</v>
      </c>
    </row>
    <row r="26" spans="1:14" ht="18" x14ac:dyDescent="0.25">
      <c r="A26" s="38" t="s">
        <v>512</v>
      </c>
      <c r="B26" s="39">
        <v>55</v>
      </c>
      <c r="C26" s="40">
        <v>65</v>
      </c>
      <c r="D26" s="41">
        <v>91.666666666666671</v>
      </c>
      <c r="E26" s="42">
        <v>57.752875997253234</v>
      </c>
      <c r="F26" s="43">
        <v>66.666666666666671</v>
      </c>
      <c r="G26" s="44">
        <v>1.0861884242329052</v>
      </c>
      <c r="H26" s="44"/>
      <c r="I26" s="44"/>
      <c r="J26" s="44"/>
      <c r="K26" s="44"/>
      <c r="L26" s="44"/>
      <c r="M26" s="44">
        <v>67.517224278874409</v>
      </c>
      <c r="N26" s="47">
        <v>25</v>
      </c>
    </row>
    <row r="27" spans="1:14" ht="18" x14ac:dyDescent="0.25">
      <c r="A27" s="38" t="s">
        <v>393</v>
      </c>
      <c r="B27" s="39">
        <v>10</v>
      </c>
      <c r="C27" s="40">
        <v>83.75</v>
      </c>
      <c r="D27" s="41">
        <v>91.666666666666671</v>
      </c>
      <c r="E27" s="42">
        <v>73.783033021493509</v>
      </c>
      <c r="F27" s="43">
        <v>66.666666666666671</v>
      </c>
      <c r="G27" s="44">
        <v>1.0861884242329052</v>
      </c>
      <c r="H27" s="44"/>
      <c r="I27" s="44"/>
      <c r="J27" s="44"/>
      <c r="K27" s="44"/>
      <c r="L27" s="44"/>
      <c r="M27" s="44">
        <v>66.715059760287943</v>
      </c>
      <c r="N27" s="47">
        <v>26</v>
      </c>
    </row>
    <row r="28" spans="1:14" ht="18" x14ac:dyDescent="0.25">
      <c r="A28" s="38" t="s">
        <v>347</v>
      </c>
      <c r="B28" s="39">
        <v>20</v>
      </c>
      <c r="C28" s="40">
        <v>76.25</v>
      </c>
      <c r="D28" s="41">
        <v>83.333333333333329</v>
      </c>
      <c r="E28" s="42">
        <v>83.012558103788294</v>
      </c>
      <c r="F28" s="43">
        <v>50</v>
      </c>
      <c r="G28" s="44">
        <v>1.0861884242329052</v>
      </c>
      <c r="H28" s="44"/>
      <c r="I28" s="44"/>
      <c r="J28" s="44"/>
      <c r="K28" s="44"/>
      <c r="L28" s="44"/>
      <c r="M28" s="44">
        <v>66.644937600420505</v>
      </c>
      <c r="N28" s="47">
        <v>27</v>
      </c>
    </row>
    <row r="29" spans="1:14" ht="18" x14ac:dyDescent="0.25">
      <c r="A29" s="38" t="s">
        <v>375</v>
      </c>
      <c r="B29" s="39">
        <v>10</v>
      </c>
      <c r="C29" s="40">
        <v>88.75</v>
      </c>
      <c r="D29" s="41">
        <v>91.666666666666671</v>
      </c>
      <c r="E29" s="42">
        <v>77.065428846378481</v>
      </c>
      <c r="F29" s="43">
        <v>66.666666666666671</v>
      </c>
      <c r="G29" s="44">
        <v>0.99778853500294606</v>
      </c>
      <c r="H29" s="44"/>
      <c r="I29" s="44"/>
      <c r="J29" s="44"/>
      <c r="K29" s="44"/>
      <c r="L29" s="44"/>
      <c r="M29" s="44">
        <v>66.564077474406417</v>
      </c>
      <c r="N29" s="47">
        <v>28</v>
      </c>
    </row>
    <row r="30" spans="1:14" ht="18" x14ac:dyDescent="0.25">
      <c r="A30" s="38" t="s">
        <v>518</v>
      </c>
      <c r="B30" s="39">
        <v>65</v>
      </c>
      <c r="C30" s="40">
        <v>76.25</v>
      </c>
      <c r="D30" s="41">
        <v>75</v>
      </c>
      <c r="E30" s="42">
        <v>77.340022981273407</v>
      </c>
      <c r="F30" s="43">
        <v>43.333333333333336</v>
      </c>
      <c r="G30" s="44">
        <v>0.92035842027448089</v>
      </c>
      <c r="H30" s="44"/>
      <c r="I30" s="44"/>
      <c r="J30" s="44"/>
      <c r="K30" s="44"/>
      <c r="L30" s="44"/>
      <c r="M30" s="44">
        <v>66.318821876079298</v>
      </c>
      <c r="N30" s="47">
        <v>29</v>
      </c>
    </row>
    <row r="31" spans="1:14" ht="18" x14ac:dyDescent="0.25">
      <c r="A31" s="38" t="s">
        <v>409</v>
      </c>
      <c r="B31" s="39">
        <v>52.5</v>
      </c>
      <c r="C31" s="40">
        <v>81.25</v>
      </c>
      <c r="D31" s="41">
        <v>83.333333333333329</v>
      </c>
      <c r="E31" s="42">
        <v>67.978463829034141</v>
      </c>
      <c r="F31" s="43">
        <v>60</v>
      </c>
      <c r="G31" s="44">
        <v>0.92035842027448089</v>
      </c>
      <c r="H31" s="44"/>
      <c r="I31" s="44"/>
      <c r="J31" s="44"/>
      <c r="K31" s="44"/>
      <c r="L31" s="44"/>
      <c r="M31" s="44">
        <v>66.183128887594791</v>
      </c>
      <c r="N31" s="47">
        <v>30</v>
      </c>
    </row>
    <row r="32" spans="1:14" ht="18" x14ac:dyDescent="0.25">
      <c r="A32" s="38" t="s">
        <v>380</v>
      </c>
      <c r="B32" s="39">
        <v>87.5</v>
      </c>
      <c r="C32" s="40">
        <v>56.25</v>
      </c>
      <c r="D32" s="41">
        <v>75</v>
      </c>
      <c r="E32" s="42">
        <v>62.489526482966852</v>
      </c>
      <c r="F32" s="43">
        <v>66.666666666666671</v>
      </c>
      <c r="G32" s="44">
        <v>0.92354760254785906</v>
      </c>
      <c r="H32" s="44"/>
      <c r="I32" s="44"/>
      <c r="J32" s="44"/>
      <c r="K32" s="44"/>
      <c r="L32" s="44"/>
      <c r="M32" s="44">
        <v>65.97569875489603</v>
      </c>
      <c r="N32" s="47">
        <v>31</v>
      </c>
    </row>
    <row r="33" spans="1:14" ht="18" x14ac:dyDescent="0.25">
      <c r="A33" s="38" t="s">
        <v>404</v>
      </c>
      <c r="B33" s="39">
        <v>77.5</v>
      </c>
      <c r="C33" s="40">
        <v>88.75</v>
      </c>
      <c r="D33" s="41">
        <v>75</v>
      </c>
      <c r="E33" s="42">
        <v>48.491377931751174</v>
      </c>
      <c r="F33" s="43">
        <v>60</v>
      </c>
      <c r="G33" s="44">
        <v>0.92035842027448089</v>
      </c>
      <c r="H33" s="44"/>
      <c r="I33" s="44"/>
      <c r="J33" s="44"/>
      <c r="K33" s="44"/>
      <c r="L33" s="44"/>
      <c r="M33" s="44">
        <v>65.654389911314254</v>
      </c>
      <c r="N33" s="47">
        <v>32</v>
      </c>
    </row>
    <row r="34" spans="1:14" ht="18" x14ac:dyDescent="0.25">
      <c r="A34" s="38" t="s">
        <v>455</v>
      </c>
      <c r="B34" s="39">
        <v>65</v>
      </c>
      <c r="C34" s="40">
        <v>66.25</v>
      </c>
      <c r="D34" s="41">
        <v>83.333333333333329</v>
      </c>
      <c r="E34" s="42">
        <v>57.836750002750819</v>
      </c>
      <c r="F34" s="43">
        <v>50</v>
      </c>
      <c r="G34" s="44">
        <v>1.0584513346795681</v>
      </c>
      <c r="H34" s="44"/>
      <c r="I34" s="44"/>
      <c r="J34" s="44"/>
      <c r="K34" s="44"/>
      <c r="L34" s="44"/>
      <c r="M34" s="44">
        <v>65.375082921016414</v>
      </c>
      <c r="N34" s="47">
        <v>33</v>
      </c>
    </row>
    <row r="35" spans="1:14" ht="18" x14ac:dyDescent="0.25">
      <c r="A35" s="38" t="s">
        <v>578</v>
      </c>
      <c r="B35" s="39">
        <v>77.5</v>
      </c>
      <c r="C35" s="40">
        <v>58.75</v>
      </c>
      <c r="D35" s="41">
        <v>75</v>
      </c>
      <c r="E35" s="42">
        <v>77.437436847666234</v>
      </c>
      <c r="F35" s="43">
        <v>43.333333333333336</v>
      </c>
      <c r="G35" s="44">
        <v>0.92035842027448089</v>
      </c>
      <c r="H35" s="44"/>
      <c r="I35" s="44"/>
      <c r="J35" s="44"/>
      <c r="K35" s="44"/>
      <c r="L35" s="44"/>
      <c r="M35" s="44">
        <v>65.146614628421347</v>
      </c>
      <c r="N35" s="47">
        <v>34</v>
      </c>
    </row>
    <row r="36" spans="1:14" ht="18" x14ac:dyDescent="0.25">
      <c r="A36" s="38" t="s">
        <v>585</v>
      </c>
      <c r="B36" s="39">
        <v>55</v>
      </c>
      <c r="C36" s="40">
        <v>65</v>
      </c>
      <c r="D36" s="41">
        <v>91.666666666666671</v>
      </c>
      <c r="E36" s="42">
        <v>75.142236558890716</v>
      </c>
      <c r="F36" s="43">
        <v>50</v>
      </c>
      <c r="G36" s="44">
        <v>0.92035842027448089</v>
      </c>
      <c r="H36" s="44"/>
      <c r="I36" s="44"/>
      <c r="J36" s="44"/>
      <c r="K36" s="44"/>
      <c r="L36" s="44"/>
      <c r="M36" s="44">
        <v>65.121279663588894</v>
      </c>
      <c r="N36" s="47">
        <v>35</v>
      </c>
    </row>
    <row r="37" spans="1:14" ht="18" x14ac:dyDescent="0.25">
      <c r="A37" s="38" t="s">
        <v>514</v>
      </c>
      <c r="B37" s="39">
        <v>40</v>
      </c>
      <c r="C37" s="40">
        <v>77.5</v>
      </c>
      <c r="D37" s="41">
        <v>75</v>
      </c>
      <c r="E37" s="42">
        <v>82.005075580883442</v>
      </c>
      <c r="F37" s="43">
        <v>43.333333333333336</v>
      </c>
      <c r="G37" s="44">
        <v>0.96575585942016695</v>
      </c>
      <c r="H37" s="44"/>
      <c r="I37" s="44"/>
      <c r="J37" s="44"/>
      <c r="K37" s="44"/>
      <c r="L37" s="44"/>
      <c r="M37" s="44">
        <v>64.735111548690881</v>
      </c>
      <c r="N37" s="47">
        <v>36</v>
      </c>
    </row>
    <row r="38" spans="1:14" ht="18" x14ac:dyDescent="0.25">
      <c r="A38" s="38" t="s">
        <v>450</v>
      </c>
      <c r="B38" s="39">
        <v>75</v>
      </c>
      <c r="C38" s="40">
        <v>75</v>
      </c>
      <c r="D38" s="41">
        <v>66.666666666666671</v>
      </c>
      <c r="E38" s="42">
        <v>46.267038663349794</v>
      </c>
      <c r="F38" s="43">
        <v>66.666666666666671</v>
      </c>
      <c r="G38" s="44">
        <v>1.0248350670547226</v>
      </c>
      <c r="H38" s="44"/>
      <c r="I38" s="44"/>
      <c r="J38" s="44"/>
      <c r="K38" s="44"/>
      <c r="L38" s="44"/>
      <c r="M38" s="44">
        <v>64.597351107114093</v>
      </c>
      <c r="N38" s="47">
        <v>37</v>
      </c>
    </row>
    <row r="39" spans="1:14" ht="18" x14ac:dyDescent="0.25">
      <c r="A39" s="38" t="s">
        <v>430</v>
      </c>
      <c r="B39" s="39">
        <v>65</v>
      </c>
      <c r="C39" s="40">
        <v>60</v>
      </c>
      <c r="D39" s="41">
        <v>50</v>
      </c>
      <c r="E39" s="42">
        <v>68.710923756227217</v>
      </c>
      <c r="F39" s="43">
        <v>60</v>
      </c>
      <c r="G39" s="44">
        <v>1.0715381048038377</v>
      </c>
      <c r="H39" s="44"/>
      <c r="I39" s="44"/>
      <c r="J39" s="44"/>
      <c r="K39" s="44"/>
      <c r="L39" s="44"/>
      <c r="M39" s="44">
        <v>64.5179072687705</v>
      </c>
      <c r="N39" s="47">
        <v>38</v>
      </c>
    </row>
    <row r="40" spans="1:14" ht="18" x14ac:dyDescent="0.25">
      <c r="A40" s="38" t="s">
        <v>406</v>
      </c>
      <c r="B40" s="39">
        <v>35</v>
      </c>
      <c r="C40" s="40">
        <v>71.25</v>
      </c>
      <c r="D40" s="41">
        <v>91.666666666666671</v>
      </c>
      <c r="E40" s="42">
        <v>71.703711725512022</v>
      </c>
      <c r="F40" s="43">
        <v>66.666666666666671</v>
      </c>
      <c r="G40" s="44">
        <v>0.92035842027448089</v>
      </c>
      <c r="H40" s="44"/>
      <c r="I40" s="44"/>
      <c r="J40" s="44"/>
      <c r="K40" s="44"/>
      <c r="L40" s="44"/>
      <c r="M40" s="44">
        <v>64.240443397374065</v>
      </c>
      <c r="N40" s="47">
        <v>39</v>
      </c>
    </row>
    <row r="41" spans="1:14" ht="18" x14ac:dyDescent="0.25">
      <c r="A41" s="38" t="s">
        <v>305</v>
      </c>
      <c r="B41" s="39">
        <v>75</v>
      </c>
      <c r="C41" s="40">
        <v>70</v>
      </c>
      <c r="D41" s="41">
        <v>75</v>
      </c>
      <c r="E41" s="42">
        <v>67.48997446184211</v>
      </c>
      <c r="F41" s="43">
        <v>43.333333333333336</v>
      </c>
      <c r="G41" s="44">
        <v>0.92035842027448089</v>
      </c>
      <c r="H41" s="44"/>
      <c r="I41" s="44"/>
      <c r="J41" s="44"/>
      <c r="K41" s="44"/>
      <c r="L41" s="44"/>
      <c r="M41" s="44">
        <v>64.189866188137032</v>
      </c>
      <c r="N41" s="47">
        <v>40</v>
      </c>
    </row>
    <row r="42" spans="1:14" ht="18" x14ac:dyDescent="0.25">
      <c r="A42" s="38" t="s">
        <v>533</v>
      </c>
      <c r="B42" s="39">
        <v>65</v>
      </c>
      <c r="C42" s="40">
        <v>76.25</v>
      </c>
      <c r="D42" s="41">
        <v>75</v>
      </c>
      <c r="E42" s="42">
        <v>57.956359022351641</v>
      </c>
      <c r="F42" s="43">
        <v>43.333333333333336</v>
      </c>
      <c r="G42" s="44">
        <v>1.0243399597160769</v>
      </c>
      <c r="H42" s="44"/>
      <c r="I42" s="44"/>
      <c r="J42" s="44"/>
      <c r="K42" s="44"/>
      <c r="L42" s="44"/>
      <c r="M42" s="44">
        <v>64.126523816182853</v>
      </c>
      <c r="N42" s="47">
        <v>41</v>
      </c>
    </row>
    <row r="43" spans="1:14" ht="18" x14ac:dyDescent="0.25">
      <c r="A43" s="38" t="s">
        <v>377</v>
      </c>
      <c r="B43" s="39">
        <v>65</v>
      </c>
      <c r="C43" s="40">
        <v>70</v>
      </c>
      <c r="D43" s="41">
        <v>75</v>
      </c>
      <c r="E43" s="42">
        <v>52.205781763725852</v>
      </c>
      <c r="F43" s="43">
        <v>60</v>
      </c>
      <c r="G43" s="44">
        <v>1.0373487820804117</v>
      </c>
      <c r="H43" s="44"/>
      <c r="I43" s="44"/>
      <c r="J43" s="44"/>
      <c r="K43" s="44"/>
      <c r="L43" s="44"/>
      <c r="M43" s="44">
        <v>63.982215406092386</v>
      </c>
      <c r="N43" s="47">
        <v>42</v>
      </c>
    </row>
    <row r="44" spans="1:14" ht="18" x14ac:dyDescent="0.25">
      <c r="A44" s="38" t="s">
        <v>321</v>
      </c>
      <c r="B44" s="39">
        <v>40</v>
      </c>
      <c r="C44" s="40">
        <v>87.5</v>
      </c>
      <c r="D44" s="41">
        <v>83.333333333333329</v>
      </c>
      <c r="E44" s="42">
        <v>51.794310696575721</v>
      </c>
      <c r="F44" s="43">
        <v>60</v>
      </c>
      <c r="G44" s="44">
        <v>1.0448854623214794</v>
      </c>
      <c r="H44" s="44"/>
      <c r="I44" s="44"/>
      <c r="J44" s="44"/>
      <c r="K44" s="44"/>
      <c r="L44" s="44"/>
      <c r="M44" s="44">
        <v>63.594820381915994</v>
      </c>
      <c r="N44" s="47">
        <v>43</v>
      </c>
    </row>
    <row r="45" spans="1:14" ht="18" x14ac:dyDescent="0.25">
      <c r="A45" s="38" t="s">
        <v>376</v>
      </c>
      <c r="B45" s="39">
        <v>32.5</v>
      </c>
      <c r="C45" s="40">
        <v>82.5</v>
      </c>
      <c r="D45" s="41">
        <v>83.333333333333329</v>
      </c>
      <c r="E45" s="42">
        <v>63.017732158402168</v>
      </c>
      <c r="F45" s="43">
        <v>66.666666666666671</v>
      </c>
      <c r="G45" s="44">
        <v>0.96315076151750401</v>
      </c>
      <c r="H45" s="44"/>
      <c r="I45" s="44"/>
      <c r="J45" s="44"/>
      <c r="K45" s="44"/>
      <c r="L45" s="44"/>
      <c r="M45" s="44">
        <v>63.46915296510511</v>
      </c>
      <c r="N45" s="47">
        <v>44</v>
      </c>
    </row>
    <row r="46" spans="1:14" ht="18" x14ac:dyDescent="0.25">
      <c r="A46" s="38" t="s">
        <v>543</v>
      </c>
      <c r="B46" s="39">
        <v>65</v>
      </c>
      <c r="C46" s="40">
        <v>65</v>
      </c>
      <c r="D46" s="41">
        <v>50</v>
      </c>
      <c r="E46" s="42">
        <v>70.780310747295999</v>
      </c>
      <c r="F46" s="43">
        <v>50</v>
      </c>
      <c r="G46" s="44">
        <v>1.029876519655347</v>
      </c>
      <c r="H46" s="44"/>
      <c r="I46" s="44"/>
      <c r="J46" s="44"/>
      <c r="K46" s="44"/>
      <c r="L46" s="44"/>
      <c r="M46" s="44">
        <v>63.256888783284261</v>
      </c>
      <c r="N46" s="47">
        <v>45</v>
      </c>
    </row>
    <row r="47" spans="1:14" ht="18" x14ac:dyDescent="0.25">
      <c r="A47" s="38" t="s">
        <v>586</v>
      </c>
      <c r="B47" s="39">
        <v>32.5</v>
      </c>
      <c r="C47" s="40">
        <v>77.5</v>
      </c>
      <c r="D47" s="41">
        <v>75</v>
      </c>
      <c r="E47" s="42">
        <v>71.758593177337261</v>
      </c>
      <c r="F47" s="43">
        <v>60</v>
      </c>
      <c r="G47" s="44">
        <v>0.97656578693234619</v>
      </c>
      <c r="H47" s="44"/>
      <c r="I47" s="44"/>
      <c r="J47" s="44"/>
      <c r="K47" s="44"/>
      <c r="L47" s="44"/>
      <c r="M47" s="44">
        <v>63.120773719675583</v>
      </c>
      <c r="N47" s="47">
        <v>46</v>
      </c>
    </row>
    <row r="48" spans="1:14" ht="18" x14ac:dyDescent="0.25">
      <c r="A48" s="38" t="s">
        <v>329</v>
      </c>
      <c r="B48" s="39">
        <v>65</v>
      </c>
      <c r="C48" s="40">
        <v>60</v>
      </c>
      <c r="D48" s="41">
        <v>91.666666666666671</v>
      </c>
      <c r="E48" s="42">
        <v>43.037959499143213</v>
      </c>
      <c r="F48" s="43">
        <v>60</v>
      </c>
      <c r="G48" s="44">
        <v>1.0861884242329052</v>
      </c>
      <c r="H48" s="44"/>
      <c r="I48" s="44"/>
      <c r="J48" s="44"/>
      <c r="K48" s="44"/>
      <c r="L48" s="44"/>
      <c r="M48" s="44">
        <v>62.89464953819995</v>
      </c>
      <c r="N48" s="47">
        <v>47</v>
      </c>
    </row>
    <row r="49" spans="1:14" ht="18" x14ac:dyDescent="0.25">
      <c r="A49" s="38" t="s">
        <v>400</v>
      </c>
      <c r="B49" s="39">
        <v>35</v>
      </c>
      <c r="C49" s="40">
        <v>77.5</v>
      </c>
      <c r="D49" s="41">
        <v>83.333333333333329</v>
      </c>
      <c r="E49" s="42">
        <v>63.728306937160696</v>
      </c>
      <c r="F49" s="43">
        <v>66.666666666666671</v>
      </c>
      <c r="G49" s="44">
        <v>0.94595776893775008</v>
      </c>
      <c r="H49" s="44"/>
      <c r="I49" s="44"/>
      <c r="J49" s="44"/>
      <c r="K49" s="44"/>
      <c r="L49" s="44"/>
      <c r="M49" s="44">
        <v>62.706990497101259</v>
      </c>
      <c r="N49" s="47">
        <v>48</v>
      </c>
    </row>
    <row r="50" spans="1:14" ht="18" x14ac:dyDescent="0.25">
      <c r="A50" s="38" t="s">
        <v>436</v>
      </c>
      <c r="B50" s="39">
        <v>65</v>
      </c>
      <c r="C50" s="40">
        <v>77.5</v>
      </c>
      <c r="D50" s="41">
        <v>75</v>
      </c>
      <c r="E50" s="42">
        <v>71.47068329403389</v>
      </c>
      <c r="F50" s="43">
        <v>26.666666666666668</v>
      </c>
      <c r="G50" s="44">
        <v>0.92035842027448089</v>
      </c>
      <c r="H50" s="44"/>
      <c r="I50" s="44"/>
      <c r="J50" s="44"/>
      <c r="K50" s="44"/>
      <c r="L50" s="44"/>
      <c r="M50" s="44">
        <v>62.448253015298675</v>
      </c>
      <c r="N50" s="47">
        <v>49</v>
      </c>
    </row>
    <row r="51" spans="1:14" ht="18" x14ac:dyDescent="0.25">
      <c r="A51" s="38" t="s">
        <v>580</v>
      </c>
      <c r="B51" s="39">
        <v>55</v>
      </c>
      <c r="C51" s="40">
        <v>82.5</v>
      </c>
      <c r="D51" s="41">
        <v>58.333333333333336</v>
      </c>
      <c r="E51" s="42">
        <v>51.729792677242955</v>
      </c>
      <c r="F51" s="43">
        <v>66.666666666666671</v>
      </c>
      <c r="G51" s="44">
        <v>1.0083593123825825</v>
      </c>
      <c r="H51" s="44"/>
      <c r="I51" s="44"/>
      <c r="J51" s="44"/>
      <c r="K51" s="44"/>
      <c r="L51" s="44"/>
      <c r="M51" s="44">
        <v>61.990617888323882</v>
      </c>
      <c r="N51" s="47">
        <v>50</v>
      </c>
    </row>
    <row r="52" spans="1:14" ht="18" x14ac:dyDescent="0.25">
      <c r="A52" s="38" t="s">
        <v>457</v>
      </c>
      <c r="B52" s="39">
        <v>55</v>
      </c>
      <c r="C52" s="40">
        <v>76.25</v>
      </c>
      <c r="D52" s="41">
        <v>75</v>
      </c>
      <c r="E52" s="42">
        <v>58.620729058055929</v>
      </c>
      <c r="F52" s="43">
        <v>60</v>
      </c>
      <c r="G52" s="44">
        <v>0.9216750651617539</v>
      </c>
      <c r="H52" s="44"/>
      <c r="I52" s="44"/>
      <c r="J52" s="44"/>
      <c r="K52" s="44"/>
      <c r="L52" s="44"/>
      <c r="M52" s="44">
        <v>61.847204999103262</v>
      </c>
      <c r="N52" s="47">
        <v>51</v>
      </c>
    </row>
    <row r="53" spans="1:14" ht="18" x14ac:dyDescent="0.25">
      <c r="A53" s="38" t="s">
        <v>302</v>
      </c>
      <c r="B53" s="39">
        <v>65</v>
      </c>
      <c r="C53" s="40">
        <v>60</v>
      </c>
      <c r="D53" s="41">
        <v>75</v>
      </c>
      <c r="E53" s="42">
        <v>67.73923993171158</v>
      </c>
      <c r="F53" s="43">
        <v>50</v>
      </c>
      <c r="G53" s="44">
        <v>0.9324086872146824</v>
      </c>
      <c r="H53" s="44"/>
      <c r="I53" s="44"/>
      <c r="J53" s="44"/>
      <c r="K53" s="44"/>
      <c r="L53" s="44"/>
      <c r="M53" s="44">
        <v>61.81950966708515</v>
      </c>
      <c r="N53" s="47">
        <v>52</v>
      </c>
    </row>
    <row r="54" spans="1:14" ht="18" x14ac:dyDescent="0.25">
      <c r="A54" s="38" t="s">
        <v>301</v>
      </c>
      <c r="B54" s="39">
        <v>30</v>
      </c>
      <c r="C54" s="40">
        <v>66.25</v>
      </c>
      <c r="D54" s="41">
        <v>75</v>
      </c>
      <c r="E54" s="42">
        <v>68.017657287355561</v>
      </c>
      <c r="F54" s="43">
        <v>60</v>
      </c>
      <c r="G54" s="44">
        <v>1.0670995290340572</v>
      </c>
      <c r="H54" s="44"/>
      <c r="I54" s="44"/>
      <c r="J54" s="44"/>
      <c r="K54" s="44"/>
      <c r="L54" s="44"/>
      <c r="M54" s="44">
        <v>61.677080191405452</v>
      </c>
      <c r="N54" s="47">
        <v>53</v>
      </c>
    </row>
    <row r="55" spans="1:14" ht="18" x14ac:dyDescent="0.25">
      <c r="A55" s="38" t="s">
        <v>600</v>
      </c>
      <c r="B55" s="39">
        <v>45</v>
      </c>
      <c r="C55" s="40">
        <v>71.25</v>
      </c>
      <c r="D55" s="41">
        <v>50</v>
      </c>
      <c r="E55" s="42">
        <v>84.191477482262883</v>
      </c>
      <c r="F55" s="43">
        <v>43.333333333333336</v>
      </c>
      <c r="G55" s="44">
        <v>0.97133734679797301</v>
      </c>
      <c r="H55" s="44">
        <v>0.2</v>
      </c>
      <c r="I55" s="44">
        <v>0.2</v>
      </c>
      <c r="J55" s="44">
        <v>0.15</v>
      </c>
      <c r="K55" s="44">
        <v>0.3</v>
      </c>
      <c r="L55" s="44">
        <v>0.15</v>
      </c>
      <c r="M55" s="44">
        <v>61.525534029368515</v>
      </c>
      <c r="N55" s="47">
        <v>54</v>
      </c>
    </row>
    <row r="56" spans="1:14" ht="18" x14ac:dyDescent="0.25">
      <c r="A56" s="38" t="s">
        <v>469</v>
      </c>
      <c r="B56" s="39">
        <v>75</v>
      </c>
      <c r="C56" s="40">
        <v>66.25</v>
      </c>
      <c r="D56" s="41">
        <v>83.333333333333329</v>
      </c>
      <c r="E56" s="42">
        <v>54.594304926778634</v>
      </c>
      <c r="F56" s="43">
        <v>43.333333333333336</v>
      </c>
      <c r="G56" s="44">
        <v>0.92035842027448089</v>
      </c>
      <c r="H56" s="44"/>
      <c r="I56" s="44"/>
      <c r="J56" s="44"/>
      <c r="K56" s="44"/>
      <c r="L56" s="44"/>
      <c r="M56" s="44">
        <v>61.129274775635196</v>
      </c>
      <c r="N56" s="47">
        <v>55</v>
      </c>
    </row>
    <row r="57" spans="1:14" ht="18" x14ac:dyDescent="0.25">
      <c r="A57" s="38" t="s">
        <v>403</v>
      </c>
      <c r="B57" s="39">
        <v>10</v>
      </c>
      <c r="C57" s="40">
        <v>65</v>
      </c>
      <c r="D57" s="41">
        <v>83.333333333333329</v>
      </c>
      <c r="E57" s="42">
        <v>71.671178076765315</v>
      </c>
      <c r="F57" s="43">
        <v>66.666666666666671</v>
      </c>
      <c r="G57" s="44">
        <v>1.0861884242329052</v>
      </c>
      <c r="H57" s="44"/>
      <c r="I57" s="44"/>
      <c r="J57" s="44"/>
      <c r="K57" s="44"/>
      <c r="L57" s="44"/>
      <c r="M57" s="44">
        <v>61.026898041901106</v>
      </c>
      <c r="N57" s="47">
        <v>56</v>
      </c>
    </row>
    <row r="58" spans="1:14" ht="18" x14ac:dyDescent="0.25">
      <c r="A58" s="38" t="s">
        <v>373</v>
      </c>
      <c r="B58" s="39">
        <v>20</v>
      </c>
      <c r="C58" s="40">
        <v>76.25</v>
      </c>
      <c r="D58" s="41">
        <v>91.666666666666671</v>
      </c>
      <c r="E58" s="42">
        <v>63.913717855164379</v>
      </c>
      <c r="F58" s="43">
        <v>60</v>
      </c>
      <c r="G58" s="44">
        <v>0.98830924735064807</v>
      </c>
      <c r="H58" s="44"/>
      <c r="I58" s="44"/>
      <c r="J58" s="44"/>
      <c r="K58" s="44"/>
      <c r="L58" s="44"/>
      <c r="M58" s="44">
        <v>60.903192506048356</v>
      </c>
      <c r="N58" s="47">
        <v>57</v>
      </c>
    </row>
    <row r="59" spans="1:14" ht="18" x14ac:dyDescent="0.25">
      <c r="A59" s="38" t="s">
        <v>556</v>
      </c>
      <c r="B59" s="39">
        <v>10</v>
      </c>
      <c r="C59" s="40">
        <v>77.5</v>
      </c>
      <c r="D59" s="41">
        <v>66.666666666666671</v>
      </c>
      <c r="E59" s="42">
        <v>71.57621009051212</v>
      </c>
      <c r="F59" s="43">
        <v>66.666666666666671</v>
      </c>
      <c r="G59" s="44">
        <v>1.0787373044629354</v>
      </c>
      <c r="H59" s="44"/>
      <c r="I59" s="44"/>
      <c r="J59" s="44"/>
      <c r="K59" s="44"/>
      <c r="L59" s="44"/>
      <c r="M59" s="44">
        <v>60.82105298993941</v>
      </c>
      <c r="N59" s="47">
        <v>58</v>
      </c>
    </row>
    <row r="60" spans="1:14" ht="18" x14ac:dyDescent="0.25">
      <c r="A60" s="38" t="s">
        <v>315</v>
      </c>
      <c r="B60" s="39">
        <v>10</v>
      </c>
      <c r="C60" s="40">
        <v>76.25</v>
      </c>
      <c r="D60" s="41">
        <v>66.666666666666671</v>
      </c>
      <c r="E60" s="42">
        <v>81.435125959304173</v>
      </c>
      <c r="F60" s="43">
        <v>66.666666666666671</v>
      </c>
      <c r="G60" s="44">
        <v>0.94678786169994256</v>
      </c>
      <c r="H60" s="44"/>
      <c r="I60" s="44"/>
      <c r="J60" s="44"/>
      <c r="K60" s="44"/>
      <c r="L60" s="44"/>
      <c r="M60" s="44">
        <v>60.274112355682405</v>
      </c>
      <c r="N60" s="47">
        <v>59</v>
      </c>
    </row>
    <row r="61" spans="1:14" ht="18" x14ac:dyDescent="0.25">
      <c r="A61" s="38" t="s">
        <v>515</v>
      </c>
      <c r="B61" s="39">
        <v>65</v>
      </c>
      <c r="C61" s="40">
        <v>65</v>
      </c>
      <c r="D61" s="41">
        <v>33.333333333333336</v>
      </c>
      <c r="E61" s="42">
        <v>63.927075912190546</v>
      </c>
      <c r="F61" s="43">
        <v>50</v>
      </c>
      <c r="G61" s="44">
        <v>1.0787019307624031</v>
      </c>
      <c r="H61" s="44"/>
      <c r="I61" s="44"/>
      <c r="J61" s="44"/>
      <c r="K61" s="44"/>
      <c r="L61" s="44"/>
      <c r="M61" s="44">
        <v>60.210603164253634</v>
      </c>
      <c r="N61" s="47">
        <v>60</v>
      </c>
    </row>
    <row r="62" spans="1:14" ht="18" x14ac:dyDescent="0.25">
      <c r="A62" s="38" t="s">
        <v>466</v>
      </c>
      <c r="B62" s="39">
        <v>12.5</v>
      </c>
      <c r="C62" s="40">
        <v>77.5</v>
      </c>
      <c r="D62" s="41">
        <v>91.666666666666671</v>
      </c>
      <c r="E62" s="42">
        <v>60.37435922991493</v>
      </c>
      <c r="F62" s="43">
        <v>66.666666666666671</v>
      </c>
      <c r="G62" s="44">
        <v>1.0163769142999053</v>
      </c>
      <c r="H62" s="44"/>
      <c r="I62" s="44"/>
      <c r="J62" s="44"/>
      <c r="K62" s="44"/>
      <c r="L62" s="44"/>
      <c r="M62" s="44">
        <v>60.199873766830244</v>
      </c>
      <c r="N62" s="47">
        <v>61</v>
      </c>
    </row>
    <row r="63" spans="1:14" ht="18" x14ac:dyDescent="0.25">
      <c r="A63" s="38" t="s">
        <v>593</v>
      </c>
      <c r="B63" s="39">
        <v>77.5</v>
      </c>
      <c r="C63" s="40">
        <v>65</v>
      </c>
      <c r="D63" s="41">
        <v>50</v>
      </c>
      <c r="E63" s="42">
        <v>67.477198516420472</v>
      </c>
      <c r="F63" s="43">
        <v>43.333333333333336</v>
      </c>
      <c r="G63" s="44">
        <v>0.92035842027448089</v>
      </c>
      <c r="H63" s="44"/>
      <c r="I63" s="44"/>
      <c r="J63" s="44"/>
      <c r="K63" s="44"/>
      <c r="L63" s="44"/>
      <c r="M63" s="44">
        <v>59.896517863590546</v>
      </c>
      <c r="N63" s="47">
        <v>62</v>
      </c>
    </row>
    <row r="64" spans="1:14" ht="18" x14ac:dyDescent="0.25">
      <c r="A64" s="38" t="s">
        <v>506</v>
      </c>
      <c r="B64" s="39">
        <v>75</v>
      </c>
      <c r="C64" s="40">
        <v>46.25</v>
      </c>
      <c r="D64" s="41">
        <v>66.666666666666671</v>
      </c>
      <c r="E64" s="42">
        <v>61.453985120714179</v>
      </c>
      <c r="F64" s="43">
        <v>26.666666666666668</v>
      </c>
      <c r="G64" s="44">
        <v>1.0861884242329052</v>
      </c>
      <c r="H64" s="44"/>
      <c r="I64" s="44"/>
      <c r="J64" s="44"/>
      <c r="K64" s="44"/>
      <c r="L64" s="44"/>
      <c r="M64" s="44">
        <v>59.568008541823858</v>
      </c>
      <c r="N64" s="47">
        <v>63</v>
      </c>
    </row>
    <row r="65" spans="1:14" ht="18" x14ac:dyDescent="0.25">
      <c r="A65" s="38" t="s">
        <v>561</v>
      </c>
      <c r="B65" s="39">
        <v>42.5</v>
      </c>
      <c r="C65" s="40">
        <v>77.5</v>
      </c>
      <c r="D65" s="41">
        <v>83.333333333333329</v>
      </c>
      <c r="E65" s="42">
        <v>53.976220245332541</v>
      </c>
      <c r="F65" s="43">
        <v>50</v>
      </c>
      <c r="G65" s="44">
        <v>0.97240046562707005</v>
      </c>
      <c r="H65" s="44"/>
      <c r="I65" s="44"/>
      <c r="J65" s="44"/>
      <c r="K65" s="44"/>
      <c r="L65" s="44"/>
      <c r="M65" s="44">
        <v>59.511354467635286</v>
      </c>
      <c r="N65" s="47">
        <v>64</v>
      </c>
    </row>
    <row r="66" spans="1:14" ht="18" x14ac:dyDescent="0.25">
      <c r="A66" s="38" t="s">
        <v>429</v>
      </c>
      <c r="B66" s="39">
        <v>65</v>
      </c>
      <c r="C66" s="40">
        <v>65</v>
      </c>
      <c r="D66" s="41">
        <v>66.666666666666671</v>
      </c>
      <c r="E66" s="42">
        <v>56.091241356985606</v>
      </c>
      <c r="F66" s="43">
        <v>60</v>
      </c>
      <c r="G66" s="44">
        <v>0.92035842027448089</v>
      </c>
      <c r="H66" s="44"/>
      <c r="I66" s="44"/>
      <c r="J66" s="44"/>
      <c r="K66" s="44"/>
      <c r="L66" s="44"/>
      <c r="M66" s="44">
        <v>59.451873349533223</v>
      </c>
      <c r="N66" s="47">
        <v>65</v>
      </c>
    </row>
    <row r="67" spans="1:14" ht="18" x14ac:dyDescent="0.25">
      <c r="A67" s="38" t="s">
        <v>388</v>
      </c>
      <c r="B67" s="39">
        <v>32.5</v>
      </c>
      <c r="C67" s="40">
        <v>82.5</v>
      </c>
      <c r="D67" s="41">
        <v>83.333333333333329</v>
      </c>
      <c r="E67" s="42">
        <v>47.139980280516873</v>
      </c>
      <c r="F67" s="43">
        <v>66.666666666666671</v>
      </c>
      <c r="G67" s="44">
        <v>0.98703729020087061</v>
      </c>
      <c r="H67" s="44"/>
      <c r="I67" s="44"/>
      <c r="J67" s="44"/>
      <c r="K67" s="44"/>
      <c r="L67" s="44"/>
      <c r="M67" s="44">
        <v>59.374417905166816</v>
      </c>
      <c r="N67" s="47">
        <v>66</v>
      </c>
    </row>
    <row r="68" spans="1:14" ht="18" x14ac:dyDescent="0.25">
      <c r="A68" s="38" t="s">
        <v>484</v>
      </c>
      <c r="B68" s="39">
        <v>65</v>
      </c>
      <c r="C68" s="40">
        <v>60</v>
      </c>
      <c r="D68" s="41">
        <v>58.333333333333336</v>
      </c>
      <c r="E68" s="42">
        <v>56.164391762626011</v>
      </c>
      <c r="F68" s="43">
        <v>43.333333333333336</v>
      </c>
      <c r="G68" s="44">
        <v>1.0732387269210868</v>
      </c>
      <c r="H68" s="44"/>
      <c r="I68" s="44"/>
      <c r="J68" s="44"/>
      <c r="K68" s="44"/>
      <c r="L68" s="44"/>
      <c r="M68" s="44">
        <v>59.285443544059504</v>
      </c>
      <c r="N68" s="47">
        <v>67</v>
      </c>
    </row>
    <row r="69" spans="1:14" ht="18" x14ac:dyDescent="0.25">
      <c r="A69" s="38" t="s">
        <v>517</v>
      </c>
      <c r="B69" s="39">
        <v>52.5</v>
      </c>
      <c r="C69" s="40">
        <v>81.25</v>
      </c>
      <c r="D69" s="41">
        <v>66.666666666666671</v>
      </c>
      <c r="E69" s="42">
        <v>64.269895822789152</v>
      </c>
      <c r="F69" s="43">
        <v>33.333333333333336</v>
      </c>
      <c r="G69" s="44">
        <v>0.93403550978344274</v>
      </c>
      <c r="H69" s="44"/>
      <c r="I69" s="44"/>
      <c r="J69" s="44"/>
      <c r="K69" s="44"/>
      <c r="L69" s="44"/>
      <c r="M69" s="44">
        <v>59.066482325296434</v>
      </c>
      <c r="N69" s="47">
        <v>68</v>
      </c>
    </row>
    <row r="70" spans="1:14" ht="18" x14ac:dyDescent="0.25">
      <c r="A70" s="38" t="s">
        <v>590</v>
      </c>
      <c r="B70" s="39">
        <v>75</v>
      </c>
      <c r="C70" s="40">
        <v>71.25</v>
      </c>
      <c r="D70" s="41">
        <v>50</v>
      </c>
      <c r="E70" s="42">
        <v>60.000910790443015</v>
      </c>
      <c r="F70" s="43">
        <v>30</v>
      </c>
      <c r="G70" s="44">
        <v>0.98340425162744405</v>
      </c>
      <c r="H70" s="44"/>
      <c r="I70" s="44"/>
      <c r="J70" s="44"/>
      <c r="K70" s="44"/>
      <c r="L70" s="44"/>
      <c r="M70" s="44">
        <v>58.702609006263856</v>
      </c>
      <c r="N70" s="47">
        <v>69</v>
      </c>
    </row>
    <row r="71" spans="1:14" ht="18" x14ac:dyDescent="0.25">
      <c r="A71" s="38" t="s">
        <v>483</v>
      </c>
      <c r="B71" s="39">
        <v>20</v>
      </c>
      <c r="C71" s="40">
        <v>76.25</v>
      </c>
      <c r="D71" s="41">
        <v>91.666666666666671</v>
      </c>
      <c r="E71" s="42">
        <v>57.520700225688586</v>
      </c>
      <c r="F71" s="43">
        <v>60</v>
      </c>
      <c r="G71" s="44">
        <v>0.97202131166840344</v>
      </c>
      <c r="H71" s="44"/>
      <c r="I71" s="44"/>
      <c r="J71" s="44"/>
      <c r="K71" s="44"/>
      <c r="L71" s="44"/>
      <c r="M71" s="44">
        <v>58.661489191111265</v>
      </c>
      <c r="N71" s="47">
        <v>70</v>
      </c>
    </row>
    <row r="72" spans="1:14" ht="18" x14ac:dyDescent="0.25">
      <c r="A72" s="38" t="s">
        <v>595</v>
      </c>
      <c r="B72" s="39">
        <v>75</v>
      </c>
      <c r="C72" s="40">
        <v>60</v>
      </c>
      <c r="D72" s="41">
        <v>58.333333333333336</v>
      </c>
      <c r="E72" s="42">
        <v>72.267147700641814</v>
      </c>
      <c r="F72" s="43">
        <v>26.666666666666668</v>
      </c>
      <c r="G72" s="44">
        <v>0.92035842027448089</v>
      </c>
      <c r="H72" s="44"/>
      <c r="I72" s="44"/>
      <c r="J72" s="44"/>
      <c r="K72" s="44"/>
      <c r="L72" s="44"/>
      <c r="M72" s="44">
        <v>58.508879672768799</v>
      </c>
      <c r="N72" s="47">
        <v>71</v>
      </c>
    </row>
    <row r="73" spans="1:14" ht="18" x14ac:dyDescent="0.25">
      <c r="A73" s="38" t="s">
        <v>594</v>
      </c>
      <c r="B73" s="39">
        <v>40</v>
      </c>
      <c r="C73" s="40">
        <v>53.75</v>
      </c>
      <c r="D73" s="41">
        <v>66.666666666666671</v>
      </c>
      <c r="E73" s="42">
        <v>71.69761392915737</v>
      </c>
      <c r="F73" s="43">
        <v>43.333333333333336</v>
      </c>
      <c r="G73" s="44">
        <v>1.057165145243683</v>
      </c>
      <c r="H73" s="44"/>
      <c r="I73" s="44"/>
      <c r="J73" s="44"/>
      <c r="K73" s="44"/>
      <c r="L73" s="44"/>
      <c r="M73" s="44">
        <v>58.446186694862412</v>
      </c>
      <c r="N73" s="47">
        <v>72</v>
      </c>
    </row>
    <row r="74" spans="1:14" ht="18" x14ac:dyDescent="0.25">
      <c r="A74" s="38" t="s">
        <v>589</v>
      </c>
      <c r="B74" s="39">
        <v>52.5</v>
      </c>
      <c r="C74" s="40">
        <v>71.25</v>
      </c>
      <c r="D74" s="41">
        <v>58.333333333333336</v>
      </c>
      <c r="E74" s="42">
        <v>67.221252015239486</v>
      </c>
      <c r="F74" s="43">
        <v>43.333333333333336</v>
      </c>
      <c r="G74" s="44">
        <v>0.93994340366882512</v>
      </c>
      <c r="H74" s="44"/>
      <c r="I74" s="44"/>
      <c r="J74" s="44"/>
      <c r="K74" s="44"/>
      <c r="L74" s="44"/>
      <c r="M74" s="44">
        <v>58.324657463947887</v>
      </c>
      <c r="N74" s="47">
        <v>73</v>
      </c>
    </row>
    <row r="75" spans="1:14" ht="18" x14ac:dyDescent="0.25">
      <c r="A75" s="38" t="s">
        <v>447</v>
      </c>
      <c r="B75" s="39">
        <v>65</v>
      </c>
      <c r="C75" s="40">
        <v>60</v>
      </c>
      <c r="D75" s="41">
        <v>75</v>
      </c>
      <c r="E75" s="42">
        <v>47.080628938720984</v>
      </c>
      <c r="F75" s="43">
        <v>43.333333333333336</v>
      </c>
      <c r="G75" s="44">
        <v>1.0489596407718242</v>
      </c>
      <c r="H75" s="44"/>
      <c r="I75" s="44"/>
      <c r="J75" s="44"/>
      <c r="K75" s="44"/>
      <c r="L75" s="44"/>
      <c r="M75" s="44">
        <v>58.202179215695409</v>
      </c>
      <c r="N75" s="47">
        <v>74</v>
      </c>
    </row>
    <row r="76" spans="1:14" ht="18" x14ac:dyDescent="0.25">
      <c r="A76" s="38" t="s">
        <v>330</v>
      </c>
      <c r="B76" s="39">
        <v>20</v>
      </c>
      <c r="C76" s="40">
        <v>83.75</v>
      </c>
      <c r="D76" s="41">
        <v>91.666666666666671</v>
      </c>
      <c r="E76" s="42">
        <v>45.557570401005847</v>
      </c>
      <c r="F76" s="43">
        <v>66.666666666666671</v>
      </c>
      <c r="G76" s="44">
        <v>0.99915145558103347</v>
      </c>
      <c r="H76" s="44"/>
      <c r="I76" s="44"/>
      <c r="J76" s="44"/>
      <c r="K76" s="44"/>
      <c r="L76" s="44"/>
      <c r="M76" s="44">
        <v>58.152279655994256</v>
      </c>
      <c r="N76" s="47">
        <v>75</v>
      </c>
    </row>
    <row r="77" spans="1:14" ht="18" x14ac:dyDescent="0.25">
      <c r="A77" s="38" t="s">
        <v>710</v>
      </c>
      <c r="B77" s="39">
        <v>62.5</v>
      </c>
      <c r="C77" s="40">
        <v>61.25</v>
      </c>
      <c r="D77" s="41">
        <v>66.666666666666671</v>
      </c>
      <c r="E77" s="42">
        <v>42.504950574417848</v>
      </c>
      <c r="F77" s="43">
        <v>66.666666666666671</v>
      </c>
      <c r="G77" s="44">
        <v>1.0221745377458751</v>
      </c>
      <c r="H77" s="44"/>
      <c r="I77" s="44"/>
      <c r="J77" s="44"/>
      <c r="K77" s="44"/>
      <c r="L77" s="44"/>
      <c r="M77" s="44">
        <v>58.061425183418486</v>
      </c>
      <c r="N77" s="47">
        <v>76</v>
      </c>
    </row>
    <row r="78" spans="1:14" ht="18" x14ac:dyDescent="0.25">
      <c r="A78" s="38" t="s">
        <v>316</v>
      </c>
      <c r="B78" s="39">
        <v>65</v>
      </c>
      <c r="C78" s="40">
        <v>65</v>
      </c>
      <c r="D78" s="41">
        <v>58.333333333333336</v>
      </c>
      <c r="E78" s="42">
        <v>48.033938187643457</v>
      </c>
      <c r="F78" s="43">
        <v>43.333333333333336</v>
      </c>
      <c r="G78" s="44">
        <v>1.0861884242329052</v>
      </c>
      <c r="H78" s="44"/>
      <c r="I78" s="44"/>
      <c r="J78" s="44"/>
      <c r="K78" s="44"/>
      <c r="L78" s="44"/>
      <c r="M78" s="44">
        <v>58.02262180394893</v>
      </c>
      <c r="N78" s="47">
        <v>77</v>
      </c>
    </row>
    <row r="79" spans="1:14" ht="18" x14ac:dyDescent="0.25">
      <c r="A79" s="38" t="s">
        <v>498</v>
      </c>
      <c r="B79" s="39">
        <v>20</v>
      </c>
      <c r="C79" s="40">
        <v>58.75</v>
      </c>
      <c r="D79" s="41">
        <v>66.666666666666671</v>
      </c>
      <c r="E79" s="42">
        <v>66.252309375905753</v>
      </c>
      <c r="F79" s="43">
        <v>66.666666666666671</v>
      </c>
      <c r="G79" s="44">
        <v>1.0861884242329052</v>
      </c>
      <c r="H79" s="44"/>
      <c r="I79" s="44"/>
      <c r="J79" s="44"/>
      <c r="K79" s="44"/>
      <c r="L79" s="44"/>
      <c r="M79" s="44">
        <v>57.68350115377342</v>
      </c>
      <c r="N79" s="47">
        <v>78</v>
      </c>
    </row>
    <row r="80" spans="1:14" ht="18" x14ac:dyDescent="0.25">
      <c r="A80" s="38" t="s">
        <v>597</v>
      </c>
      <c r="B80" s="39">
        <v>77.5</v>
      </c>
      <c r="C80" s="40">
        <v>53.75</v>
      </c>
      <c r="D80" s="41">
        <v>58.333333333333336</v>
      </c>
      <c r="E80" s="42">
        <v>54.221434061930637</v>
      </c>
      <c r="F80" s="43">
        <v>43.333333333333336</v>
      </c>
      <c r="G80" s="44">
        <v>0.99647243839855126</v>
      </c>
      <c r="H80" s="44"/>
      <c r="I80" s="44"/>
      <c r="J80" s="44"/>
      <c r="K80" s="44"/>
      <c r="L80" s="44"/>
      <c r="M80" s="44">
        <v>57.654372179125033</v>
      </c>
      <c r="N80" s="47">
        <v>79</v>
      </c>
    </row>
    <row r="81" spans="1:14" ht="18" x14ac:dyDescent="0.25">
      <c r="A81" s="38" t="s">
        <v>558</v>
      </c>
      <c r="B81" s="39">
        <v>20</v>
      </c>
      <c r="C81" s="40">
        <v>56.25</v>
      </c>
      <c r="D81" s="41">
        <v>75</v>
      </c>
      <c r="E81" s="42">
        <v>77.079567745908363</v>
      </c>
      <c r="F81" s="43">
        <v>60</v>
      </c>
      <c r="G81" s="44">
        <v>0.96095867364724941</v>
      </c>
      <c r="H81" s="44"/>
      <c r="I81" s="44"/>
      <c r="J81" s="44"/>
      <c r="K81" s="44"/>
      <c r="L81" s="44"/>
      <c r="M81" s="44">
        <v>57.564918450512423</v>
      </c>
      <c r="N81" s="47">
        <v>80</v>
      </c>
    </row>
    <row r="82" spans="1:14" ht="18" x14ac:dyDescent="0.25">
      <c r="A82" s="38" t="s">
        <v>368</v>
      </c>
      <c r="B82" s="39">
        <v>0</v>
      </c>
      <c r="C82" s="40">
        <v>90</v>
      </c>
      <c r="D82" s="41">
        <v>91.666666666666671</v>
      </c>
      <c r="E82" s="42">
        <v>56.288346865589368</v>
      </c>
      <c r="F82" s="43">
        <v>60</v>
      </c>
      <c r="G82" s="44">
        <v>0.99085890904832907</v>
      </c>
      <c r="H82" s="44"/>
      <c r="I82" s="44"/>
      <c r="J82" s="44"/>
      <c r="K82" s="44"/>
      <c r="L82" s="44"/>
      <c r="M82" s="44">
        <v>57.482142990211543</v>
      </c>
      <c r="N82" s="47">
        <v>81</v>
      </c>
    </row>
    <row r="83" spans="1:14" ht="18" x14ac:dyDescent="0.25">
      <c r="A83" s="38" t="s">
        <v>584</v>
      </c>
      <c r="B83" s="39">
        <v>0</v>
      </c>
      <c r="C83" s="40">
        <v>82.5</v>
      </c>
      <c r="D83" s="41">
        <v>75</v>
      </c>
      <c r="E83" s="42">
        <v>64.768363738346778</v>
      </c>
      <c r="F83" s="43">
        <v>60</v>
      </c>
      <c r="G83" s="44">
        <v>1.0594613390750269</v>
      </c>
      <c r="H83" s="44"/>
      <c r="I83" s="44"/>
      <c r="J83" s="44"/>
      <c r="K83" s="44"/>
      <c r="L83" s="44"/>
      <c r="M83" s="44">
        <v>57.335873212778182</v>
      </c>
      <c r="N83" s="47">
        <v>82</v>
      </c>
    </row>
    <row r="84" spans="1:14" ht="18" x14ac:dyDescent="0.25">
      <c r="A84" s="38" t="s">
        <v>304</v>
      </c>
      <c r="B84" s="39">
        <v>0</v>
      </c>
      <c r="C84" s="40">
        <v>70</v>
      </c>
      <c r="D84" s="41">
        <v>83.333333333333329</v>
      </c>
      <c r="E84" s="42">
        <v>66.173665906584432</v>
      </c>
      <c r="F84" s="43">
        <v>66.666666666666671</v>
      </c>
      <c r="G84" s="44">
        <v>1.0466186559340642</v>
      </c>
      <c r="H84" s="44"/>
      <c r="I84" s="44"/>
      <c r="J84" s="44"/>
      <c r="K84" s="44"/>
      <c r="L84" s="44"/>
      <c r="M84" s="44">
        <v>57.27757798081376</v>
      </c>
      <c r="N84" s="47">
        <v>83</v>
      </c>
    </row>
    <row r="85" spans="1:14" ht="18" x14ac:dyDescent="0.25">
      <c r="A85" s="38" t="s">
        <v>367</v>
      </c>
      <c r="B85" s="39">
        <v>10</v>
      </c>
      <c r="C85" s="40">
        <v>88.75</v>
      </c>
      <c r="D85" s="41">
        <v>66.666666666666671</v>
      </c>
      <c r="E85" s="42">
        <v>63.581017110725796</v>
      </c>
      <c r="F85" s="43">
        <v>60</v>
      </c>
      <c r="G85" s="44">
        <v>0.97326039103799267</v>
      </c>
      <c r="H85" s="44"/>
      <c r="I85" s="44"/>
      <c r="J85" s="44"/>
      <c r="K85" s="44"/>
      <c r="L85" s="44"/>
      <c r="M85" s="44">
        <v>57.260786454809477</v>
      </c>
      <c r="N85" s="47">
        <v>84</v>
      </c>
    </row>
    <row r="86" spans="1:14" ht="18" x14ac:dyDescent="0.25">
      <c r="A86" s="38" t="s">
        <v>421</v>
      </c>
      <c r="B86" s="39">
        <v>30</v>
      </c>
      <c r="C86" s="40">
        <v>76.25</v>
      </c>
      <c r="D86" s="41">
        <v>83.333333333333329</v>
      </c>
      <c r="E86" s="42">
        <v>54.274674372286043</v>
      </c>
      <c r="F86" s="43">
        <v>60</v>
      </c>
      <c r="G86" s="44">
        <v>0.92035842027448089</v>
      </c>
      <c r="H86" s="44"/>
      <c r="I86" s="44"/>
      <c r="J86" s="44"/>
      <c r="K86" s="44"/>
      <c r="L86" s="44"/>
      <c r="M86" s="44">
        <v>57.257796591503592</v>
      </c>
      <c r="N86" s="47">
        <v>85</v>
      </c>
    </row>
    <row r="87" spans="1:14" ht="18" x14ac:dyDescent="0.25">
      <c r="A87" s="38" t="s">
        <v>427</v>
      </c>
      <c r="B87" s="39">
        <v>10</v>
      </c>
      <c r="C87" s="40">
        <v>81.25</v>
      </c>
      <c r="D87" s="41">
        <v>91.666666666666671</v>
      </c>
      <c r="E87" s="42">
        <v>58.943648101614862</v>
      </c>
      <c r="F87" s="43">
        <v>60</v>
      </c>
      <c r="G87" s="44">
        <v>0.92035842027448089</v>
      </c>
      <c r="H87" s="44"/>
      <c r="I87" s="44"/>
      <c r="J87" s="44"/>
      <c r="K87" s="44"/>
      <c r="L87" s="44"/>
      <c r="M87" s="44">
        <v>57.115501696154105</v>
      </c>
      <c r="N87" s="47">
        <v>86</v>
      </c>
    </row>
    <row r="88" spans="1:14" ht="18" x14ac:dyDescent="0.25">
      <c r="A88" s="38" t="s">
        <v>464</v>
      </c>
      <c r="B88" s="39">
        <v>10</v>
      </c>
      <c r="C88" s="40">
        <v>71.25</v>
      </c>
      <c r="D88" s="41">
        <v>91.666666666666671</v>
      </c>
      <c r="E88" s="42">
        <v>71.459975670458391</v>
      </c>
      <c r="F88" s="43">
        <v>50</v>
      </c>
      <c r="G88" s="44">
        <v>0.92035842027448089</v>
      </c>
      <c r="H88" s="44"/>
      <c r="I88" s="44"/>
      <c r="J88" s="44"/>
      <c r="K88" s="44"/>
      <c r="L88" s="44"/>
      <c r="M88" s="44">
        <v>57.071353936823741</v>
      </c>
      <c r="N88" s="47">
        <v>87</v>
      </c>
    </row>
    <row r="89" spans="1:14" ht="18" x14ac:dyDescent="0.25">
      <c r="A89" s="38" t="s">
        <v>490</v>
      </c>
      <c r="B89" s="39">
        <v>52.5</v>
      </c>
      <c r="C89" s="40">
        <v>60</v>
      </c>
      <c r="D89" s="41">
        <v>75</v>
      </c>
      <c r="E89" s="42">
        <v>72.836239728175727</v>
      </c>
      <c r="F89" s="43">
        <v>26.666666666666668</v>
      </c>
      <c r="G89" s="44">
        <v>0.92035842027448089</v>
      </c>
      <c r="H89" s="44"/>
      <c r="I89" s="44"/>
      <c r="J89" s="44"/>
      <c r="K89" s="44"/>
      <c r="L89" s="44"/>
      <c r="M89" s="44">
        <v>57.024397373369204</v>
      </c>
      <c r="N89" s="47">
        <v>88</v>
      </c>
    </row>
    <row r="90" spans="1:14" ht="18" x14ac:dyDescent="0.25">
      <c r="A90" s="38" t="s">
        <v>537</v>
      </c>
      <c r="B90" s="39">
        <v>55</v>
      </c>
      <c r="C90" s="40">
        <v>47.5</v>
      </c>
      <c r="D90" s="41">
        <v>58.333333333333336</v>
      </c>
      <c r="E90" s="42">
        <v>70.983311796367687</v>
      </c>
      <c r="F90" s="43">
        <v>43.333333333333336</v>
      </c>
      <c r="G90" s="44">
        <v>0.99668249531345354</v>
      </c>
      <c r="H90" s="44"/>
      <c r="I90" s="44"/>
      <c r="J90" s="44"/>
      <c r="K90" s="44"/>
      <c r="L90" s="44"/>
      <c r="M90" s="44">
        <v>56.937854746492988</v>
      </c>
      <c r="N90" s="47">
        <v>89</v>
      </c>
    </row>
    <row r="91" spans="1:14" ht="18" x14ac:dyDescent="0.25">
      <c r="A91" s="38" t="s">
        <v>394</v>
      </c>
      <c r="B91" s="39">
        <v>65</v>
      </c>
      <c r="C91" s="40">
        <v>53.75</v>
      </c>
      <c r="D91" s="41">
        <v>58.333333333333336</v>
      </c>
      <c r="E91" s="42">
        <v>64.434198440344559</v>
      </c>
      <c r="F91" s="43">
        <v>43.333333333333336</v>
      </c>
      <c r="G91" s="44">
        <v>0.95445587752622862</v>
      </c>
      <c r="H91" s="44"/>
      <c r="I91" s="44"/>
      <c r="J91" s="44"/>
      <c r="K91" s="44"/>
      <c r="L91" s="44"/>
      <c r="M91" s="44">
        <v>56.857806232364439</v>
      </c>
      <c r="N91" s="47">
        <v>90</v>
      </c>
    </row>
    <row r="92" spans="1:14" ht="18" x14ac:dyDescent="0.25">
      <c r="A92" s="38" t="s">
        <v>335</v>
      </c>
      <c r="B92" s="39">
        <v>77.5</v>
      </c>
      <c r="C92" s="40">
        <v>53.75</v>
      </c>
      <c r="D92" s="41">
        <v>25</v>
      </c>
      <c r="E92" s="42">
        <v>64.956086365123795</v>
      </c>
      <c r="F92" s="43">
        <v>43.333333333333336</v>
      </c>
      <c r="G92" s="44">
        <v>1.0243102220613962</v>
      </c>
      <c r="H92" s="44"/>
      <c r="I92" s="44"/>
      <c r="J92" s="44"/>
      <c r="K92" s="44"/>
      <c r="L92" s="44"/>
      <c r="M92" s="44">
        <v>56.8373634166214</v>
      </c>
      <c r="N92" s="47">
        <v>91</v>
      </c>
    </row>
    <row r="93" spans="1:14" ht="18" x14ac:dyDescent="0.25">
      <c r="A93" s="38" t="s">
        <v>342</v>
      </c>
      <c r="B93" s="39">
        <v>52.5</v>
      </c>
      <c r="C93" s="40">
        <v>76.25</v>
      </c>
      <c r="D93" s="41">
        <v>66.666666666666671</v>
      </c>
      <c r="E93" s="42">
        <v>54.62130906495922</v>
      </c>
      <c r="F93" s="43">
        <v>43.333333333333336</v>
      </c>
      <c r="G93" s="44">
        <v>0.9278839348042387</v>
      </c>
      <c r="H93" s="44"/>
      <c r="I93" s="44"/>
      <c r="J93" s="44"/>
      <c r="K93" s="44"/>
      <c r="L93" s="44"/>
      <c r="M93" s="44">
        <v>56.697451869250344</v>
      </c>
      <c r="N93" s="47">
        <v>92</v>
      </c>
    </row>
    <row r="94" spans="1:14" ht="18" x14ac:dyDescent="0.25">
      <c r="A94" s="38" t="s">
        <v>468</v>
      </c>
      <c r="B94" s="39">
        <v>0</v>
      </c>
      <c r="C94" s="40">
        <v>50</v>
      </c>
      <c r="D94" s="41">
        <v>66.666666666666671</v>
      </c>
      <c r="E94" s="42">
        <v>87.727466753379204</v>
      </c>
      <c r="F94" s="43">
        <v>60</v>
      </c>
      <c r="G94" s="44">
        <v>1.0514952610242463</v>
      </c>
      <c r="H94" s="44"/>
      <c r="I94" s="44"/>
      <c r="J94" s="44"/>
      <c r="K94" s="44"/>
      <c r="L94" s="44"/>
      <c r="M94" s="44">
        <v>56.673504665852107</v>
      </c>
      <c r="N94" s="47">
        <v>93</v>
      </c>
    </row>
    <row r="95" spans="1:14" ht="18" x14ac:dyDescent="0.25">
      <c r="A95" s="38" t="s">
        <v>349</v>
      </c>
      <c r="B95" s="39">
        <v>25</v>
      </c>
      <c r="C95" s="40">
        <v>72.5</v>
      </c>
      <c r="D95" s="41">
        <v>58.333333333333336</v>
      </c>
      <c r="E95" s="42">
        <v>67.201478926795801</v>
      </c>
      <c r="F95" s="43">
        <v>43.333333333333336</v>
      </c>
      <c r="G95" s="44">
        <v>1.0661507717311354</v>
      </c>
      <c r="H95" s="44"/>
      <c r="I95" s="44"/>
      <c r="J95" s="44"/>
      <c r="K95" s="44"/>
      <c r="L95" s="44"/>
      <c r="M95" s="44">
        <v>56.57482644443877</v>
      </c>
      <c r="N95" s="47">
        <v>94</v>
      </c>
    </row>
    <row r="96" spans="1:14" ht="18" x14ac:dyDescent="0.25">
      <c r="A96" s="38" t="s">
        <v>355</v>
      </c>
      <c r="B96" s="39">
        <v>10</v>
      </c>
      <c r="C96" s="40">
        <v>83.75</v>
      </c>
      <c r="D96" s="41">
        <v>91.666666666666671</v>
      </c>
      <c r="E96" s="42">
        <v>42.455547393497348</v>
      </c>
      <c r="F96" s="43">
        <v>66.666666666666671</v>
      </c>
      <c r="G96" s="44">
        <v>1.0861884242329052</v>
      </c>
      <c r="H96" s="44"/>
      <c r="I96" s="44"/>
      <c r="J96" s="44"/>
      <c r="K96" s="44"/>
      <c r="L96" s="44"/>
      <c r="M96" s="44">
        <v>56.506794085452299</v>
      </c>
      <c r="N96" s="47">
        <v>95</v>
      </c>
    </row>
    <row r="97" spans="1:14" ht="18" x14ac:dyDescent="0.25">
      <c r="A97" s="38" t="s">
        <v>428</v>
      </c>
      <c r="B97" s="39">
        <v>20</v>
      </c>
      <c r="C97" s="40">
        <v>72.5</v>
      </c>
      <c r="D97" s="41">
        <v>83.333333333333329</v>
      </c>
      <c r="E97" s="42">
        <v>75.333000361503935</v>
      </c>
      <c r="F97" s="43">
        <v>33.333333333333336</v>
      </c>
      <c r="G97" s="44">
        <v>0.92035842027448089</v>
      </c>
      <c r="H97" s="44"/>
      <c r="I97" s="44"/>
      <c r="J97" s="44"/>
      <c r="K97" s="44"/>
      <c r="L97" s="44"/>
      <c r="M97" s="44">
        <v>56.48144204327312</v>
      </c>
      <c r="N97" s="47">
        <v>96</v>
      </c>
    </row>
    <row r="98" spans="1:14" ht="18" x14ac:dyDescent="0.25">
      <c r="A98" s="38" t="s">
        <v>488</v>
      </c>
      <c r="B98" s="39">
        <v>20</v>
      </c>
      <c r="C98" s="40">
        <v>72.5</v>
      </c>
      <c r="D98" s="41">
        <v>83.333333333333329</v>
      </c>
      <c r="E98" s="42">
        <v>56.555179689140516</v>
      </c>
      <c r="F98" s="43">
        <v>60</v>
      </c>
      <c r="G98" s="44">
        <v>0.97679200921662279</v>
      </c>
      <c r="H98" s="44"/>
      <c r="I98" s="44"/>
      <c r="J98" s="44"/>
      <c r="K98" s="44"/>
      <c r="L98" s="44"/>
      <c r="M98" s="44">
        <v>56.479962316915291</v>
      </c>
      <c r="N98" s="47">
        <v>97</v>
      </c>
    </row>
    <row r="99" spans="1:14" ht="18" x14ac:dyDescent="0.25">
      <c r="A99" s="38" t="s">
        <v>538</v>
      </c>
      <c r="B99" s="39">
        <v>0</v>
      </c>
      <c r="C99" s="40">
        <v>77.5</v>
      </c>
      <c r="D99" s="41">
        <v>83.333333333333329</v>
      </c>
      <c r="E99" s="42">
        <v>60.525728682892392</v>
      </c>
      <c r="F99" s="43">
        <v>66.666666666666671</v>
      </c>
      <c r="G99" s="44">
        <v>1.0111688242405901</v>
      </c>
      <c r="H99" s="44"/>
      <c r="I99" s="44"/>
      <c r="J99" s="44"/>
      <c r="K99" s="44"/>
      <c r="L99" s="44"/>
      <c r="M99" s="44">
        <v>56.360518972575576</v>
      </c>
      <c r="N99" s="47">
        <v>98</v>
      </c>
    </row>
    <row r="100" spans="1:14" ht="18" x14ac:dyDescent="0.25">
      <c r="A100" s="38" t="s">
        <v>480</v>
      </c>
      <c r="B100" s="39">
        <v>10</v>
      </c>
      <c r="C100" s="40">
        <v>71.25</v>
      </c>
      <c r="D100" s="41">
        <v>66.666666666666671</v>
      </c>
      <c r="E100" s="42">
        <v>71.789236660332364</v>
      </c>
      <c r="F100" s="43">
        <v>43.333333333333336</v>
      </c>
      <c r="G100" s="44">
        <v>1.069012778135783</v>
      </c>
      <c r="H100" s="44"/>
      <c r="I100" s="44"/>
      <c r="J100" s="44"/>
      <c r="K100" s="44"/>
      <c r="L100" s="44"/>
      <c r="M100" s="44">
        <v>55.911108953024296</v>
      </c>
      <c r="N100" s="47">
        <v>99</v>
      </c>
    </row>
    <row r="101" spans="1:14" ht="18" x14ac:dyDescent="0.25">
      <c r="A101" s="38" t="s">
        <v>453</v>
      </c>
      <c r="B101" s="39">
        <v>62.5</v>
      </c>
      <c r="C101" s="40">
        <v>65</v>
      </c>
      <c r="D101" s="41">
        <v>50</v>
      </c>
      <c r="E101" s="42">
        <v>62.634002783027796</v>
      </c>
      <c r="F101" s="43">
        <v>43.333333333333336</v>
      </c>
      <c r="G101" s="44">
        <v>0.92035842027448089</v>
      </c>
      <c r="H101" s="44"/>
      <c r="I101" s="44"/>
      <c r="J101" s="44"/>
      <c r="K101" s="44"/>
      <c r="L101" s="44"/>
      <c r="M101" s="44">
        <v>55.798199810487482</v>
      </c>
      <c r="N101" s="47">
        <v>100</v>
      </c>
    </row>
    <row r="102" spans="1:14" ht="18" x14ac:dyDescent="0.25">
      <c r="A102" s="38" t="s">
        <v>360</v>
      </c>
      <c r="B102" s="39">
        <v>67.5</v>
      </c>
      <c r="C102" s="40">
        <v>58.75</v>
      </c>
      <c r="D102" s="41">
        <v>58.333333333333336</v>
      </c>
      <c r="E102" s="42">
        <v>58.155196740374919</v>
      </c>
      <c r="F102" s="43">
        <v>26.666666666666668</v>
      </c>
      <c r="G102" s="44">
        <v>1.010391727769488</v>
      </c>
      <c r="H102" s="44"/>
      <c r="I102" s="44"/>
      <c r="J102" s="44"/>
      <c r="K102" s="44"/>
      <c r="L102" s="44"/>
      <c r="M102" s="44">
        <v>55.768147238872658</v>
      </c>
      <c r="N102" s="47">
        <v>101</v>
      </c>
    </row>
    <row r="103" spans="1:14" ht="18" x14ac:dyDescent="0.25">
      <c r="A103" s="38" t="s">
        <v>552</v>
      </c>
      <c r="B103" s="39">
        <v>75</v>
      </c>
      <c r="C103" s="40">
        <v>53.75</v>
      </c>
      <c r="D103" s="41">
        <v>33.333333333333336</v>
      </c>
      <c r="E103" s="42">
        <v>80.349350073164146</v>
      </c>
      <c r="F103" s="43">
        <v>26.666666666666668</v>
      </c>
      <c r="G103" s="44">
        <v>0.92035842027448089</v>
      </c>
      <c r="H103" s="44"/>
      <c r="I103" s="44"/>
      <c r="J103" s="44"/>
      <c r="K103" s="44"/>
      <c r="L103" s="44"/>
      <c r="M103" s="44">
        <v>55.740436575142795</v>
      </c>
      <c r="N103" s="47">
        <v>102</v>
      </c>
    </row>
    <row r="104" spans="1:14" ht="18" x14ac:dyDescent="0.25">
      <c r="A104" s="38" t="s">
        <v>472</v>
      </c>
      <c r="B104" s="39">
        <v>20</v>
      </c>
      <c r="C104" s="40">
        <v>65</v>
      </c>
      <c r="D104" s="41">
        <v>75</v>
      </c>
      <c r="E104" s="42">
        <v>55.676998162269761</v>
      </c>
      <c r="F104" s="43">
        <v>60</v>
      </c>
      <c r="G104" s="44">
        <v>1.0861884242329052</v>
      </c>
      <c r="H104" s="44"/>
      <c r="I104" s="44"/>
      <c r="J104" s="44"/>
      <c r="K104" s="44"/>
      <c r="L104" s="44"/>
      <c r="M104" s="44">
        <v>55.737466966899859</v>
      </c>
      <c r="N104" s="47">
        <v>103</v>
      </c>
    </row>
    <row r="105" spans="1:14" ht="18" x14ac:dyDescent="0.25">
      <c r="A105" s="38" t="s">
        <v>331</v>
      </c>
      <c r="B105" s="39">
        <v>10</v>
      </c>
      <c r="C105" s="40">
        <v>66.25</v>
      </c>
      <c r="D105" s="41">
        <v>83.333333333333329</v>
      </c>
      <c r="E105" s="42">
        <v>75.818531493329829</v>
      </c>
      <c r="F105" s="43">
        <v>43.333333333333336</v>
      </c>
      <c r="G105" s="44">
        <v>0.94102124460834258</v>
      </c>
      <c r="H105" s="44"/>
      <c r="I105" s="44"/>
      <c r="J105" s="44"/>
      <c r="K105" s="44"/>
      <c r="L105" s="44"/>
      <c r="M105" s="44">
        <v>55.536097150285698</v>
      </c>
      <c r="N105" s="47">
        <v>104</v>
      </c>
    </row>
    <row r="106" spans="1:14" ht="18" x14ac:dyDescent="0.25">
      <c r="A106" s="38" t="s">
        <v>358</v>
      </c>
      <c r="B106" s="39">
        <v>10</v>
      </c>
      <c r="C106" s="40">
        <v>71.25</v>
      </c>
      <c r="D106" s="41">
        <v>83.333333333333329</v>
      </c>
      <c r="E106" s="42">
        <v>54.633152328997397</v>
      </c>
      <c r="F106" s="43">
        <v>60</v>
      </c>
      <c r="G106" s="44">
        <v>1.0742499877791833</v>
      </c>
      <c r="H106" s="44"/>
      <c r="I106" s="44"/>
      <c r="J106" s="44"/>
      <c r="K106" s="44"/>
      <c r="L106" s="44"/>
      <c r="M106" s="44">
        <v>55.505398942087481</v>
      </c>
      <c r="N106" s="47">
        <v>105</v>
      </c>
    </row>
    <row r="107" spans="1:14" ht="18" x14ac:dyDescent="0.25">
      <c r="A107" s="45" t="s">
        <v>511</v>
      </c>
      <c r="B107" s="39">
        <v>10</v>
      </c>
      <c r="C107" s="40">
        <v>65</v>
      </c>
      <c r="D107" s="46">
        <v>75</v>
      </c>
      <c r="E107" s="42">
        <v>75.343012349427369</v>
      </c>
      <c r="F107" s="43">
        <v>50</v>
      </c>
      <c r="G107" s="44">
        <v>0.96382664932009887</v>
      </c>
      <c r="H107" s="44"/>
      <c r="I107" s="44"/>
      <c r="J107" s="44"/>
      <c r="K107" s="44"/>
      <c r="L107" s="44"/>
      <c r="M107" s="44">
        <v>55.462934241369624</v>
      </c>
      <c r="N107" s="47">
        <v>106</v>
      </c>
    </row>
    <row r="108" spans="1:14" ht="18" x14ac:dyDescent="0.25">
      <c r="A108" s="38" t="s">
        <v>420</v>
      </c>
      <c r="B108" s="39">
        <v>10</v>
      </c>
      <c r="C108" s="40">
        <v>82.5</v>
      </c>
      <c r="D108" s="41">
        <v>83.333333333333329</v>
      </c>
      <c r="E108" s="42">
        <v>60.901651875274226</v>
      </c>
      <c r="F108" s="43">
        <v>43.333333333333336</v>
      </c>
      <c r="G108" s="44">
        <v>0.97749499101086323</v>
      </c>
      <c r="H108" s="44"/>
      <c r="I108" s="44"/>
      <c r="J108" s="44"/>
      <c r="K108" s="44"/>
      <c r="L108" s="44"/>
      <c r="M108" s="44">
        <v>55.314307877732091</v>
      </c>
      <c r="N108" s="47">
        <v>107</v>
      </c>
    </row>
    <row r="109" spans="1:14" ht="18" x14ac:dyDescent="0.25">
      <c r="A109" s="38" t="s">
        <v>579</v>
      </c>
      <c r="B109" s="39">
        <v>62.5</v>
      </c>
      <c r="C109" s="40">
        <v>77.5</v>
      </c>
      <c r="D109" s="41">
        <v>75</v>
      </c>
      <c r="E109" s="42">
        <v>28.864813128863236</v>
      </c>
      <c r="F109" s="43">
        <v>60</v>
      </c>
      <c r="G109" s="44">
        <v>0.92159946389226599</v>
      </c>
      <c r="H109" s="44"/>
      <c r="I109" s="44"/>
      <c r="J109" s="44"/>
      <c r="K109" s="44"/>
      <c r="L109" s="44"/>
      <c r="M109" s="44">
        <v>55.250532190126563</v>
      </c>
      <c r="N109" s="47">
        <v>108</v>
      </c>
    </row>
    <row r="110" spans="1:14" ht="18" x14ac:dyDescent="0.25">
      <c r="A110" s="38" t="s">
        <v>310</v>
      </c>
      <c r="B110" s="39">
        <v>20</v>
      </c>
      <c r="C110" s="40">
        <v>65</v>
      </c>
      <c r="D110" s="41">
        <v>66.666666666666671</v>
      </c>
      <c r="E110" s="42">
        <v>56.399539553896943</v>
      </c>
      <c r="F110" s="43">
        <v>66.666666666666671</v>
      </c>
      <c r="G110" s="44">
        <v>1.0630637544670267</v>
      </c>
      <c r="H110" s="44"/>
      <c r="I110" s="44"/>
      <c r="J110" s="44"/>
      <c r="K110" s="44"/>
      <c r="L110" s="44"/>
      <c r="M110" s="44">
        <v>55.239146898381286</v>
      </c>
      <c r="N110" s="47">
        <v>109</v>
      </c>
    </row>
    <row r="111" spans="1:14" ht="18" x14ac:dyDescent="0.25">
      <c r="A111" s="38" t="s">
        <v>541</v>
      </c>
      <c r="B111" s="39">
        <v>10</v>
      </c>
      <c r="C111" s="40">
        <v>77.5</v>
      </c>
      <c r="D111" s="41">
        <v>66.666666666666671</v>
      </c>
      <c r="E111" s="42">
        <v>77.26837905479421</v>
      </c>
      <c r="F111" s="43">
        <v>43.333333333333336</v>
      </c>
      <c r="G111" s="44">
        <v>0.92035842027448089</v>
      </c>
      <c r="H111" s="44"/>
      <c r="I111" s="44"/>
      <c r="J111" s="44"/>
      <c r="K111" s="44"/>
      <c r="L111" s="44"/>
      <c r="M111" s="44">
        <v>55.175097825761014</v>
      </c>
      <c r="N111" s="47">
        <v>110</v>
      </c>
    </row>
    <row r="112" spans="1:14" ht="18" x14ac:dyDescent="0.25">
      <c r="A112" s="38" t="s">
        <v>535</v>
      </c>
      <c r="B112" s="39">
        <v>62.5</v>
      </c>
      <c r="C112" s="40">
        <v>71.25</v>
      </c>
      <c r="D112" s="41">
        <v>58.333333333333336</v>
      </c>
      <c r="E112" s="42">
        <v>60.243489717361712</v>
      </c>
      <c r="F112" s="43">
        <v>26.666666666666668</v>
      </c>
      <c r="G112" s="44">
        <v>0.92035842027448089</v>
      </c>
      <c r="H112" s="44"/>
      <c r="I112" s="44"/>
      <c r="J112" s="44"/>
      <c r="K112" s="44"/>
      <c r="L112" s="44"/>
      <c r="M112" s="44">
        <v>55.138161161858896</v>
      </c>
      <c r="N112" s="47">
        <v>111</v>
      </c>
    </row>
    <row r="113" spans="1:14" ht="18" x14ac:dyDescent="0.25">
      <c r="A113" s="38" t="s">
        <v>598</v>
      </c>
      <c r="B113" s="39">
        <v>10</v>
      </c>
      <c r="C113" s="40">
        <v>77.5</v>
      </c>
      <c r="D113" s="41">
        <v>91.666666666666671</v>
      </c>
      <c r="E113" s="42">
        <v>65.978094549937865</v>
      </c>
      <c r="F113" s="43">
        <v>33.333333333333336</v>
      </c>
      <c r="G113" s="44">
        <v>0.95819293905114511</v>
      </c>
      <c r="H113" s="44"/>
      <c r="I113" s="44"/>
      <c r="J113" s="44"/>
      <c r="K113" s="44"/>
      <c r="L113" s="44"/>
      <c r="M113" s="44">
        <v>55.132309177042082</v>
      </c>
      <c r="N113" s="47">
        <v>112</v>
      </c>
    </row>
    <row r="114" spans="1:14" ht="18" x14ac:dyDescent="0.25">
      <c r="A114" s="38" t="s">
        <v>340</v>
      </c>
      <c r="B114" s="39">
        <v>42.5</v>
      </c>
      <c r="C114" s="40">
        <v>38.75</v>
      </c>
      <c r="D114" s="41">
        <v>66.666666666666671</v>
      </c>
      <c r="E114" s="42">
        <v>69.351981886849671</v>
      </c>
      <c r="F114" s="43">
        <v>43.333333333333336</v>
      </c>
      <c r="G114" s="44">
        <v>1.053755528933396</v>
      </c>
      <c r="H114" s="44"/>
      <c r="I114" s="44"/>
      <c r="J114" s="44"/>
      <c r="K114" s="44"/>
      <c r="L114" s="44"/>
      <c r="M114" s="44">
        <v>55.130932302660838</v>
      </c>
      <c r="N114" s="47">
        <v>113</v>
      </c>
    </row>
    <row r="115" spans="1:14" ht="18" x14ac:dyDescent="0.25">
      <c r="A115" s="38" t="s">
        <v>452</v>
      </c>
      <c r="B115" s="39">
        <v>20</v>
      </c>
      <c r="C115" s="40">
        <v>77.5</v>
      </c>
      <c r="D115" s="41">
        <v>75</v>
      </c>
      <c r="E115" s="42">
        <v>71.320439176169344</v>
      </c>
      <c r="F115" s="43">
        <v>33.333333333333336</v>
      </c>
      <c r="G115" s="44">
        <v>0.92035842027448089</v>
      </c>
      <c r="H115" s="44"/>
      <c r="I115" s="44"/>
      <c r="J115" s="44"/>
      <c r="K115" s="44"/>
      <c r="L115" s="44"/>
      <c r="M115" s="44">
        <v>55.123543701136349</v>
      </c>
      <c r="N115" s="47">
        <v>114</v>
      </c>
    </row>
    <row r="116" spans="1:14" ht="18" x14ac:dyDescent="0.25">
      <c r="A116" s="38" t="s">
        <v>500</v>
      </c>
      <c r="B116" s="39">
        <v>10</v>
      </c>
      <c r="C116" s="40">
        <v>78.75</v>
      </c>
      <c r="D116" s="41">
        <v>83.333333333333329</v>
      </c>
      <c r="E116" s="42">
        <v>54.437234717611837</v>
      </c>
      <c r="F116" s="43">
        <v>66.666666666666671</v>
      </c>
      <c r="G116" s="44">
        <v>0.92035842027448089</v>
      </c>
      <c r="H116" s="44"/>
      <c r="I116" s="44"/>
      <c r="J116" s="44"/>
      <c r="K116" s="44"/>
      <c r="L116" s="44"/>
      <c r="M116" s="44">
        <v>55.121247045192661</v>
      </c>
      <c r="N116" s="47">
        <v>115</v>
      </c>
    </row>
    <row r="117" spans="1:14" ht="18" x14ac:dyDescent="0.25">
      <c r="A117" s="38" t="s">
        <v>374</v>
      </c>
      <c r="B117" s="39">
        <v>20</v>
      </c>
      <c r="C117" s="40">
        <v>82.5</v>
      </c>
      <c r="D117" s="41">
        <v>83.333333333333329</v>
      </c>
      <c r="E117" s="42">
        <v>48.042412552681633</v>
      </c>
      <c r="F117" s="43">
        <v>60</v>
      </c>
      <c r="G117" s="44">
        <v>0.92035842027448089</v>
      </c>
      <c r="H117" s="44"/>
      <c r="I117" s="44"/>
      <c r="J117" s="44"/>
      <c r="K117" s="44"/>
      <c r="L117" s="44"/>
      <c r="M117" s="44">
        <v>54.946305358046203</v>
      </c>
      <c r="N117" s="47">
        <v>116</v>
      </c>
    </row>
    <row r="118" spans="1:14" ht="18" x14ac:dyDescent="0.25">
      <c r="A118" s="38" t="s">
        <v>496</v>
      </c>
      <c r="B118" s="39">
        <v>10</v>
      </c>
      <c r="C118" s="40">
        <v>71.25</v>
      </c>
      <c r="D118" s="41">
        <v>83.333333333333329</v>
      </c>
      <c r="E118" s="42">
        <v>52.823728017197418</v>
      </c>
      <c r="F118" s="43">
        <v>60</v>
      </c>
      <c r="G118" s="44">
        <v>1.0671299968472034</v>
      </c>
      <c r="H118" s="44"/>
      <c r="I118" s="44"/>
      <c r="J118" s="44"/>
      <c r="K118" s="44"/>
      <c r="L118" s="44"/>
      <c r="M118" s="44">
        <v>54.795195407429233</v>
      </c>
      <c r="N118" s="47">
        <v>117</v>
      </c>
    </row>
    <row r="119" spans="1:14" ht="18" x14ac:dyDescent="0.25">
      <c r="A119" s="38" t="s">
        <v>366</v>
      </c>
      <c r="B119" s="39">
        <v>30</v>
      </c>
      <c r="C119" s="40">
        <v>77.5</v>
      </c>
      <c r="D119" s="41">
        <v>75</v>
      </c>
      <c r="E119" s="42">
        <v>53.054159180871736</v>
      </c>
      <c r="F119" s="43">
        <v>50</v>
      </c>
      <c r="G119" s="44">
        <v>0.93236423560662918</v>
      </c>
      <c r="H119" s="44"/>
      <c r="I119" s="44"/>
      <c r="J119" s="44"/>
      <c r="K119" s="44"/>
      <c r="L119" s="44"/>
      <c r="M119" s="44">
        <v>54.68392558476755</v>
      </c>
      <c r="N119" s="47">
        <v>118</v>
      </c>
    </row>
    <row r="120" spans="1:14" ht="18" x14ac:dyDescent="0.25">
      <c r="A120" s="38" t="s">
        <v>312</v>
      </c>
      <c r="B120" s="39">
        <v>65</v>
      </c>
      <c r="C120" s="40">
        <v>21.25</v>
      </c>
      <c r="D120" s="41">
        <v>58.333333333333336</v>
      </c>
      <c r="E120" s="42">
        <v>81.098682283955014</v>
      </c>
      <c r="F120" s="43">
        <v>43.333333333333336</v>
      </c>
      <c r="G120" s="44">
        <v>0.94180898772599264</v>
      </c>
      <c r="H120" s="44"/>
      <c r="I120" s="44"/>
      <c r="J120" s="44"/>
      <c r="K120" s="44"/>
      <c r="L120" s="44"/>
      <c r="M120" s="44">
        <v>54.657357200766974</v>
      </c>
      <c r="N120" s="47">
        <v>119</v>
      </c>
    </row>
    <row r="121" spans="1:14" ht="18" x14ac:dyDescent="0.25">
      <c r="A121" s="38" t="s">
        <v>425</v>
      </c>
      <c r="B121" s="39">
        <v>10</v>
      </c>
      <c r="C121" s="40">
        <v>82.5</v>
      </c>
      <c r="D121" s="41">
        <v>75</v>
      </c>
      <c r="E121" s="42">
        <v>56.925240340837568</v>
      </c>
      <c r="F121" s="43">
        <v>60</v>
      </c>
      <c r="G121" s="44">
        <v>0.92035842027448089</v>
      </c>
      <c r="H121" s="44"/>
      <c r="I121" s="44"/>
      <c r="J121" s="44"/>
      <c r="K121" s="44"/>
      <c r="L121" s="44"/>
      <c r="M121" s="44">
        <v>54.308204122700488</v>
      </c>
      <c r="N121" s="47">
        <v>120</v>
      </c>
    </row>
    <row r="122" spans="1:14" ht="18" x14ac:dyDescent="0.25">
      <c r="A122" s="38" t="s">
        <v>435</v>
      </c>
      <c r="B122" s="39">
        <v>10</v>
      </c>
      <c r="C122" s="40">
        <v>82.5</v>
      </c>
      <c r="D122" s="41">
        <v>83.333333333333329</v>
      </c>
      <c r="E122" s="42">
        <v>61.18469681494382</v>
      </c>
      <c r="F122" s="43">
        <v>43.333333333333336</v>
      </c>
      <c r="G122" s="44">
        <v>0.92385236937466597</v>
      </c>
      <c r="H122" s="44"/>
      <c r="I122" s="44"/>
      <c r="J122" s="44"/>
      <c r="K122" s="44"/>
      <c r="L122" s="44"/>
      <c r="M122" s="44">
        <v>54.305392875336253</v>
      </c>
      <c r="N122" s="47">
        <v>121</v>
      </c>
    </row>
    <row r="123" spans="1:14" ht="18" x14ac:dyDescent="0.25">
      <c r="A123" s="38" t="s">
        <v>441</v>
      </c>
      <c r="B123" s="39">
        <v>20</v>
      </c>
      <c r="C123" s="40">
        <v>72.5</v>
      </c>
      <c r="D123" s="41">
        <v>58.333333333333336</v>
      </c>
      <c r="E123" s="42">
        <v>75.298578814637168</v>
      </c>
      <c r="F123" s="43">
        <v>43.333333333333336</v>
      </c>
      <c r="G123" s="44">
        <v>0.92035842027448089</v>
      </c>
      <c r="H123" s="44"/>
      <c r="I123" s="44"/>
      <c r="J123" s="44"/>
      <c r="K123" s="44"/>
      <c r="L123" s="44"/>
      <c r="M123" s="44">
        <v>54.22193799512381</v>
      </c>
      <c r="N123" s="47">
        <v>122</v>
      </c>
    </row>
    <row r="124" spans="1:14" ht="18" x14ac:dyDescent="0.25">
      <c r="A124" s="38" t="s">
        <v>545</v>
      </c>
      <c r="B124" s="39">
        <v>52.5</v>
      </c>
      <c r="C124" s="40">
        <v>48.75</v>
      </c>
      <c r="D124" s="41">
        <v>50</v>
      </c>
      <c r="E124" s="42">
        <v>58.339171761455489</v>
      </c>
      <c r="F124" s="43">
        <v>43.333333333333336</v>
      </c>
      <c r="G124" s="44">
        <v>1.0861884242329052</v>
      </c>
      <c r="H124" s="44"/>
      <c r="I124" s="44"/>
      <c r="J124" s="44"/>
      <c r="K124" s="44"/>
      <c r="L124" s="44"/>
      <c r="M124" s="44">
        <v>54.165178368433942</v>
      </c>
      <c r="N124" s="47">
        <v>123</v>
      </c>
    </row>
    <row r="125" spans="1:14" ht="18" x14ac:dyDescent="0.25">
      <c r="A125" s="38" t="s">
        <v>592</v>
      </c>
      <c r="B125" s="39">
        <v>20</v>
      </c>
      <c r="C125" s="40">
        <v>71.25</v>
      </c>
      <c r="D125" s="41">
        <v>83.333333333333329</v>
      </c>
      <c r="E125" s="42">
        <v>42.344782973362499</v>
      </c>
      <c r="F125" s="43">
        <v>66.666666666666671</v>
      </c>
      <c r="G125" s="44">
        <v>1.0425436163323203</v>
      </c>
      <c r="H125" s="44"/>
      <c r="I125" s="44"/>
      <c r="J125" s="44"/>
      <c r="K125" s="44"/>
      <c r="L125" s="44"/>
      <c r="M125" s="44">
        <v>54.164059417486264</v>
      </c>
      <c r="N125" s="47">
        <v>124</v>
      </c>
    </row>
    <row r="126" spans="1:14" ht="18" x14ac:dyDescent="0.25">
      <c r="A126" s="38" t="s">
        <v>333</v>
      </c>
      <c r="B126" s="39">
        <v>0</v>
      </c>
      <c r="C126" s="40">
        <v>93.75</v>
      </c>
      <c r="D126" s="41">
        <v>91.666666666666671</v>
      </c>
      <c r="E126" s="42">
        <v>43.231335984611235</v>
      </c>
      <c r="F126" s="43">
        <v>50</v>
      </c>
      <c r="G126" s="44">
        <v>1.0861884242329052</v>
      </c>
      <c r="H126" s="44"/>
      <c r="I126" s="44"/>
      <c r="J126" s="44"/>
      <c r="K126" s="44"/>
      <c r="L126" s="44"/>
      <c r="M126" s="44">
        <v>54.087213013182449</v>
      </c>
      <c r="N126" s="47">
        <v>125</v>
      </c>
    </row>
    <row r="127" spans="1:14" ht="18" x14ac:dyDescent="0.25">
      <c r="A127" s="38" t="s">
        <v>413</v>
      </c>
      <c r="B127" s="39">
        <v>0</v>
      </c>
      <c r="C127" s="40">
        <v>76.25</v>
      </c>
      <c r="D127" s="41">
        <v>83.333333333333329</v>
      </c>
      <c r="E127" s="42">
        <v>62.171175337627872</v>
      </c>
      <c r="F127" s="43">
        <v>50</v>
      </c>
      <c r="G127" s="44">
        <v>1.007246800656006</v>
      </c>
      <c r="H127" s="44"/>
      <c r="I127" s="44"/>
      <c r="J127" s="44"/>
      <c r="K127" s="44"/>
      <c r="L127" s="44"/>
      <c r="M127" s="44">
        <v>54.036515235554774</v>
      </c>
      <c r="N127" s="47">
        <v>126</v>
      </c>
    </row>
    <row r="128" spans="1:14" ht="18" x14ac:dyDescent="0.25">
      <c r="A128" s="38" t="s">
        <v>476</v>
      </c>
      <c r="B128" s="39">
        <v>40</v>
      </c>
      <c r="C128" s="40">
        <v>58.75</v>
      </c>
      <c r="D128" s="41">
        <v>58.333333333333336</v>
      </c>
      <c r="E128" s="42">
        <v>59.947947582911681</v>
      </c>
      <c r="F128" s="43">
        <v>60</v>
      </c>
      <c r="G128" s="44">
        <v>0.94398917594650522</v>
      </c>
      <c r="H128" s="44"/>
      <c r="I128" s="44"/>
      <c r="J128" s="44"/>
      <c r="K128" s="44"/>
      <c r="L128" s="44"/>
      <c r="M128" s="44">
        <v>54.028977499115172</v>
      </c>
      <c r="N128" s="47">
        <v>127</v>
      </c>
    </row>
    <row r="129" spans="1:14" ht="18" x14ac:dyDescent="0.25">
      <c r="A129" s="38" t="s">
        <v>529</v>
      </c>
      <c r="B129" s="39">
        <v>20</v>
      </c>
      <c r="C129" s="40">
        <v>76.25</v>
      </c>
      <c r="D129" s="41">
        <v>75</v>
      </c>
      <c r="E129" s="42">
        <v>42.835035276279967</v>
      </c>
      <c r="F129" s="43">
        <v>66.666666666666671</v>
      </c>
      <c r="G129" s="44">
        <v>1.0394894244633139</v>
      </c>
      <c r="H129" s="44"/>
      <c r="I129" s="44"/>
      <c r="J129" s="44"/>
      <c r="K129" s="44"/>
      <c r="L129" s="44"/>
      <c r="M129" s="44">
        <v>54.015927547715059</v>
      </c>
      <c r="N129" s="47">
        <v>128</v>
      </c>
    </row>
    <row r="130" spans="1:14" ht="18" x14ac:dyDescent="0.25">
      <c r="A130" s="38" t="s">
        <v>434</v>
      </c>
      <c r="B130" s="39">
        <v>0</v>
      </c>
      <c r="C130" s="40">
        <v>82.5</v>
      </c>
      <c r="D130" s="41">
        <v>66.666666666666671</v>
      </c>
      <c r="E130" s="42">
        <v>60.600991717502374</v>
      </c>
      <c r="F130" s="43">
        <v>66.666666666666671</v>
      </c>
      <c r="G130" s="44">
        <v>0.96262015930040112</v>
      </c>
      <c r="H130" s="44"/>
      <c r="I130" s="44"/>
      <c r="J130" s="44"/>
      <c r="K130" s="44"/>
      <c r="L130" s="44"/>
      <c r="M130" s="44">
        <v>54.000720890259331</v>
      </c>
      <c r="N130" s="47">
        <v>129</v>
      </c>
    </row>
    <row r="131" spans="1:14" ht="18" x14ac:dyDescent="0.25">
      <c r="A131" s="38" t="s">
        <v>539</v>
      </c>
      <c r="B131" s="39">
        <v>0</v>
      </c>
      <c r="C131" s="40">
        <v>88.75</v>
      </c>
      <c r="D131" s="41">
        <v>75</v>
      </c>
      <c r="E131" s="42">
        <v>57.838081528131042</v>
      </c>
      <c r="F131" s="43">
        <v>60</v>
      </c>
      <c r="G131" s="44">
        <v>0.92035842027448089</v>
      </c>
      <c r="H131" s="44"/>
      <c r="I131" s="44"/>
      <c r="J131" s="44"/>
      <c r="K131" s="44"/>
      <c r="L131" s="44"/>
      <c r="M131" s="44">
        <v>53.969529604081195</v>
      </c>
      <c r="N131" s="47">
        <v>130</v>
      </c>
    </row>
    <row r="132" spans="1:14" ht="18" x14ac:dyDescent="0.25">
      <c r="A132" s="38" t="s">
        <v>550</v>
      </c>
      <c r="B132" s="39">
        <v>10</v>
      </c>
      <c r="C132" s="40">
        <v>71.25</v>
      </c>
      <c r="D132" s="41">
        <v>91.666666666666671</v>
      </c>
      <c r="E132" s="42">
        <v>59.123473925827327</v>
      </c>
      <c r="F132" s="43">
        <v>43.333333333333336</v>
      </c>
      <c r="G132" s="44">
        <v>0.98543333774022268</v>
      </c>
      <c r="H132" s="44"/>
      <c r="I132" s="44"/>
      <c r="J132" s="44"/>
      <c r="K132" s="44"/>
      <c r="L132" s="44"/>
      <c r="M132" s="44">
        <v>53.949539350337957</v>
      </c>
      <c r="N132" s="47">
        <v>131</v>
      </c>
    </row>
    <row r="133" spans="1:14" ht="18" x14ac:dyDescent="0.25">
      <c r="A133" s="38" t="s">
        <v>528</v>
      </c>
      <c r="B133" s="39">
        <v>75</v>
      </c>
      <c r="C133" s="40">
        <v>42.5</v>
      </c>
      <c r="D133" s="41">
        <v>41.666666666666664</v>
      </c>
      <c r="E133" s="42">
        <v>60.852637703127378</v>
      </c>
      <c r="F133" s="43">
        <v>43.333333333333336</v>
      </c>
      <c r="G133" s="44">
        <v>0.98318396958441934</v>
      </c>
      <c r="H133" s="44"/>
      <c r="I133" s="44"/>
      <c r="J133" s="44"/>
      <c r="K133" s="44"/>
      <c r="L133" s="44"/>
      <c r="M133" s="44">
        <v>53.946560912759274</v>
      </c>
      <c r="N133" s="47">
        <v>132</v>
      </c>
    </row>
    <row r="134" spans="1:14" ht="18" x14ac:dyDescent="0.25">
      <c r="A134" s="38" t="s">
        <v>303</v>
      </c>
      <c r="B134" s="39">
        <v>55</v>
      </c>
      <c r="C134" s="40">
        <v>66.25</v>
      </c>
      <c r="D134" s="41">
        <v>25</v>
      </c>
      <c r="E134" s="42">
        <v>82.600121150192308</v>
      </c>
      <c r="F134" s="43">
        <v>26.666666666666668</v>
      </c>
      <c r="G134" s="44">
        <v>0.92035842027448089</v>
      </c>
      <c r="H134" s="44"/>
      <c r="I134" s="44"/>
      <c r="J134" s="44"/>
      <c r="K134" s="44"/>
      <c r="L134" s="44"/>
      <c r="M134" s="44">
        <v>53.930457727900802</v>
      </c>
      <c r="N134" s="47">
        <v>133</v>
      </c>
    </row>
    <row r="135" spans="1:14" ht="18" x14ac:dyDescent="0.25">
      <c r="A135" s="38" t="s">
        <v>599</v>
      </c>
      <c r="B135" s="39">
        <v>40</v>
      </c>
      <c r="C135" s="40">
        <v>60</v>
      </c>
      <c r="D135" s="41">
        <v>66.666666666666671</v>
      </c>
      <c r="E135" s="42">
        <v>48.478314422435211</v>
      </c>
      <c r="F135" s="43">
        <v>50</v>
      </c>
      <c r="G135" s="44">
        <v>1.0792580024366516</v>
      </c>
      <c r="H135" s="44"/>
      <c r="I135" s="44"/>
      <c r="J135" s="44"/>
      <c r="K135" s="44"/>
      <c r="L135" s="44"/>
      <c r="M135" s="44">
        <v>53.830246655009219</v>
      </c>
      <c r="N135" s="47">
        <v>134</v>
      </c>
    </row>
    <row r="136" spans="1:14" ht="18" x14ac:dyDescent="0.25">
      <c r="A136" s="38" t="s">
        <v>474</v>
      </c>
      <c r="B136" s="39">
        <v>42.5</v>
      </c>
      <c r="C136" s="40">
        <v>71.25</v>
      </c>
      <c r="D136" s="41">
        <v>66.666666666666671</v>
      </c>
      <c r="E136" s="42">
        <v>42.41645876675981</v>
      </c>
      <c r="F136" s="43">
        <v>43.333333333333336</v>
      </c>
      <c r="G136" s="44">
        <v>1.0861884242329052</v>
      </c>
      <c r="H136" s="44"/>
      <c r="I136" s="44"/>
      <c r="J136" s="44"/>
      <c r="K136" s="44"/>
      <c r="L136" s="44"/>
      <c r="M136" s="44">
        <v>53.804281558801748</v>
      </c>
      <c r="N136" s="47">
        <v>135</v>
      </c>
    </row>
    <row r="137" spans="1:14" ht="18" x14ac:dyDescent="0.25">
      <c r="A137" s="38" t="s">
        <v>491</v>
      </c>
      <c r="B137" s="39">
        <v>12.5</v>
      </c>
      <c r="C137" s="40">
        <v>77.5</v>
      </c>
      <c r="D137" s="41">
        <v>91.666666666666671</v>
      </c>
      <c r="E137" s="42">
        <v>49.363463200492191</v>
      </c>
      <c r="F137" s="43">
        <v>50</v>
      </c>
      <c r="G137" s="44">
        <v>0.98162048393079326</v>
      </c>
      <c r="H137" s="44"/>
      <c r="I137" s="44"/>
      <c r="J137" s="44"/>
      <c r="K137" s="44"/>
      <c r="L137" s="44"/>
      <c r="M137" s="44">
        <v>53.7409072004371</v>
      </c>
      <c r="N137" s="47">
        <v>136</v>
      </c>
    </row>
    <row r="138" spans="1:14" ht="18" x14ac:dyDescent="0.25">
      <c r="A138" s="38" t="s">
        <v>513</v>
      </c>
      <c r="B138" s="39">
        <v>12.5</v>
      </c>
      <c r="C138" s="40">
        <v>76.25</v>
      </c>
      <c r="D138" s="41">
        <v>83.333333333333329</v>
      </c>
      <c r="E138" s="42">
        <v>42.353931503159259</v>
      </c>
      <c r="F138" s="43">
        <v>66.666666666666671</v>
      </c>
      <c r="G138" s="44">
        <v>1.0088717190225456</v>
      </c>
      <c r="H138" s="44"/>
      <c r="I138" s="44"/>
      <c r="J138" s="44"/>
      <c r="K138" s="44"/>
      <c r="L138" s="44"/>
      <c r="M138" s="44">
        <v>53.091084402442988</v>
      </c>
      <c r="N138" s="47">
        <v>137</v>
      </c>
    </row>
    <row r="139" spans="1:14" ht="18" x14ac:dyDescent="0.25">
      <c r="A139" s="38" t="s">
        <v>582</v>
      </c>
      <c r="B139" s="39">
        <v>20</v>
      </c>
      <c r="C139" s="40">
        <v>65</v>
      </c>
      <c r="D139" s="41">
        <v>75</v>
      </c>
      <c r="E139" s="42">
        <v>66.044494299988841</v>
      </c>
      <c r="F139" s="43">
        <v>26.666666666666668</v>
      </c>
      <c r="G139" s="44">
        <v>1.0400722961926481</v>
      </c>
      <c r="H139" s="44"/>
      <c r="I139" s="44"/>
      <c r="J139" s="44"/>
      <c r="K139" s="44"/>
      <c r="L139" s="44"/>
      <c r="M139" s="44">
        <v>53.017603836012086</v>
      </c>
      <c r="N139" s="47">
        <v>138</v>
      </c>
    </row>
    <row r="140" spans="1:14" ht="18" x14ac:dyDescent="0.25">
      <c r="A140" s="38" t="s">
        <v>446</v>
      </c>
      <c r="B140" s="39">
        <v>0</v>
      </c>
      <c r="C140" s="40">
        <v>60</v>
      </c>
      <c r="D140" s="41">
        <v>75</v>
      </c>
      <c r="E140" s="42">
        <v>60.912833812487115</v>
      </c>
      <c r="F140" s="43">
        <v>66.666666666666671</v>
      </c>
      <c r="G140" s="44">
        <v>1.0770942218661876</v>
      </c>
      <c r="H140" s="44"/>
      <c r="I140" s="44"/>
      <c r="J140" s="44"/>
      <c r="K140" s="44"/>
      <c r="L140" s="44"/>
      <c r="M140" s="44">
        <v>52.93265840107756</v>
      </c>
      <c r="N140" s="47">
        <v>139</v>
      </c>
    </row>
    <row r="141" spans="1:14" ht="18" x14ac:dyDescent="0.25">
      <c r="A141" s="38" t="s">
        <v>433</v>
      </c>
      <c r="B141" s="39">
        <v>65</v>
      </c>
      <c r="C141" s="40">
        <v>42.5</v>
      </c>
      <c r="D141" s="41">
        <v>50</v>
      </c>
      <c r="E141" s="42">
        <v>75.828546087780808</v>
      </c>
      <c r="F141" s="43">
        <v>26.666666666666668</v>
      </c>
      <c r="G141" s="44">
        <v>0.92035842027448089</v>
      </c>
      <c r="H141" s="44"/>
      <c r="I141" s="44"/>
      <c r="J141" s="44"/>
      <c r="K141" s="44"/>
      <c r="L141" s="44"/>
      <c r="M141" s="44">
        <v>52.901491730286438</v>
      </c>
      <c r="N141" s="47">
        <v>140</v>
      </c>
    </row>
    <row r="142" spans="1:14" ht="18" x14ac:dyDescent="0.25">
      <c r="A142" s="38" t="s">
        <v>318</v>
      </c>
      <c r="B142" s="39">
        <v>25</v>
      </c>
      <c r="C142" s="40">
        <v>66.25</v>
      </c>
      <c r="D142" s="41">
        <v>83.333333333333329</v>
      </c>
      <c r="E142" s="42">
        <v>55.737688530126398</v>
      </c>
      <c r="F142" s="43">
        <v>43.333333333333336</v>
      </c>
      <c r="G142" s="44">
        <v>0.94506644658343708</v>
      </c>
      <c r="H142" s="44"/>
      <c r="I142" s="44"/>
      <c r="J142" s="44"/>
      <c r="K142" s="44"/>
      <c r="L142" s="44"/>
      <c r="M142" s="44">
        <v>52.77807800489947</v>
      </c>
      <c r="N142" s="47">
        <v>141</v>
      </c>
    </row>
    <row r="143" spans="1:14" ht="18" x14ac:dyDescent="0.25">
      <c r="A143" s="38" t="s">
        <v>527</v>
      </c>
      <c r="B143" s="39">
        <v>10</v>
      </c>
      <c r="C143" s="40">
        <v>76.25</v>
      </c>
      <c r="D143" s="41">
        <v>75</v>
      </c>
      <c r="E143" s="42">
        <v>52.668939429286382</v>
      </c>
      <c r="F143" s="43">
        <v>50</v>
      </c>
      <c r="G143" s="44">
        <v>1.0527925976552359</v>
      </c>
      <c r="H143" s="44"/>
      <c r="I143" s="44"/>
      <c r="J143" s="44"/>
      <c r="K143" s="44"/>
      <c r="L143" s="44"/>
      <c r="M143" s="44">
        <v>52.74042606256188</v>
      </c>
      <c r="N143" s="47">
        <v>142</v>
      </c>
    </row>
    <row r="144" spans="1:14" ht="18" x14ac:dyDescent="0.25">
      <c r="A144" s="38" t="s">
        <v>401</v>
      </c>
      <c r="B144" s="39">
        <v>10</v>
      </c>
      <c r="C144" s="40">
        <v>65</v>
      </c>
      <c r="D144" s="41">
        <v>83.333333333333329</v>
      </c>
      <c r="E144" s="42">
        <v>73.639802780338783</v>
      </c>
      <c r="F144" s="43">
        <v>33.333333333333336</v>
      </c>
      <c r="G144" s="44">
        <v>0.92035842027448089</v>
      </c>
      <c r="H144" s="44"/>
      <c r="I144" s="44"/>
      <c r="J144" s="44"/>
      <c r="K144" s="44"/>
      <c r="L144" s="44"/>
      <c r="M144" s="44">
        <v>52.673220607420035</v>
      </c>
      <c r="N144" s="47">
        <v>143</v>
      </c>
    </row>
    <row r="145" spans="1:14" ht="18" x14ac:dyDescent="0.25">
      <c r="A145" s="38" t="s">
        <v>371</v>
      </c>
      <c r="B145" s="39">
        <v>65</v>
      </c>
      <c r="C145" s="40">
        <v>47.5</v>
      </c>
      <c r="D145" s="41">
        <v>50</v>
      </c>
      <c r="E145" s="42">
        <v>42.771461769282915</v>
      </c>
      <c r="F145" s="43">
        <v>50</v>
      </c>
      <c r="G145" s="44">
        <v>1.0861884242329052</v>
      </c>
      <c r="H145" s="44"/>
      <c r="I145" s="44"/>
      <c r="J145" s="44"/>
      <c r="K145" s="44"/>
      <c r="L145" s="44"/>
      <c r="M145" s="44">
        <v>52.55780951342237</v>
      </c>
      <c r="N145" s="47">
        <v>144</v>
      </c>
    </row>
    <row r="146" spans="1:14" ht="18" x14ac:dyDescent="0.25">
      <c r="A146" s="38" t="s">
        <v>306</v>
      </c>
      <c r="B146" s="39">
        <v>0</v>
      </c>
      <c r="C146" s="40">
        <v>70</v>
      </c>
      <c r="D146" s="41">
        <v>75</v>
      </c>
      <c r="E146" s="42">
        <v>71.276407107745825</v>
      </c>
      <c r="F146" s="43">
        <v>50</v>
      </c>
      <c r="G146" s="44">
        <v>0.92035842027448089</v>
      </c>
      <c r="H146" s="44"/>
      <c r="I146" s="44"/>
      <c r="J146" s="44"/>
      <c r="K146" s="44"/>
      <c r="L146" s="44"/>
      <c r="M146" s="44">
        <v>52.42995243455772</v>
      </c>
      <c r="N146" s="47">
        <v>145</v>
      </c>
    </row>
    <row r="147" spans="1:14" ht="18" x14ac:dyDescent="0.25">
      <c r="A147" s="38" t="s">
        <v>323</v>
      </c>
      <c r="B147" s="39">
        <v>32.5</v>
      </c>
      <c r="C147" s="40">
        <v>65</v>
      </c>
      <c r="D147" s="41">
        <v>83.333333333333329</v>
      </c>
      <c r="E147" s="42">
        <v>61.36727097148686</v>
      </c>
      <c r="F147" s="43">
        <v>26.666666666666668</v>
      </c>
      <c r="G147" s="44">
        <v>0.92035842027448089</v>
      </c>
      <c r="H147" s="44"/>
      <c r="I147" s="44"/>
      <c r="J147" s="44"/>
      <c r="K147" s="44"/>
      <c r="L147" s="44"/>
      <c r="M147" s="44">
        <v>52.42629510214622</v>
      </c>
      <c r="N147" s="47">
        <v>146</v>
      </c>
    </row>
    <row r="148" spans="1:14" ht="18" x14ac:dyDescent="0.25">
      <c r="A148" s="38" t="s">
        <v>487</v>
      </c>
      <c r="B148" s="39">
        <v>10</v>
      </c>
      <c r="C148" s="40">
        <v>65</v>
      </c>
      <c r="D148" s="41">
        <v>83.333333333333329</v>
      </c>
      <c r="E148" s="42">
        <v>51.929696758020924</v>
      </c>
      <c r="F148" s="43">
        <v>66.666666666666671</v>
      </c>
      <c r="G148" s="44">
        <v>0.9578165785423407</v>
      </c>
      <c r="H148" s="44"/>
      <c r="I148" s="44"/>
      <c r="J148" s="44"/>
      <c r="K148" s="44"/>
      <c r="L148" s="44"/>
      <c r="M148" s="44">
        <v>52.337370499137343</v>
      </c>
      <c r="N148" s="47">
        <v>147</v>
      </c>
    </row>
    <row r="149" spans="1:14" ht="18" x14ac:dyDescent="0.25">
      <c r="A149" s="38" t="s">
        <v>478</v>
      </c>
      <c r="B149" s="39">
        <v>0</v>
      </c>
      <c r="C149" s="40">
        <v>76.25</v>
      </c>
      <c r="D149" s="41">
        <v>91.666666666666671</v>
      </c>
      <c r="E149" s="42">
        <v>43.101228247770983</v>
      </c>
      <c r="F149" s="43">
        <v>66.666666666666671</v>
      </c>
      <c r="G149" s="44">
        <v>1.0266156366690784</v>
      </c>
      <c r="H149" s="44"/>
      <c r="I149" s="44"/>
      <c r="J149" s="44"/>
      <c r="K149" s="44"/>
      <c r="L149" s="44"/>
      <c r="M149" s="44">
        <v>52.2745184636414</v>
      </c>
      <c r="N149" s="47">
        <v>148</v>
      </c>
    </row>
    <row r="150" spans="1:14" ht="18" x14ac:dyDescent="0.25">
      <c r="A150" s="38" t="s">
        <v>405</v>
      </c>
      <c r="B150" s="39">
        <v>0</v>
      </c>
      <c r="C150" s="40">
        <v>66.25</v>
      </c>
      <c r="D150" s="41">
        <v>58.333333333333336</v>
      </c>
      <c r="E150" s="42">
        <v>71.965878944659337</v>
      </c>
      <c r="F150" s="43">
        <v>60</v>
      </c>
      <c r="G150" s="44">
        <v>0.98166550268777741</v>
      </c>
      <c r="H150" s="44"/>
      <c r="I150" s="44"/>
      <c r="J150" s="44"/>
      <c r="K150" s="44"/>
      <c r="L150" s="44"/>
      <c r="M150" s="44">
        <v>52.193926219173022</v>
      </c>
      <c r="N150" s="47">
        <v>149</v>
      </c>
    </row>
    <row r="151" spans="1:14" ht="18" x14ac:dyDescent="0.25">
      <c r="A151" s="38" t="s">
        <v>357</v>
      </c>
      <c r="B151" s="39">
        <v>30</v>
      </c>
      <c r="C151" s="40">
        <v>52.5</v>
      </c>
      <c r="D151" s="41">
        <v>75</v>
      </c>
      <c r="E151" s="42">
        <v>53.264992089074354</v>
      </c>
      <c r="F151" s="43">
        <v>43.333333333333336</v>
      </c>
      <c r="G151" s="44">
        <v>1.0861884242329052</v>
      </c>
      <c r="H151" s="44"/>
      <c r="I151" s="44"/>
      <c r="J151" s="44"/>
      <c r="K151" s="44"/>
      <c r="L151" s="44"/>
      <c r="M151" s="44">
        <v>52.123875892600381</v>
      </c>
      <c r="N151" s="47">
        <v>150</v>
      </c>
    </row>
    <row r="152" spans="1:14" ht="18" x14ac:dyDescent="0.25">
      <c r="A152" s="38" t="s">
        <v>575</v>
      </c>
      <c r="B152" s="39">
        <v>42.5</v>
      </c>
      <c r="C152" s="40">
        <v>63.75</v>
      </c>
      <c r="D152" s="41">
        <v>75</v>
      </c>
      <c r="E152" s="42">
        <v>37.902301796272184</v>
      </c>
      <c r="F152" s="43">
        <v>43.333333333333336</v>
      </c>
      <c r="G152" s="44">
        <v>1.0861884242329052</v>
      </c>
      <c r="H152" s="44"/>
      <c r="I152" s="44"/>
      <c r="J152" s="44"/>
      <c r="K152" s="44"/>
      <c r="L152" s="44"/>
      <c r="M152" s="44">
        <v>52.083314044847562</v>
      </c>
      <c r="N152" s="47">
        <v>151</v>
      </c>
    </row>
    <row r="153" spans="1:14" ht="18" x14ac:dyDescent="0.25">
      <c r="A153" s="38" t="s">
        <v>443</v>
      </c>
      <c r="B153" s="39">
        <v>32.5</v>
      </c>
      <c r="C153" s="40">
        <v>65</v>
      </c>
      <c r="D153" s="41">
        <v>75</v>
      </c>
      <c r="E153" s="42">
        <v>42.783952980638645</v>
      </c>
      <c r="F153" s="43">
        <v>50</v>
      </c>
      <c r="G153" s="44">
        <v>1.0455476497231624</v>
      </c>
      <c r="H153" s="44"/>
      <c r="I153" s="44"/>
      <c r="J153" s="44"/>
      <c r="K153" s="44"/>
      <c r="L153" s="44"/>
      <c r="M153" s="44">
        <v>51.965858168632465</v>
      </c>
      <c r="N153" s="47">
        <v>152</v>
      </c>
    </row>
    <row r="154" spans="1:14" ht="18" x14ac:dyDescent="0.25">
      <c r="A154" s="38" t="s">
        <v>338</v>
      </c>
      <c r="B154" s="39">
        <v>20</v>
      </c>
      <c r="C154" s="40">
        <v>65</v>
      </c>
      <c r="D154" s="41">
        <v>41.666666666666664</v>
      </c>
      <c r="E154" s="42">
        <v>60.612736236324629</v>
      </c>
      <c r="F154" s="43">
        <v>60</v>
      </c>
      <c r="G154" s="44">
        <v>1.0664658150733226</v>
      </c>
      <c r="H154" s="44"/>
      <c r="I154" s="44"/>
      <c r="J154" s="44"/>
      <c r="K154" s="44"/>
      <c r="L154" s="44"/>
      <c r="M154" s="44">
        <v>51.908286606522168</v>
      </c>
      <c r="N154" s="47">
        <v>153</v>
      </c>
    </row>
    <row r="155" spans="1:14" ht="18" x14ac:dyDescent="0.25">
      <c r="A155" s="38" t="s">
        <v>574</v>
      </c>
      <c r="B155" s="39">
        <v>10</v>
      </c>
      <c r="C155" s="40">
        <v>71.25</v>
      </c>
      <c r="D155" s="41">
        <v>91.666666666666671</v>
      </c>
      <c r="E155" s="42">
        <v>37.794197349582952</v>
      </c>
      <c r="F155" s="43">
        <v>60</v>
      </c>
      <c r="G155" s="44">
        <v>1.0861884242329052</v>
      </c>
      <c r="H155" s="44"/>
      <c r="I155" s="44"/>
      <c r="J155" s="44"/>
      <c r="K155" s="44"/>
      <c r="L155" s="44"/>
      <c r="M155" s="44">
        <v>51.487862747753091</v>
      </c>
      <c r="N155" s="47">
        <v>154</v>
      </c>
    </row>
    <row r="156" spans="1:14" ht="18" x14ac:dyDescent="0.25">
      <c r="A156" s="38" t="s">
        <v>519</v>
      </c>
      <c r="B156" s="39">
        <v>10</v>
      </c>
      <c r="C156" s="40">
        <v>60</v>
      </c>
      <c r="D156" s="41">
        <v>75</v>
      </c>
      <c r="E156" s="42">
        <v>52.337639591309539</v>
      </c>
      <c r="F156" s="43">
        <v>60</v>
      </c>
      <c r="G156" s="44">
        <v>1.0861884242329052</v>
      </c>
      <c r="H156" s="44"/>
      <c r="I156" s="44"/>
      <c r="J156" s="44"/>
      <c r="K156" s="44"/>
      <c r="L156" s="44"/>
      <c r="M156" s="44">
        <v>51.476938331192073</v>
      </c>
      <c r="N156" s="47">
        <v>155</v>
      </c>
    </row>
    <row r="157" spans="1:14" ht="18" x14ac:dyDescent="0.25">
      <c r="A157" s="38" t="s">
        <v>503</v>
      </c>
      <c r="B157" s="39">
        <v>0</v>
      </c>
      <c r="C157" s="40">
        <v>70</v>
      </c>
      <c r="D157" s="41">
        <v>83.333333333333329</v>
      </c>
      <c r="E157" s="42">
        <v>53.859746559879916</v>
      </c>
      <c r="F157" s="43">
        <v>66.666666666666671</v>
      </c>
      <c r="G157" s="44">
        <v>0.92035842027448089</v>
      </c>
      <c r="H157" s="44"/>
      <c r="I157" s="44"/>
      <c r="J157" s="44"/>
      <c r="K157" s="44"/>
      <c r="L157" s="44"/>
      <c r="M157" s="44">
        <v>51.371081378070492</v>
      </c>
      <c r="N157" s="47">
        <v>156</v>
      </c>
    </row>
    <row r="158" spans="1:14" ht="18" x14ac:dyDescent="0.25">
      <c r="A158" s="38" t="s">
        <v>540</v>
      </c>
      <c r="B158" s="39">
        <v>75</v>
      </c>
      <c r="C158" s="40">
        <v>28.75</v>
      </c>
      <c r="D158" s="41">
        <v>33.333333333333336</v>
      </c>
      <c r="E158" s="42">
        <v>63.54649479776581</v>
      </c>
      <c r="F158" s="43">
        <v>43.333333333333336</v>
      </c>
      <c r="G158" s="44">
        <v>0.99801762417336992</v>
      </c>
      <c r="H158" s="44"/>
      <c r="I158" s="44"/>
      <c r="J158" s="44"/>
      <c r="K158" s="44"/>
      <c r="L158" s="44"/>
      <c r="M158" s="44">
        <v>51.246420891384048</v>
      </c>
      <c r="N158" s="47">
        <v>157</v>
      </c>
    </row>
    <row r="159" spans="1:14" ht="18" x14ac:dyDescent="0.25">
      <c r="A159" s="38" t="s">
        <v>507</v>
      </c>
      <c r="B159" s="39">
        <v>10</v>
      </c>
      <c r="C159" s="40">
        <v>66.25</v>
      </c>
      <c r="D159" s="41">
        <v>66.666666666666671</v>
      </c>
      <c r="E159" s="42">
        <v>65.550128508473577</v>
      </c>
      <c r="F159" s="43">
        <v>43.333333333333336</v>
      </c>
      <c r="G159" s="44">
        <v>0.98970333859454085</v>
      </c>
      <c r="H159" s="44"/>
      <c r="I159" s="44"/>
      <c r="J159" s="44"/>
      <c r="K159" s="44"/>
      <c r="L159" s="44"/>
      <c r="M159" s="44">
        <v>51.191960986230328</v>
      </c>
      <c r="N159" s="47">
        <v>158</v>
      </c>
    </row>
    <row r="160" spans="1:14" ht="18" x14ac:dyDescent="0.25">
      <c r="A160" s="38" t="s">
        <v>501</v>
      </c>
      <c r="B160" s="39">
        <v>55</v>
      </c>
      <c r="C160" s="40">
        <v>53.75</v>
      </c>
      <c r="D160" s="41">
        <v>25</v>
      </c>
      <c r="E160" s="42">
        <v>61.796372599602947</v>
      </c>
      <c r="F160" s="43">
        <v>43.333333333333336</v>
      </c>
      <c r="G160" s="44">
        <v>1.0213987592459346</v>
      </c>
      <c r="H160" s="44"/>
      <c r="I160" s="44"/>
      <c r="J160" s="44"/>
      <c r="K160" s="44"/>
      <c r="L160" s="44"/>
      <c r="M160" s="44">
        <v>51.171007841445459</v>
      </c>
      <c r="N160" s="47">
        <v>159</v>
      </c>
    </row>
    <row r="161" spans="1:14" ht="18" x14ac:dyDescent="0.25">
      <c r="A161" s="38" t="s">
        <v>417</v>
      </c>
      <c r="B161" s="39">
        <v>20</v>
      </c>
      <c r="C161" s="40">
        <v>61.25</v>
      </c>
      <c r="D161" s="41">
        <v>58.333333333333336</v>
      </c>
      <c r="E161" s="42">
        <v>78.139083843207885</v>
      </c>
      <c r="F161" s="43">
        <v>26.666666666666668</v>
      </c>
      <c r="G161" s="44">
        <v>0.95330799382027653</v>
      </c>
      <c r="H161" s="44"/>
      <c r="I161" s="44"/>
      <c r="J161" s="44"/>
      <c r="K161" s="44"/>
      <c r="L161" s="44"/>
      <c r="M161" s="44">
        <v>51.160415952537974</v>
      </c>
      <c r="N161" s="47">
        <v>160</v>
      </c>
    </row>
    <row r="162" spans="1:14" ht="18" x14ac:dyDescent="0.25">
      <c r="A162" s="38" t="s">
        <v>419</v>
      </c>
      <c r="B162" s="39">
        <v>0</v>
      </c>
      <c r="C162" s="40">
        <v>76.25</v>
      </c>
      <c r="D162" s="41">
        <v>66.666666666666671</v>
      </c>
      <c r="E162" s="42">
        <v>59.585918914145203</v>
      </c>
      <c r="F162" s="43">
        <v>43.333333333333336</v>
      </c>
      <c r="G162" s="44">
        <v>1.0767654249824674</v>
      </c>
      <c r="H162" s="44"/>
      <c r="I162" s="44"/>
      <c r="J162" s="44"/>
      <c r="K162" s="44"/>
      <c r="L162" s="44"/>
      <c r="M162" s="44">
        <v>50.998017190768124</v>
      </c>
      <c r="N162" s="47">
        <v>161</v>
      </c>
    </row>
    <row r="163" spans="1:14" ht="18" x14ac:dyDescent="0.25">
      <c r="A163" s="38" t="s">
        <v>431</v>
      </c>
      <c r="B163" s="39">
        <v>42.5</v>
      </c>
      <c r="C163" s="40">
        <v>67.5</v>
      </c>
      <c r="D163" s="41">
        <v>66.666666666666671</v>
      </c>
      <c r="E163" s="42">
        <v>43.542005236301279</v>
      </c>
      <c r="F163" s="43">
        <v>26.666666666666668</v>
      </c>
      <c r="G163" s="44">
        <v>1.0861884242329052</v>
      </c>
      <c r="H163" s="44"/>
      <c r="I163" s="44"/>
      <c r="J163" s="44"/>
      <c r="K163" s="44"/>
      <c r="L163" s="44"/>
      <c r="M163" s="44">
        <v>50.921048222647393</v>
      </c>
      <c r="N163" s="47">
        <v>162</v>
      </c>
    </row>
    <row r="164" spans="1:14" ht="18" x14ac:dyDescent="0.25">
      <c r="A164" s="38" t="s">
        <v>601</v>
      </c>
      <c r="B164" s="39">
        <v>10</v>
      </c>
      <c r="C164" s="40">
        <v>72.5</v>
      </c>
      <c r="D164" s="41">
        <v>75</v>
      </c>
      <c r="E164" s="42">
        <v>42.959256028168838</v>
      </c>
      <c r="F164" s="43">
        <v>60</v>
      </c>
      <c r="G164" s="44">
        <v>1.0861884242329052</v>
      </c>
      <c r="H164" s="44"/>
      <c r="I164" s="44"/>
      <c r="J164" s="44"/>
      <c r="K164" s="44"/>
      <c r="L164" s="44"/>
      <c r="M164" s="44">
        <v>50.920930831902197</v>
      </c>
      <c r="N164" s="47">
        <v>163</v>
      </c>
    </row>
    <row r="165" spans="1:14" ht="18" x14ac:dyDescent="0.25">
      <c r="A165" s="38" t="s">
        <v>534</v>
      </c>
      <c r="B165" s="39">
        <v>10</v>
      </c>
      <c r="C165" s="40">
        <v>71.25</v>
      </c>
      <c r="D165" s="41">
        <v>66.666666666666671</v>
      </c>
      <c r="E165" s="42">
        <v>53.578513401466033</v>
      </c>
      <c r="F165" s="43">
        <v>66.666666666666671</v>
      </c>
      <c r="G165" s="44">
        <v>0.92035842027448089</v>
      </c>
      <c r="H165" s="44"/>
      <c r="I165" s="44"/>
      <c r="J165" s="44"/>
      <c r="K165" s="44"/>
      <c r="L165" s="44"/>
      <c r="M165" s="44">
        <v>50.884147626997475</v>
      </c>
      <c r="N165" s="47">
        <v>164</v>
      </c>
    </row>
    <row r="166" spans="1:14" ht="18" x14ac:dyDescent="0.25">
      <c r="A166" s="38" t="s">
        <v>456</v>
      </c>
      <c r="B166" s="39">
        <v>20</v>
      </c>
      <c r="C166" s="40">
        <v>56.25</v>
      </c>
      <c r="D166" s="41">
        <v>75</v>
      </c>
      <c r="E166" s="42">
        <v>52.993347344037389</v>
      </c>
      <c r="F166" s="43">
        <v>60</v>
      </c>
      <c r="G166" s="44">
        <v>0.9674647154692283</v>
      </c>
      <c r="H166" s="44"/>
      <c r="I166" s="44"/>
      <c r="J166" s="44"/>
      <c r="K166" s="44"/>
      <c r="L166" s="44"/>
      <c r="M166" s="44">
        <v>50.750616974865245</v>
      </c>
      <c r="N166" s="47">
        <v>165</v>
      </c>
    </row>
    <row r="167" spans="1:14" ht="18" x14ac:dyDescent="0.25">
      <c r="A167" s="38" t="s">
        <v>473</v>
      </c>
      <c r="B167" s="39">
        <v>30</v>
      </c>
      <c r="C167" s="40">
        <v>43.75</v>
      </c>
      <c r="D167" s="41">
        <v>33.333333333333336</v>
      </c>
      <c r="E167" s="42">
        <v>86.058039496279491</v>
      </c>
      <c r="F167" s="43">
        <v>43.333333333333336</v>
      </c>
      <c r="G167" s="44">
        <v>0.95628258375197084</v>
      </c>
      <c r="H167" s="44"/>
      <c r="I167" s="44"/>
      <c r="J167" s="44"/>
      <c r="K167" s="44"/>
      <c r="L167" s="44"/>
      <c r="M167" s="44">
        <v>50.67643681115122</v>
      </c>
      <c r="N167" s="47">
        <v>166</v>
      </c>
    </row>
    <row r="168" spans="1:14" ht="18" x14ac:dyDescent="0.25">
      <c r="A168" s="38" t="s">
        <v>311</v>
      </c>
      <c r="B168" s="39">
        <v>0</v>
      </c>
      <c r="C168" s="40">
        <v>71.25</v>
      </c>
      <c r="D168" s="41">
        <v>75</v>
      </c>
      <c r="E168" s="42">
        <v>52.632331725098069</v>
      </c>
      <c r="F168" s="43">
        <v>60</v>
      </c>
      <c r="G168" s="44">
        <v>1.0237959617839771</v>
      </c>
      <c r="H168" s="44"/>
      <c r="I168" s="44"/>
      <c r="J168" s="44"/>
      <c r="K168" s="44"/>
      <c r="L168" s="44"/>
      <c r="M168" s="44">
        <v>50.66543060382903</v>
      </c>
      <c r="N168" s="47">
        <v>167</v>
      </c>
    </row>
    <row r="169" spans="1:14" ht="18" x14ac:dyDescent="0.25">
      <c r="A169" s="38" t="s">
        <v>568</v>
      </c>
      <c r="B169" s="39">
        <v>0</v>
      </c>
      <c r="C169" s="40">
        <v>82.5</v>
      </c>
      <c r="D169" s="41">
        <v>91.666666666666671</v>
      </c>
      <c r="E169" s="42">
        <v>31.913122015825941</v>
      </c>
      <c r="F169" s="43">
        <v>66.666666666666671</v>
      </c>
      <c r="G169" s="44">
        <v>1.0861884242329052</v>
      </c>
      <c r="H169" s="44"/>
      <c r="I169" s="44"/>
      <c r="J169" s="44"/>
      <c r="K169" s="44"/>
      <c r="L169" s="44"/>
      <c r="M169" s="44">
        <v>50.649099114416721</v>
      </c>
      <c r="N169" s="47">
        <v>168</v>
      </c>
    </row>
    <row r="170" spans="1:14" ht="18" x14ac:dyDescent="0.25">
      <c r="A170" s="38" t="s">
        <v>370</v>
      </c>
      <c r="B170" s="39">
        <v>0</v>
      </c>
      <c r="C170" s="40">
        <v>65</v>
      </c>
      <c r="D170" s="41">
        <v>66.666666666666671</v>
      </c>
      <c r="E170" s="42">
        <v>65.540370361845902</v>
      </c>
      <c r="F170" s="43">
        <v>60</v>
      </c>
      <c r="G170" s="44">
        <v>0.94494652492619058</v>
      </c>
      <c r="H170" s="44"/>
      <c r="I170" s="44"/>
      <c r="J170" s="44"/>
      <c r="K170" s="44"/>
      <c r="L170" s="44"/>
      <c r="M170" s="44">
        <v>50.579643564740536</v>
      </c>
      <c r="N170" s="47">
        <v>169</v>
      </c>
    </row>
    <row r="171" spans="1:14" ht="18" x14ac:dyDescent="0.25">
      <c r="A171" s="38" t="s">
        <v>525</v>
      </c>
      <c r="B171" s="39">
        <v>10</v>
      </c>
      <c r="C171" s="40">
        <v>55</v>
      </c>
      <c r="D171" s="41">
        <v>75</v>
      </c>
      <c r="E171" s="42">
        <v>55.136738483495094</v>
      </c>
      <c r="F171" s="43">
        <v>66.666666666666671</v>
      </c>
      <c r="G171" s="44">
        <v>0.98750151777076434</v>
      </c>
      <c r="H171" s="44"/>
      <c r="I171" s="44"/>
      <c r="J171" s="44"/>
      <c r="K171" s="44"/>
      <c r="L171" s="44"/>
      <c r="M171" s="44">
        <v>50.559286916755866</v>
      </c>
      <c r="N171" s="47">
        <v>170</v>
      </c>
    </row>
    <row r="172" spans="1:14" ht="18" x14ac:dyDescent="0.25">
      <c r="A172" s="38" t="s">
        <v>407</v>
      </c>
      <c r="B172" s="39">
        <v>10</v>
      </c>
      <c r="C172" s="40">
        <v>78.75</v>
      </c>
      <c r="D172" s="41">
        <v>75</v>
      </c>
      <c r="E172" s="42">
        <v>53.950308550319484</v>
      </c>
      <c r="F172" s="43">
        <v>43.333333333333336</v>
      </c>
      <c r="G172" s="44">
        <v>0.93334626397882836</v>
      </c>
      <c r="H172" s="44"/>
      <c r="I172" s="44"/>
      <c r="J172" s="44"/>
      <c r="K172" s="44"/>
      <c r="L172" s="44"/>
      <c r="M172" s="44">
        <v>50.472988205741373</v>
      </c>
      <c r="N172" s="47">
        <v>171</v>
      </c>
    </row>
    <row r="173" spans="1:14" ht="18" x14ac:dyDescent="0.25">
      <c r="A173" s="38" t="s">
        <v>392</v>
      </c>
      <c r="B173" s="39">
        <v>10</v>
      </c>
      <c r="C173" s="40">
        <v>47.5</v>
      </c>
      <c r="D173" s="41">
        <v>91.666666666666671</v>
      </c>
      <c r="E173" s="42">
        <v>53.75450464972203</v>
      </c>
      <c r="F173" s="43">
        <v>50</v>
      </c>
      <c r="G173" s="44">
        <v>1.0861884242329052</v>
      </c>
      <c r="H173" s="44"/>
      <c r="I173" s="44"/>
      <c r="J173" s="44"/>
      <c r="K173" s="44"/>
      <c r="L173" s="44"/>
      <c r="M173" s="44">
        <v>50.438633058736393</v>
      </c>
      <c r="N173" s="47">
        <v>172</v>
      </c>
    </row>
    <row r="174" spans="1:14" ht="18" x14ac:dyDescent="0.25">
      <c r="A174" s="38" t="s">
        <v>378</v>
      </c>
      <c r="B174" s="39">
        <v>10</v>
      </c>
      <c r="C174" s="40">
        <v>66.25</v>
      </c>
      <c r="D174" s="41">
        <v>66.666666666666671</v>
      </c>
      <c r="E174" s="42">
        <v>59.274398418403322</v>
      </c>
      <c r="F174" s="43">
        <v>43.333333333333336</v>
      </c>
      <c r="G174" s="44">
        <v>1.0427922560745797</v>
      </c>
      <c r="H174" s="44"/>
      <c r="I174" s="44"/>
      <c r="J174" s="44"/>
      <c r="K174" s="44"/>
      <c r="L174" s="44"/>
      <c r="M174" s="44">
        <v>50.378849608406249</v>
      </c>
      <c r="N174" s="47">
        <v>173</v>
      </c>
    </row>
    <row r="175" spans="1:14" ht="18" x14ac:dyDescent="0.25">
      <c r="A175" s="38" t="s">
        <v>398</v>
      </c>
      <c r="B175" s="39">
        <v>0</v>
      </c>
      <c r="C175" s="40">
        <v>82.5</v>
      </c>
      <c r="D175" s="41">
        <v>75</v>
      </c>
      <c r="E175" s="42">
        <v>42.59720586963418</v>
      </c>
      <c r="F175" s="43">
        <v>66.666666666666671</v>
      </c>
      <c r="G175" s="44">
        <v>0.98217010045602193</v>
      </c>
      <c r="H175" s="44"/>
      <c r="I175" s="44"/>
      <c r="J175" s="44"/>
      <c r="K175" s="44"/>
      <c r="L175" s="44"/>
      <c r="M175" s="44">
        <v>50.301310590437332</v>
      </c>
      <c r="N175" s="47">
        <v>174</v>
      </c>
    </row>
    <row r="176" spans="1:14" ht="18" x14ac:dyDescent="0.25">
      <c r="A176" s="38" t="s">
        <v>565</v>
      </c>
      <c r="B176" s="39">
        <v>10</v>
      </c>
      <c r="C176" s="40">
        <v>71.25</v>
      </c>
      <c r="D176" s="41">
        <v>50</v>
      </c>
      <c r="E176" s="42">
        <v>65.499450077380217</v>
      </c>
      <c r="F176" s="43">
        <v>33.333333333333336</v>
      </c>
      <c r="G176" s="44">
        <v>1.0861884242329052</v>
      </c>
      <c r="H176" s="44"/>
      <c r="I176" s="44"/>
      <c r="J176" s="44"/>
      <c r="K176" s="44"/>
      <c r="L176" s="44"/>
      <c r="M176" s="44">
        <v>50.265800188767244</v>
      </c>
      <c r="N176" s="47">
        <v>175</v>
      </c>
    </row>
    <row r="177" spans="1:14" ht="18" x14ac:dyDescent="0.25">
      <c r="A177" s="38" t="s">
        <v>369</v>
      </c>
      <c r="B177" s="39">
        <v>20</v>
      </c>
      <c r="C177" s="40">
        <v>55</v>
      </c>
      <c r="D177" s="41">
        <v>83.333333333333329</v>
      </c>
      <c r="E177" s="42">
        <v>48.645824509326701</v>
      </c>
      <c r="F177" s="43">
        <v>43.333333333333336</v>
      </c>
      <c r="G177" s="44">
        <v>1.0861884242329052</v>
      </c>
      <c r="H177" s="44"/>
      <c r="I177" s="44"/>
      <c r="J177" s="44"/>
      <c r="K177" s="44"/>
      <c r="L177" s="44"/>
      <c r="M177" s="44">
        <v>50.196313137720423</v>
      </c>
      <c r="N177" s="47">
        <v>176</v>
      </c>
    </row>
    <row r="178" spans="1:14" ht="18" x14ac:dyDescent="0.25">
      <c r="A178" s="38" t="s">
        <v>408</v>
      </c>
      <c r="B178" s="39">
        <v>20</v>
      </c>
      <c r="C178" s="40">
        <v>66.25</v>
      </c>
      <c r="D178" s="41">
        <v>50</v>
      </c>
      <c r="E178" s="42">
        <v>49.072825787450185</v>
      </c>
      <c r="F178" s="43">
        <v>60</v>
      </c>
      <c r="G178" s="44">
        <v>1.0861884242329052</v>
      </c>
      <c r="H178" s="44"/>
      <c r="I178" s="44"/>
      <c r="J178" s="44"/>
      <c r="K178" s="44"/>
      <c r="L178" s="44"/>
      <c r="M178" s="44">
        <v>50.085454291349535</v>
      </c>
      <c r="N178" s="47">
        <v>177</v>
      </c>
    </row>
    <row r="179" spans="1:14" ht="18" x14ac:dyDescent="0.25">
      <c r="A179" s="38" t="s">
        <v>523</v>
      </c>
      <c r="B179" s="39">
        <v>42.5</v>
      </c>
      <c r="C179" s="40">
        <v>77.5</v>
      </c>
      <c r="D179" s="41">
        <v>50</v>
      </c>
      <c r="E179" s="42">
        <v>42.436174344457058</v>
      </c>
      <c r="F179" s="43">
        <v>26.666666666666668</v>
      </c>
      <c r="G179" s="44">
        <v>1.0861884242329052</v>
      </c>
      <c r="H179" s="44"/>
      <c r="I179" s="44"/>
      <c r="J179" s="44"/>
      <c r="K179" s="44"/>
      <c r="L179" s="44"/>
      <c r="M179" s="44">
        <v>50.060706008483287</v>
      </c>
      <c r="N179" s="47">
        <v>178</v>
      </c>
    </row>
    <row r="180" spans="1:14" ht="18" x14ac:dyDescent="0.25">
      <c r="A180" s="38" t="s">
        <v>386</v>
      </c>
      <c r="B180" s="39">
        <v>0</v>
      </c>
      <c r="C180" s="40">
        <v>58.75</v>
      </c>
      <c r="D180" s="41">
        <v>83.333333333333329</v>
      </c>
      <c r="E180" s="42">
        <v>58.909223762565965</v>
      </c>
      <c r="F180" s="43">
        <v>43.333333333333336</v>
      </c>
      <c r="G180" s="44">
        <v>1.0855435235695083</v>
      </c>
      <c r="H180" s="44"/>
      <c r="I180" s="44"/>
      <c r="J180" s="44"/>
      <c r="K180" s="44"/>
      <c r="L180" s="44"/>
      <c r="M180" s="44">
        <v>49.934557900188139</v>
      </c>
      <c r="N180" s="47">
        <v>179</v>
      </c>
    </row>
    <row r="181" spans="1:14" ht="18" x14ac:dyDescent="0.25">
      <c r="A181" s="38" t="s">
        <v>521</v>
      </c>
      <c r="B181" s="39">
        <v>55</v>
      </c>
      <c r="C181" s="40">
        <v>66.25</v>
      </c>
      <c r="D181" s="41">
        <v>50</v>
      </c>
      <c r="E181" s="42">
        <v>37.475205678858686</v>
      </c>
      <c r="F181" s="43">
        <v>33.333333333333336</v>
      </c>
      <c r="G181" s="44">
        <v>1.0861884242329052</v>
      </c>
      <c r="H181" s="44"/>
      <c r="I181" s="44"/>
      <c r="J181" s="44"/>
      <c r="K181" s="44"/>
      <c r="L181" s="44"/>
      <c r="M181" s="44">
        <v>49.909613047799013</v>
      </c>
      <c r="N181" s="47">
        <v>180</v>
      </c>
    </row>
    <row r="182" spans="1:14" ht="18" x14ac:dyDescent="0.25">
      <c r="A182" s="38" t="s">
        <v>320</v>
      </c>
      <c r="B182" s="39">
        <v>0</v>
      </c>
      <c r="C182" s="40">
        <v>63.75</v>
      </c>
      <c r="D182" s="41">
        <v>100</v>
      </c>
      <c r="E182" s="42">
        <v>72.836239728175727</v>
      </c>
      <c r="F182" s="43">
        <v>13.333333333333334</v>
      </c>
      <c r="G182" s="44">
        <v>0.92035842027448089</v>
      </c>
      <c r="H182" s="44"/>
      <c r="I182" s="44"/>
      <c r="J182" s="44"/>
      <c r="K182" s="44"/>
      <c r="L182" s="44"/>
      <c r="M182" s="44">
        <v>49.860633960487156</v>
      </c>
      <c r="N182" s="47">
        <v>181</v>
      </c>
    </row>
    <row r="183" spans="1:14" ht="18" x14ac:dyDescent="0.25">
      <c r="A183" s="38" t="s">
        <v>577</v>
      </c>
      <c r="B183" s="39">
        <v>10</v>
      </c>
      <c r="C183" s="40">
        <v>65</v>
      </c>
      <c r="D183" s="41">
        <v>75</v>
      </c>
      <c r="E183" s="42">
        <v>63.712336401838897</v>
      </c>
      <c r="F183" s="43">
        <v>26.666666666666668</v>
      </c>
      <c r="G183" s="44">
        <v>1.007845475665885</v>
      </c>
      <c r="H183" s="44"/>
      <c r="I183" s="44"/>
      <c r="J183" s="44"/>
      <c r="K183" s="44"/>
      <c r="L183" s="44"/>
      <c r="M183" s="44">
        <v>49.529347947340632</v>
      </c>
      <c r="N183" s="47">
        <v>182</v>
      </c>
    </row>
    <row r="184" spans="1:14" ht="18" x14ac:dyDescent="0.25">
      <c r="A184" s="38" t="s">
        <v>341</v>
      </c>
      <c r="B184" s="39">
        <v>0</v>
      </c>
      <c r="C184" s="40">
        <v>77.5</v>
      </c>
      <c r="D184" s="41">
        <v>83.333333333333329</v>
      </c>
      <c r="E184" s="42">
        <v>53.603823110165173</v>
      </c>
      <c r="F184" s="43">
        <v>43.333333333333336</v>
      </c>
      <c r="G184" s="44">
        <v>0.92268580808411205</v>
      </c>
      <c r="H184" s="44"/>
      <c r="I184" s="44"/>
      <c r="J184" s="44"/>
      <c r="K184" s="44"/>
      <c r="L184" s="44"/>
      <c r="M184" s="44">
        <v>49.337846052840163</v>
      </c>
      <c r="N184" s="47">
        <v>183</v>
      </c>
    </row>
    <row r="185" spans="1:14" ht="18" x14ac:dyDescent="0.25">
      <c r="A185" s="38" t="s">
        <v>467</v>
      </c>
      <c r="B185" s="39">
        <v>20</v>
      </c>
      <c r="C185" s="40">
        <v>48.75</v>
      </c>
      <c r="D185" s="41">
        <v>58.333333333333336</v>
      </c>
      <c r="E185" s="42">
        <v>53.55111915984741</v>
      </c>
      <c r="F185" s="43">
        <v>60</v>
      </c>
      <c r="G185" s="44">
        <v>1.0861884242329052</v>
      </c>
      <c r="H185" s="44"/>
      <c r="I185" s="44"/>
      <c r="J185" s="44"/>
      <c r="K185" s="44"/>
      <c r="L185" s="44"/>
      <c r="M185" s="44">
        <v>49.294735417774575</v>
      </c>
      <c r="N185" s="47">
        <v>184</v>
      </c>
    </row>
    <row r="186" spans="1:14" ht="18" x14ac:dyDescent="0.25">
      <c r="A186" s="38" t="s">
        <v>508</v>
      </c>
      <c r="B186" s="39">
        <v>20</v>
      </c>
      <c r="C186" s="40">
        <v>50</v>
      </c>
      <c r="D186" s="41">
        <v>75</v>
      </c>
      <c r="E186" s="42">
        <v>58.332428287139109</v>
      </c>
      <c r="F186" s="43">
        <v>43.333333333333336</v>
      </c>
      <c r="G186" s="44">
        <v>0.99961427481268783</v>
      </c>
      <c r="H186" s="44"/>
      <c r="I186" s="44"/>
      <c r="J186" s="44"/>
      <c r="K186" s="44"/>
      <c r="L186" s="44"/>
      <c r="M186" s="44">
        <v>49.241435499344249</v>
      </c>
      <c r="N186" s="47">
        <v>185</v>
      </c>
    </row>
    <row r="187" spans="1:14" ht="18" x14ac:dyDescent="0.25">
      <c r="A187" s="38" t="s">
        <v>460</v>
      </c>
      <c r="B187" s="39">
        <v>57.5</v>
      </c>
      <c r="C187" s="40">
        <v>60</v>
      </c>
      <c r="D187" s="41">
        <v>58.333333333333336</v>
      </c>
      <c r="E187" s="42">
        <v>45.106290581936676</v>
      </c>
      <c r="F187" s="43">
        <v>13.333333333333334</v>
      </c>
      <c r="G187" s="44">
        <v>1.0465712588631939</v>
      </c>
      <c r="H187" s="44"/>
      <c r="I187" s="44"/>
      <c r="J187" s="44"/>
      <c r="K187" s="44"/>
      <c r="L187" s="44"/>
      <c r="M187" s="44">
        <v>48.947653672022682</v>
      </c>
      <c r="N187" s="47">
        <v>186</v>
      </c>
    </row>
    <row r="188" spans="1:14" ht="18" x14ac:dyDescent="0.25">
      <c r="A188" s="38" t="s">
        <v>348</v>
      </c>
      <c r="B188" s="39">
        <v>65</v>
      </c>
      <c r="C188" s="40">
        <v>47.5</v>
      </c>
      <c r="D188" s="41">
        <v>33.333333333333336</v>
      </c>
      <c r="E188" s="42">
        <v>61.647846809928872</v>
      </c>
      <c r="F188" s="43">
        <v>26.666666666666668</v>
      </c>
      <c r="G188" s="44">
        <v>0.96606069900903646</v>
      </c>
      <c r="H188" s="44"/>
      <c r="I188" s="44"/>
      <c r="J188" s="44"/>
      <c r="K188" s="44"/>
      <c r="L188" s="44"/>
      <c r="M188" s="44">
        <v>48.92545768159804</v>
      </c>
      <c r="N188" s="47">
        <v>187</v>
      </c>
    </row>
    <row r="189" spans="1:14" ht="18" x14ac:dyDescent="0.25">
      <c r="A189" s="38" t="s">
        <v>328</v>
      </c>
      <c r="B189" s="39">
        <v>30</v>
      </c>
      <c r="C189" s="40">
        <v>45</v>
      </c>
      <c r="D189" s="41">
        <v>75</v>
      </c>
      <c r="E189" s="42">
        <v>67.652704384966114</v>
      </c>
      <c r="F189" s="43">
        <v>26.666666666666668</v>
      </c>
      <c r="G189" s="44">
        <v>0.93586538895320825</v>
      </c>
      <c r="H189" s="44"/>
      <c r="I189" s="44"/>
      <c r="J189" s="44"/>
      <c r="K189" s="44"/>
      <c r="L189" s="44"/>
      <c r="M189" s="44">
        <v>48.859339684611065</v>
      </c>
      <c r="N189" s="47">
        <v>188</v>
      </c>
    </row>
    <row r="190" spans="1:14" ht="18" x14ac:dyDescent="0.25">
      <c r="A190" s="38" t="s">
        <v>308</v>
      </c>
      <c r="B190" s="39">
        <v>10</v>
      </c>
      <c r="C190" s="40">
        <v>61.25</v>
      </c>
      <c r="D190" s="41">
        <v>75</v>
      </c>
      <c r="E190" s="42">
        <v>43.030338087292719</v>
      </c>
      <c r="F190" s="43">
        <v>60</v>
      </c>
      <c r="G190" s="44">
        <v>1.0861884242329052</v>
      </c>
      <c r="H190" s="44"/>
      <c r="I190" s="44"/>
      <c r="J190" s="44"/>
      <c r="K190" s="44"/>
      <c r="L190" s="44"/>
      <c r="M190" s="44">
        <v>48.694093384839505</v>
      </c>
      <c r="N190" s="47">
        <v>189</v>
      </c>
    </row>
    <row r="191" spans="1:14" ht="18" x14ac:dyDescent="0.25">
      <c r="A191" s="38" t="s">
        <v>385</v>
      </c>
      <c r="B191" s="39">
        <v>0</v>
      </c>
      <c r="C191" s="40">
        <v>65</v>
      </c>
      <c r="D191" s="41">
        <v>75</v>
      </c>
      <c r="E191" s="42">
        <v>55.870889310074816</v>
      </c>
      <c r="F191" s="43">
        <v>43.333333333333336</v>
      </c>
      <c r="G191" s="44">
        <v>1.0698726630612674</v>
      </c>
      <c r="H191" s="44"/>
      <c r="I191" s="44"/>
      <c r="J191" s="44"/>
      <c r="K191" s="44"/>
      <c r="L191" s="44"/>
      <c r="M191" s="44">
        <v>48.682421140131311</v>
      </c>
      <c r="N191" s="47">
        <v>190</v>
      </c>
    </row>
    <row r="192" spans="1:14" ht="18" x14ac:dyDescent="0.25">
      <c r="A192" s="38" t="s">
        <v>346</v>
      </c>
      <c r="B192" s="39">
        <v>20</v>
      </c>
      <c r="C192" s="40">
        <v>65</v>
      </c>
      <c r="D192" s="41">
        <v>83.333333333333329</v>
      </c>
      <c r="E192" s="42">
        <v>38.657662678011604</v>
      </c>
      <c r="F192" s="43">
        <v>43.333333333333336</v>
      </c>
      <c r="G192" s="44">
        <v>1.0685297351389789</v>
      </c>
      <c r="H192" s="44"/>
      <c r="I192" s="44"/>
      <c r="J192" s="44"/>
      <c r="K192" s="44"/>
      <c r="L192" s="44"/>
      <c r="M192" s="44">
        <v>48.666177559284236</v>
      </c>
      <c r="N192" s="47">
        <v>191</v>
      </c>
    </row>
    <row r="193" spans="1:14" ht="18" x14ac:dyDescent="0.25">
      <c r="A193" s="38" t="s">
        <v>583</v>
      </c>
      <c r="B193" s="39">
        <v>10</v>
      </c>
      <c r="C193" s="40">
        <v>72.5</v>
      </c>
      <c r="D193" s="41">
        <v>66.666666666666671</v>
      </c>
      <c r="E193" s="42">
        <v>37.018319420942042</v>
      </c>
      <c r="F193" s="43">
        <v>66.666666666666671</v>
      </c>
      <c r="G193" s="44">
        <v>1.0752525581411503</v>
      </c>
      <c r="H193" s="44"/>
      <c r="I193" s="44"/>
      <c r="J193" s="44"/>
      <c r="K193" s="44"/>
      <c r="L193" s="44"/>
      <c r="M193" s="44">
        <v>48.591717912918547</v>
      </c>
      <c r="N193" s="47">
        <v>192</v>
      </c>
    </row>
    <row r="194" spans="1:14" ht="18" x14ac:dyDescent="0.25">
      <c r="A194" s="38" t="s">
        <v>564</v>
      </c>
      <c r="B194" s="39">
        <v>75</v>
      </c>
      <c r="C194" s="40">
        <v>42.5</v>
      </c>
      <c r="D194" s="41">
        <v>58.333333333333336</v>
      </c>
      <c r="E194" s="42">
        <v>48.900736543919422</v>
      </c>
      <c r="F194" s="43">
        <v>26.666666666666668</v>
      </c>
      <c r="G194" s="44">
        <v>0.92078883541035106</v>
      </c>
      <c r="H194" s="44"/>
      <c r="I194" s="44"/>
      <c r="J194" s="44"/>
      <c r="K194" s="44"/>
      <c r="L194" s="44"/>
      <c r="M194" s="44">
        <v>48.570008207050456</v>
      </c>
      <c r="N194" s="47">
        <v>193</v>
      </c>
    </row>
    <row r="195" spans="1:14" ht="18" x14ac:dyDescent="0.25">
      <c r="A195" s="38" t="s">
        <v>479</v>
      </c>
      <c r="B195" s="39">
        <v>10</v>
      </c>
      <c r="C195" s="40">
        <v>63.75</v>
      </c>
      <c r="D195" s="41">
        <v>83.333333333333329</v>
      </c>
      <c r="E195" s="42">
        <v>33.946905289616907</v>
      </c>
      <c r="F195" s="43">
        <v>66.666666666666671</v>
      </c>
      <c r="G195" s="44">
        <v>1.0861884242329052</v>
      </c>
      <c r="H195" s="44"/>
      <c r="I195" s="44"/>
      <c r="J195" s="44"/>
      <c r="K195" s="44"/>
      <c r="L195" s="44"/>
      <c r="M195" s="44">
        <v>48.484197517699606</v>
      </c>
      <c r="N195" s="47">
        <v>194</v>
      </c>
    </row>
    <row r="196" spans="1:14" ht="18" x14ac:dyDescent="0.25">
      <c r="A196" s="38" t="s">
        <v>509</v>
      </c>
      <c r="B196" s="39">
        <v>62.5</v>
      </c>
      <c r="C196" s="40">
        <v>58.75</v>
      </c>
      <c r="D196" s="41">
        <v>33.333333333333336</v>
      </c>
      <c r="E196" s="42">
        <v>54.448837509978446</v>
      </c>
      <c r="F196" s="43">
        <v>26.666666666666668</v>
      </c>
      <c r="G196" s="44">
        <v>0.96163364883324676</v>
      </c>
      <c r="H196" s="44"/>
      <c r="I196" s="44"/>
      <c r="J196" s="44"/>
      <c r="K196" s="44"/>
      <c r="L196" s="44"/>
      <c r="M196" s="44">
        <v>48.478370897250322</v>
      </c>
      <c r="N196" s="47">
        <v>195</v>
      </c>
    </row>
    <row r="197" spans="1:14" ht="18" x14ac:dyDescent="0.25">
      <c r="A197" s="38" t="s">
        <v>591</v>
      </c>
      <c r="B197" s="39">
        <v>10</v>
      </c>
      <c r="C197" s="40">
        <v>83.75</v>
      </c>
      <c r="D197" s="41">
        <v>83.333333333333329</v>
      </c>
      <c r="E197" s="42">
        <v>43.45916912537416</v>
      </c>
      <c r="F197" s="43">
        <v>26.666666666666668</v>
      </c>
      <c r="G197" s="44">
        <v>1.0087484018118333</v>
      </c>
      <c r="H197" s="44"/>
      <c r="I197" s="44"/>
      <c r="J197" s="44"/>
      <c r="K197" s="44"/>
      <c r="L197" s="44"/>
      <c r="M197" s="44">
        <v>48.419307023411072</v>
      </c>
      <c r="N197" s="47">
        <v>196</v>
      </c>
    </row>
    <row r="198" spans="1:14" ht="18" x14ac:dyDescent="0.25">
      <c r="A198" s="38" t="s">
        <v>324</v>
      </c>
      <c r="B198" s="39">
        <v>20</v>
      </c>
      <c r="C198" s="40">
        <v>48.75</v>
      </c>
      <c r="D198" s="41">
        <v>66.666666666666671</v>
      </c>
      <c r="E198" s="42">
        <v>48.644897507557417</v>
      </c>
      <c r="F198" s="43">
        <v>60</v>
      </c>
      <c r="G198" s="44">
        <v>1.0575999110704775</v>
      </c>
      <c r="H198" s="44"/>
      <c r="I198" s="44"/>
      <c r="J198" s="44"/>
      <c r="K198" s="44"/>
      <c r="L198" s="44"/>
      <c r="M198" s="44">
        <v>48.414451427689471</v>
      </c>
      <c r="N198" s="47">
        <v>197</v>
      </c>
    </row>
    <row r="199" spans="1:14" ht="18" x14ac:dyDescent="0.25">
      <c r="A199" s="38" t="s">
        <v>573</v>
      </c>
      <c r="B199" s="39">
        <v>32.5</v>
      </c>
      <c r="C199" s="40">
        <v>60</v>
      </c>
      <c r="D199" s="41">
        <v>66.666666666666671</v>
      </c>
      <c r="E199" s="42">
        <v>36.95912857751749</v>
      </c>
      <c r="F199" s="43">
        <v>60</v>
      </c>
      <c r="G199" s="44">
        <v>0.9862231742901113</v>
      </c>
      <c r="H199" s="44"/>
      <c r="I199" s="44"/>
      <c r="J199" s="44"/>
      <c r="K199" s="44"/>
      <c r="L199" s="44"/>
      <c r="M199" s="44">
        <v>48.345435364300421</v>
      </c>
      <c r="N199" s="47">
        <v>198</v>
      </c>
    </row>
    <row r="200" spans="1:14" ht="18" x14ac:dyDescent="0.25">
      <c r="A200" s="38" t="s">
        <v>505</v>
      </c>
      <c r="B200" s="39">
        <v>0</v>
      </c>
      <c r="C200" s="40">
        <v>65</v>
      </c>
      <c r="D200" s="41">
        <v>83.333333333333329</v>
      </c>
      <c r="E200" s="42">
        <v>54.728592468666221</v>
      </c>
      <c r="F200" s="43">
        <v>50</v>
      </c>
      <c r="G200" s="44">
        <v>0.92035842027448089</v>
      </c>
      <c r="H200" s="44"/>
      <c r="I200" s="44"/>
      <c r="J200" s="44"/>
      <c r="K200" s="44"/>
      <c r="L200" s="44"/>
      <c r="M200" s="44">
        <v>48.110976272492245</v>
      </c>
      <c r="N200" s="47">
        <v>199</v>
      </c>
    </row>
    <row r="201" spans="1:14" ht="18" x14ac:dyDescent="0.25">
      <c r="A201" s="38" t="s">
        <v>475</v>
      </c>
      <c r="B201" s="39">
        <v>20</v>
      </c>
      <c r="C201" s="40">
        <v>45</v>
      </c>
      <c r="D201" s="41">
        <v>75</v>
      </c>
      <c r="E201" s="42">
        <v>62.41300000430752</v>
      </c>
      <c r="F201" s="43">
        <v>43.333333333333336</v>
      </c>
      <c r="G201" s="44">
        <v>0.92992508662066853</v>
      </c>
      <c r="H201" s="44"/>
      <c r="I201" s="44"/>
      <c r="J201" s="44"/>
      <c r="K201" s="44"/>
      <c r="L201" s="44"/>
      <c r="M201" s="44">
        <v>47.881524677061108</v>
      </c>
      <c r="N201" s="47">
        <v>200</v>
      </c>
    </row>
    <row r="202" spans="1:14" ht="18" x14ac:dyDescent="0.25">
      <c r="A202" s="38" t="s">
        <v>711</v>
      </c>
      <c r="B202" s="39">
        <v>42.5</v>
      </c>
      <c r="C202" s="40">
        <v>65</v>
      </c>
      <c r="D202" s="41">
        <v>41.666666666666664</v>
      </c>
      <c r="E202" s="42">
        <v>59.676089958147045</v>
      </c>
      <c r="F202" s="43">
        <v>26.666666666666668</v>
      </c>
      <c r="G202" s="44">
        <v>0.92489005356049747</v>
      </c>
      <c r="H202" s="44"/>
      <c r="I202" s="44"/>
      <c r="J202" s="44"/>
      <c r="K202" s="44"/>
      <c r="L202" s="44"/>
      <c r="M202" s="44">
        <v>47.669712066565737</v>
      </c>
      <c r="N202" s="47">
        <v>201</v>
      </c>
    </row>
    <row r="203" spans="1:14" ht="18" x14ac:dyDescent="0.25">
      <c r="A203" s="38" t="s">
        <v>351</v>
      </c>
      <c r="B203" s="39">
        <v>10</v>
      </c>
      <c r="C203" s="40">
        <v>55</v>
      </c>
      <c r="D203" s="41">
        <v>50</v>
      </c>
      <c r="E203" s="42">
        <v>71.398842227887584</v>
      </c>
      <c r="F203" s="43">
        <v>26.666666666666668</v>
      </c>
      <c r="G203" s="44">
        <v>1.072619881814399</v>
      </c>
      <c r="H203" s="44"/>
      <c r="I203" s="44"/>
      <c r="J203" s="44"/>
      <c r="K203" s="44"/>
      <c r="L203" s="44"/>
      <c r="M203" s="44">
        <v>47.620385077277305</v>
      </c>
      <c r="N203" s="47">
        <v>202</v>
      </c>
    </row>
    <row r="204" spans="1:14" ht="18" x14ac:dyDescent="0.25">
      <c r="A204" s="38" t="s">
        <v>372</v>
      </c>
      <c r="B204" s="39">
        <v>87.5</v>
      </c>
      <c r="C204" s="40">
        <v>58.75</v>
      </c>
      <c r="D204" s="41">
        <v>16.666666666666668</v>
      </c>
      <c r="E204" s="42">
        <v>41.173361344209056</v>
      </c>
      <c r="F204" s="43">
        <v>26.666666666666668</v>
      </c>
      <c r="G204" s="44">
        <v>0.98275582291873964</v>
      </c>
      <c r="H204" s="44"/>
      <c r="I204" s="44"/>
      <c r="J204" s="44"/>
      <c r="K204" s="44"/>
      <c r="L204" s="44"/>
      <c r="M204" s="44">
        <v>47.587235084125581</v>
      </c>
      <c r="N204" s="47">
        <v>203</v>
      </c>
    </row>
    <row r="205" spans="1:14" ht="18" x14ac:dyDescent="0.25">
      <c r="A205" s="38" t="s">
        <v>530</v>
      </c>
      <c r="B205" s="39">
        <v>0</v>
      </c>
      <c r="C205" s="40">
        <v>71.25</v>
      </c>
      <c r="D205" s="41">
        <v>75</v>
      </c>
      <c r="E205" s="42">
        <v>58.608649831105296</v>
      </c>
      <c r="F205" s="43">
        <v>26.666666666666668</v>
      </c>
      <c r="G205" s="44">
        <v>1.0166896167724373</v>
      </c>
      <c r="H205" s="44"/>
      <c r="I205" s="44"/>
      <c r="J205" s="44"/>
      <c r="K205" s="44"/>
      <c r="L205" s="44"/>
      <c r="M205" s="44">
        <v>47.376041720900929</v>
      </c>
      <c r="N205" s="47">
        <v>204</v>
      </c>
    </row>
    <row r="206" spans="1:14" ht="18" x14ac:dyDescent="0.25">
      <c r="A206" s="38" t="s">
        <v>481</v>
      </c>
      <c r="B206" s="39">
        <v>10</v>
      </c>
      <c r="C206" s="40">
        <v>76.25</v>
      </c>
      <c r="D206" s="41">
        <v>58.333333333333336</v>
      </c>
      <c r="E206" s="42">
        <v>53.142353537574323</v>
      </c>
      <c r="F206" s="43">
        <v>43.333333333333336</v>
      </c>
      <c r="G206" s="44">
        <v>0.94011939798767241</v>
      </c>
      <c r="H206" s="44"/>
      <c r="I206" s="44"/>
      <c r="J206" s="44"/>
      <c r="K206" s="44"/>
      <c r="L206" s="44"/>
      <c r="M206" s="44">
        <v>47.368286020593075</v>
      </c>
      <c r="N206" s="47">
        <v>205</v>
      </c>
    </row>
    <row r="207" spans="1:14" ht="18" x14ac:dyDescent="0.25">
      <c r="A207" s="38" t="s">
        <v>390</v>
      </c>
      <c r="B207" s="39">
        <v>10</v>
      </c>
      <c r="C207" s="40">
        <v>53.75</v>
      </c>
      <c r="D207" s="41">
        <v>41.666666666666664</v>
      </c>
      <c r="E207" s="42">
        <v>66.132994923006819</v>
      </c>
      <c r="F207" s="43">
        <v>43.333333333333336</v>
      </c>
      <c r="G207" s="44">
        <v>1.0861884242329052</v>
      </c>
      <c r="H207" s="44"/>
      <c r="I207" s="44"/>
      <c r="J207" s="44"/>
      <c r="K207" s="44"/>
      <c r="L207" s="44"/>
      <c r="M207" s="44">
        <v>47.222244912032856</v>
      </c>
      <c r="N207" s="47">
        <v>206</v>
      </c>
    </row>
    <row r="208" spans="1:14" ht="18" x14ac:dyDescent="0.25">
      <c r="A208" s="38" t="s">
        <v>418</v>
      </c>
      <c r="B208" s="39">
        <v>45</v>
      </c>
      <c r="C208" s="40">
        <v>33.75</v>
      </c>
      <c r="D208" s="41">
        <v>41.666666666666664</v>
      </c>
      <c r="E208" s="42">
        <v>57.60237970318731</v>
      </c>
      <c r="F208" s="43">
        <v>43.333333333333336</v>
      </c>
      <c r="G208" s="44">
        <v>1.0537959410922184</v>
      </c>
      <c r="H208" s="44"/>
      <c r="I208" s="44"/>
      <c r="J208" s="44"/>
      <c r="K208" s="44"/>
      <c r="L208" s="44"/>
      <c r="M208" s="44">
        <v>47.194509648371437</v>
      </c>
      <c r="N208" s="47">
        <v>207</v>
      </c>
    </row>
    <row r="209" spans="1:14" ht="18" x14ac:dyDescent="0.25">
      <c r="A209" s="38" t="s">
        <v>332</v>
      </c>
      <c r="B209" s="39">
        <v>0</v>
      </c>
      <c r="C209" s="40">
        <v>76.25</v>
      </c>
      <c r="D209" s="41">
        <v>66.666666666666671</v>
      </c>
      <c r="E209" s="42">
        <v>47.16249055827123</v>
      </c>
      <c r="F209" s="43">
        <v>50</v>
      </c>
      <c r="G209" s="44">
        <v>1.0188244175697843</v>
      </c>
      <c r="H209" s="44"/>
      <c r="I209" s="44"/>
      <c r="J209" s="44"/>
      <c r="K209" s="44"/>
      <c r="L209" s="44"/>
      <c r="M209" s="44">
        <v>47.165089092251336</v>
      </c>
      <c r="N209" s="47">
        <v>208</v>
      </c>
    </row>
    <row r="210" spans="1:14" ht="18" x14ac:dyDescent="0.25">
      <c r="A210" s="38" t="s">
        <v>444</v>
      </c>
      <c r="B210" s="39">
        <v>65</v>
      </c>
      <c r="C210" s="40">
        <v>47.5</v>
      </c>
      <c r="D210" s="41">
        <v>16.666666666666668</v>
      </c>
      <c r="E210" s="42">
        <v>58.80508896552459</v>
      </c>
      <c r="F210" s="43">
        <v>26.666666666666668</v>
      </c>
      <c r="G210" s="44">
        <v>1.0160806602136412</v>
      </c>
      <c r="H210" s="44"/>
      <c r="I210" s="44"/>
      <c r="J210" s="44"/>
      <c r="K210" s="44"/>
      <c r="L210" s="44"/>
      <c r="M210" s="44">
        <v>47.134262668780977</v>
      </c>
      <c r="N210" s="47">
        <v>209</v>
      </c>
    </row>
    <row r="211" spans="1:14" ht="18" x14ac:dyDescent="0.25">
      <c r="A211" s="38" t="s">
        <v>437</v>
      </c>
      <c r="B211" s="39">
        <v>0</v>
      </c>
      <c r="C211" s="40">
        <v>65</v>
      </c>
      <c r="D211" s="41">
        <v>66.666666666666671</v>
      </c>
      <c r="E211" s="42">
        <v>72.555982922729143</v>
      </c>
      <c r="F211" s="43">
        <v>26.666666666666668</v>
      </c>
      <c r="G211" s="44">
        <v>0.92035842027448089</v>
      </c>
      <c r="H211" s="44"/>
      <c r="I211" s="44"/>
      <c r="J211" s="44"/>
      <c r="K211" s="44"/>
      <c r="L211" s="44"/>
      <c r="M211" s="44">
        <v>47.033252947267556</v>
      </c>
      <c r="N211" s="47">
        <v>210</v>
      </c>
    </row>
    <row r="212" spans="1:14" ht="18" x14ac:dyDescent="0.25">
      <c r="A212" s="38" t="s">
        <v>334</v>
      </c>
      <c r="B212" s="39">
        <v>10</v>
      </c>
      <c r="C212" s="40">
        <v>65</v>
      </c>
      <c r="D212" s="41">
        <v>66.666666666666671</v>
      </c>
      <c r="E212" s="42">
        <v>47.443383960529658</v>
      </c>
      <c r="F212" s="43">
        <v>60</v>
      </c>
      <c r="G212" s="44">
        <v>0.92035842027448089</v>
      </c>
      <c r="H212" s="44"/>
      <c r="I212" s="44"/>
      <c r="J212" s="44"/>
      <c r="K212" s="44"/>
      <c r="L212" s="44"/>
      <c r="M212" s="44">
        <v>46.940192214865576</v>
      </c>
      <c r="N212" s="47">
        <v>211</v>
      </c>
    </row>
    <row r="213" spans="1:14" ht="18" x14ac:dyDescent="0.25">
      <c r="A213" s="38" t="s">
        <v>345</v>
      </c>
      <c r="B213" s="39">
        <v>10</v>
      </c>
      <c r="C213" s="40">
        <v>66.25</v>
      </c>
      <c r="D213" s="41">
        <v>66.666666666666671</v>
      </c>
      <c r="E213" s="42">
        <v>42.955456386579748</v>
      </c>
      <c r="F213" s="43">
        <v>50</v>
      </c>
      <c r="G213" s="44">
        <v>1.0861884242329052</v>
      </c>
      <c r="H213" s="44"/>
      <c r="I213" s="44"/>
      <c r="J213" s="44"/>
      <c r="K213" s="44"/>
      <c r="L213" s="44"/>
      <c r="M213" s="44">
        <v>46.919692693889111</v>
      </c>
      <c r="N213" s="47">
        <v>212</v>
      </c>
    </row>
    <row r="214" spans="1:14" ht="18" x14ac:dyDescent="0.25">
      <c r="A214" s="38" t="s">
        <v>426</v>
      </c>
      <c r="B214" s="39">
        <v>75</v>
      </c>
      <c r="C214" s="40">
        <v>27.5</v>
      </c>
      <c r="D214" s="41">
        <v>16.666666666666668</v>
      </c>
      <c r="E214" s="42">
        <v>76.128195684245668</v>
      </c>
      <c r="F214" s="43">
        <v>26.666666666666668</v>
      </c>
      <c r="G214" s="44">
        <v>0.922003899419229</v>
      </c>
      <c r="H214" s="44"/>
      <c r="I214" s="44"/>
      <c r="J214" s="44"/>
      <c r="K214" s="44"/>
      <c r="L214" s="44"/>
      <c r="M214" s="44">
        <v>46.887206474275828</v>
      </c>
      <c r="N214" s="47">
        <v>213</v>
      </c>
    </row>
    <row r="215" spans="1:14" ht="18" x14ac:dyDescent="0.25">
      <c r="A215" s="38" t="s">
        <v>389</v>
      </c>
      <c r="B215" s="39">
        <v>57.5</v>
      </c>
      <c r="C215" s="40">
        <v>28.75</v>
      </c>
      <c r="D215" s="41">
        <v>58.333333333333336</v>
      </c>
      <c r="E215" s="42">
        <v>48.732010776376576</v>
      </c>
      <c r="F215" s="43">
        <v>26.666666666666668</v>
      </c>
      <c r="G215" s="44">
        <v>1.0861884242329052</v>
      </c>
      <c r="H215" s="44"/>
      <c r="I215" s="44"/>
      <c r="J215" s="44"/>
      <c r="K215" s="44"/>
      <c r="L215" s="44"/>
      <c r="M215" s="44">
        <v>46.870810677146437</v>
      </c>
      <c r="N215" s="47">
        <v>214</v>
      </c>
    </row>
    <row r="216" spans="1:14" ht="18" x14ac:dyDescent="0.25">
      <c r="A216" s="38" t="s">
        <v>531</v>
      </c>
      <c r="B216" s="39">
        <v>0</v>
      </c>
      <c r="C216" s="40">
        <v>61.25</v>
      </c>
      <c r="D216" s="41">
        <v>66.666666666666671</v>
      </c>
      <c r="E216" s="42">
        <v>55.793476625303725</v>
      </c>
      <c r="F216" s="43">
        <v>43.333333333333336</v>
      </c>
      <c r="G216" s="44">
        <v>1.06954484577403</v>
      </c>
      <c r="H216" s="44"/>
      <c r="I216" s="44"/>
      <c r="J216" s="44"/>
      <c r="K216" s="44"/>
      <c r="L216" s="44"/>
      <c r="M216" s="44">
        <v>46.65208760572223</v>
      </c>
      <c r="N216" s="47">
        <v>215</v>
      </c>
    </row>
    <row r="217" spans="1:14" ht="18" x14ac:dyDescent="0.25">
      <c r="A217" s="38" t="s">
        <v>449</v>
      </c>
      <c r="B217" s="39">
        <v>0</v>
      </c>
      <c r="C217" s="40">
        <v>60</v>
      </c>
      <c r="D217" s="41">
        <v>66.666666666666671</v>
      </c>
      <c r="E217" s="42">
        <v>46.606425314733407</v>
      </c>
      <c r="F217" s="43">
        <v>66.666666666666671</v>
      </c>
      <c r="G217" s="44">
        <v>1.0380707477178501</v>
      </c>
      <c r="H217" s="44"/>
      <c r="I217" s="44"/>
      <c r="J217" s="44"/>
      <c r="K217" s="44"/>
      <c r="L217" s="44"/>
      <c r="M217" s="44">
        <v>46.514230032476434</v>
      </c>
      <c r="N217" s="47">
        <v>216</v>
      </c>
    </row>
    <row r="218" spans="1:14" ht="18" x14ac:dyDescent="0.25">
      <c r="A218" s="38" t="s">
        <v>454</v>
      </c>
      <c r="B218" s="39">
        <v>10</v>
      </c>
      <c r="C218" s="40">
        <v>66.25</v>
      </c>
      <c r="D218" s="41">
        <v>75</v>
      </c>
      <c r="E218" s="42">
        <v>54.066322603431608</v>
      </c>
      <c r="F218" s="43">
        <v>33.333333333333336</v>
      </c>
      <c r="G218" s="44">
        <v>0.92503563975347836</v>
      </c>
      <c r="H218" s="44"/>
      <c r="I218" s="44"/>
      <c r="J218" s="44"/>
      <c r="K218" s="44"/>
      <c r="L218" s="44"/>
      <c r="M218" s="44">
        <v>46.354053875081945</v>
      </c>
      <c r="N218" s="47">
        <v>217</v>
      </c>
    </row>
    <row r="219" spans="1:14" ht="18" x14ac:dyDescent="0.25">
      <c r="A219" s="38" t="s">
        <v>397</v>
      </c>
      <c r="B219" s="39">
        <v>0</v>
      </c>
      <c r="C219" s="40">
        <v>77.5</v>
      </c>
      <c r="D219" s="41">
        <v>83.333333333333329</v>
      </c>
      <c r="E219" s="42">
        <v>37.255082794640259</v>
      </c>
      <c r="F219" s="43">
        <v>43.333333333333336</v>
      </c>
      <c r="G219" s="44">
        <v>1.0582569412051155</v>
      </c>
      <c r="H219" s="44"/>
      <c r="I219" s="44"/>
      <c r="J219" s="44"/>
      <c r="K219" s="44"/>
      <c r="L219" s="44"/>
      <c r="M219" s="44">
        <v>46.327634988779799</v>
      </c>
      <c r="N219" s="47">
        <v>218</v>
      </c>
    </row>
    <row r="220" spans="1:14" ht="18" x14ac:dyDescent="0.25">
      <c r="A220" s="38" t="s">
        <v>445</v>
      </c>
      <c r="B220" s="39">
        <v>20</v>
      </c>
      <c r="C220" s="40">
        <v>43.75</v>
      </c>
      <c r="D220" s="41">
        <v>58.333333333333336</v>
      </c>
      <c r="E220" s="42">
        <v>53.267246217200132</v>
      </c>
      <c r="F220" s="43">
        <v>60</v>
      </c>
      <c r="G220" s="44">
        <v>0.98935980744804897</v>
      </c>
      <c r="H220" s="44"/>
      <c r="I220" s="44"/>
      <c r="J220" s="44"/>
      <c r="K220" s="44"/>
      <c r="L220" s="44"/>
      <c r="M220" s="44">
        <v>46.267580968013277</v>
      </c>
      <c r="N220" s="47">
        <v>219</v>
      </c>
    </row>
    <row r="221" spans="1:14" ht="18" x14ac:dyDescent="0.25">
      <c r="A221" s="38" t="s">
        <v>526</v>
      </c>
      <c r="B221" s="39">
        <v>20</v>
      </c>
      <c r="C221" s="40">
        <v>53.75</v>
      </c>
      <c r="D221" s="41">
        <v>16.666666666666668</v>
      </c>
      <c r="E221" s="42">
        <v>79.275212462506886</v>
      </c>
      <c r="F221" s="43">
        <v>43.333333333333336</v>
      </c>
      <c r="G221" s="44">
        <v>0.95206965986969316</v>
      </c>
      <c r="H221" s="44"/>
      <c r="I221" s="44"/>
      <c r="J221" s="44"/>
      <c r="K221" s="44"/>
      <c r="L221" s="44"/>
      <c r="M221" s="44">
        <v>46.200936009061749</v>
      </c>
      <c r="N221" s="47">
        <v>220</v>
      </c>
    </row>
    <row r="222" spans="1:14" ht="18" x14ac:dyDescent="0.25">
      <c r="A222" s="38" t="s">
        <v>339</v>
      </c>
      <c r="B222" s="39">
        <v>55</v>
      </c>
      <c r="C222" s="40">
        <v>38.75</v>
      </c>
      <c r="D222" s="41">
        <v>50</v>
      </c>
      <c r="E222" s="42">
        <v>60.796487122641224</v>
      </c>
      <c r="F222" s="43">
        <v>26.666666666666668</v>
      </c>
      <c r="G222" s="44">
        <v>0.92102772856564563</v>
      </c>
      <c r="H222" s="44"/>
      <c r="I222" s="44"/>
      <c r="J222" s="44"/>
      <c r="K222" s="44"/>
      <c r="L222" s="44"/>
      <c r="M222" s="44">
        <v>46.17988014602313</v>
      </c>
      <c r="N222" s="47">
        <v>221</v>
      </c>
    </row>
    <row r="223" spans="1:14" ht="18" x14ac:dyDescent="0.25">
      <c r="A223" s="38" t="s">
        <v>489</v>
      </c>
      <c r="B223" s="39">
        <v>10</v>
      </c>
      <c r="C223" s="40">
        <v>37.5</v>
      </c>
      <c r="D223" s="41">
        <v>58.333333333333336</v>
      </c>
      <c r="E223" s="42">
        <v>63.595037087058884</v>
      </c>
      <c r="F223" s="43">
        <v>60</v>
      </c>
      <c r="G223" s="44">
        <v>0.98683679855504047</v>
      </c>
      <c r="H223" s="44"/>
      <c r="I223" s="44"/>
      <c r="J223" s="44"/>
      <c r="K223" s="44"/>
      <c r="L223" s="44"/>
      <c r="M223" s="44">
        <v>46.051050438004758</v>
      </c>
      <c r="N223" s="47">
        <v>222</v>
      </c>
    </row>
    <row r="224" spans="1:14" ht="18" x14ac:dyDescent="0.25">
      <c r="A224" s="38" t="s">
        <v>361</v>
      </c>
      <c r="B224" s="39">
        <v>10</v>
      </c>
      <c r="C224" s="40">
        <v>66.25</v>
      </c>
      <c r="D224" s="41">
        <v>50</v>
      </c>
      <c r="E224" s="42">
        <v>62.163982346664739</v>
      </c>
      <c r="F224" s="43">
        <v>26.666666666666668</v>
      </c>
      <c r="G224" s="44">
        <v>1.0305384057745832</v>
      </c>
      <c r="H224" s="44"/>
      <c r="I224" s="44"/>
      <c r="J224" s="44"/>
      <c r="K224" s="44"/>
      <c r="L224" s="44"/>
      <c r="M224" s="44">
        <v>46.02978819078853</v>
      </c>
      <c r="N224" s="47">
        <v>223</v>
      </c>
    </row>
    <row r="225" spans="1:14" ht="18" x14ac:dyDescent="0.25">
      <c r="A225" s="38" t="s">
        <v>416</v>
      </c>
      <c r="B225" s="39">
        <v>62.5</v>
      </c>
      <c r="C225" s="40">
        <v>27.5</v>
      </c>
      <c r="D225" s="41">
        <v>16.666666666666668</v>
      </c>
      <c r="E225" s="42">
        <v>71.922861406301635</v>
      </c>
      <c r="F225" s="43">
        <v>43.333333333333336</v>
      </c>
      <c r="G225" s="44">
        <v>0.92035842027448089</v>
      </c>
      <c r="H225" s="44"/>
      <c r="I225" s="44"/>
      <c r="J225" s="44"/>
      <c r="K225" s="44"/>
      <c r="L225" s="44"/>
      <c r="M225" s="44">
        <v>45.862923585088268</v>
      </c>
      <c r="N225" s="47">
        <v>224</v>
      </c>
    </row>
    <row r="226" spans="1:14" ht="18" x14ac:dyDescent="0.25">
      <c r="A226" s="38" t="s">
        <v>522</v>
      </c>
      <c r="B226" s="39">
        <v>10</v>
      </c>
      <c r="C226" s="40">
        <v>50</v>
      </c>
      <c r="D226" s="41">
        <v>66.666666666666671</v>
      </c>
      <c r="E226" s="42">
        <v>54.128472989027394</v>
      </c>
      <c r="F226" s="43">
        <v>60</v>
      </c>
      <c r="G226" s="44">
        <v>0.92135930496978646</v>
      </c>
      <c r="H226" s="44"/>
      <c r="I226" s="44"/>
      <c r="J226" s="44"/>
      <c r="K226" s="44"/>
      <c r="L226" s="44"/>
      <c r="M226" s="44">
        <v>45.804250285613413</v>
      </c>
      <c r="N226" s="47">
        <v>225</v>
      </c>
    </row>
    <row r="227" spans="1:14" ht="18" x14ac:dyDescent="0.25">
      <c r="A227" s="38" t="s">
        <v>363</v>
      </c>
      <c r="B227" s="39">
        <v>65</v>
      </c>
      <c r="C227" s="40">
        <v>27.5</v>
      </c>
      <c r="D227" s="41">
        <v>41.666666666666664</v>
      </c>
      <c r="E227" s="42">
        <v>70.04722544079884</v>
      </c>
      <c r="F227" s="43">
        <v>13.333333333333334</v>
      </c>
      <c r="G227" s="44">
        <v>0.93330326212484827</v>
      </c>
      <c r="H227" s="44"/>
      <c r="I227" s="44"/>
      <c r="J227" s="44"/>
      <c r="K227" s="44"/>
      <c r="L227" s="44"/>
      <c r="M227" s="44">
        <v>45.495533609630698</v>
      </c>
      <c r="N227" s="47">
        <v>226</v>
      </c>
    </row>
    <row r="228" spans="1:14" ht="18" x14ac:dyDescent="0.25">
      <c r="A228" s="38" t="s">
        <v>499</v>
      </c>
      <c r="B228" s="39">
        <v>10</v>
      </c>
      <c r="C228" s="40">
        <v>58.75</v>
      </c>
      <c r="D228" s="41">
        <v>58.333333333333336</v>
      </c>
      <c r="E228" s="42">
        <v>59.064482811209814</v>
      </c>
      <c r="F228" s="43">
        <v>43.333333333333336</v>
      </c>
      <c r="G228" s="44">
        <v>0.93460077186507284</v>
      </c>
      <c r="H228" s="44"/>
      <c r="I228" s="44"/>
      <c r="J228" s="44"/>
      <c r="K228" s="44"/>
      <c r="L228" s="44"/>
      <c r="M228" s="44">
        <v>45.429714911280556</v>
      </c>
      <c r="N228" s="47">
        <v>227</v>
      </c>
    </row>
    <row r="229" spans="1:14" ht="18" x14ac:dyDescent="0.25">
      <c r="A229" s="38" t="s">
        <v>502</v>
      </c>
      <c r="B229" s="39">
        <v>0</v>
      </c>
      <c r="C229" s="40">
        <v>66.25</v>
      </c>
      <c r="D229" s="41">
        <v>66.666666666666671</v>
      </c>
      <c r="E229" s="42">
        <v>44.874515936945159</v>
      </c>
      <c r="F229" s="43">
        <v>50</v>
      </c>
      <c r="G229" s="44">
        <v>1.0861884242329052</v>
      </c>
      <c r="H229" s="44"/>
      <c r="I229" s="44"/>
      <c r="J229" s="44"/>
      <c r="K229" s="44"/>
      <c r="L229" s="44"/>
      <c r="M229" s="44">
        <v>45.372653926129452</v>
      </c>
      <c r="N229" s="47">
        <v>228</v>
      </c>
    </row>
    <row r="230" spans="1:14" ht="18" x14ac:dyDescent="0.25">
      <c r="A230" s="38" t="s">
        <v>587</v>
      </c>
      <c r="B230" s="39">
        <v>0</v>
      </c>
      <c r="C230" s="40">
        <v>77.5</v>
      </c>
      <c r="D230" s="41">
        <v>58.333333333333336</v>
      </c>
      <c r="E230" s="42">
        <v>38.186164782881264</v>
      </c>
      <c r="F230" s="43">
        <v>60</v>
      </c>
      <c r="G230" s="44">
        <v>1.0296333825708335</v>
      </c>
      <c r="H230" s="44"/>
      <c r="I230" s="44"/>
      <c r="J230" s="44"/>
      <c r="K230" s="44"/>
      <c r="L230" s="44"/>
      <c r="M230" s="44">
        <v>45.045325003841583</v>
      </c>
      <c r="N230" s="47">
        <v>229</v>
      </c>
    </row>
    <row r="231" spans="1:14" ht="18" x14ac:dyDescent="0.25">
      <c r="A231" s="38" t="s">
        <v>325</v>
      </c>
      <c r="B231" s="39">
        <v>10</v>
      </c>
      <c r="C231" s="40">
        <v>53.75</v>
      </c>
      <c r="D231" s="41">
        <v>41.666666666666664</v>
      </c>
      <c r="E231" s="42">
        <v>68.173292580267486</v>
      </c>
      <c r="F231" s="43">
        <v>26.666666666666668</v>
      </c>
      <c r="G231" s="44">
        <v>1.0661896421840105</v>
      </c>
      <c r="H231" s="44"/>
      <c r="I231" s="44"/>
      <c r="J231" s="44"/>
      <c r="K231" s="44"/>
      <c r="L231" s="44"/>
      <c r="M231" s="44">
        <v>44.938076811166397</v>
      </c>
      <c r="N231" s="47">
        <v>230</v>
      </c>
    </row>
    <row r="232" spans="1:14" ht="18" x14ac:dyDescent="0.25">
      <c r="A232" s="38" t="s">
        <v>560</v>
      </c>
      <c r="B232" s="39">
        <v>42.5</v>
      </c>
      <c r="C232" s="40">
        <v>36.25</v>
      </c>
      <c r="D232" s="41">
        <v>58.333333333333336</v>
      </c>
      <c r="E232" s="42">
        <v>47.657002330801603</v>
      </c>
      <c r="F232" s="43">
        <v>26.666666666666668</v>
      </c>
      <c r="G232" s="44">
        <v>1.0861884242329052</v>
      </c>
      <c r="H232" s="44"/>
      <c r="I232" s="44"/>
      <c r="J232" s="44"/>
      <c r="K232" s="44"/>
      <c r="L232" s="44"/>
      <c r="M232" s="44">
        <v>44.76194688558688</v>
      </c>
      <c r="N232" s="47">
        <v>231</v>
      </c>
    </row>
    <row r="233" spans="1:14" ht="18" x14ac:dyDescent="0.25">
      <c r="A233" s="38" t="s">
        <v>477</v>
      </c>
      <c r="B233" s="39">
        <v>65</v>
      </c>
      <c r="C233" s="40">
        <v>60</v>
      </c>
      <c r="D233" s="41">
        <v>33.333333333333336</v>
      </c>
      <c r="E233" s="42">
        <v>32.919820185625696</v>
      </c>
      <c r="F233" s="43">
        <v>26.666666666666668</v>
      </c>
      <c r="G233" s="44">
        <v>1.0215434534303263</v>
      </c>
      <c r="H233" s="44"/>
      <c r="I233" s="44"/>
      <c r="J233" s="44"/>
      <c r="K233" s="44"/>
      <c r="L233" s="44"/>
      <c r="M233" s="44">
        <v>44.368772934213077</v>
      </c>
      <c r="N233" s="47">
        <v>232</v>
      </c>
    </row>
    <row r="234" spans="1:14" ht="18" x14ac:dyDescent="0.25">
      <c r="A234" s="38" t="s">
        <v>440</v>
      </c>
      <c r="B234" s="39">
        <v>30</v>
      </c>
      <c r="C234" s="40">
        <v>32.5</v>
      </c>
      <c r="D234" s="41">
        <v>66.666666666666671</v>
      </c>
      <c r="E234" s="42">
        <v>57.345495329151902</v>
      </c>
      <c r="F234" s="43">
        <v>43.333333333333336</v>
      </c>
      <c r="G234" s="44">
        <v>0.92035842027448089</v>
      </c>
      <c r="H234" s="44"/>
      <c r="I234" s="44"/>
      <c r="J234" s="44"/>
      <c r="K234" s="44"/>
      <c r="L234" s="44"/>
      <c r="M234" s="44">
        <v>44.355673368945645</v>
      </c>
      <c r="N234" s="47">
        <v>233</v>
      </c>
    </row>
    <row r="235" spans="1:14" ht="18" x14ac:dyDescent="0.25">
      <c r="A235" s="38" t="s">
        <v>353</v>
      </c>
      <c r="B235" s="39">
        <v>22.5</v>
      </c>
      <c r="C235" s="40">
        <v>32.5</v>
      </c>
      <c r="D235" s="41">
        <v>41.666666666666664</v>
      </c>
      <c r="E235" s="42">
        <v>59.347831654763873</v>
      </c>
      <c r="F235" s="43">
        <v>60</v>
      </c>
      <c r="G235" s="44">
        <v>1.0064790004448334</v>
      </c>
      <c r="H235" s="44"/>
      <c r="I235" s="44"/>
      <c r="J235" s="44"/>
      <c r="K235" s="44"/>
      <c r="L235" s="44"/>
      <c r="M235" s="44">
        <v>44.198859386738249</v>
      </c>
      <c r="N235" s="47">
        <v>234</v>
      </c>
    </row>
    <row r="236" spans="1:14" ht="18" x14ac:dyDescent="0.25">
      <c r="A236" s="38" t="s">
        <v>524</v>
      </c>
      <c r="B236" s="39">
        <v>0</v>
      </c>
      <c r="C236" s="40">
        <v>50</v>
      </c>
      <c r="D236" s="41">
        <v>83.333333333333329</v>
      </c>
      <c r="E236" s="42">
        <v>54.982557967500973</v>
      </c>
      <c r="F236" s="43">
        <v>43.333333333333336</v>
      </c>
      <c r="G236" s="44">
        <v>0.92035842027448089</v>
      </c>
      <c r="H236" s="44"/>
      <c r="I236" s="44"/>
      <c r="J236" s="44"/>
      <c r="K236" s="44"/>
      <c r="L236" s="44"/>
      <c r="M236" s="44">
        <v>44.18109805808578</v>
      </c>
      <c r="N236" s="47">
        <v>235</v>
      </c>
    </row>
    <row r="237" spans="1:14" ht="18" x14ac:dyDescent="0.25">
      <c r="A237" s="38" t="s">
        <v>382</v>
      </c>
      <c r="B237" s="39">
        <v>55</v>
      </c>
      <c r="C237" s="40">
        <v>45</v>
      </c>
      <c r="D237" s="41">
        <v>33.333333333333336</v>
      </c>
      <c r="E237" s="42">
        <v>34.397221837986052</v>
      </c>
      <c r="F237" s="43">
        <v>43.333333333333336</v>
      </c>
      <c r="G237" s="44">
        <v>1.0861884242329052</v>
      </c>
      <c r="H237" s="44"/>
      <c r="I237" s="44"/>
      <c r="J237" s="44"/>
      <c r="K237" s="44"/>
      <c r="L237" s="44"/>
      <c r="M237" s="44">
        <v>43.656631922419479</v>
      </c>
      <c r="N237" s="47">
        <v>236</v>
      </c>
    </row>
    <row r="238" spans="1:14" ht="18" x14ac:dyDescent="0.25">
      <c r="A238" s="38" t="s">
        <v>442</v>
      </c>
      <c r="B238" s="39">
        <v>20</v>
      </c>
      <c r="C238" s="40">
        <v>55</v>
      </c>
      <c r="D238" s="41">
        <v>33.333333333333336</v>
      </c>
      <c r="E238" s="42">
        <v>63.15139482828711</v>
      </c>
      <c r="F238" s="43">
        <v>43.333333333333336</v>
      </c>
      <c r="G238" s="44">
        <v>0.92035842027448089</v>
      </c>
      <c r="H238" s="44"/>
      <c r="I238" s="44"/>
      <c r="J238" s="44"/>
      <c r="K238" s="44"/>
      <c r="L238" s="44"/>
      <c r="M238" s="44">
        <v>43.618009075785622</v>
      </c>
      <c r="N238" s="47">
        <v>237</v>
      </c>
    </row>
    <row r="239" spans="1:14" ht="18" x14ac:dyDescent="0.25">
      <c r="A239" s="38" t="s">
        <v>399</v>
      </c>
      <c r="B239" s="39">
        <v>32.5</v>
      </c>
      <c r="C239" s="40">
        <v>38.75</v>
      </c>
      <c r="D239" s="41">
        <v>41.666666666666664</v>
      </c>
      <c r="E239" s="42">
        <v>51.422657003490826</v>
      </c>
      <c r="F239" s="43">
        <v>43.333333333333336</v>
      </c>
      <c r="G239" s="44">
        <v>1.0321228222588212</v>
      </c>
      <c r="H239" s="44"/>
      <c r="I239" s="44"/>
      <c r="J239" s="44"/>
      <c r="K239" s="44"/>
      <c r="L239" s="44"/>
      <c r="M239" s="44">
        <v>43.131147707029427</v>
      </c>
      <c r="N239" s="47">
        <v>238</v>
      </c>
    </row>
    <row r="240" spans="1:14" ht="18" x14ac:dyDescent="0.25">
      <c r="A240" s="38" t="s">
        <v>532</v>
      </c>
      <c r="B240" s="39">
        <v>0</v>
      </c>
      <c r="C240" s="40">
        <v>76.25</v>
      </c>
      <c r="D240" s="41">
        <v>58.333333333333336</v>
      </c>
      <c r="E240" s="42">
        <v>47.810807589789945</v>
      </c>
      <c r="F240" s="43">
        <v>26.666666666666668</v>
      </c>
      <c r="G240" s="44">
        <v>1.0432740822886371</v>
      </c>
      <c r="H240" s="44"/>
      <c r="I240" s="44"/>
      <c r="J240" s="44"/>
      <c r="K240" s="44"/>
      <c r="L240" s="44"/>
      <c r="M240" s="44">
        <v>42.96393292351501</v>
      </c>
      <c r="N240" s="47">
        <v>239</v>
      </c>
    </row>
    <row r="241" spans="1:14" ht="18" x14ac:dyDescent="0.25">
      <c r="A241" s="38" t="s">
        <v>410</v>
      </c>
      <c r="B241" s="39">
        <v>10</v>
      </c>
      <c r="C241" s="40">
        <v>53.75</v>
      </c>
      <c r="D241" s="41">
        <v>41.666666666666664</v>
      </c>
      <c r="E241" s="42">
        <v>58.658203949358679</v>
      </c>
      <c r="F241" s="43">
        <v>43.333333333333336</v>
      </c>
      <c r="G241" s="44">
        <v>0.98832016945080292</v>
      </c>
      <c r="H241" s="44"/>
      <c r="I241" s="44"/>
      <c r="J241" s="44"/>
      <c r="K241" s="44"/>
      <c r="L241" s="44"/>
      <c r="M241" s="44">
        <v>42.868566158974588</v>
      </c>
      <c r="N241" s="47">
        <v>240</v>
      </c>
    </row>
    <row r="242" spans="1:14" ht="18" x14ac:dyDescent="0.25">
      <c r="A242" s="38" t="s">
        <v>402</v>
      </c>
      <c r="B242" s="39">
        <v>10</v>
      </c>
      <c r="C242" s="40">
        <v>53.75</v>
      </c>
      <c r="D242" s="41">
        <v>58.333333333333336</v>
      </c>
      <c r="E242" s="42">
        <v>53.853375205496988</v>
      </c>
      <c r="F242" s="43">
        <v>26.666666666666668</v>
      </c>
      <c r="G242" s="44">
        <v>1.0296970336996123</v>
      </c>
      <c r="H242" s="44"/>
      <c r="I242" s="44"/>
      <c r="J242" s="44"/>
      <c r="K242" s="44"/>
      <c r="L242" s="44"/>
      <c r="M242" s="44">
        <v>42.195192278542976</v>
      </c>
      <c r="N242" s="47">
        <v>241</v>
      </c>
    </row>
    <row r="243" spans="1:14" ht="18" x14ac:dyDescent="0.25">
      <c r="A243" s="38" t="s">
        <v>439</v>
      </c>
      <c r="B243" s="39">
        <v>10</v>
      </c>
      <c r="C243" s="40">
        <v>37.5</v>
      </c>
      <c r="D243" s="41">
        <v>41.666666666666664</v>
      </c>
      <c r="E243" s="42">
        <v>66.219901113466079</v>
      </c>
      <c r="F243" s="43">
        <v>33.333333333333336</v>
      </c>
      <c r="G243" s="44">
        <v>1.0714579080237403</v>
      </c>
      <c r="H243" s="44"/>
      <c r="I243" s="44"/>
      <c r="J243" s="44"/>
      <c r="K243" s="44"/>
      <c r="L243" s="44"/>
      <c r="M243" s="44">
        <v>42.178466831019477</v>
      </c>
      <c r="N243" s="47">
        <v>242</v>
      </c>
    </row>
    <row r="244" spans="1:14" ht="18" x14ac:dyDescent="0.25">
      <c r="A244" s="38" t="s">
        <v>314</v>
      </c>
      <c r="B244" s="39">
        <v>10</v>
      </c>
      <c r="C244" s="40">
        <v>32.5</v>
      </c>
      <c r="D244" s="41">
        <v>75</v>
      </c>
      <c r="E244" s="42">
        <v>58.233357980520211</v>
      </c>
      <c r="F244" s="43">
        <v>43.333333333333336</v>
      </c>
      <c r="G244" s="44">
        <v>0.92035842027448089</v>
      </c>
      <c r="H244" s="44"/>
      <c r="I244" s="44"/>
      <c r="J244" s="44"/>
      <c r="K244" s="44"/>
      <c r="L244" s="44"/>
      <c r="M244" s="44">
        <v>42.169385248017939</v>
      </c>
      <c r="N244" s="47">
        <v>243</v>
      </c>
    </row>
    <row r="245" spans="1:14" ht="18" x14ac:dyDescent="0.25">
      <c r="A245" s="38" t="s">
        <v>424</v>
      </c>
      <c r="B245" s="39">
        <v>0</v>
      </c>
      <c r="C245" s="40">
        <v>65</v>
      </c>
      <c r="D245" s="41">
        <v>75</v>
      </c>
      <c r="E245" s="42">
        <v>36.995270290956341</v>
      </c>
      <c r="F245" s="43">
        <v>43.333333333333336</v>
      </c>
      <c r="G245" s="44">
        <v>1.0257914060631408</v>
      </c>
      <c r="H245" s="44"/>
      <c r="I245" s="44"/>
      <c r="J245" s="44"/>
      <c r="K245" s="44"/>
      <c r="L245" s="44"/>
      <c r="M245" s="44">
        <v>42.134829098833812</v>
      </c>
      <c r="N245" s="47">
        <v>244</v>
      </c>
    </row>
    <row r="246" spans="1:14" ht="18" x14ac:dyDescent="0.25">
      <c r="A246" s="38" t="s">
        <v>327</v>
      </c>
      <c r="B246" s="39">
        <v>0</v>
      </c>
      <c r="C246" s="40">
        <v>48.75</v>
      </c>
      <c r="D246" s="41">
        <v>50</v>
      </c>
      <c r="E246" s="42">
        <v>68.144976818755737</v>
      </c>
      <c r="F246" s="43">
        <v>26.666666666666668</v>
      </c>
      <c r="G246" s="44">
        <v>1.0109755897735506</v>
      </c>
      <c r="H246" s="44"/>
      <c r="I246" s="44"/>
      <c r="J246" s="44"/>
      <c r="K246" s="44"/>
      <c r="L246" s="44"/>
      <c r="M246" s="44">
        <v>41.917872438833953</v>
      </c>
      <c r="N246" s="47">
        <v>245</v>
      </c>
    </row>
    <row r="247" spans="1:14" ht="18" x14ac:dyDescent="0.25">
      <c r="A247" s="38" t="s">
        <v>364</v>
      </c>
      <c r="B247" s="39">
        <v>10</v>
      </c>
      <c r="C247" s="40">
        <v>50</v>
      </c>
      <c r="D247" s="41">
        <v>66.666666666666671</v>
      </c>
      <c r="E247" s="42">
        <v>44.014297539756768</v>
      </c>
      <c r="F247" s="43">
        <v>43.333333333333336</v>
      </c>
      <c r="G247" s="44">
        <v>0.99712728574066567</v>
      </c>
      <c r="H247" s="44"/>
      <c r="I247" s="44"/>
      <c r="J247" s="44"/>
      <c r="K247" s="44"/>
      <c r="L247" s="44"/>
      <c r="M247" s="44">
        <v>41.660611683361246</v>
      </c>
      <c r="N247" s="47">
        <v>246</v>
      </c>
    </row>
    <row r="248" spans="1:14" ht="18" x14ac:dyDescent="0.25">
      <c r="A248" s="38" t="s">
        <v>471</v>
      </c>
      <c r="B248" s="39">
        <v>10</v>
      </c>
      <c r="C248" s="40">
        <v>43.75</v>
      </c>
      <c r="D248" s="41">
        <v>58.333333333333336</v>
      </c>
      <c r="E248" s="42">
        <v>66.204614533756171</v>
      </c>
      <c r="F248" s="43">
        <v>26.666666666666668</v>
      </c>
      <c r="G248" s="44">
        <v>0.92035842027448089</v>
      </c>
      <c r="H248" s="44"/>
      <c r="I248" s="44"/>
      <c r="J248" s="44"/>
      <c r="K248" s="44"/>
      <c r="L248" s="44"/>
      <c r="M248" s="44">
        <v>41.620309174699592</v>
      </c>
      <c r="N248" s="47">
        <v>247</v>
      </c>
    </row>
    <row r="249" spans="1:14" ht="18" x14ac:dyDescent="0.25">
      <c r="A249" s="38" t="s">
        <v>566</v>
      </c>
      <c r="B249" s="39">
        <v>0</v>
      </c>
      <c r="C249" s="40">
        <v>70</v>
      </c>
      <c r="D249" s="41">
        <v>58.333333333333336</v>
      </c>
      <c r="E249" s="42">
        <v>43.772315765057506</v>
      </c>
      <c r="F249" s="43">
        <v>43.333333333333336</v>
      </c>
      <c r="G249" s="44">
        <v>0.92035842027448089</v>
      </c>
      <c r="H249" s="44"/>
      <c r="I249" s="44"/>
      <c r="J249" s="44"/>
      <c r="K249" s="44"/>
      <c r="L249" s="44"/>
      <c r="M249" s="44">
        <v>41.335865816785223</v>
      </c>
      <c r="N249" s="47">
        <v>248</v>
      </c>
    </row>
    <row r="250" spans="1:14" ht="18" x14ac:dyDescent="0.25">
      <c r="A250" s="38" t="s">
        <v>596</v>
      </c>
      <c r="B250" s="39">
        <v>20</v>
      </c>
      <c r="C250" s="40">
        <v>27.5</v>
      </c>
      <c r="D250" s="41">
        <v>33.333333333333336</v>
      </c>
      <c r="E250" s="42">
        <v>64.532838961004302</v>
      </c>
      <c r="F250" s="43">
        <v>43.333333333333336</v>
      </c>
      <c r="G250" s="44">
        <v>1.0285386758532915</v>
      </c>
      <c r="H250" s="44"/>
      <c r="I250" s="44"/>
      <c r="J250" s="44"/>
      <c r="K250" s="44"/>
      <c r="L250" s="44"/>
      <c r="M250" s="44">
        <v>41.02651092361468</v>
      </c>
      <c r="N250" s="47">
        <v>249</v>
      </c>
    </row>
    <row r="251" spans="1:14" ht="18" x14ac:dyDescent="0.25">
      <c r="A251" s="38" t="s">
        <v>350</v>
      </c>
      <c r="B251" s="39">
        <v>0</v>
      </c>
      <c r="C251" s="40">
        <v>70</v>
      </c>
      <c r="D251" s="41">
        <v>66.666666666666671</v>
      </c>
      <c r="E251" s="42">
        <v>32.271856529335466</v>
      </c>
      <c r="F251" s="43">
        <v>43.333333333333336</v>
      </c>
      <c r="G251" s="44">
        <v>1.0861884242329052</v>
      </c>
      <c r="H251" s="44"/>
      <c r="I251" s="44"/>
      <c r="J251" s="44"/>
      <c r="K251" s="44"/>
      <c r="L251" s="44"/>
      <c r="M251" s="44">
        <v>41.015995097200786</v>
      </c>
      <c r="N251" s="47">
        <v>250</v>
      </c>
    </row>
    <row r="252" spans="1:14" ht="18" x14ac:dyDescent="0.25">
      <c r="A252" s="38" t="s">
        <v>602</v>
      </c>
      <c r="B252" s="39">
        <v>10</v>
      </c>
      <c r="C252" s="40">
        <v>38.75</v>
      </c>
      <c r="D252" s="41">
        <v>58.333333333333336</v>
      </c>
      <c r="E252" s="42">
        <v>51.280732927031529</v>
      </c>
      <c r="F252" s="43">
        <v>43.333333333333336</v>
      </c>
      <c r="G252" s="44">
        <v>1.0288669736070541</v>
      </c>
      <c r="H252" s="44"/>
      <c r="I252" s="44"/>
      <c r="J252" s="44"/>
      <c r="K252" s="44"/>
      <c r="L252" s="44"/>
      <c r="M252" s="44">
        <v>40.886049694510078</v>
      </c>
      <c r="N252" s="47">
        <v>251</v>
      </c>
    </row>
    <row r="253" spans="1:14" ht="18" x14ac:dyDescent="0.25">
      <c r="A253" s="38" t="s">
        <v>411</v>
      </c>
      <c r="B253" s="39">
        <v>10</v>
      </c>
      <c r="C253" s="40">
        <v>61.25</v>
      </c>
      <c r="D253" s="41">
        <v>75</v>
      </c>
      <c r="E253" s="42">
        <v>35.318965389916549</v>
      </c>
      <c r="F253" s="43">
        <v>26.666666666666668</v>
      </c>
      <c r="G253" s="44">
        <v>1.0625076052031726</v>
      </c>
      <c r="H253" s="44"/>
      <c r="I253" s="44"/>
      <c r="J253" s="44"/>
      <c r="K253" s="44"/>
      <c r="L253" s="44"/>
      <c r="M253" s="44">
        <v>40.883016010814536</v>
      </c>
      <c r="N253" s="47">
        <v>252</v>
      </c>
    </row>
    <row r="254" spans="1:14" ht="18" x14ac:dyDescent="0.25">
      <c r="A254" s="38" t="s">
        <v>309</v>
      </c>
      <c r="B254" s="39">
        <v>0</v>
      </c>
      <c r="C254" s="40">
        <v>37.5</v>
      </c>
      <c r="D254" s="41">
        <v>91.666666666666671</v>
      </c>
      <c r="E254" s="42">
        <v>61.146368540228906</v>
      </c>
      <c r="F254" s="43">
        <v>13.333333333333334</v>
      </c>
      <c r="G254" s="44">
        <v>0.92035842027448089</v>
      </c>
      <c r="H254" s="44"/>
      <c r="I254" s="44"/>
      <c r="J254" s="44"/>
      <c r="K254" s="44"/>
      <c r="L254" s="44"/>
      <c r="M254" s="44">
        <v>40.132972546561888</v>
      </c>
      <c r="N254" s="47">
        <v>253</v>
      </c>
    </row>
    <row r="255" spans="1:14" ht="18" x14ac:dyDescent="0.25">
      <c r="A255" s="38" t="s">
        <v>448</v>
      </c>
      <c r="B255" s="39">
        <v>22.5</v>
      </c>
      <c r="C255" s="40">
        <v>58.75</v>
      </c>
      <c r="D255" s="41">
        <v>33.333333333333336</v>
      </c>
      <c r="E255" s="42">
        <v>47.297892766933678</v>
      </c>
      <c r="F255" s="43">
        <v>26.666666666666668</v>
      </c>
      <c r="G255" s="44">
        <v>1.0312710225207264</v>
      </c>
      <c r="H255" s="44"/>
      <c r="I255" s="44"/>
      <c r="J255" s="44"/>
      <c r="K255" s="44"/>
      <c r="L255" s="44"/>
      <c r="M255" s="44">
        <v>40.023803472392679</v>
      </c>
      <c r="N255" s="47">
        <v>254</v>
      </c>
    </row>
    <row r="256" spans="1:14" ht="18" x14ac:dyDescent="0.25">
      <c r="A256" s="38" t="s">
        <v>544</v>
      </c>
      <c r="B256" s="39">
        <v>20</v>
      </c>
      <c r="C256" s="40">
        <v>32.5</v>
      </c>
      <c r="D256" s="41">
        <v>58.333333333333336</v>
      </c>
      <c r="E256" s="42">
        <v>58.659002920232197</v>
      </c>
      <c r="F256" s="43">
        <v>13.333333333333334</v>
      </c>
      <c r="G256" s="44">
        <v>1.0486957774450114</v>
      </c>
      <c r="H256" s="44"/>
      <c r="I256" s="44"/>
      <c r="J256" s="44"/>
      <c r="K256" s="44"/>
      <c r="L256" s="44"/>
      <c r="M256" s="44">
        <v>39.899417711254678</v>
      </c>
      <c r="N256" s="47">
        <v>255</v>
      </c>
    </row>
    <row r="257" spans="1:14" ht="18" x14ac:dyDescent="0.25">
      <c r="A257" s="38" t="s">
        <v>415</v>
      </c>
      <c r="B257" s="39">
        <v>10</v>
      </c>
      <c r="C257" s="40">
        <v>32.5</v>
      </c>
      <c r="D257" s="41">
        <v>33.333333333333336</v>
      </c>
      <c r="E257" s="42">
        <v>65.437075047020784</v>
      </c>
      <c r="F257" s="43">
        <v>30</v>
      </c>
      <c r="G257" s="44">
        <v>1.0619236178016014</v>
      </c>
      <c r="H257" s="44"/>
      <c r="I257" s="44"/>
      <c r="J257" s="44"/>
      <c r="K257" s="44"/>
      <c r="L257" s="44"/>
      <c r="M257" s="44">
        <v>38.970599877289366</v>
      </c>
      <c r="N257" s="47">
        <v>256</v>
      </c>
    </row>
    <row r="258" spans="1:14" ht="18" x14ac:dyDescent="0.25">
      <c r="A258" s="38" t="s">
        <v>536</v>
      </c>
      <c r="B258" s="39">
        <v>10</v>
      </c>
      <c r="C258" s="40">
        <v>48.75</v>
      </c>
      <c r="D258" s="41">
        <v>16.666666666666668</v>
      </c>
      <c r="E258" s="42">
        <v>54.459900498527659</v>
      </c>
      <c r="F258" s="43">
        <v>50</v>
      </c>
      <c r="G258" s="44">
        <v>1.0375032071366035</v>
      </c>
      <c r="H258" s="44"/>
      <c r="I258" s="44"/>
      <c r="J258" s="44"/>
      <c r="K258" s="44"/>
      <c r="L258" s="44"/>
      <c r="M258" s="44">
        <v>38.775702842542032</v>
      </c>
      <c r="N258" s="47">
        <v>257</v>
      </c>
    </row>
    <row r="259" spans="1:14" ht="18" x14ac:dyDescent="0.25">
      <c r="A259" s="38" t="s">
        <v>486</v>
      </c>
      <c r="B259" s="39">
        <v>10</v>
      </c>
      <c r="C259" s="40">
        <v>48.75</v>
      </c>
      <c r="D259" s="41">
        <v>58.333333333333336</v>
      </c>
      <c r="E259" s="42">
        <v>52.096143541876643</v>
      </c>
      <c r="F259" s="43">
        <v>13.333333333333334</v>
      </c>
      <c r="G259" s="44">
        <v>1.0151377802952035</v>
      </c>
      <c r="H259" s="44"/>
      <c r="I259" s="44"/>
      <c r="J259" s="44"/>
      <c r="K259" s="44"/>
      <c r="L259" s="44"/>
      <c r="M259" s="44">
        <v>38.395704615702698</v>
      </c>
      <c r="N259" s="47">
        <v>258</v>
      </c>
    </row>
    <row r="260" spans="1:14" ht="18" x14ac:dyDescent="0.25">
      <c r="A260" s="38" t="s">
        <v>557</v>
      </c>
      <c r="B260" s="39">
        <v>10</v>
      </c>
      <c r="C260" s="40">
        <v>38.75</v>
      </c>
      <c r="D260" s="41">
        <v>41.666666666666664</v>
      </c>
      <c r="E260" s="42">
        <v>53.308679807597322</v>
      </c>
      <c r="F260" s="43">
        <v>43.333333333333336</v>
      </c>
      <c r="G260" s="44">
        <v>0.99031377703253243</v>
      </c>
      <c r="H260" s="44"/>
      <c r="I260" s="44"/>
      <c r="J260" s="44"/>
      <c r="K260" s="44"/>
      <c r="L260" s="44"/>
      <c r="M260" s="44">
        <v>38.318323568728943</v>
      </c>
      <c r="N260" s="47">
        <v>259</v>
      </c>
    </row>
    <row r="261" spans="1:14" ht="18" x14ac:dyDescent="0.25">
      <c r="A261" s="38" t="s">
        <v>451</v>
      </c>
      <c r="B261" s="39">
        <v>10</v>
      </c>
      <c r="C261" s="40">
        <v>37.5</v>
      </c>
      <c r="D261" s="41">
        <v>33.333333333333336</v>
      </c>
      <c r="E261" s="42">
        <v>60.447458344296763</v>
      </c>
      <c r="F261" s="43">
        <v>30</v>
      </c>
      <c r="G261" s="44">
        <v>1.0400307993216384</v>
      </c>
      <c r="H261" s="44"/>
      <c r="I261" s="44"/>
      <c r="J261" s="44"/>
      <c r="K261" s="44"/>
      <c r="L261" s="44"/>
      <c r="M261" s="44">
        <v>37.940227124277399</v>
      </c>
      <c r="N261" s="47">
        <v>260</v>
      </c>
    </row>
    <row r="262" spans="1:14" ht="18" x14ac:dyDescent="0.25">
      <c r="A262" s="38" t="s">
        <v>559</v>
      </c>
      <c r="B262" s="39">
        <v>10</v>
      </c>
      <c r="C262" s="40">
        <v>42.5</v>
      </c>
      <c r="D262" s="41">
        <v>25</v>
      </c>
      <c r="E262" s="42">
        <v>58.956684047375447</v>
      </c>
      <c r="F262" s="43">
        <v>33.333333333333336</v>
      </c>
      <c r="G262" s="44">
        <v>1.0439990240288379</v>
      </c>
      <c r="H262" s="44"/>
      <c r="I262" s="44"/>
      <c r="J262" s="44"/>
      <c r="K262" s="44"/>
      <c r="L262" s="44"/>
      <c r="M262" s="44">
        <v>37.803214229688635</v>
      </c>
      <c r="N262" s="47">
        <v>261</v>
      </c>
    </row>
    <row r="263" spans="1:14" ht="18" x14ac:dyDescent="0.25">
      <c r="A263" s="38" t="s">
        <v>458</v>
      </c>
      <c r="B263" s="39">
        <v>0</v>
      </c>
      <c r="C263" s="40">
        <v>43.75</v>
      </c>
      <c r="D263" s="41">
        <v>50</v>
      </c>
      <c r="E263" s="42">
        <v>62.90870288133496</v>
      </c>
      <c r="F263" s="43">
        <v>26.666666666666668</v>
      </c>
      <c r="G263" s="44">
        <v>0.92920688626403558</v>
      </c>
      <c r="H263" s="44"/>
      <c r="I263" s="44"/>
      <c r="J263" s="44"/>
      <c r="K263" s="44"/>
      <c r="L263" s="44"/>
      <c r="M263" s="44">
        <v>37.786559976982389</v>
      </c>
      <c r="N263" s="47">
        <v>262</v>
      </c>
    </row>
    <row r="264" spans="1:14" ht="18" x14ac:dyDescent="0.25">
      <c r="A264" s="38" t="s">
        <v>336</v>
      </c>
      <c r="B264" s="39">
        <v>45</v>
      </c>
      <c r="C264" s="40">
        <v>21.25</v>
      </c>
      <c r="D264" s="41">
        <v>8.3333333333333339</v>
      </c>
      <c r="E264" s="42">
        <v>72.007232867251759</v>
      </c>
      <c r="F264" s="43">
        <v>26.666666666666668</v>
      </c>
      <c r="G264" s="44">
        <v>0.92035842027448089</v>
      </c>
      <c r="H264" s="44"/>
      <c r="I264" s="44"/>
      <c r="J264" s="44"/>
      <c r="K264" s="44"/>
      <c r="L264" s="44"/>
      <c r="M264" s="44">
        <v>37.664964709482476</v>
      </c>
      <c r="N264" s="47">
        <v>263</v>
      </c>
    </row>
    <row r="265" spans="1:14" ht="18" x14ac:dyDescent="0.25">
      <c r="A265" s="38" t="s">
        <v>423</v>
      </c>
      <c r="B265" s="39">
        <v>10</v>
      </c>
      <c r="C265" s="40">
        <v>33.75</v>
      </c>
      <c r="D265" s="41">
        <v>25</v>
      </c>
      <c r="E265" s="42">
        <v>76.722593443667179</v>
      </c>
      <c r="F265" s="43">
        <v>26.666666666666668</v>
      </c>
      <c r="G265" s="44">
        <v>0.92035842027448089</v>
      </c>
      <c r="H265" s="44"/>
      <c r="I265" s="44"/>
      <c r="J265" s="44"/>
      <c r="K265" s="44"/>
      <c r="L265" s="44"/>
      <c r="M265" s="44">
        <v>37.524402310901394</v>
      </c>
      <c r="N265" s="47">
        <v>264</v>
      </c>
    </row>
    <row r="266" spans="1:14" ht="18" x14ac:dyDescent="0.25">
      <c r="A266" s="38" t="s">
        <v>510</v>
      </c>
      <c r="B266" s="39">
        <v>10</v>
      </c>
      <c r="C266" s="40">
        <v>47.5</v>
      </c>
      <c r="D266" s="41">
        <v>41.666666666666664</v>
      </c>
      <c r="E266" s="42">
        <v>54.531458938815547</v>
      </c>
      <c r="F266" s="43">
        <v>13.333333333333334</v>
      </c>
      <c r="G266" s="44">
        <v>1.0628555374028341</v>
      </c>
      <c r="H266" s="44"/>
      <c r="I266" s="44"/>
      <c r="J266" s="44"/>
      <c r="K266" s="44"/>
      <c r="L266" s="44"/>
      <c r="M266" s="44">
        <v>37.263430003538282</v>
      </c>
      <c r="N266" s="47">
        <v>265</v>
      </c>
    </row>
    <row r="267" spans="1:14" ht="18" x14ac:dyDescent="0.25">
      <c r="A267" s="38" t="s">
        <v>313</v>
      </c>
      <c r="B267" s="39">
        <v>10</v>
      </c>
      <c r="C267" s="40">
        <v>42.5</v>
      </c>
      <c r="D267" s="41">
        <v>25</v>
      </c>
      <c r="E267" s="42">
        <v>62.666273852367581</v>
      </c>
      <c r="F267" s="43">
        <v>30</v>
      </c>
      <c r="G267" s="44">
        <v>0.97302558540617912</v>
      </c>
      <c r="H267" s="44"/>
      <c r="I267" s="44"/>
      <c r="J267" s="44"/>
      <c r="K267" s="44"/>
      <c r="L267" s="44"/>
      <c r="M267" s="44">
        <v>36.988817510939526</v>
      </c>
      <c r="N267" s="47">
        <v>266</v>
      </c>
    </row>
    <row r="268" spans="1:14" ht="18" x14ac:dyDescent="0.25">
      <c r="A268" s="38" t="s">
        <v>395</v>
      </c>
      <c r="B268" s="39">
        <v>0</v>
      </c>
      <c r="C268" s="40">
        <v>66.25</v>
      </c>
      <c r="D268" s="41">
        <v>25</v>
      </c>
      <c r="E268" s="42">
        <v>48.804060978710801</v>
      </c>
      <c r="F268" s="43">
        <v>26.666666666666668</v>
      </c>
      <c r="G268" s="44">
        <v>1.0861884242329052</v>
      </c>
      <c r="H268" s="44"/>
      <c r="I268" s="44"/>
      <c r="J268" s="44"/>
      <c r="K268" s="44"/>
      <c r="L268" s="44"/>
      <c r="M268" s="44">
        <v>36.90312182718975</v>
      </c>
      <c r="N268" s="47">
        <v>267</v>
      </c>
    </row>
    <row r="269" spans="1:14" ht="18" x14ac:dyDescent="0.25">
      <c r="A269" s="38" t="s">
        <v>359</v>
      </c>
      <c r="B269" s="39">
        <v>0</v>
      </c>
      <c r="C269" s="40">
        <v>45</v>
      </c>
      <c r="D269" s="41">
        <v>41.666666666666664</v>
      </c>
      <c r="E269" s="42">
        <v>46.436178016721712</v>
      </c>
      <c r="F269" s="43">
        <v>43.333333333333336</v>
      </c>
      <c r="G269" s="44">
        <v>1.0861884242329052</v>
      </c>
      <c r="H269" s="44"/>
      <c r="I269" s="44"/>
      <c r="J269" s="44"/>
      <c r="K269" s="44"/>
      <c r="L269" s="44"/>
      <c r="M269" s="44">
        <v>36.881531708214489</v>
      </c>
      <c r="N269" s="47">
        <v>268</v>
      </c>
    </row>
    <row r="270" spans="1:14" ht="18" x14ac:dyDescent="0.25">
      <c r="A270" s="38" t="s">
        <v>463</v>
      </c>
      <c r="B270" s="39">
        <v>0</v>
      </c>
      <c r="C270" s="40">
        <v>61.25</v>
      </c>
      <c r="D270" s="41">
        <v>50</v>
      </c>
      <c r="E270" s="42">
        <v>42.133741565619921</v>
      </c>
      <c r="F270" s="43">
        <v>26.666666666666668</v>
      </c>
      <c r="G270" s="44">
        <v>1.0261617406148802</v>
      </c>
      <c r="H270" s="44"/>
      <c r="I270" s="44"/>
      <c r="J270" s="44"/>
      <c r="K270" s="44"/>
      <c r="L270" s="44"/>
      <c r="M270" s="44">
        <v>36.720810075078219</v>
      </c>
      <c r="N270" s="47">
        <v>269</v>
      </c>
    </row>
    <row r="271" spans="1:14" ht="18" x14ac:dyDescent="0.25">
      <c r="A271" s="38" t="s">
        <v>352</v>
      </c>
      <c r="B271" s="39">
        <v>10</v>
      </c>
      <c r="C271" s="40">
        <v>70</v>
      </c>
      <c r="D271" s="41">
        <v>16.666666666666668</v>
      </c>
      <c r="E271" s="42">
        <v>43.747940552402738</v>
      </c>
      <c r="F271" s="43">
        <v>26.666666666666668</v>
      </c>
      <c r="G271" s="44">
        <v>1.0692946921754718</v>
      </c>
      <c r="H271" s="44"/>
      <c r="I271" s="44"/>
      <c r="J271" s="44"/>
      <c r="K271" s="44"/>
      <c r="L271" s="44"/>
      <c r="M271" s="44">
        <v>36.67242157223864</v>
      </c>
      <c r="N271" s="47">
        <v>270</v>
      </c>
    </row>
    <row r="272" spans="1:14" ht="18" x14ac:dyDescent="0.25">
      <c r="A272" s="38" t="s">
        <v>383</v>
      </c>
      <c r="B272" s="39">
        <v>10</v>
      </c>
      <c r="C272" s="40">
        <v>32.5</v>
      </c>
      <c r="D272" s="41">
        <v>25</v>
      </c>
      <c r="E272" s="42">
        <v>58.625377358077813</v>
      </c>
      <c r="F272" s="43">
        <v>43.333333333333336</v>
      </c>
      <c r="G272" s="44">
        <v>0.99846477727292804</v>
      </c>
      <c r="H272" s="44"/>
      <c r="I272" s="44"/>
      <c r="J272" s="44"/>
      <c r="K272" s="44"/>
      <c r="L272" s="44"/>
      <c r="M272" s="44">
        <v>36.307541858458215</v>
      </c>
      <c r="N272" s="47">
        <v>271</v>
      </c>
    </row>
    <row r="273" spans="1:14" ht="18" x14ac:dyDescent="0.25">
      <c r="A273" s="38" t="s">
        <v>396</v>
      </c>
      <c r="B273" s="39">
        <v>10</v>
      </c>
      <c r="C273" s="40">
        <v>33.75</v>
      </c>
      <c r="D273" s="41">
        <v>33.333333333333336</v>
      </c>
      <c r="E273" s="42">
        <v>59.21854428016961</v>
      </c>
      <c r="F273" s="43">
        <v>26.666666666666668</v>
      </c>
      <c r="G273" s="44">
        <v>1.0323832140267861</v>
      </c>
      <c r="H273" s="44"/>
      <c r="I273" s="44"/>
      <c r="J273" s="44"/>
      <c r="K273" s="44"/>
      <c r="L273" s="44"/>
      <c r="M273" s="44">
        <v>36.155635750238289</v>
      </c>
      <c r="N273" s="47">
        <v>272</v>
      </c>
    </row>
    <row r="274" spans="1:14" ht="18" x14ac:dyDescent="0.25">
      <c r="A274" s="38" t="s">
        <v>362</v>
      </c>
      <c r="B274" s="39">
        <v>20</v>
      </c>
      <c r="C274" s="40">
        <v>32.5</v>
      </c>
      <c r="D274" s="41">
        <v>50</v>
      </c>
      <c r="E274" s="42">
        <v>52.160501914116082</v>
      </c>
      <c r="F274" s="43">
        <v>13.333333333333334</v>
      </c>
      <c r="G274" s="44">
        <v>1.0236415013327018</v>
      </c>
      <c r="H274" s="44"/>
      <c r="I274" s="44"/>
      <c r="J274" s="44"/>
      <c r="K274" s="44"/>
      <c r="L274" s="44"/>
      <c r="M274" s="44">
        <v>36.112662352220724</v>
      </c>
      <c r="N274" s="47">
        <v>273</v>
      </c>
    </row>
    <row r="275" spans="1:14" ht="18" x14ac:dyDescent="0.25">
      <c r="A275" s="38" t="s">
        <v>344</v>
      </c>
      <c r="B275" s="39">
        <v>0</v>
      </c>
      <c r="C275" s="40">
        <v>40</v>
      </c>
      <c r="D275" s="41">
        <v>25</v>
      </c>
      <c r="E275" s="42">
        <v>55.467858081792002</v>
      </c>
      <c r="F275" s="43">
        <v>43.333333333333336</v>
      </c>
      <c r="G275" s="44">
        <v>1.04797426478682</v>
      </c>
      <c r="H275" s="44"/>
      <c r="I275" s="44"/>
      <c r="J275" s="44"/>
      <c r="K275" s="44"/>
      <c r="L275" s="44"/>
      <c r="M275" s="44">
        <v>35.688666337769689</v>
      </c>
      <c r="N275" s="47">
        <v>274</v>
      </c>
    </row>
    <row r="276" spans="1:14" ht="18" x14ac:dyDescent="0.25">
      <c r="A276" s="38" t="s">
        <v>493</v>
      </c>
      <c r="B276" s="39">
        <v>10</v>
      </c>
      <c r="C276" s="40">
        <v>32.5</v>
      </c>
      <c r="D276" s="41">
        <v>33.333333333333336</v>
      </c>
      <c r="E276" s="42">
        <v>61.467119378641421</v>
      </c>
      <c r="F276" s="43">
        <v>26.666666666666668</v>
      </c>
      <c r="G276" s="44">
        <v>0.92035842027448089</v>
      </c>
      <c r="H276" s="44"/>
      <c r="I276" s="44"/>
      <c r="J276" s="44"/>
      <c r="K276" s="44"/>
      <c r="L276" s="44"/>
      <c r="M276" s="44">
        <v>34.312251107593767</v>
      </c>
      <c r="N276" s="47">
        <v>275</v>
      </c>
    </row>
    <row r="277" spans="1:14" ht="18" x14ac:dyDescent="0.25">
      <c r="A277" s="38" t="s">
        <v>465</v>
      </c>
      <c r="B277" s="39">
        <v>20</v>
      </c>
      <c r="C277" s="40">
        <v>21.25</v>
      </c>
      <c r="D277" s="41">
        <v>25</v>
      </c>
      <c r="E277" s="42">
        <v>53.46071462637893</v>
      </c>
      <c r="F277" s="43">
        <v>30</v>
      </c>
      <c r="G277" s="44">
        <v>1.0861884242329052</v>
      </c>
      <c r="H277" s="44"/>
      <c r="I277" s="44"/>
      <c r="J277" s="44"/>
      <c r="K277" s="44"/>
      <c r="L277" s="44"/>
      <c r="M277" s="44">
        <v>34.265276510449084</v>
      </c>
      <c r="N277" s="47">
        <v>276</v>
      </c>
    </row>
    <row r="278" spans="1:14" ht="18" x14ac:dyDescent="0.25">
      <c r="A278" s="38" t="s">
        <v>337</v>
      </c>
      <c r="B278" s="39">
        <v>10</v>
      </c>
      <c r="C278" s="40">
        <v>33.75</v>
      </c>
      <c r="D278" s="41">
        <v>25</v>
      </c>
      <c r="E278" s="42">
        <v>58.958813360584671</v>
      </c>
      <c r="F278" s="43">
        <v>26.666666666666668</v>
      </c>
      <c r="G278" s="44">
        <v>1.0003860229848884</v>
      </c>
      <c r="H278" s="44"/>
      <c r="I278" s="44"/>
      <c r="J278" s="44"/>
      <c r="K278" s="44"/>
      <c r="L278" s="44"/>
      <c r="M278" s="44">
        <v>34.19524389128086</v>
      </c>
      <c r="N278" s="47">
        <v>277</v>
      </c>
    </row>
    <row r="279" spans="1:14" ht="18" x14ac:dyDescent="0.25">
      <c r="A279" s="38" t="s">
        <v>412</v>
      </c>
      <c r="B279" s="39">
        <v>10</v>
      </c>
      <c r="C279" s="40">
        <v>37.5</v>
      </c>
      <c r="D279" s="41">
        <v>50</v>
      </c>
      <c r="E279" s="42">
        <v>42.024484477494049</v>
      </c>
      <c r="F279" s="43">
        <v>26.666666666666668</v>
      </c>
      <c r="G279" s="44">
        <v>1.031311215583711</v>
      </c>
      <c r="H279" s="44"/>
      <c r="I279" s="44"/>
      <c r="J279" s="44"/>
      <c r="K279" s="44"/>
      <c r="L279" s="44"/>
      <c r="M279" s="44">
        <v>34.06471908239638</v>
      </c>
      <c r="N279" s="47">
        <v>278</v>
      </c>
    </row>
    <row r="280" spans="1:14" ht="18" x14ac:dyDescent="0.25">
      <c r="A280" s="38" t="s">
        <v>317</v>
      </c>
      <c r="B280" s="39">
        <v>10</v>
      </c>
      <c r="C280" s="40">
        <v>32.5</v>
      </c>
      <c r="D280" s="41">
        <v>41.666666666666664</v>
      </c>
      <c r="E280" s="42">
        <v>38.016912300656621</v>
      </c>
      <c r="F280" s="43">
        <v>43.333333333333336</v>
      </c>
      <c r="G280" s="44">
        <v>1.0861884242329052</v>
      </c>
      <c r="H280" s="44"/>
      <c r="I280" s="44"/>
      <c r="J280" s="44"/>
      <c r="K280" s="44"/>
      <c r="L280" s="44"/>
      <c r="M280" s="44">
        <v>33.81043586828104</v>
      </c>
      <c r="N280" s="47">
        <v>279</v>
      </c>
    </row>
    <row r="281" spans="1:14" ht="18" x14ac:dyDescent="0.25">
      <c r="A281" s="38" t="s">
        <v>354</v>
      </c>
      <c r="B281" s="39">
        <v>10</v>
      </c>
      <c r="C281" s="40">
        <v>66.25</v>
      </c>
      <c r="D281" s="41">
        <v>25</v>
      </c>
      <c r="E281" s="42">
        <v>36.917569551278106</v>
      </c>
      <c r="F281" s="43">
        <v>26.666666666666668</v>
      </c>
      <c r="G281" s="44">
        <v>0.96668889202081898</v>
      </c>
      <c r="H281" s="44"/>
      <c r="I281" s="44"/>
      <c r="J281" s="44"/>
      <c r="K281" s="44"/>
      <c r="L281" s="44"/>
      <c r="M281" s="44">
        <v>33.639719105729604</v>
      </c>
      <c r="N281" s="47">
        <v>280</v>
      </c>
    </row>
    <row r="282" spans="1:14" ht="18" x14ac:dyDescent="0.25">
      <c r="A282" s="38" t="s">
        <v>307</v>
      </c>
      <c r="B282" s="39">
        <v>0</v>
      </c>
      <c r="C282" s="40">
        <v>71.25</v>
      </c>
      <c r="D282" s="41">
        <v>33.333333333333336</v>
      </c>
      <c r="E282" s="42">
        <v>31.894212946198522</v>
      </c>
      <c r="F282" s="43">
        <v>26.666666666666668</v>
      </c>
      <c r="G282" s="44">
        <v>1.0350243114840945</v>
      </c>
      <c r="H282" s="44"/>
      <c r="I282" s="44"/>
      <c r="J282" s="44"/>
      <c r="K282" s="44"/>
      <c r="L282" s="44"/>
      <c r="M282" s="44">
        <v>33.153385738489867</v>
      </c>
      <c r="N282" s="47">
        <v>281</v>
      </c>
    </row>
    <row r="283" spans="1:14" ht="18" x14ac:dyDescent="0.25">
      <c r="A283" s="38" t="s">
        <v>379</v>
      </c>
      <c r="B283" s="39">
        <v>0</v>
      </c>
      <c r="C283" s="40">
        <v>32.5</v>
      </c>
      <c r="D283" s="41">
        <v>50</v>
      </c>
      <c r="E283" s="42">
        <v>59.486158379766337</v>
      </c>
      <c r="F283" s="43">
        <v>13.333333333333334</v>
      </c>
      <c r="G283" s="44">
        <v>0.94994284655512584</v>
      </c>
      <c r="H283" s="44"/>
      <c r="I283" s="44"/>
      <c r="J283" s="44"/>
      <c r="K283" s="44"/>
      <c r="L283" s="44"/>
      <c r="M283" s="44">
        <v>32.952535186571282</v>
      </c>
      <c r="N283" s="47">
        <v>282</v>
      </c>
    </row>
    <row r="284" spans="1:14" ht="18" x14ac:dyDescent="0.25">
      <c r="A284" s="38" t="s">
        <v>414</v>
      </c>
      <c r="B284" s="39">
        <v>10</v>
      </c>
      <c r="C284" s="40">
        <v>23.75</v>
      </c>
      <c r="D284" s="41">
        <v>33.333333333333336</v>
      </c>
      <c r="E284" s="42">
        <v>51.01071464092233</v>
      </c>
      <c r="F284" s="43">
        <v>30</v>
      </c>
      <c r="G284" s="44">
        <v>1.072922722201</v>
      </c>
      <c r="H284" s="44"/>
      <c r="I284" s="44"/>
      <c r="J284" s="44"/>
      <c r="K284" s="44"/>
      <c r="L284" s="44"/>
      <c r="M284" s="44">
        <v>32.815011888589041</v>
      </c>
      <c r="N284" s="47">
        <v>283</v>
      </c>
    </row>
    <row r="285" spans="1:14" ht="18" x14ac:dyDescent="0.25">
      <c r="A285" s="38" t="s">
        <v>462</v>
      </c>
      <c r="B285" s="39">
        <v>65</v>
      </c>
      <c r="C285" s="40">
        <v>0</v>
      </c>
      <c r="D285" s="41">
        <v>8.3333333333333339</v>
      </c>
      <c r="E285" s="42">
        <v>63.574076641181847</v>
      </c>
      <c r="F285" s="43">
        <v>13.333333333333334</v>
      </c>
      <c r="G285" s="44">
        <v>0.92035842027448089</v>
      </c>
      <c r="H285" s="44"/>
      <c r="I285" s="44"/>
      <c r="J285" s="44"/>
      <c r="K285" s="44"/>
      <c r="L285" s="44"/>
      <c r="M285" s="44">
        <v>32.767940487934318</v>
      </c>
      <c r="N285" s="47">
        <v>284</v>
      </c>
    </row>
    <row r="286" spans="1:14" ht="18" x14ac:dyDescent="0.25">
      <c r="A286" s="38" t="s">
        <v>520</v>
      </c>
      <c r="B286" s="39">
        <v>0</v>
      </c>
      <c r="C286" s="40">
        <v>53.75</v>
      </c>
      <c r="D286" s="41">
        <v>25</v>
      </c>
      <c r="E286" s="42">
        <v>45.103285722267351</v>
      </c>
      <c r="F286" s="43">
        <v>26.666666666666668</v>
      </c>
      <c r="G286" s="44">
        <v>0.98939452199119904</v>
      </c>
      <c r="H286" s="44"/>
      <c r="I286" s="44"/>
      <c r="J286" s="44"/>
      <c r="K286" s="44"/>
      <c r="L286" s="44"/>
      <c r="M286" s="44">
        <v>31.887483145224554</v>
      </c>
      <c r="N286" s="47">
        <v>285</v>
      </c>
    </row>
    <row r="287" spans="1:14" ht="18" x14ac:dyDescent="0.25">
      <c r="A287" s="38" t="s">
        <v>365</v>
      </c>
      <c r="B287" s="39">
        <v>40</v>
      </c>
      <c r="C287" s="40">
        <v>11.25</v>
      </c>
      <c r="D287" s="41">
        <v>8.3333333333333339</v>
      </c>
      <c r="E287" s="42">
        <v>63.86820778032714</v>
      </c>
      <c r="F287" s="43">
        <v>13.333333333333334</v>
      </c>
      <c r="G287" s="44">
        <v>0.92035842027448089</v>
      </c>
      <c r="H287" s="44"/>
      <c r="I287" s="44"/>
      <c r="J287" s="44"/>
      <c r="K287" s="44"/>
      <c r="L287" s="44"/>
      <c r="M287" s="44">
        <v>30.497360207735102</v>
      </c>
      <c r="N287" s="47">
        <v>286</v>
      </c>
    </row>
    <row r="288" spans="1:14" ht="18" x14ac:dyDescent="0.25">
      <c r="A288" s="38" t="s">
        <v>461</v>
      </c>
      <c r="B288" s="39">
        <v>0</v>
      </c>
      <c r="C288" s="40">
        <v>27.5</v>
      </c>
      <c r="D288" s="41">
        <v>33.333333333333336</v>
      </c>
      <c r="E288" s="42">
        <v>48.954750903115247</v>
      </c>
      <c r="F288" s="43">
        <v>26.666666666666668</v>
      </c>
      <c r="G288" s="44">
        <v>1.0861884242329052</v>
      </c>
      <c r="H288" s="44"/>
      <c r="I288" s="44"/>
      <c r="J288" s="44"/>
      <c r="K288" s="44"/>
      <c r="L288" s="44"/>
      <c r="M288" s="44">
        <v>30.452225122650741</v>
      </c>
      <c r="N288" s="47">
        <v>287</v>
      </c>
    </row>
    <row r="289" spans="1:14" ht="18" x14ac:dyDescent="0.25">
      <c r="A289" s="38" t="s">
        <v>551</v>
      </c>
      <c r="B289" s="39">
        <v>30</v>
      </c>
      <c r="C289" s="40">
        <v>0</v>
      </c>
      <c r="D289" s="41">
        <v>0</v>
      </c>
      <c r="E289" s="42">
        <v>73.85768563202997</v>
      </c>
      <c r="F289" s="43">
        <v>0</v>
      </c>
      <c r="G289" s="44">
        <v>1.0747031096970729</v>
      </c>
      <c r="H289" s="44"/>
      <c r="I289" s="44"/>
      <c r="J289" s="44"/>
      <c r="K289" s="44"/>
      <c r="L289" s="44"/>
      <c r="M289" s="44">
        <v>30.260743985313866</v>
      </c>
      <c r="N289" s="47">
        <v>288</v>
      </c>
    </row>
    <row r="290" spans="1:14" ht="18" x14ac:dyDescent="0.25">
      <c r="A290" s="38" t="s">
        <v>546</v>
      </c>
      <c r="B290" s="39">
        <v>0</v>
      </c>
      <c r="C290" s="40">
        <v>22.5</v>
      </c>
      <c r="D290" s="41">
        <v>16.666666666666668</v>
      </c>
      <c r="E290" s="42">
        <v>66.991109040314697</v>
      </c>
      <c r="F290" s="43">
        <v>13.333333333333334</v>
      </c>
      <c r="G290" s="44">
        <v>1.0499626611570552</v>
      </c>
      <c r="H290" s="44"/>
      <c r="I290" s="44"/>
      <c r="J290" s="44"/>
      <c r="K290" s="44"/>
      <c r="L290" s="44"/>
      <c r="M290" s="44">
        <v>30.101448936549382</v>
      </c>
      <c r="N290" s="47">
        <v>289</v>
      </c>
    </row>
    <row r="291" spans="1:14" ht="18" x14ac:dyDescent="0.25">
      <c r="A291" s="38" t="s">
        <v>422</v>
      </c>
      <c r="B291" s="39">
        <v>10</v>
      </c>
      <c r="C291" s="40">
        <v>27.5</v>
      </c>
      <c r="D291" s="41">
        <v>16.666666666666668</v>
      </c>
      <c r="E291" s="42">
        <v>55.379110195357619</v>
      </c>
      <c r="F291" s="43">
        <v>13.333333333333334</v>
      </c>
      <c r="G291" s="44">
        <v>1.0715571738075789</v>
      </c>
      <c r="H291" s="44"/>
      <c r="I291" s="44"/>
      <c r="J291" s="44"/>
      <c r="K291" s="44"/>
      <c r="L291" s="44"/>
      <c r="M291" s="44">
        <v>29.945679190289923</v>
      </c>
      <c r="N291" s="47">
        <v>290</v>
      </c>
    </row>
    <row r="292" spans="1:14" ht="18" x14ac:dyDescent="0.25">
      <c r="A292" s="38" t="s">
        <v>494</v>
      </c>
      <c r="B292" s="39">
        <v>0</v>
      </c>
      <c r="C292" s="40">
        <v>33.75</v>
      </c>
      <c r="D292" s="41">
        <v>33.333333333333336</v>
      </c>
      <c r="E292" s="42">
        <v>42.173928715236272</v>
      </c>
      <c r="F292" s="43">
        <v>26.666666666666668</v>
      </c>
      <c r="G292" s="44">
        <v>1.0760505553027284</v>
      </c>
      <c r="H292" s="44"/>
      <c r="I292" s="44"/>
      <c r="J292" s="44"/>
      <c r="K292" s="44"/>
      <c r="L292" s="44"/>
      <c r="M292" s="44">
        <v>29.364383823998303</v>
      </c>
      <c r="N292" s="47">
        <v>291</v>
      </c>
    </row>
    <row r="293" spans="1:14" ht="18" x14ac:dyDescent="0.25">
      <c r="A293" s="38" t="s">
        <v>516</v>
      </c>
      <c r="B293" s="39">
        <v>0</v>
      </c>
      <c r="C293" s="40">
        <v>32.5</v>
      </c>
      <c r="D293" s="41">
        <v>25</v>
      </c>
      <c r="E293" s="42">
        <v>36.687237229758438</v>
      </c>
      <c r="F293" s="43">
        <v>43.333333333333336</v>
      </c>
      <c r="G293" s="44">
        <v>1.0861884242329052</v>
      </c>
      <c r="H293" s="44"/>
      <c r="I293" s="44"/>
      <c r="J293" s="44"/>
      <c r="K293" s="44"/>
      <c r="L293" s="44"/>
      <c r="M293" s="44">
        <v>28.704775718815029</v>
      </c>
      <c r="N293" s="47">
        <v>292</v>
      </c>
    </row>
    <row r="294" spans="1:14" ht="18" x14ac:dyDescent="0.25">
      <c r="A294" s="38" t="s">
        <v>563</v>
      </c>
      <c r="B294" s="39">
        <v>0</v>
      </c>
      <c r="C294" s="40">
        <v>0</v>
      </c>
      <c r="D294" s="41">
        <v>0</v>
      </c>
      <c r="E294" s="42">
        <v>91.758896915197766</v>
      </c>
      <c r="F294" s="43">
        <v>0</v>
      </c>
      <c r="G294" s="44">
        <v>0.9287196207575894</v>
      </c>
      <c r="H294" s="44"/>
      <c r="I294" s="44"/>
      <c r="J294" s="44"/>
      <c r="K294" s="44"/>
      <c r="L294" s="44"/>
      <c r="M294" s="44">
        <v>25.56548638326516</v>
      </c>
      <c r="N294" s="47">
        <v>293</v>
      </c>
    </row>
    <row r="295" spans="1:14" ht="18" x14ac:dyDescent="0.25">
      <c r="A295" s="38" t="s">
        <v>482</v>
      </c>
      <c r="B295" s="39">
        <v>0</v>
      </c>
      <c r="C295" s="40">
        <v>6.25</v>
      </c>
      <c r="D295" s="41">
        <v>8.3333333333333339</v>
      </c>
      <c r="E295" s="42">
        <v>55.913601250324703</v>
      </c>
      <c r="F295" s="43">
        <v>13.333333333333334</v>
      </c>
      <c r="G295" s="44">
        <v>1.0861884242329052</v>
      </c>
      <c r="H295" s="44"/>
      <c r="I295" s="44"/>
      <c r="J295" s="44"/>
      <c r="K295" s="44"/>
      <c r="L295" s="44"/>
      <c r="M295" s="44">
        <v>22.719811930583155</v>
      </c>
      <c r="N295" s="47">
        <v>294</v>
      </c>
    </row>
    <row r="296" spans="1:14" ht="18" x14ac:dyDescent="0.25">
      <c r="A296" s="38" t="s">
        <v>495</v>
      </c>
      <c r="B296" s="39">
        <v>0</v>
      </c>
      <c r="C296" s="40">
        <v>0</v>
      </c>
      <c r="D296" s="41">
        <v>8.3333333333333339</v>
      </c>
      <c r="E296" s="42">
        <v>57.415228330387201</v>
      </c>
      <c r="F296" s="43">
        <v>26.666666666666668</v>
      </c>
      <c r="G296" s="44">
        <v>1.0047976264329039</v>
      </c>
      <c r="H296" s="44"/>
      <c r="I296" s="44"/>
      <c r="J296" s="44"/>
      <c r="K296" s="44"/>
      <c r="L296" s="44"/>
      <c r="M296" s="44">
        <v>22.557205544242883</v>
      </c>
      <c r="N296" s="47">
        <v>295</v>
      </c>
    </row>
    <row r="297" spans="1:14" ht="18" x14ac:dyDescent="0.25">
      <c r="A297" s="38" t="s">
        <v>562</v>
      </c>
      <c r="B297" s="39">
        <v>0</v>
      </c>
      <c r="C297" s="40">
        <v>0</v>
      </c>
      <c r="D297" s="41">
        <v>0</v>
      </c>
      <c r="E297" s="42">
        <v>54.015198144912986</v>
      </c>
      <c r="F297" s="43">
        <v>0</v>
      </c>
      <c r="G297" s="44">
        <v>1.0151991465906902</v>
      </c>
      <c r="H297" s="44"/>
      <c r="I297" s="44"/>
      <c r="J297" s="44"/>
      <c r="K297" s="44"/>
      <c r="L297" s="44"/>
      <c r="M297" s="44">
        <v>16.450854917892809</v>
      </c>
      <c r="N297" s="47">
        <v>296</v>
      </c>
    </row>
    <row r="298" spans="1:14" ht="18" x14ac:dyDescent="0.25">
      <c r="A298" s="38" t="s">
        <v>567</v>
      </c>
      <c r="B298" s="39">
        <v>0</v>
      </c>
      <c r="C298" s="40">
        <v>5</v>
      </c>
      <c r="D298" s="41">
        <v>0</v>
      </c>
      <c r="E298" s="42" t="s">
        <v>701</v>
      </c>
      <c r="F298" s="43">
        <v>13.333333333333334</v>
      </c>
      <c r="G298" s="44" t="s">
        <v>701</v>
      </c>
      <c r="H298" s="44"/>
      <c r="I298" s="44"/>
      <c r="J298" s="44"/>
      <c r="K298" s="44"/>
      <c r="L298" s="44"/>
      <c r="M298" s="44" t="s">
        <v>701</v>
      </c>
      <c r="N298" s="48" t="s">
        <v>701</v>
      </c>
    </row>
    <row r="299" spans="1:14" ht="17.399999999999999" x14ac:dyDescent="0.3">
      <c r="M299" s="49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EF19D-F35E-4525-A7C0-5A83F80CF41B}">
  <dimension ref="A1:O77"/>
  <sheetViews>
    <sheetView workbookViewId="0">
      <pane ySplit="5400" topLeftCell="A67" activePane="bottomLeft"/>
      <selection activeCell="A5" sqref="A5:XFD5"/>
      <selection pane="bottomLeft" activeCell="G79" sqref="G79"/>
    </sheetView>
  </sheetViews>
  <sheetFormatPr defaultRowHeight="14.4" x14ac:dyDescent="0.25"/>
  <cols>
    <col min="1" max="1" width="11.33203125" customWidth="1"/>
    <col min="15" max="15" width="12" customWidth="1"/>
  </cols>
  <sheetData>
    <row r="1" spans="1:15" ht="31.2" x14ac:dyDescent="0.25">
      <c r="A1" s="32" t="s">
        <v>298</v>
      </c>
      <c r="B1" s="33" t="s">
        <v>702</v>
      </c>
      <c r="C1" s="34" t="s">
        <v>703</v>
      </c>
      <c r="D1" s="34" t="s">
        <v>704</v>
      </c>
      <c r="E1" s="34" t="s">
        <v>705</v>
      </c>
      <c r="F1" s="35" t="s">
        <v>706</v>
      </c>
      <c r="G1" s="36" t="s">
        <v>707</v>
      </c>
      <c r="H1" s="36" t="s">
        <v>662</v>
      </c>
      <c r="I1" s="36" t="s">
        <v>663</v>
      </c>
      <c r="J1" s="36" t="s">
        <v>664</v>
      </c>
      <c r="K1" s="36" t="s">
        <v>665</v>
      </c>
      <c r="L1" s="36" t="s">
        <v>666</v>
      </c>
      <c r="M1" s="37" t="s">
        <v>708</v>
      </c>
      <c r="N1" s="51" t="s">
        <v>709</v>
      </c>
      <c r="O1" s="51" t="s">
        <v>715</v>
      </c>
    </row>
    <row r="2" spans="1:15" ht="18" x14ac:dyDescent="0.3">
      <c r="A2" s="38" t="s">
        <v>548</v>
      </c>
      <c r="B2" s="39">
        <v>87.5</v>
      </c>
      <c r="C2" s="40">
        <v>87.5</v>
      </c>
      <c r="D2" s="41">
        <v>83.333333333333329</v>
      </c>
      <c r="E2" s="42">
        <v>68.646903726205949</v>
      </c>
      <c r="F2" s="43">
        <v>60</v>
      </c>
      <c r="G2" s="44">
        <v>0.98363847815598415</v>
      </c>
      <c r="H2" s="44"/>
      <c r="I2" s="44"/>
      <c r="J2" s="44"/>
      <c r="K2" s="44"/>
      <c r="L2" s="44"/>
      <c r="M2" s="44">
        <v>76.056501065609297</v>
      </c>
      <c r="N2" s="50">
        <v>1</v>
      </c>
      <c r="O2" s="36">
        <f>VLOOKUP(A2,[1]Sheet1!$A$1:$I$297,2,FALSE)</f>
        <v>4</v>
      </c>
    </row>
    <row r="3" spans="1:15" ht="18" x14ac:dyDescent="0.3">
      <c r="A3" s="38" t="s">
        <v>322</v>
      </c>
      <c r="B3" s="39">
        <v>75</v>
      </c>
      <c r="C3" s="40">
        <v>60</v>
      </c>
      <c r="D3" s="41">
        <v>83.333333333333329</v>
      </c>
      <c r="E3" s="42">
        <v>84.71130229340946</v>
      </c>
      <c r="F3" s="43">
        <v>43.333333333333336</v>
      </c>
      <c r="G3" s="44">
        <v>1.0481478856236035</v>
      </c>
      <c r="H3" s="44"/>
      <c r="I3" s="44"/>
      <c r="J3" s="44"/>
      <c r="K3" s="44"/>
      <c r="L3" s="44"/>
      <c r="M3" s="44">
        <v>75.904873905924333</v>
      </c>
      <c r="N3" s="50">
        <v>2</v>
      </c>
      <c r="O3" s="36">
        <f>VLOOKUP(A3,[1]Sheet1!$A$1:$I$297,2,FALSE)</f>
        <v>4</v>
      </c>
    </row>
    <row r="4" spans="1:15" ht="18" x14ac:dyDescent="0.3">
      <c r="A4" s="38" t="s">
        <v>387</v>
      </c>
      <c r="B4" s="39">
        <v>55</v>
      </c>
      <c r="C4" s="40">
        <v>88.75</v>
      </c>
      <c r="D4" s="41">
        <v>91.666666666666671</v>
      </c>
      <c r="E4" s="42">
        <v>78.059628786280228</v>
      </c>
      <c r="F4" s="43">
        <v>66.666666666666671</v>
      </c>
      <c r="G4" s="44">
        <v>0.98137999197163606</v>
      </c>
      <c r="H4" s="44"/>
      <c r="I4" s="44"/>
      <c r="J4" s="44"/>
      <c r="K4" s="44"/>
      <c r="L4" s="44"/>
      <c r="M4" s="44">
        <v>75.020976393656767</v>
      </c>
      <c r="N4" s="50">
        <v>3</v>
      </c>
      <c r="O4" s="36">
        <v>1</v>
      </c>
    </row>
    <row r="5" spans="1:15" ht="18" x14ac:dyDescent="0.3">
      <c r="A5" s="38">
        <v>1</v>
      </c>
      <c r="B5" s="39">
        <v>65</v>
      </c>
      <c r="C5" s="40">
        <v>82.5</v>
      </c>
      <c r="D5" s="41">
        <v>91.666666666666671</v>
      </c>
      <c r="E5" s="42">
        <v>77.586833274056787</v>
      </c>
      <c r="F5" s="43">
        <v>66.666666666666671</v>
      </c>
      <c r="G5" s="44">
        <v>0.93985671324878151</v>
      </c>
      <c r="H5" s="44"/>
      <c r="I5" s="44"/>
      <c r="J5" s="44"/>
      <c r="K5" s="44"/>
      <c r="L5" s="44"/>
      <c r="M5" s="44">
        <v>73.719673050501981</v>
      </c>
      <c r="N5" s="50">
        <v>4</v>
      </c>
      <c r="O5" s="36" t="e">
        <f>VLOOKUP(A5,[1]Sheet1!$A$1:$I$297,2,FALSE)</f>
        <v>#N/A</v>
      </c>
    </row>
    <row r="6" spans="1:15" ht="18" x14ac:dyDescent="0.3">
      <c r="A6" s="38" t="s">
        <v>438</v>
      </c>
      <c r="B6" s="39">
        <v>75</v>
      </c>
      <c r="C6" s="40">
        <v>88.75</v>
      </c>
      <c r="D6" s="41">
        <v>91.666666666666671</v>
      </c>
      <c r="E6" s="42">
        <v>67.458542865191589</v>
      </c>
      <c r="F6" s="43">
        <v>66.666666666666671</v>
      </c>
      <c r="G6" s="44">
        <v>0.95043016321945983</v>
      </c>
      <c r="H6" s="44"/>
      <c r="I6" s="44"/>
      <c r="J6" s="44"/>
      <c r="K6" s="44"/>
      <c r="L6" s="44"/>
      <c r="M6" s="44">
        <v>73.485639343989632</v>
      </c>
      <c r="N6" s="50">
        <v>5</v>
      </c>
      <c r="O6" s="36">
        <f>VLOOKUP(A6,[1]Sheet1!$A$1:$I$297,2,FALSE)</f>
        <v>4</v>
      </c>
    </row>
    <row r="7" spans="1:15" ht="18" x14ac:dyDescent="0.3">
      <c r="A7" s="38" t="s">
        <v>432</v>
      </c>
      <c r="B7" s="39">
        <v>65</v>
      </c>
      <c r="C7" s="40">
        <v>77.5</v>
      </c>
      <c r="D7" s="41">
        <v>83.333333333333329</v>
      </c>
      <c r="E7" s="42">
        <v>78.2391744263806</v>
      </c>
      <c r="F7" s="43">
        <v>60</v>
      </c>
      <c r="G7" s="44">
        <v>0.96096693578165182</v>
      </c>
      <c r="H7" s="44"/>
      <c r="I7" s="44"/>
      <c r="J7" s="44"/>
      <c r="K7" s="44"/>
      <c r="L7" s="44"/>
      <c r="M7" s="44">
        <v>72.400007381136874</v>
      </c>
      <c r="N7" s="50">
        <v>6</v>
      </c>
      <c r="O7" s="36">
        <f>VLOOKUP(A7,[1]Sheet1!$A$1:$I$297,2,FALSE)</f>
        <v>3</v>
      </c>
    </row>
    <row r="8" spans="1:15" ht="18" x14ac:dyDescent="0.3">
      <c r="A8" s="38" t="s">
        <v>470</v>
      </c>
      <c r="B8" s="39">
        <v>65</v>
      </c>
      <c r="C8" s="40">
        <v>76.25</v>
      </c>
      <c r="D8" s="41">
        <v>91.666666666666671</v>
      </c>
      <c r="E8" s="42">
        <v>75.111472280337011</v>
      </c>
      <c r="F8" s="43">
        <v>66.666666666666671</v>
      </c>
      <c r="G8" s="44">
        <v>0.95557276690530324</v>
      </c>
      <c r="H8" s="44"/>
      <c r="I8" s="44"/>
      <c r="J8" s="44"/>
      <c r="K8" s="44"/>
      <c r="L8" s="44"/>
      <c r="M8" s="44">
        <v>72.215570260403339</v>
      </c>
      <c r="N8" s="50">
        <v>7</v>
      </c>
      <c r="O8" s="36">
        <f>VLOOKUP(A8,[1]Sheet1!$A$1:$I$297,2,FALSE)</f>
        <v>3</v>
      </c>
    </row>
    <row r="9" spans="1:15" ht="18" x14ac:dyDescent="0.3">
      <c r="A9" s="38" t="s">
        <v>319</v>
      </c>
      <c r="B9" s="39">
        <v>65</v>
      </c>
      <c r="C9" s="40">
        <v>88.75</v>
      </c>
      <c r="D9" s="41">
        <v>91.666666666666671</v>
      </c>
      <c r="E9" s="42">
        <v>68.293799920874875</v>
      </c>
      <c r="F9" s="43">
        <v>66.666666666666671</v>
      </c>
      <c r="G9" s="44">
        <v>0.94411173014782024</v>
      </c>
      <c r="H9" s="44"/>
      <c r="I9" s="44"/>
      <c r="J9" s="44"/>
      <c r="K9" s="44"/>
      <c r="L9" s="44"/>
      <c r="M9" s="44">
        <v>71.647576865921494</v>
      </c>
      <c r="N9" s="50">
        <v>8</v>
      </c>
      <c r="O9" s="36">
        <f>VLOOKUP(A9,[1]Sheet1!$A$1:$I$297,2,FALSE)</f>
        <v>3</v>
      </c>
    </row>
    <row r="10" spans="1:15" ht="18" x14ac:dyDescent="0.3">
      <c r="A10" s="38" t="s">
        <v>504</v>
      </c>
      <c r="B10" s="39">
        <v>77.5</v>
      </c>
      <c r="C10" s="40">
        <v>70</v>
      </c>
      <c r="D10" s="41">
        <v>91.666666666666671</v>
      </c>
      <c r="E10" s="42">
        <v>75.224706111244004</v>
      </c>
      <c r="F10" s="43">
        <v>60</v>
      </c>
      <c r="G10" s="44">
        <v>0.92035842027448089</v>
      </c>
      <c r="H10" s="44"/>
      <c r="I10" s="44"/>
      <c r="J10" s="44"/>
      <c r="K10" s="44"/>
      <c r="L10" s="44"/>
      <c r="M10" s="44">
        <v>71.125698853783774</v>
      </c>
      <c r="N10" s="50">
        <v>9</v>
      </c>
      <c r="O10" s="36">
        <f>VLOOKUP(A10,[1]Sheet1!$A$1:$I$297,2,FALSE)</f>
        <v>4</v>
      </c>
    </row>
    <row r="11" spans="1:15" ht="18" x14ac:dyDescent="0.3">
      <c r="A11" s="38" t="s">
        <v>381</v>
      </c>
      <c r="B11" s="39">
        <v>65</v>
      </c>
      <c r="C11" s="40">
        <v>88.75</v>
      </c>
      <c r="D11" s="41">
        <v>66.666666666666671</v>
      </c>
      <c r="E11" s="42">
        <v>73.427183053475432</v>
      </c>
      <c r="F11" s="43">
        <v>60</v>
      </c>
      <c r="G11" s="44">
        <v>0.95944404069270672</v>
      </c>
      <c r="H11" s="44"/>
      <c r="I11" s="44"/>
      <c r="J11" s="44"/>
      <c r="K11" s="44"/>
      <c r="L11" s="44"/>
      <c r="M11" s="44">
        <v>71.069148477875657</v>
      </c>
      <c r="N11" s="50">
        <v>10</v>
      </c>
      <c r="O11" s="36">
        <f>VLOOKUP(A11,[1]Sheet1!$A$1:$I$297,2,FALSE)</f>
        <v>4</v>
      </c>
    </row>
    <row r="12" spans="1:15" ht="18" x14ac:dyDescent="0.3">
      <c r="A12" s="38" t="s">
        <v>326</v>
      </c>
      <c r="B12" s="39">
        <v>65</v>
      </c>
      <c r="C12" s="40">
        <v>71.25</v>
      </c>
      <c r="D12" s="41">
        <v>75</v>
      </c>
      <c r="E12" s="42">
        <v>82.148222061461411</v>
      </c>
      <c r="F12" s="43">
        <v>66.666666666666671</v>
      </c>
      <c r="G12" s="44">
        <v>0.92250083849466036</v>
      </c>
      <c r="H12" s="44"/>
      <c r="I12" s="44"/>
      <c r="J12" s="44"/>
      <c r="K12" s="44"/>
      <c r="L12" s="44"/>
      <c r="M12" s="44">
        <v>70.721899060114751</v>
      </c>
      <c r="N12" s="50">
        <v>11</v>
      </c>
      <c r="O12" s="36">
        <f>VLOOKUP(A12,[1]Sheet1!$A$1:$I$297,2,FALSE)</f>
        <v>4</v>
      </c>
    </row>
    <row r="13" spans="1:15" ht="18" x14ac:dyDescent="0.3">
      <c r="A13" s="38" t="s">
        <v>343</v>
      </c>
      <c r="B13" s="39">
        <v>10</v>
      </c>
      <c r="C13" s="40">
        <v>88.75</v>
      </c>
      <c r="D13" s="41">
        <v>91.666666666666671</v>
      </c>
      <c r="E13" s="42">
        <v>87.502182322135837</v>
      </c>
      <c r="F13" s="43">
        <v>66.666666666666671</v>
      </c>
      <c r="G13" s="44">
        <v>0.99789863864612149</v>
      </c>
      <c r="H13" s="44"/>
      <c r="I13" s="44"/>
      <c r="J13" s="44"/>
      <c r="K13" s="44"/>
      <c r="L13" s="44"/>
      <c r="M13" s="44">
        <v>70.506454057755207</v>
      </c>
      <c r="N13" s="50">
        <v>12</v>
      </c>
      <c r="O13" s="36">
        <f>VLOOKUP(A13,[1]Sheet1!$A$1:$I$297,2,FALSE)</f>
        <v>2</v>
      </c>
    </row>
    <row r="14" spans="1:15" ht="18" x14ac:dyDescent="0.3">
      <c r="A14" s="38" t="s">
        <v>391</v>
      </c>
      <c r="B14" s="39">
        <v>65</v>
      </c>
      <c r="C14" s="40">
        <v>76.25</v>
      </c>
      <c r="D14" s="41">
        <v>83.333333333333329</v>
      </c>
      <c r="E14" s="42">
        <v>60.916304994541917</v>
      </c>
      <c r="F14" s="43">
        <v>60</v>
      </c>
      <c r="G14" s="44">
        <v>1.0819188131253366</v>
      </c>
      <c r="H14" s="44"/>
      <c r="I14" s="44"/>
      <c r="J14" s="44"/>
      <c r="K14" s="44"/>
      <c r="L14" s="44"/>
      <c r="M14" s="44">
        <v>70.010876463833029</v>
      </c>
      <c r="N14" s="50">
        <v>13</v>
      </c>
      <c r="O14" s="36">
        <f>VLOOKUP(A14,[1]Sheet1!$A$1:$I$297,2,FALSE)</f>
        <v>4</v>
      </c>
    </row>
    <row r="15" spans="1:15" ht="18" x14ac:dyDescent="0.3">
      <c r="A15" s="38" t="s">
        <v>549</v>
      </c>
      <c r="B15" s="39">
        <v>65</v>
      </c>
      <c r="C15" s="40">
        <v>82.5</v>
      </c>
      <c r="D15" s="41">
        <v>83.333333333333329</v>
      </c>
      <c r="E15" s="42">
        <v>75.197538102003648</v>
      </c>
      <c r="F15" s="43">
        <v>50</v>
      </c>
      <c r="G15" s="44">
        <v>0.93246305099931981</v>
      </c>
      <c r="H15" s="44"/>
      <c r="I15" s="44"/>
      <c r="J15" s="44"/>
      <c r="K15" s="44"/>
      <c r="L15" s="44"/>
      <c r="M15" s="44">
        <v>70.002923318817267</v>
      </c>
      <c r="N15" s="50">
        <v>14</v>
      </c>
      <c r="O15" s="36">
        <f>VLOOKUP(A15,[1]Sheet1!$A$1:$I$297,2,FALSE)</f>
        <v>4</v>
      </c>
    </row>
    <row r="16" spans="1:15" ht="18" x14ac:dyDescent="0.3">
      <c r="A16" s="38" t="s">
        <v>492</v>
      </c>
      <c r="B16" s="39">
        <v>75</v>
      </c>
      <c r="C16" s="40">
        <v>88.75</v>
      </c>
      <c r="D16" s="41">
        <v>91.666666666666671</v>
      </c>
      <c r="E16" s="42">
        <v>55.775268427003475</v>
      </c>
      <c r="F16" s="43">
        <v>50</v>
      </c>
      <c r="G16" s="44">
        <v>1.0097819060406659</v>
      </c>
      <c r="H16" s="44"/>
      <c r="I16" s="44"/>
      <c r="J16" s="44"/>
      <c r="K16" s="44"/>
      <c r="L16" s="44"/>
      <c r="M16" s="44">
        <v>69.591738002136395</v>
      </c>
      <c r="N16" s="50">
        <v>15</v>
      </c>
      <c r="O16" s="36">
        <f>VLOOKUP(A16,[1]Sheet1!$A$1:$I$297,2,FALSE)</f>
        <v>3</v>
      </c>
    </row>
    <row r="17" spans="1:15" ht="18" x14ac:dyDescent="0.3">
      <c r="A17" s="38" t="s">
        <v>347</v>
      </c>
      <c r="B17" s="39">
        <v>20</v>
      </c>
      <c r="C17" s="40">
        <v>76.25</v>
      </c>
      <c r="D17" s="41">
        <v>83.333333333333329</v>
      </c>
      <c r="E17" s="42">
        <v>83.012558103788294</v>
      </c>
      <c r="F17" s="43">
        <v>50</v>
      </c>
      <c r="G17" s="44">
        <v>1.0861884242329052</v>
      </c>
      <c r="H17" s="44"/>
      <c r="I17" s="44"/>
      <c r="J17" s="44"/>
      <c r="K17" s="44"/>
      <c r="L17" s="44"/>
      <c r="M17" s="44">
        <v>68.994998901583472</v>
      </c>
      <c r="N17" s="50">
        <v>16</v>
      </c>
      <c r="O17" s="36">
        <f>VLOOKUP(A17,[1]Sheet1!$A$1:$I$297,2,FALSE)</f>
        <v>4</v>
      </c>
    </row>
    <row r="18" spans="1:15" ht="18" x14ac:dyDescent="0.3">
      <c r="A18" s="38" t="s">
        <v>459</v>
      </c>
      <c r="B18" s="39">
        <v>42.5</v>
      </c>
      <c r="C18" s="40">
        <v>90</v>
      </c>
      <c r="D18" s="41">
        <v>91.666666666666671</v>
      </c>
      <c r="E18" s="42">
        <v>63.652482245667144</v>
      </c>
      <c r="F18" s="43">
        <v>66.666666666666671</v>
      </c>
      <c r="G18" s="44">
        <v>1.0211326542639714</v>
      </c>
      <c r="H18" s="44"/>
      <c r="I18" s="44"/>
      <c r="J18" s="44"/>
      <c r="K18" s="44"/>
      <c r="L18" s="44"/>
      <c r="M18" s="44">
        <v>68.512012152980461</v>
      </c>
      <c r="N18" s="50">
        <v>17</v>
      </c>
      <c r="O18" s="36">
        <f>VLOOKUP(A18,[1]Sheet1!$A$1:$I$297,2,FALSE)</f>
        <v>4</v>
      </c>
    </row>
    <row r="19" spans="1:15" ht="18" x14ac:dyDescent="0.3">
      <c r="A19" s="38" t="s">
        <v>356</v>
      </c>
      <c r="B19" s="39">
        <v>65</v>
      </c>
      <c r="C19" s="40">
        <v>77.5</v>
      </c>
      <c r="D19" s="41">
        <v>83.333333333333329</v>
      </c>
      <c r="E19" s="42">
        <v>60.699890056977225</v>
      </c>
      <c r="F19" s="43">
        <v>66.666666666666671</v>
      </c>
      <c r="G19" s="44">
        <v>1.0180052868492218</v>
      </c>
      <c r="H19" s="44"/>
      <c r="I19" s="44"/>
      <c r="J19" s="44"/>
      <c r="K19" s="44"/>
      <c r="L19" s="44"/>
      <c r="M19" s="44">
        <v>68.45119232470762</v>
      </c>
      <c r="N19" s="50">
        <v>18</v>
      </c>
      <c r="O19" s="36">
        <f>VLOOKUP(A19,[1]Sheet1!$A$1:$I$297,2,FALSE)</f>
        <v>4</v>
      </c>
    </row>
    <row r="20" spans="1:15" ht="18" x14ac:dyDescent="0.3">
      <c r="A20" s="38" t="s">
        <v>384</v>
      </c>
      <c r="B20" s="39">
        <v>75</v>
      </c>
      <c r="C20" s="40">
        <v>77.5</v>
      </c>
      <c r="D20" s="41">
        <v>83.333333333333329</v>
      </c>
      <c r="E20" s="42">
        <v>60.503134017896627</v>
      </c>
      <c r="F20" s="43">
        <v>66.666666666666671</v>
      </c>
      <c r="G20" s="44">
        <v>0.96524871099594145</v>
      </c>
      <c r="H20" s="44"/>
      <c r="I20" s="44"/>
      <c r="J20" s="44"/>
      <c r="K20" s="44"/>
      <c r="L20" s="44"/>
      <c r="M20" s="44">
        <v>68.338959513734892</v>
      </c>
      <c r="N20" s="50">
        <v>19</v>
      </c>
      <c r="O20" s="36">
        <f>VLOOKUP(A20,[1]Sheet1!$A$1:$I$297,2,FALSE)</f>
        <v>3</v>
      </c>
    </row>
    <row r="21" spans="1:15" ht="18" x14ac:dyDescent="0.3">
      <c r="A21" s="38" t="s">
        <v>576</v>
      </c>
      <c r="B21" s="39">
        <v>42.5</v>
      </c>
      <c r="C21" s="40">
        <v>100</v>
      </c>
      <c r="D21" s="41">
        <v>91.666666666666671</v>
      </c>
      <c r="E21" s="42">
        <v>53.142945446008568</v>
      </c>
      <c r="F21" s="43">
        <v>66.666666666666671</v>
      </c>
      <c r="G21" s="44">
        <v>1.0861884242329052</v>
      </c>
      <c r="H21" s="44"/>
      <c r="I21" s="44"/>
      <c r="J21" s="44"/>
      <c r="K21" s="44"/>
      <c r="L21" s="44"/>
      <c r="M21" s="44">
        <v>68.155235808551154</v>
      </c>
      <c r="N21" s="50">
        <v>20</v>
      </c>
      <c r="O21" s="36" t="e">
        <f>VLOOKUP(A21,[1]Sheet1!$A$1:$I$297,2,FALSE)</f>
        <v>#N/A</v>
      </c>
    </row>
    <row r="22" spans="1:15" ht="18" x14ac:dyDescent="0.3">
      <c r="A22" s="38" t="s">
        <v>581</v>
      </c>
      <c r="B22" s="39">
        <v>52.5</v>
      </c>
      <c r="C22" s="40">
        <v>83.75</v>
      </c>
      <c r="D22" s="41">
        <v>91.666666666666671</v>
      </c>
      <c r="E22" s="42">
        <v>55.534088523030881</v>
      </c>
      <c r="F22" s="43">
        <v>66.666666666666671</v>
      </c>
      <c r="G22" s="44">
        <v>1.0861884242329052</v>
      </c>
      <c r="H22" s="44"/>
      <c r="I22" s="44"/>
      <c r="J22" s="44"/>
      <c r="K22" s="44"/>
      <c r="L22" s="44"/>
      <c r="M22" s="44">
        <v>68.116505429395474</v>
      </c>
      <c r="N22" s="50">
        <v>21</v>
      </c>
      <c r="O22" s="36" t="e">
        <f>VLOOKUP(A22,[1]Sheet1!$A$1:$I$297,2,FALSE)</f>
        <v>#N/A</v>
      </c>
    </row>
    <row r="23" spans="1:15" ht="18" x14ac:dyDescent="0.3">
      <c r="A23" s="38" t="s">
        <v>547</v>
      </c>
      <c r="B23" s="39">
        <v>42.5</v>
      </c>
      <c r="C23" s="40">
        <v>93.75</v>
      </c>
      <c r="D23" s="41">
        <v>91.666666666666671</v>
      </c>
      <c r="E23" s="42">
        <v>69.336922015061617</v>
      </c>
      <c r="F23" s="43">
        <v>66.666666666666671</v>
      </c>
      <c r="G23" s="44">
        <v>0.92035842027448089</v>
      </c>
      <c r="H23" s="44"/>
      <c r="I23" s="44"/>
      <c r="J23" s="44"/>
      <c r="K23" s="44"/>
      <c r="L23" s="44"/>
      <c r="M23" s="44">
        <v>67.932307910657215</v>
      </c>
      <c r="N23" s="50">
        <v>22</v>
      </c>
      <c r="O23" s="36">
        <f>VLOOKUP(A23,[1]Sheet1!$A$1:$I$297,2,FALSE)</f>
        <v>4</v>
      </c>
    </row>
    <row r="24" spans="1:15" ht="18" x14ac:dyDescent="0.3">
      <c r="A24" s="38" t="s">
        <v>518</v>
      </c>
      <c r="B24" s="39">
        <v>65</v>
      </c>
      <c r="C24" s="40">
        <v>76.25</v>
      </c>
      <c r="D24" s="41">
        <v>75</v>
      </c>
      <c r="E24" s="42">
        <v>77.340022981273407</v>
      </c>
      <c r="F24" s="43">
        <v>43.333333333333336</v>
      </c>
      <c r="G24" s="44">
        <v>0.92035842027448089</v>
      </c>
      <c r="H24" s="44"/>
      <c r="I24" s="44"/>
      <c r="J24" s="44"/>
      <c r="K24" s="44"/>
      <c r="L24" s="44"/>
      <c r="M24" s="44">
        <v>67.520209346916317</v>
      </c>
      <c r="N24" s="50">
        <v>23</v>
      </c>
      <c r="O24" s="36">
        <f>VLOOKUP(A24,[1]Sheet1!$A$1:$I$297,2,FALSE)</f>
        <v>3</v>
      </c>
    </row>
    <row r="25" spans="1:15" ht="18" x14ac:dyDescent="0.3">
      <c r="A25" s="38" t="s">
        <v>393</v>
      </c>
      <c r="B25" s="39">
        <v>10</v>
      </c>
      <c r="C25" s="40">
        <v>83.75</v>
      </c>
      <c r="D25" s="41">
        <v>91.666666666666671</v>
      </c>
      <c r="E25" s="42">
        <v>73.783033021493509</v>
      </c>
      <c r="F25" s="43">
        <v>66.666666666666671</v>
      </c>
      <c r="G25" s="44">
        <v>1.0861884242329052</v>
      </c>
      <c r="H25" s="44"/>
      <c r="I25" s="44"/>
      <c r="J25" s="44"/>
      <c r="K25" s="44"/>
      <c r="L25" s="44"/>
      <c r="M25" s="44">
        <v>66.812620730895333</v>
      </c>
      <c r="N25" s="50">
        <v>24</v>
      </c>
      <c r="O25" s="36">
        <f>VLOOKUP(A25,[1]Sheet1!$A$1:$I$297,2,FALSE)</f>
        <v>2</v>
      </c>
    </row>
    <row r="26" spans="1:15" ht="18" x14ac:dyDescent="0.3">
      <c r="A26" s="38" t="s">
        <v>497</v>
      </c>
      <c r="B26" s="39">
        <v>75</v>
      </c>
      <c r="C26" s="40">
        <v>77.5</v>
      </c>
      <c r="D26" s="41">
        <v>83.333333333333329</v>
      </c>
      <c r="E26" s="42">
        <v>51.614370532565076</v>
      </c>
      <c r="F26" s="43">
        <v>60</v>
      </c>
      <c r="G26" s="44">
        <v>1.037122133267081</v>
      </c>
      <c r="H26" s="44"/>
      <c r="I26" s="44"/>
      <c r="J26" s="44"/>
      <c r="K26" s="44"/>
      <c r="L26" s="44"/>
      <c r="M26" s="44">
        <v>66.802327761928126</v>
      </c>
      <c r="N26" s="50">
        <v>25</v>
      </c>
      <c r="O26" s="36">
        <f>VLOOKUP(A26,[1]Sheet1!$A$1:$I$297,2,FALSE)</f>
        <v>3</v>
      </c>
    </row>
    <row r="27" spans="1:15" ht="18" x14ac:dyDescent="0.3">
      <c r="A27" s="38" t="s">
        <v>514</v>
      </c>
      <c r="B27" s="39">
        <v>40</v>
      </c>
      <c r="C27" s="40">
        <v>77.5</v>
      </c>
      <c r="D27" s="41">
        <v>75</v>
      </c>
      <c r="E27" s="42">
        <v>82.005075580883442</v>
      </c>
      <c r="F27" s="43">
        <v>43.333333333333336</v>
      </c>
      <c r="G27" s="44">
        <v>0.96575585942016695</v>
      </c>
      <c r="H27" s="44"/>
      <c r="I27" s="44"/>
      <c r="J27" s="44"/>
      <c r="K27" s="44"/>
      <c r="L27" s="44"/>
      <c r="M27" s="44">
        <v>66.738133106467401</v>
      </c>
      <c r="N27" s="50">
        <v>26</v>
      </c>
      <c r="O27" s="36">
        <f>VLOOKUP(A27,[1]Sheet1!$A$1:$I$297,2,FALSE)</f>
        <v>2</v>
      </c>
    </row>
    <row r="28" spans="1:15" ht="18" x14ac:dyDescent="0.3">
      <c r="A28" s="38" t="s">
        <v>485</v>
      </c>
      <c r="B28" s="39">
        <v>42.5</v>
      </c>
      <c r="C28" s="40">
        <v>77.5</v>
      </c>
      <c r="D28" s="41">
        <v>91.666666666666671</v>
      </c>
      <c r="E28" s="42">
        <v>74.654481813744198</v>
      </c>
      <c r="F28" s="43">
        <v>66.666666666666671</v>
      </c>
      <c r="G28" s="44">
        <v>0.92035842027448089</v>
      </c>
      <c r="H28" s="44"/>
      <c r="I28" s="44"/>
      <c r="J28" s="44"/>
      <c r="K28" s="44"/>
      <c r="L28" s="44"/>
      <c r="M28" s="44">
        <v>66.639932285069449</v>
      </c>
      <c r="N28" s="50">
        <v>27</v>
      </c>
      <c r="O28" s="36">
        <f>VLOOKUP(A28,[1]Sheet1!$A$1:$I$297,2,FALSE)</f>
        <v>3</v>
      </c>
    </row>
    <row r="29" spans="1:15" ht="18" x14ac:dyDescent="0.3">
      <c r="A29" s="38" t="s">
        <v>430</v>
      </c>
      <c r="B29" s="39">
        <v>65</v>
      </c>
      <c r="C29" s="40">
        <v>60</v>
      </c>
      <c r="D29" s="41">
        <v>50</v>
      </c>
      <c r="E29" s="42">
        <v>68.710923756227217</v>
      </c>
      <c r="F29" s="43">
        <v>60</v>
      </c>
      <c r="G29" s="44">
        <v>1.0715381048038377</v>
      </c>
      <c r="H29" s="44"/>
      <c r="I29" s="44"/>
      <c r="J29" s="44"/>
      <c r="K29" s="44"/>
      <c r="L29" s="44"/>
      <c r="M29" s="44">
        <v>66.380544570877376</v>
      </c>
      <c r="N29" s="50">
        <v>28</v>
      </c>
      <c r="O29" s="36">
        <f>VLOOKUP(A29,[1]Sheet1!$A$1:$I$297,2,FALSE)</f>
        <v>3</v>
      </c>
    </row>
    <row r="30" spans="1:15" ht="18" x14ac:dyDescent="0.3">
      <c r="A30" s="38" t="s">
        <v>578</v>
      </c>
      <c r="B30" s="39">
        <v>77.5</v>
      </c>
      <c r="C30" s="40">
        <v>58.75</v>
      </c>
      <c r="D30" s="41">
        <v>75</v>
      </c>
      <c r="E30" s="42">
        <v>77.437436847666234</v>
      </c>
      <c r="F30" s="43">
        <v>43.333333333333336</v>
      </c>
      <c r="G30" s="44">
        <v>0.92035842027448089</v>
      </c>
      <c r="H30" s="44"/>
      <c r="I30" s="44"/>
      <c r="J30" s="44"/>
      <c r="K30" s="44"/>
      <c r="L30" s="44"/>
      <c r="M30" s="44">
        <v>66.356967666476976</v>
      </c>
      <c r="N30" s="50">
        <v>29</v>
      </c>
      <c r="O30" s="36" t="e">
        <f>VLOOKUP(A30,[1]Sheet1!$A$1:$I$297,2,FALSE)</f>
        <v>#N/A</v>
      </c>
    </row>
    <row r="31" spans="1:15" ht="18" x14ac:dyDescent="0.3">
      <c r="A31" s="38" t="s">
        <v>375</v>
      </c>
      <c r="B31" s="39">
        <v>10</v>
      </c>
      <c r="C31" s="40">
        <v>88.75</v>
      </c>
      <c r="D31" s="41">
        <v>91.666666666666671</v>
      </c>
      <c r="E31" s="42">
        <v>77.065428846378481</v>
      </c>
      <c r="F31" s="43">
        <v>66.666666666666671</v>
      </c>
      <c r="G31" s="44">
        <v>0.99778853500294606</v>
      </c>
      <c r="H31" s="44"/>
      <c r="I31" s="44"/>
      <c r="J31" s="44"/>
      <c r="K31" s="44"/>
      <c r="L31" s="44"/>
      <c r="M31" s="44">
        <v>66.336910942539944</v>
      </c>
      <c r="N31" s="50">
        <v>30</v>
      </c>
      <c r="O31" s="36">
        <f>VLOOKUP(A31,[1]Sheet1!$A$1:$I$297,2,FALSE)</f>
        <v>3</v>
      </c>
    </row>
    <row r="32" spans="1:15" ht="18" x14ac:dyDescent="0.3">
      <c r="A32" s="38" t="s">
        <v>512</v>
      </c>
      <c r="B32" s="39">
        <v>55</v>
      </c>
      <c r="C32" s="40">
        <v>65</v>
      </c>
      <c r="D32" s="41">
        <v>91.666666666666671</v>
      </c>
      <c r="E32" s="42">
        <v>57.752875997253234</v>
      </c>
      <c r="F32" s="43">
        <v>66.666666666666671</v>
      </c>
      <c r="G32" s="44">
        <v>1.0861884242329052</v>
      </c>
      <c r="H32" s="44"/>
      <c r="I32" s="44"/>
      <c r="J32" s="44"/>
      <c r="K32" s="44"/>
      <c r="L32" s="44"/>
      <c r="M32" s="44">
        <v>65.873608149645236</v>
      </c>
      <c r="N32" s="50">
        <v>31</v>
      </c>
      <c r="O32" s="36">
        <f>VLOOKUP(A32,[1]Sheet1!$A$1:$I$297,2,FALSE)</f>
        <v>4</v>
      </c>
    </row>
    <row r="33" spans="1:15" ht="18" x14ac:dyDescent="0.3">
      <c r="A33" s="38" t="s">
        <v>543</v>
      </c>
      <c r="B33" s="39">
        <v>65</v>
      </c>
      <c r="C33" s="40">
        <v>65</v>
      </c>
      <c r="D33" s="41">
        <v>50</v>
      </c>
      <c r="E33" s="42">
        <v>70.780310747295999</v>
      </c>
      <c r="F33" s="43">
        <v>50</v>
      </c>
      <c r="G33" s="44">
        <v>1.029876519655347</v>
      </c>
      <c r="H33" s="44"/>
      <c r="I33" s="44"/>
      <c r="J33" s="44"/>
      <c r="K33" s="44"/>
      <c r="L33" s="44"/>
      <c r="M33" s="44">
        <v>65.546386792539181</v>
      </c>
      <c r="N33" s="50">
        <v>32</v>
      </c>
      <c r="O33" s="36">
        <f>VLOOKUP(A33,[1]Sheet1!$A$1:$I$297,2,FALSE)</f>
        <v>4</v>
      </c>
    </row>
    <row r="34" spans="1:15" ht="18" x14ac:dyDescent="0.3">
      <c r="A34" s="38" t="s">
        <v>409</v>
      </c>
      <c r="B34" s="39">
        <v>52.5</v>
      </c>
      <c r="C34" s="40">
        <v>81.25</v>
      </c>
      <c r="D34" s="41">
        <v>83.333333333333329</v>
      </c>
      <c r="E34" s="42">
        <v>67.978463829034141</v>
      </c>
      <c r="F34" s="43">
        <v>60</v>
      </c>
      <c r="G34" s="44">
        <v>0.92035842027448089</v>
      </c>
      <c r="H34" s="44"/>
      <c r="I34" s="44"/>
      <c r="J34" s="44"/>
      <c r="K34" s="44"/>
      <c r="L34" s="44"/>
      <c r="M34" s="44">
        <v>65.272917379165705</v>
      </c>
      <c r="N34" s="50">
        <v>33</v>
      </c>
      <c r="O34" s="36">
        <f>VLOOKUP(A34,[1]Sheet1!$A$1:$I$297,2,FALSE)</f>
        <v>3</v>
      </c>
    </row>
    <row r="35" spans="1:15" ht="18" x14ac:dyDescent="0.3">
      <c r="A35" s="38" t="s">
        <v>600</v>
      </c>
      <c r="B35" s="39">
        <v>45</v>
      </c>
      <c r="C35" s="40">
        <v>71.25</v>
      </c>
      <c r="D35" s="41">
        <v>50</v>
      </c>
      <c r="E35" s="42">
        <v>84.191477482262883</v>
      </c>
      <c r="F35" s="43">
        <v>43.333333333333336</v>
      </c>
      <c r="G35" s="44">
        <v>0.97133734679797301</v>
      </c>
      <c r="H35" s="44">
        <v>0.2</v>
      </c>
      <c r="I35" s="44">
        <v>0.2</v>
      </c>
      <c r="J35" s="44">
        <v>0.1</v>
      </c>
      <c r="K35" s="44">
        <v>0.4</v>
      </c>
      <c r="L35" s="44">
        <v>0.1</v>
      </c>
      <c r="M35" s="44">
        <v>65.036699998764092</v>
      </c>
      <c r="N35" s="50">
        <v>34</v>
      </c>
      <c r="O35" s="36" t="e">
        <f>VLOOKUP(A35,[1]Sheet1!$A$1:$I$297,2,FALSE)</f>
        <v>#N/A</v>
      </c>
    </row>
    <row r="36" spans="1:15" ht="18" x14ac:dyDescent="0.3">
      <c r="A36" s="38" t="s">
        <v>585</v>
      </c>
      <c r="B36" s="39">
        <v>55</v>
      </c>
      <c r="C36" s="40">
        <v>65</v>
      </c>
      <c r="D36" s="41">
        <v>91.666666666666671</v>
      </c>
      <c r="E36" s="42">
        <v>75.142236558890716</v>
      </c>
      <c r="F36" s="43">
        <v>50</v>
      </c>
      <c r="G36" s="44">
        <v>0.92035842027448089</v>
      </c>
      <c r="H36" s="44"/>
      <c r="I36" s="44"/>
      <c r="J36" s="44"/>
      <c r="K36" s="44"/>
      <c r="L36" s="44"/>
      <c r="M36" s="44">
        <v>64.953725343778757</v>
      </c>
      <c r="N36" s="50">
        <v>35</v>
      </c>
      <c r="O36" s="36" t="e">
        <f>VLOOKUP(A36,[1]Sheet1!$A$1:$I$297,2,FALSE)</f>
        <v>#N/A</v>
      </c>
    </row>
    <row r="37" spans="1:15" ht="18" x14ac:dyDescent="0.3">
      <c r="A37" s="38" t="s">
        <v>455</v>
      </c>
      <c r="B37" s="39">
        <v>65</v>
      </c>
      <c r="C37" s="40">
        <v>66.25</v>
      </c>
      <c r="D37" s="41">
        <v>83.333333333333329</v>
      </c>
      <c r="E37" s="42">
        <v>57.836750002750819</v>
      </c>
      <c r="F37" s="43">
        <v>50</v>
      </c>
      <c r="G37" s="44">
        <v>1.0584513346795681</v>
      </c>
      <c r="H37" s="44"/>
      <c r="I37" s="44"/>
      <c r="J37" s="44"/>
      <c r="K37" s="44"/>
      <c r="L37" s="44"/>
      <c r="M37" s="44">
        <v>64.830154777743772</v>
      </c>
      <c r="N37" s="50">
        <v>36</v>
      </c>
      <c r="O37" s="36">
        <f>VLOOKUP(A37,[1]Sheet1!$A$1:$I$297,2,FALSE)</f>
        <v>4</v>
      </c>
    </row>
    <row r="38" spans="1:15" ht="18" x14ac:dyDescent="0.3">
      <c r="A38" s="38" t="s">
        <v>380</v>
      </c>
      <c r="B38" s="39">
        <v>87.5</v>
      </c>
      <c r="C38" s="40">
        <v>56.25</v>
      </c>
      <c r="D38" s="41">
        <v>75</v>
      </c>
      <c r="E38" s="42">
        <v>62.489526482966852</v>
      </c>
      <c r="F38" s="43">
        <v>66.666666666666671</v>
      </c>
      <c r="G38" s="44">
        <v>0.92354760254785906</v>
      </c>
      <c r="H38" s="44"/>
      <c r="I38" s="44"/>
      <c r="J38" s="44"/>
      <c r="K38" s="44"/>
      <c r="L38" s="44"/>
      <c r="M38" s="44">
        <v>64.663570658332191</v>
      </c>
      <c r="N38" s="50">
        <v>37</v>
      </c>
      <c r="O38" s="36">
        <f>VLOOKUP(A38,[1]Sheet1!$A$1:$I$297,2,FALSE)</f>
        <v>4</v>
      </c>
    </row>
    <row r="39" spans="1:15" ht="18" x14ac:dyDescent="0.3">
      <c r="A39" s="38" t="s">
        <v>542</v>
      </c>
      <c r="B39" s="39">
        <v>75</v>
      </c>
      <c r="C39" s="40">
        <v>77.5</v>
      </c>
      <c r="D39" s="41">
        <v>91.666666666666671</v>
      </c>
      <c r="E39" s="42">
        <v>46.511653435273473</v>
      </c>
      <c r="F39" s="43">
        <v>66.666666666666671</v>
      </c>
      <c r="G39" s="44">
        <v>0.99104690643977911</v>
      </c>
      <c r="H39" s="44"/>
      <c r="I39" s="44"/>
      <c r="J39" s="44"/>
      <c r="K39" s="44"/>
      <c r="L39" s="44"/>
      <c r="M39" s="44">
        <v>64.637129030100795</v>
      </c>
      <c r="N39" s="50">
        <v>38</v>
      </c>
      <c r="O39" s="36">
        <f>VLOOKUP(A39,[1]Sheet1!$A$1:$I$297,2,FALSE)</f>
        <v>3</v>
      </c>
    </row>
    <row r="40" spans="1:15" ht="18" x14ac:dyDescent="0.3">
      <c r="A40" s="38" t="s">
        <v>305</v>
      </c>
      <c r="B40" s="39">
        <v>75</v>
      </c>
      <c r="C40" s="40">
        <v>70</v>
      </c>
      <c r="D40" s="41">
        <v>75</v>
      </c>
      <c r="E40" s="42">
        <v>67.48997446184211</v>
      </c>
      <c r="F40" s="43">
        <v>43.333333333333336</v>
      </c>
      <c r="G40" s="44">
        <v>0.92035842027448089</v>
      </c>
      <c r="H40" s="44"/>
      <c r="I40" s="44"/>
      <c r="J40" s="44"/>
      <c r="K40" s="44"/>
      <c r="L40" s="44"/>
      <c r="M40" s="44">
        <v>64.484696149476974</v>
      </c>
      <c r="N40" s="50">
        <v>39</v>
      </c>
      <c r="O40" s="36">
        <f>VLOOKUP(A40,[1]Sheet1!$A$1:$I$297,2,FALSE)</f>
        <v>2</v>
      </c>
    </row>
    <row r="41" spans="1:15" ht="18" x14ac:dyDescent="0.3">
      <c r="A41" s="38" t="s">
        <v>533</v>
      </c>
      <c r="B41" s="39">
        <v>65</v>
      </c>
      <c r="C41" s="40">
        <v>76.25</v>
      </c>
      <c r="D41" s="41">
        <v>75</v>
      </c>
      <c r="E41" s="42">
        <v>57.956359022351641</v>
      </c>
      <c r="F41" s="43">
        <v>43.333333333333336</v>
      </c>
      <c r="G41" s="44">
        <v>1.0243399597160769</v>
      </c>
      <c r="H41" s="44"/>
      <c r="I41" s="44"/>
      <c r="J41" s="44"/>
      <c r="K41" s="44"/>
      <c r="L41" s="44"/>
      <c r="M41" s="44">
        <v>64.146558596140807</v>
      </c>
      <c r="N41" s="50">
        <v>40</v>
      </c>
      <c r="O41" s="36">
        <f>VLOOKUP(A41,[1]Sheet1!$A$1:$I$297,2,FALSE)</f>
        <v>3</v>
      </c>
    </row>
    <row r="42" spans="1:15" ht="18" x14ac:dyDescent="0.3">
      <c r="A42" s="38" t="s">
        <v>436</v>
      </c>
      <c r="B42" s="39">
        <v>65</v>
      </c>
      <c r="C42" s="40">
        <v>77.5</v>
      </c>
      <c r="D42" s="41">
        <v>75</v>
      </c>
      <c r="E42" s="42">
        <v>71.47068329403389</v>
      </c>
      <c r="F42" s="43">
        <v>26.666666666666668</v>
      </c>
      <c r="G42" s="44">
        <v>0.92035842027448089</v>
      </c>
      <c r="H42" s="44"/>
      <c r="I42" s="44"/>
      <c r="J42" s="44"/>
      <c r="K42" s="44"/>
      <c r="L42" s="44"/>
      <c r="M42" s="44">
        <v>63.942784199208823</v>
      </c>
      <c r="N42" s="50">
        <v>41</v>
      </c>
      <c r="O42" s="36">
        <f>VLOOKUP(A42,[1]Sheet1!$A$1:$I$297,2,FALSE)</f>
        <v>4</v>
      </c>
    </row>
    <row r="43" spans="1:15" ht="18" x14ac:dyDescent="0.3">
      <c r="A43" s="38" t="s">
        <v>586</v>
      </c>
      <c r="B43" s="39">
        <v>32.5</v>
      </c>
      <c r="C43" s="40">
        <v>77.5</v>
      </c>
      <c r="D43" s="41">
        <v>75</v>
      </c>
      <c r="E43" s="42">
        <v>71.758593177337261</v>
      </c>
      <c r="F43" s="43">
        <v>60</v>
      </c>
      <c r="G43" s="44">
        <v>0.97656578693234619</v>
      </c>
      <c r="H43" s="44"/>
      <c r="I43" s="44"/>
      <c r="J43" s="44"/>
      <c r="K43" s="44"/>
      <c r="L43" s="44"/>
      <c r="M43" s="44">
        <v>63.378472421214028</v>
      </c>
      <c r="N43" s="50">
        <v>42</v>
      </c>
      <c r="O43" s="36" t="e">
        <f>VLOOKUP(A43,[1]Sheet1!$A$1:$I$297,2,FALSE)</f>
        <v>#N/A</v>
      </c>
    </row>
    <row r="44" spans="1:15" ht="18" x14ac:dyDescent="0.3">
      <c r="A44" s="38" t="s">
        <v>404</v>
      </c>
      <c r="B44" s="39">
        <v>77.5</v>
      </c>
      <c r="C44" s="40">
        <v>88.75</v>
      </c>
      <c r="D44" s="41">
        <v>75</v>
      </c>
      <c r="E44" s="42">
        <v>48.491377931751174</v>
      </c>
      <c r="F44" s="43">
        <v>60</v>
      </c>
      <c r="G44" s="44">
        <v>0.92035842027448089</v>
      </c>
      <c r="H44" s="44"/>
      <c r="I44" s="44"/>
      <c r="J44" s="44"/>
      <c r="K44" s="44"/>
      <c r="L44" s="44"/>
      <c r="M44" s="44">
        <v>63.367334710334191</v>
      </c>
      <c r="N44" s="50">
        <v>43</v>
      </c>
      <c r="O44" s="36">
        <f>VLOOKUP(A44,[1]Sheet1!$A$1:$I$297,2,FALSE)</f>
        <v>3</v>
      </c>
    </row>
    <row r="45" spans="1:15" ht="18" x14ac:dyDescent="0.3">
      <c r="A45" s="38" t="s">
        <v>515</v>
      </c>
      <c r="B45" s="39">
        <v>65</v>
      </c>
      <c r="C45" s="40">
        <v>65</v>
      </c>
      <c r="D45" s="41">
        <v>33.333333333333336</v>
      </c>
      <c r="E45" s="42">
        <v>63.927075912190546</v>
      </c>
      <c r="F45" s="43">
        <v>50</v>
      </c>
      <c r="G45" s="44">
        <v>1.0787019307624031</v>
      </c>
      <c r="H45" s="44"/>
      <c r="I45" s="44"/>
      <c r="J45" s="44"/>
      <c r="K45" s="44"/>
      <c r="L45" s="44"/>
      <c r="M45" s="44">
        <v>62.939762519034439</v>
      </c>
      <c r="N45" s="50">
        <v>44</v>
      </c>
      <c r="O45" s="36">
        <f>VLOOKUP(A45,[1]Sheet1!$A$1:$I$297,2,FALSE)</f>
        <v>2</v>
      </c>
    </row>
    <row r="46" spans="1:15" ht="18" x14ac:dyDescent="0.3">
      <c r="A46" s="38" t="s">
        <v>406</v>
      </c>
      <c r="B46" s="39">
        <v>35</v>
      </c>
      <c r="C46" s="40">
        <v>71.25</v>
      </c>
      <c r="D46" s="41">
        <v>91.666666666666671</v>
      </c>
      <c r="E46" s="42">
        <v>71.703711725512022</v>
      </c>
      <c r="F46" s="43">
        <v>66.666666666666671</v>
      </c>
      <c r="G46" s="44">
        <v>0.92035842027448089</v>
      </c>
      <c r="H46" s="44"/>
      <c r="I46" s="44"/>
      <c r="J46" s="44"/>
      <c r="K46" s="44"/>
      <c r="L46" s="44"/>
      <c r="M46" s="44">
        <v>62.923088215858314</v>
      </c>
      <c r="N46" s="50">
        <v>45</v>
      </c>
      <c r="O46" s="36">
        <f>VLOOKUP(A46,[1]Sheet1!$A$1:$I$297,2,FALSE)</f>
        <v>3</v>
      </c>
    </row>
    <row r="47" spans="1:15" ht="18" x14ac:dyDescent="0.3">
      <c r="A47" s="38" t="s">
        <v>450</v>
      </c>
      <c r="B47" s="39">
        <v>75</v>
      </c>
      <c r="C47" s="40">
        <v>75</v>
      </c>
      <c r="D47" s="41">
        <v>66.666666666666671</v>
      </c>
      <c r="E47" s="42">
        <v>46.267038663349794</v>
      </c>
      <c r="F47" s="43">
        <v>66.666666666666671</v>
      </c>
      <c r="G47" s="44">
        <v>1.0248350670547226</v>
      </c>
      <c r="H47" s="44"/>
      <c r="I47" s="44"/>
      <c r="J47" s="44"/>
      <c r="K47" s="44"/>
      <c r="L47" s="44"/>
      <c r="M47" s="44">
        <v>62.67229280754519</v>
      </c>
      <c r="N47" s="50">
        <v>46</v>
      </c>
      <c r="O47" s="36">
        <f>VLOOKUP(A47,[1]Sheet1!$A$1:$I$297,2,FALSE)</f>
        <v>2</v>
      </c>
    </row>
    <row r="48" spans="1:15" ht="18" x14ac:dyDescent="0.3">
      <c r="A48" s="38" t="s">
        <v>377</v>
      </c>
      <c r="B48" s="39">
        <v>65</v>
      </c>
      <c r="C48" s="40">
        <v>70</v>
      </c>
      <c r="D48" s="41">
        <v>75</v>
      </c>
      <c r="E48" s="42">
        <v>52.205781763725852</v>
      </c>
      <c r="F48" s="43">
        <v>60</v>
      </c>
      <c r="G48" s="44">
        <v>1.0373487820804117</v>
      </c>
      <c r="H48" s="44"/>
      <c r="I48" s="44"/>
      <c r="J48" s="44"/>
      <c r="K48" s="44"/>
      <c r="L48" s="44"/>
      <c r="M48" s="44">
        <v>62.647775819108062</v>
      </c>
      <c r="N48" s="50">
        <v>47</v>
      </c>
      <c r="O48" s="36">
        <f>VLOOKUP(A48,[1]Sheet1!$A$1:$I$297,2,FALSE)</f>
        <v>3</v>
      </c>
    </row>
    <row r="49" spans="1:15" ht="18" x14ac:dyDescent="0.3">
      <c r="A49" s="38" t="s">
        <v>301</v>
      </c>
      <c r="B49" s="39">
        <v>30</v>
      </c>
      <c r="C49" s="40">
        <v>66.25</v>
      </c>
      <c r="D49" s="41">
        <v>75</v>
      </c>
      <c r="E49" s="42">
        <v>68.017657287355561</v>
      </c>
      <c r="F49" s="43">
        <v>60</v>
      </c>
      <c r="G49" s="44">
        <v>1.0670995290340572</v>
      </c>
      <c r="H49" s="44"/>
      <c r="I49" s="44"/>
      <c r="J49" s="44"/>
      <c r="K49" s="44"/>
      <c r="L49" s="44"/>
      <c r="M49" s="44">
        <v>62.185241197139163</v>
      </c>
      <c r="N49" s="50">
        <v>48</v>
      </c>
      <c r="O49" s="36">
        <f>VLOOKUP(A49,[1]Sheet1!$A$1:$I$297,2,FALSE)</f>
        <v>4</v>
      </c>
    </row>
    <row r="50" spans="1:15" ht="18" x14ac:dyDescent="0.3">
      <c r="A50" s="38" t="s">
        <v>376</v>
      </c>
      <c r="B50" s="39">
        <v>32.5</v>
      </c>
      <c r="C50" s="40">
        <v>82.5</v>
      </c>
      <c r="D50" s="41">
        <v>83.333333333333329</v>
      </c>
      <c r="E50" s="42">
        <v>63.017732158402168</v>
      </c>
      <c r="F50" s="43">
        <v>66.666666666666671</v>
      </c>
      <c r="G50" s="44">
        <v>0.96315076151750401</v>
      </c>
      <c r="H50" s="44"/>
      <c r="I50" s="44"/>
      <c r="J50" s="44"/>
      <c r="K50" s="44"/>
      <c r="L50" s="44"/>
      <c r="M50" s="44">
        <v>62.038710636852244</v>
      </c>
      <c r="N50" s="50">
        <v>49</v>
      </c>
      <c r="O50" s="36">
        <f>VLOOKUP(A50,[1]Sheet1!$A$1:$I$297,2,FALSE)</f>
        <v>4</v>
      </c>
    </row>
    <row r="51" spans="1:15" ht="18" x14ac:dyDescent="0.3">
      <c r="A51" s="38" t="s">
        <v>302</v>
      </c>
      <c r="B51" s="39">
        <v>65</v>
      </c>
      <c r="C51" s="40">
        <v>60</v>
      </c>
      <c r="D51" s="41">
        <v>75</v>
      </c>
      <c r="E51" s="42">
        <v>67.73923993171158</v>
      </c>
      <c r="F51" s="43">
        <v>50</v>
      </c>
      <c r="G51" s="44">
        <v>0.9324086872146824</v>
      </c>
      <c r="H51" s="44"/>
      <c r="I51" s="44"/>
      <c r="J51" s="44"/>
      <c r="K51" s="44"/>
      <c r="L51" s="44"/>
      <c r="M51" s="44">
        <v>61.88557524484991</v>
      </c>
      <c r="N51" s="50">
        <v>50</v>
      </c>
      <c r="O51" s="36">
        <f>VLOOKUP(A51,[1]Sheet1!$A$1:$I$297,2,FALSE)</f>
        <v>3</v>
      </c>
    </row>
    <row r="52" spans="1:15" ht="18" x14ac:dyDescent="0.3">
      <c r="A52" s="38" t="s">
        <v>556</v>
      </c>
      <c r="B52" s="39">
        <v>10</v>
      </c>
      <c r="C52" s="40">
        <v>77.5</v>
      </c>
      <c r="D52" s="41">
        <v>66.666666666666671</v>
      </c>
      <c r="E52" s="42">
        <v>71.57621009051212</v>
      </c>
      <c r="F52" s="43">
        <v>66.666666666666671</v>
      </c>
      <c r="G52" s="44">
        <v>1.0787373044629354</v>
      </c>
      <c r="H52" s="44"/>
      <c r="I52" s="44"/>
      <c r="J52" s="44"/>
      <c r="K52" s="44"/>
      <c r="L52" s="44"/>
      <c r="M52" s="44">
        <v>61.875579116943925</v>
      </c>
      <c r="N52" s="50">
        <v>51</v>
      </c>
      <c r="O52" s="36">
        <f>VLOOKUP(A52,[1]Sheet1!$A$1:$I$297,2,FALSE)</f>
        <v>2</v>
      </c>
    </row>
    <row r="53" spans="1:15" ht="18" x14ac:dyDescent="0.3">
      <c r="A53" s="38" t="s">
        <v>321</v>
      </c>
      <c r="B53" s="39">
        <v>40</v>
      </c>
      <c r="C53" s="40">
        <v>87.5</v>
      </c>
      <c r="D53" s="41">
        <v>83.333333333333329</v>
      </c>
      <c r="E53" s="42">
        <v>51.794310696575721</v>
      </c>
      <c r="F53" s="43">
        <v>60</v>
      </c>
      <c r="G53" s="44">
        <v>1.0448854623214794</v>
      </c>
      <c r="H53" s="44"/>
      <c r="I53" s="44"/>
      <c r="J53" s="44"/>
      <c r="K53" s="44"/>
      <c r="L53" s="44"/>
      <c r="M53" s="44">
        <v>61.840065943030723</v>
      </c>
      <c r="N53" s="50">
        <v>52</v>
      </c>
      <c r="O53" s="36">
        <f>VLOOKUP(A53,[1]Sheet1!$A$1:$I$297,2,FALSE)</f>
        <v>3</v>
      </c>
    </row>
    <row r="54" spans="1:15" ht="18" x14ac:dyDescent="0.3">
      <c r="A54" s="38" t="s">
        <v>506</v>
      </c>
      <c r="B54" s="39">
        <v>75</v>
      </c>
      <c r="C54" s="40">
        <v>46.25</v>
      </c>
      <c r="D54" s="41">
        <v>66.666666666666671</v>
      </c>
      <c r="E54" s="42">
        <v>61.453985120714179</v>
      </c>
      <c r="F54" s="43">
        <v>26.666666666666668</v>
      </c>
      <c r="G54" s="44">
        <v>1.0861884242329052</v>
      </c>
      <c r="H54" s="44"/>
      <c r="I54" s="44"/>
      <c r="J54" s="44"/>
      <c r="K54" s="44"/>
      <c r="L54" s="44"/>
      <c r="M54" s="44">
        <v>61.576402601267283</v>
      </c>
      <c r="N54" s="50">
        <v>53</v>
      </c>
      <c r="O54" s="36">
        <f>VLOOKUP(A54,[1]Sheet1!$A$1:$I$297,2,FALSE)</f>
        <v>2</v>
      </c>
    </row>
    <row r="55" spans="1:15" ht="18" x14ac:dyDescent="0.3">
      <c r="A55" s="38" t="s">
        <v>593</v>
      </c>
      <c r="B55" s="39">
        <v>77.5</v>
      </c>
      <c r="C55" s="40">
        <v>65</v>
      </c>
      <c r="D55" s="41">
        <v>50</v>
      </c>
      <c r="E55" s="42">
        <v>67.477198516420472</v>
      </c>
      <c r="F55" s="43">
        <v>43.333333333333336</v>
      </c>
      <c r="G55" s="44">
        <v>0.92035842027448089</v>
      </c>
      <c r="H55" s="44"/>
      <c r="I55" s="44"/>
      <c r="J55" s="44"/>
      <c r="K55" s="44"/>
      <c r="L55" s="44"/>
      <c r="M55" s="44">
        <v>61.440171980035913</v>
      </c>
      <c r="N55" s="50">
        <v>54</v>
      </c>
      <c r="O55" s="36" t="e">
        <f>VLOOKUP(A55,[1]Sheet1!$A$1:$I$297,2,FALSE)</f>
        <v>#N/A</v>
      </c>
    </row>
    <row r="56" spans="1:15" ht="18" x14ac:dyDescent="0.3">
      <c r="A56" s="38" t="s">
        <v>315</v>
      </c>
      <c r="B56" s="39">
        <v>10</v>
      </c>
      <c r="C56" s="40">
        <v>76.25</v>
      </c>
      <c r="D56" s="41">
        <v>66.666666666666671</v>
      </c>
      <c r="E56" s="42">
        <v>81.435125959304173</v>
      </c>
      <c r="F56" s="43">
        <v>66.666666666666671</v>
      </c>
      <c r="G56" s="44">
        <v>0.94678786169994256</v>
      </c>
      <c r="H56" s="44"/>
      <c r="I56" s="44"/>
      <c r="J56" s="44"/>
      <c r="K56" s="44"/>
      <c r="L56" s="44"/>
      <c r="M56" s="44">
        <v>61.317624566443257</v>
      </c>
      <c r="N56" s="50">
        <v>55</v>
      </c>
      <c r="O56" s="36">
        <f>VLOOKUP(A56,[1]Sheet1!$A$1:$I$297,2,FALSE)</f>
        <v>4</v>
      </c>
    </row>
    <row r="57" spans="1:15" ht="18" x14ac:dyDescent="0.3">
      <c r="A57" s="38" t="s">
        <v>403</v>
      </c>
      <c r="B57" s="39">
        <v>10</v>
      </c>
      <c r="C57" s="40">
        <v>65</v>
      </c>
      <c r="D57" s="41">
        <v>83.333333333333329</v>
      </c>
      <c r="E57" s="42">
        <v>71.671178076765315</v>
      </c>
      <c r="F57" s="43">
        <v>66.666666666666671</v>
      </c>
      <c r="G57" s="44">
        <v>1.0861884242329052</v>
      </c>
      <c r="H57" s="44"/>
      <c r="I57" s="44"/>
      <c r="J57" s="44"/>
      <c r="K57" s="44"/>
      <c r="L57" s="44"/>
      <c r="M57" s="44">
        <v>61.311738439712883</v>
      </c>
      <c r="N57" s="50">
        <v>56</v>
      </c>
      <c r="O57" s="36">
        <f>VLOOKUP(A57,[1]Sheet1!$A$1:$I$297,2,FALSE)</f>
        <v>3</v>
      </c>
    </row>
    <row r="58" spans="1:15" ht="18" x14ac:dyDescent="0.3">
      <c r="A58" s="38" t="s">
        <v>400</v>
      </c>
      <c r="B58" s="39">
        <v>35</v>
      </c>
      <c r="C58" s="40">
        <v>77.5</v>
      </c>
      <c r="D58" s="41">
        <v>83.333333333333329</v>
      </c>
      <c r="E58" s="42">
        <v>63.728306937160696</v>
      </c>
      <c r="F58" s="43">
        <v>66.666666666666671</v>
      </c>
      <c r="G58" s="44">
        <v>0.94595776893775008</v>
      </c>
      <c r="H58" s="44"/>
      <c r="I58" s="44"/>
      <c r="J58" s="44"/>
      <c r="K58" s="44"/>
      <c r="L58" s="44"/>
      <c r="M58" s="44">
        <v>61.235419201946925</v>
      </c>
      <c r="N58" s="50">
        <v>57</v>
      </c>
      <c r="O58" s="36">
        <f>VLOOKUP(A58,[1]Sheet1!$A$1:$I$297,2,FALSE)</f>
        <v>3</v>
      </c>
    </row>
    <row r="59" spans="1:15" ht="18" x14ac:dyDescent="0.3">
      <c r="A59" s="38" t="s">
        <v>580</v>
      </c>
      <c r="B59" s="39">
        <v>55</v>
      </c>
      <c r="C59" s="40">
        <v>82.5</v>
      </c>
      <c r="D59" s="41">
        <v>58.333333333333336</v>
      </c>
      <c r="E59" s="42">
        <v>51.729792677242955</v>
      </c>
      <c r="F59" s="43">
        <v>66.666666666666671</v>
      </c>
      <c r="G59" s="44">
        <v>1.0083593123825825</v>
      </c>
      <c r="H59" s="44"/>
      <c r="I59" s="44"/>
      <c r="J59" s="44"/>
      <c r="K59" s="44"/>
      <c r="L59" s="44"/>
      <c r="M59" s="44">
        <v>60.956839705695714</v>
      </c>
      <c r="N59" s="50">
        <v>58</v>
      </c>
      <c r="O59" s="36" t="e">
        <f>VLOOKUP(A59,[1]Sheet1!$A$1:$I$297,2,FALSE)</f>
        <v>#N/A</v>
      </c>
    </row>
    <row r="60" spans="1:15" ht="18" x14ac:dyDescent="0.3">
      <c r="A60" s="38" t="s">
        <v>595</v>
      </c>
      <c r="B60" s="39">
        <v>75</v>
      </c>
      <c r="C60" s="40">
        <v>60</v>
      </c>
      <c r="D60" s="41">
        <v>58.333333333333336</v>
      </c>
      <c r="E60" s="42">
        <v>72.267147700641814</v>
      </c>
      <c r="F60" s="43">
        <v>26.666666666666668</v>
      </c>
      <c r="G60" s="44">
        <v>0.92035842027448089</v>
      </c>
      <c r="H60" s="44"/>
      <c r="I60" s="44"/>
      <c r="J60" s="44"/>
      <c r="K60" s="44"/>
      <c r="L60" s="44"/>
      <c r="M60" s="44">
        <v>60.910047462319326</v>
      </c>
      <c r="N60" s="50">
        <v>59</v>
      </c>
      <c r="O60" s="36" t="e">
        <f>VLOOKUP(A60,[1]Sheet1!$A$1:$I$297,2,FALSE)</f>
        <v>#N/A</v>
      </c>
    </row>
    <row r="61" spans="1:15" ht="18" x14ac:dyDescent="0.3">
      <c r="A61" s="38" t="s">
        <v>590</v>
      </c>
      <c r="B61" s="39">
        <v>75</v>
      </c>
      <c r="C61" s="40">
        <v>71.25</v>
      </c>
      <c r="D61" s="41">
        <v>50</v>
      </c>
      <c r="E61" s="42">
        <v>60.000910790443015</v>
      </c>
      <c r="F61" s="43">
        <v>30</v>
      </c>
      <c r="G61" s="44">
        <v>0.98340425162744405</v>
      </c>
      <c r="H61" s="44"/>
      <c r="I61" s="44"/>
      <c r="J61" s="44"/>
      <c r="K61" s="44"/>
      <c r="L61" s="44"/>
      <c r="M61" s="44">
        <v>60.603124083547925</v>
      </c>
      <c r="N61" s="50">
        <v>60</v>
      </c>
      <c r="O61" s="36" t="e">
        <f>VLOOKUP(A61,[1]Sheet1!$A$1:$I$297,2,FALSE)</f>
        <v>#N/A</v>
      </c>
    </row>
    <row r="62" spans="1:15" ht="18" x14ac:dyDescent="0.3">
      <c r="A62" s="38" t="s">
        <v>594</v>
      </c>
      <c r="B62" s="39">
        <v>40</v>
      </c>
      <c r="C62" s="40">
        <v>53.75</v>
      </c>
      <c r="D62" s="41">
        <v>66.666666666666671</v>
      </c>
      <c r="E62" s="42">
        <v>71.69761392915737</v>
      </c>
      <c r="F62" s="43">
        <v>43.333333333333336</v>
      </c>
      <c r="G62" s="44">
        <v>1.057165145243683</v>
      </c>
      <c r="H62" s="44"/>
      <c r="I62" s="44"/>
      <c r="J62" s="44"/>
      <c r="K62" s="44"/>
      <c r="L62" s="44"/>
      <c r="M62" s="44">
        <v>60.525808539166739</v>
      </c>
      <c r="N62" s="50">
        <v>61</v>
      </c>
      <c r="O62" s="36" t="e">
        <f>VLOOKUP(A62,[1]Sheet1!$A$1:$I$297,2,FALSE)</f>
        <v>#N/A</v>
      </c>
    </row>
    <row r="63" spans="1:15" ht="18" x14ac:dyDescent="0.3">
      <c r="A63" s="38" t="s">
        <v>457</v>
      </c>
      <c r="B63" s="39">
        <v>55</v>
      </c>
      <c r="C63" s="40">
        <v>76.25</v>
      </c>
      <c r="D63" s="41">
        <v>75</v>
      </c>
      <c r="E63" s="42">
        <v>58.620729058055929</v>
      </c>
      <c r="F63" s="43">
        <v>60</v>
      </c>
      <c r="G63" s="44">
        <v>0.9216750651617539</v>
      </c>
      <c r="H63" s="44"/>
      <c r="I63" s="44"/>
      <c r="J63" s="44"/>
      <c r="K63" s="44"/>
      <c r="L63" s="44"/>
      <c r="M63" s="44">
        <v>60.500131426544584</v>
      </c>
      <c r="N63" s="50">
        <v>62</v>
      </c>
      <c r="O63" s="36">
        <f>VLOOKUP(A63,[1]Sheet1!$A$1:$I$297,2,FALSE)</f>
        <v>3</v>
      </c>
    </row>
    <row r="64" spans="1:15" ht="18" x14ac:dyDescent="0.3">
      <c r="A64" s="38" t="s">
        <v>484</v>
      </c>
      <c r="B64" s="39">
        <v>65</v>
      </c>
      <c r="C64" s="40">
        <v>60</v>
      </c>
      <c r="D64" s="41">
        <v>58.333333333333336</v>
      </c>
      <c r="E64" s="42">
        <v>56.164391762626011</v>
      </c>
      <c r="F64" s="43">
        <v>43.333333333333336</v>
      </c>
      <c r="G64" s="44">
        <v>1.0732387269210868</v>
      </c>
      <c r="H64" s="44"/>
      <c r="I64" s="44"/>
      <c r="J64" s="44"/>
      <c r="K64" s="44"/>
      <c r="L64" s="44"/>
      <c r="M64" s="44">
        <v>60.229890242087968</v>
      </c>
      <c r="N64" s="50">
        <v>63</v>
      </c>
      <c r="O64" s="36">
        <f>VLOOKUP(A64,[1]Sheet1!$A$1:$I$297,2,FALSE)</f>
        <v>2</v>
      </c>
    </row>
    <row r="65" spans="1:15" ht="18" x14ac:dyDescent="0.3">
      <c r="A65" s="38" t="s">
        <v>552</v>
      </c>
      <c r="B65" s="39">
        <v>75</v>
      </c>
      <c r="C65" s="40">
        <v>53.75</v>
      </c>
      <c r="D65" s="41">
        <v>33.333333333333336</v>
      </c>
      <c r="E65" s="42">
        <v>80.349350073164146</v>
      </c>
      <c r="F65" s="43">
        <v>26.666666666666668</v>
      </c>
      <c r="G65" s="44">
        <v>0.92035842027448089</v>
      </c>
      <c r="H65" s="44"/>
      <c r="I65" s="44"/>
      <c r="J65" s="44"/>
      <c r="K65" s="44"/>
      <c r="L65" s="44"/>
      <c r="M65" s="44">
        <v>60.135456665484647</v>
      </c>
      <c r="N65" s="50">
        <v>64</v>
      </c>
      <c r="O65" s="36">
        <f>VLOOKUP(A65,[1]Sheet1!$A$1:$I$297,2,FALSE)</f>
        <v>3</v>
      </c>
    </row>
    <row r="66" spans="1:15" ht="18" x14ac:dyDescent="0.3">
      <c r="A66" s="38" t="s">
        <v>335</v>
      </c>
      <c r="B66" s="39">
        <v>77.5</v>
      </c>
      <c r="C66" s="40">
        <v>53.75</v>
      </c>
      <c r="D66" s="41">
        <v>25</v>
      </c>
      <c r="E66" s="42">
        <v>64.956086365123795</v>
      </c>
      <c r="F66" s="43">
        <v>43.333333333333336</v>
      </c>
      <c r="G66" s="44">
        <v>1.0243102220613962</v>
      </c>
      <c r="H66" s="44"/>
      <c r="I66" s="44"/>
      <c r="J66" s="44"/>
      <c r="K66" s="44"/>
      <c r="L66" s="44"/>
      <c r="M66" s="44">
        <v>60.074215074844652</v>
      </c>
      <c r="N66" s="50">
        <v>65</v>
      </c>
      <c r="O66" s="36">
        <f>VLOOKUP(A66,[1]Sheet1!$A$1:$I$297,2,FALSE)</f>
        <v>2</v>
      </c>
    </row>
    <row r="67" spans="1:15" ht="18" x14ac:dyDescent="0.3">
      <c r="A67" s="38" t="s">
        <v>517</v>
      </c>
      <c r="B67" s="39">
        <v>52.5</v>
      </c>
      <c r="C67" s="40">
        <v>81.25</v>
      </c>
      <c r="D67" s="41">
        <v>66.666666666666671</v>
      </c>
      <c r="E67" s="42">
        <v>64.269895822789152</v>
      </c>
      <c r="F67" s="43">
        <v>33.333333333333336</v>
      </c>
      <c r="G67" s="44">
        <v>0.93403550978344274</v>
      </c>
      <c r="H67" s="44"/>
      <c r="I67" s="44"/>
      <c r="J67" s="44"/>
      <c r="K67" s="44"/>
      <c r="L67" s="44"/>
      <c r="M67" s="44">
        <v>60.069518816153206</v>
      </c>
      <c r="N67" s="50">
        <v>66</v>
      </c>
      <c r="O67" s="36">
        <f>VLOOKUP(A67,[1]Sheet1!$A$1:$I$297,2,FALSE)</f>
        <v>3</v>
      </c>
    </row>
    <row r="68" spans="1:15" ht="18" x14ac:dyDescent="0.3">
      <c r="A68" s="38" t="s">
        <v>329</v>
      </c>
      <c r="B68" s="39">
        <v>65</v>
      </c>
      <c r="C68" s="40">
        <v>60</v>
      </c>
      <c r="D68" s="41">
        <v>91.666666666666671</v>
      </c>
      <c r="E68" s="42">
        <v>43.037959499143213</v>
      </c>
      <c r="F68" s="43">
        <v>60</v>
      </c>
      <c r="G68" s="44">
        <v>1.0861884242329052</v>
      </c>
      <c r="H68" s="44"/>
      <c r="I68" s="44"/>
      <c r="J68" s="44"/>
      <c r="K68" s="44"/>
      <c r="L68" s="44"/>
      <c r="M68" s="44">
        <v>59.986049545924018</v>
      </c>
      <c r="N68" s="50">
        <v>67</v>
      </c>
      <c r="O68" s="36">
        <f>VLOOKUP(A68,[1]Sheet1!$A$1:$I$297,2,FALSE)</f>
        <v>4</v>
      </c>
    </row>
    <row r="69" spans="1:15" ht="18" x14ac:dyDescent="0.3">
      <c r="A69" s="38" t="s">
        <v>469</v>
      </c>
      <c r="B69" s="39">
        <v>75</v>
      </c>
      <c r="C69" s="40">
        <v>66.25</v>
      </c>
      <c r="D69" s="41">
        <v>83.333333333333329</v>
      </c>
      <c r="E69" s="42">
        <v>54.594304926778634</v>
      </c>
      <c r="F69" s="43">
        <v>43.333333333333336</v>
      </c>
      <c r="G69" s="44">
        <v>0.92035842027448089</v>
      </c>
      <c r="H69" s="44"/>
      <c r="I69" s="44"/>
      <c r="J69" s="44"/>
      <c r="K69" s="44"/>
      <c r="L69" s="44"/>
      <c r="M69" s="44">
        <v>59.8205742661412</v>
      </c>
      <c r="N69" s="50">
        <v>68</v>
      </c>
      <c r="O69" s="36">
        <f>VLOOKUP(A69,[1]Sheet1!$A$1:$I$297,2,FALSE)</f>
        <v>3</v>
      </c>
    </row>
    <row r="70" spans="1:15" ht="18" x14ac:dyDescent="0.3">
      <c r="A70" s="38" t="s">
        <v>373</v>
      </c>
      <c r="B70" s="39">
        <v>20</v>
      </c>
      <c r="C70" s="40">
        <v>76.25</v>
      </c>
      <c r="D70" s="41">
        <v>91.666666666666671</v>
      </c>
      <c r="E70" s="42">
        <v>63.913717855164379</v>
      </c>
      <c r="F70" s="43">
        <v>60</v>
      </c>
      <c r="G70" s="44">
        <v>0.98830924735064807</v>
      </c>
      <c r="H70" s="44"/>
      <c r="I70" s="44"/>
      <c r="J70" s="44"/>
      <c r="K70" s="44"/>
      <c r="L70" s="44"/>
      <c r="M70" s="44">
        <v>59.636511011596937</v>
      </c>
      <c r="N70" s="50">
        <v>69</v>
      </c>
      <c r="O70" s="36">
        <f>VLOOKUP(A70,[1]Sheet1!$A$1:$I$297,2,FALSE)</f>
        <v>2</v>
      </c>
    </row>
    <row r="71" spans="1:15" ht="18" x14ac:dyDescent="0.3">
      <c r="A71" s="38" t="s">
        <v>468</v>
      </c>
      <c r="B71" s="39">
        <v>0</v>
      </c>
      <c r="C71" s="40">
        <v>50</v>
      </c>
      <c r="D71" s="41">
        <v>66.666666666666671</v>
      </c>
      <c r="E71" s="42">
        <v>87.727466753379204</v>
      </c>
      <c r="F71" s="43">
        <v>60</v>
      </c>
      <c r="G71" s="44">
        <v>1.0514952610242463</v>
      </c>
      <c r="H71" s="44"/>
      <c r="I71" s="44"/>
      <c r="J71" s="44"/>
      <c r="K71" s="44"/>
      <c r="L71" s="44"/>
      <c r="M71" s="44">
        <v>59.564672887802814</v>
      </c>
      <c r="N71" s="50">
        <v>70</v>
      </c>
      <c r="O71" s="36">
        <v>1</v>
      </c>
    </row>
    <row r="72" spans="1:15" ht="18" x14ac:dyDescent="0.3">
      <c r="A72" s="38" t="s">
        <v>589</v>
      </c>
      <c r="B72" s="39">
        <v>52.5</v>
      </c>
      <c r="C72" s="40">
        <v>71.25</v>
      </c>
      <c r="D72" s="41">
        <v>58.333333333333336</v>
      </c>
      <c r="E72" s="42">
        <v>67.221252015239486</v>
      </c>
      <c r="F72" s="43">
        <v>43.333333333333336</v>
      </c>
      <c r="G72" s="44">
        <v>0.93994340366882512</v>
      </c>
      <c r="H72" s="44"/>
      <c r="I72" s="44"/>
      <c r="J72" s="44"/>
      <c r="K72" s="44"/>
      <c r="L72" s="44"/>
      <c r="M72" s="44">
        <v>59.55974137242297</v>
      </c>
      <c r="N72" s="50">
        <v>71</v>
      </c>
      <c r="O72" s="36">
        <v>1</v>
      </c>
    </row>
    <row r="73" spans="1:15" ht="18" x14ac:dyDescent="0.3">
      <c r="A73" s="38" t="s">
        <v>303</v>
      </c>
      <c r="B73" s="39">
        <v>55</v>
      </c>
      <c r="C73" s="40">
        <v>66.25</v>
      </c>
      <c r="D73" s="41">
        <v>25</v>
      </c>
      <c r="E73" s="42">
        <v>82.600121150192308</v>
      </c>
      <c r="F73" s="43">
        <v>26.666666666666668</v>
      </c>
      <c r="G73" s="44">
        <v>0.92035842027448089</v>
      </c>
      <c r="H73" s="44"/>
      <c r="I73" s="44"/>
      <c r="J73" s="44"/>
      <c r="K73" s="44"/>
      <c r="L73" s="44"/>
      <c r="M73" s="44">
        <v>58.949296096194651</v>
      </c>
      <c r="N73" s="50">
        <v>72</v>
      </c>
      <c r="O73" s="36">
        <f>VLOOKUP(A73,[1]Sheet1!$A$1:$I$297,2,FALSE)</f>
        <v>4</v>
      </c>
    </row>
    <row r="74" spans="1:15" ht="18" x14ac:dyDescent="0.3">
      <c r="A74" s="38" t="s">
        <v>537</v>
      </c>
      <c r="B74" s="39">
        <v>55</v>
      </c>
      <c r="C74" s="40">
        <v>47.5</v>
      </c>
      <c r="D74" s="41">
        <v>58.333333333333336</v>
      </c>
      <c r="E74" s="42">
        <v>70.983311796367687</v>
      </c>
      <c r="F74" s="43">
        <v>43.333333333333336</v>
      </c>
      <c r="G74" s="44">
        <v>0.99668249531345354</v>
      </c>
      <c r="H74" s="44"/>
      <c r="I74" s="44"/>
      <c r="J74" s="44"/>
      <c r="K74" s="44"/>
      <c r="L74" s="44"/>
      <c r="M74" s="44">
        <v>58.929303845841325</v>
      </c>
      <c r="N74" s="50">
        <v>73</v>
      </c>
      <c r="O74" s="36">
        <f>VLOOKUP(A74,[1]Sheet1!$A$1:$I$297,2,FALSE)</f>
        <v>4</v>
      </c>
    </row>
    <row r="75" spans="1:15" ht="18" x14ac:dyDescent="0.3">
      <c r="A75" s="38" t="s">
        <v>349</v>
      </c>
      <c r="B75" s="39">
        <v>25</v>
      </c>
      <c r="C75" s="40">
        <v>72.5</v>
      </c>
      <c r="D75" s="41">
        <v>58.333333333333336</v>
      </c>
      <c r="E75" s="42">
        <v>67.201478926795801</v>
      </c>
      <c r="F75" s="43">
        <v>43.333333333333336</v>
      </c>
      <c r="G75" s="44">
        <v>1.0661507717311354</v>
      </c>
      <c r="H75" s="44"/>
      <c r="I75" s="44"/>
      <c r="J75" s="44"/>
      <c r="K75" s="44"/>
      <c r="L75" s="44"/>
      <c r="M75" s="44">
        <v>58.656183973033137</v>
      </c>
      <c r="N75" s="50">
        <v>74</v>
      </c>
      <c r="O75" s="36">
        <f>VLOOKUP(A75,[1]Sheet1!$A$1:$I$297,2,FALSE)</f>
        <v>2</v>
      </c>
    </row>
    <row r="76" spans="1:15" ht="18" x14ac:dyDescent="0.3">
      <c r="A76" s="38" t="s">
        <v>490</v>
      </c>
      <c r="B76" s="39">
        <v>52.5</v>
      </c>
      <c r="C76" s="40">
        <v>60</v>
      </c>
      <c r="D76" s="41">
        <v>75</v>
      </c>
      <c r="E76" s="42">
        <v>72.836239728175727</v>
      </c>
      <c r="F76" s="43">
        <v>26.666666666666668</v>
      </c>
      <c r="G76" s="44">
        <v>0.92035842027448089</v>
      </c>
      <c r="H76" s="44"/>
      <c r="I76" s="44"/>
      <c r="J76" s="44"/>
      <c r="K76" s="44"/>
      <c r="L76" s="44"/>
      <c r="M76" s="44">
        <v>58.644608693531588</v>
      </c>
      <c r="N76" s="50">
        <v>75</v>
      </c>
      <c r="O76" s="36">
        <f>VLOOKUP(A76,[1]Sheet1!$A$1:$I$297,2,FALSE)</f>
        <v>3</v>
      </c>
    </row>
    <row r="77" spans="1:15" ht="17.399999999999999" x14ac:dyDescent="0.3">
      <c r="A77" s="5">
        <f>COUNTA(A2:A76)</f>
        <v>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715F4-D8CE-4C85-A996-70F248888599}">
  <dimension ref="A1:O150"/>
  <sheetViews>
    <sheetView workbookViewId="0">
      <pane ySplit="5028" topLeftCell="A139" activePane="bottomLeft"/>
      <selection activeCell="A2" sqref="A2:N149"/>
      <selection pane="bottomLeft" activeCell="D154" sqref="D154"/>
    </sheetView>
  </sheetViews>
  <sheetFormatPr defaultRowHeight="14.4" x14ac:dyDescent="0.25"/>
  <cols>
    <col min="1" max="1" width="12.77734375" customWidth="1"/>
    <col min="15" max="15" width="22.33203125" customWidth="1"/>
  </cols>
  <sheetData>
    <row r="1" spans="1:15" ht="31.2" x14ac:dyDescent="0.25">
      <c r="A1" s="32" t="s">
        <v>298</v>
      </c>
      <c r="B1" s="33" t="s">
        <v>702</v>
      </c>
      <c r="C1" s="34" t="s">
        <v>703</v>
      </c>
      <c r="D1" s="34" t="s">
        <v>704</v>
      </c>
      <c r="E1" s="34" t="s">
        <v>705</v>
      </c>
      <c r="F1" s="35" t="s">
        <v>706</v>
      </c>
      <c r="G1" s="36" t="s">
        <v>707</v>
      </c>
      <c r="H1" s="36" t="s">
        <v>662</v>
      </c>
      <c r="I1" s="36" t="s">
        <v>663</v>
      </c>
      <c r="J1" s="36" t="s">
        <v>664</v>
      </c>
      <c r="K1" s="36" t="s">
        <v>665</v>
      </c>
      <c r="L1" s="36" t="s">
        <v>666</v>
      </c>
      <c r="M1" s="37" t="s">
        <v>708</v>
      </c>
      <c r="N1" s="51" t="s">
        <v>709</v>
      </c>
      <c r="O1" s="51" t="s">
        <v>715</v>
      </c>
    </row>
    <row r="2" spans="1:15" ht="18" x14ac:dyDescent="0.35">
      <c r="A2" s="38" t="s">
        <v>466</v>
      </c>
      <c r="B2" s="39">
        <v>12.5</v>
      </c>
      <c r="C2" s="40">
        <v>77.5</v>
      </c>
      <c r="D2" s="41">
        <v>91.666666666666671</v>
      </c>
      <c r="E2" s="42">
        <v>60.37435922991493</v>
      </c>
      <c r="F2" s="43">
        <v>66.666666666666671</v>
      </c>
      <c r="G2" s="44">
        <v>1.0163769142999053</v>
      </c>
      <c r="H2" s="44"/>
      <c r="I2" s="44"/>
      <c r="J2" s="44"/>
      <c r="K2" s="44"/>
      <c r="L2" s="44"/>
      <c r="M2" s="44">
        <v>58.41951759385708</v>
      </c>
      <c r="N2" s="50">
        <v>76</v>
      </c>
      <c r="O2" s="53">
        <f>VLOOKUP(A2,[1]Sheet1!$A$1:$I$297,2,FALSE)</f>
        <v>2</v>
      </c>
    </row>
    <row r="3" spans="1:15" ht="18" x14ac:dyDescent="0.35">
      <c r="A3" s="38" t="s">
        <v>429</v>
      </c>
      <c r="B3" s="39">
        <v>65</v>
      </c>
      <c r="C3" s="40">
        <v>65</v>
      </c>
      <c r="D3" s="41">
        <v>66.666666666666671</v>
      </c>
      <c r="E3" s="42">
        <v>56.091241356985606</v>
      </c>
      <c r="F3" s="43">
        <v>60</v>
      </c>
      <c r="G3" s="44">
        <v>0.92035842027448089</v>
      </c>
      <c r="H3" s="44"/>
      <c r="I3" s="44"/>
      <c r="J3" s="44"/>
      <c r="K3" s="44"/>
      <c r="L3" s="44"/>
      <c r="M3" s="44">
        <v>58.280944644854884</v>
      </c>
      <c r="N3" s="50">
        <v>77</v>
      </c>
      <c r="O3" s="53">
        <f>VLOOKUP(A3,[1]Sheet1!$A$1:$I$297,2,FALSE)</f>
        <v>3</v>
      </c>
    </row>
    <row r="4" spans="1:15" ht="18" x14ac:dyDescent="0.35">
      <c r="A4" s="38" t="s">
        <v>558</v>
      </c>
      <c r="B4" s="39">
        <v>20</v>
      </c>
      <c r="C4" s="40">
        <v>56.25</v>
      </c>
      <c r="D4" s="41">
        <v>75</v>
      </c>
      <c r="E4" s="42">
        <v>77.079567745908363</v>
      </c>
      <c r="F4" s="43">
        <v>60</v>
      </c>
      <c r="G4" s="44">
        <v>0.96095867364724941</v>
      </c>
      <c r="H4" s="44"/>
      <c r="I4" s="44"/>
      <c r="J4" s="44"/>
      <c r="K4" s="44"/>
      <c r="L4" s="44"/>
      <c r="M4" s="44">
        <v>58.221946369153564</v>
      </c>
      <c r="N4" s="50">
        <v>78</v>
      </c>
      <c r="O4" s="53">
        <f>VLOOKUP(A4,[1]Sheet1!$A$1:$I$297,2,FALSE)</f>
        <v>4</v>
      </c>
    </row>
    <row r="5" spans="1:15" ht="18" x14ac:dyDescent="0.35">
      <c r="A5" s="38" t="s">
        <v>498</v>
      </c>
      <c r="B5" s="39">
        <v>20</v>
      </c>
      <c r="C5" s="40">
        <v>58.75</v>
      </c>
      <c r="D5" s="41">
        <v>66.666666666666671</v>
      </c>
      <c r="E5" s="42">
        <v>66.252309375905753</v>
      </c>
      <c r="F5" s="43">
        <v>66.666666666666671</v>
      </c>
      <c r="G5" s="44">
        <v>1.0861884242329052</v>
      </c>
      <c r="H5" s="44"/>
      <c r="I5" s="44"/>
      <c r="J5" s="44"/>
      <c r="K5" s="44"/>
      <c r="L5" s="44"/>
      <c r="M5" s="44">
        <v>58.213083639387364</v>
      </c>
      <c r="N5" s="50">
        <v>79</v>
      </c>
      <c r="O5" s="53">
        <f>VLOOKUP(A5,[1]Sheet1!$A$1:$I$297,2,FALSE)</f>
        <v>3</v>
      </c>
    </row>
    <row r="6" spans="1:15" ht="18" x14ac:dyDescent="0.35">
      <c r="A6" s="38" t="s">
        <v>316</v>
      </c>
      <c r="B6" s="39">
        <v>65</v>
      </c>
      <c r="C6" s="40">
        <v>65</v>
      </c>
      <c r="D6" s="41">
        <v>58.333333333333336</v>
      </c>
      <c r="E6" s="42">
        <v>48.033938187643457</v>
      </c>
      <c r="F6" s="43">
        <v>43.333333333333336</v>
      </c>
      <c r="G6" s="44">
        <v>1.0861884242329052</v>
      </c>
      <c r="H6" s="44"/>
      <c r="I6" s="44"/>
      <c r="J6" s="44"/>
      <c r="K6" s="44"/>
      <c r="L6" s="44"/>
      <c r="M6" s="44">
        <v>58.156679233589323</v>
      </c>
      <c r="N6" s="50">
        <v>80</v>
      </c>
      <c r="O6" s="53">
        <f>VLOOKUP(A6,[1]Sheet1!$A$1:$I$297,2,FALSE)</f>
        <v>4</v>
      </c>
    </row>
    <row r="7" spans="1:15" ht="18" x14ac:dyDescent="0.35">
      <c r="A7" s="38" t="s">
        <v>561</v>
      </c>
      <c r="B7" s="39">
        <v>42.5</v>
      </c>
      <c r="C7" s="40">
        <v>77.5</v>
      </c>
      <c r="D7" s="41">
        <v>83.333333333333329</v>
      </c>
      <c r="E7" s="42">
        <v>53.976220245332541</v>
      </c>
      <c r="F7" s="43">
        <v>50</v>
      </c>
      <c r="G7" s="44">
        <v>0.97240046562707005</v>
      </c>
      <c r="H7" s="44"/>
      <c r="I7" s="44"/>
      <c r="J7" s="44"/>
      <c r="K7" s="44"/>
      <c r="L7" s="44"/>
      <c r="M7" s="44">
        <v>58.09333797090369</v>
      </c>
      <c r="N7" s="50">
        <v>81</v>
      </c>
      <c r="O7" s="53">
        <f>VLOOKUP(A7,[1]Sheet1!$A$1:$I$297,2,FALSE)</f>
        <v>3</v>
      </c>
    </row>
    <row r="8" spans="1:15" ht="18" x14ac:dyDescent="0.35">
      <c r="A8" s="38" t="s">
        <v>480</v>
      </c>
      <c r="B8" s="39">
        <v>10</v>
      </c>
      <c r="C8" s="40">
        <v>71.25</v>
      </c>
      <c r="D8" s="41">
        <v>66.666666666666671</v>
      </c>
      <c r="E8" s="42">
        <v>71.789236660332364</v>
      </c>
      <c r="F8" s="43">
        <v>43.333333333333336</v>
      </c>
      <c r="G8" s="44">
        <v>1.069012778135783</v>
      </c>
      <c r="H8" s="44"/>
      <c r="I8" s="44"/>
      <c r="J8" s="44"/>
      <c r="K8" s="44"/>
      <c r="L8" s="44"/>
      <c r="M8" s="44">
        <v>58.085470085275212</v>
      </c>
      <c r="N8" s="50">
        <v>82</v>
      </c>
      <c r="O8" s="53">
        <f>VLOOKUP(A8,[1]Sheet1!$A$1:$I$297,2,FALSE)</f>
        <v>2</v>
      </c>
    </row>
    <row r="9" spans="1:15" ht="18" x14ac:dyDescent="0.35">
      <c r="A9" s="38" t="s">
        <v>597</v>
      </c>
      <c r="B9" s="39">
        <v>77.5</v>
      </c>
      <c r="C9" s="40">
        <v>53.75</v>
      </c>
      <c r="D9" s="41">
        <v>58.333333333333336</v>
      </c>
      <c r="E9" s="42">
        <v>54.221434061930637</v>
      </c>
      <c r="F9" s="43">
        <v>43.333333333333336</v>
      </c>
      <c r="G9" s="44">
        <v>0.99647243839855126</v>
      </c>
      <c r="H9" s="44"/>
      <c r="I9" s="44"/>
      <c r="J9" s="44"/>
      <c r="K9" s="44"/>
      <c r="L9" s="44"/>
      <c r="M9" s="44">
        <v>57.974055307107527</v>
      </c>
      <c r="N9" s="50">
        <v>83</v>
      </c>
      <c r="O9" s="53" t="e">
        <f>VLOOKUP(A9,[1]Sheet1!$A$1:$I$297,2,FALSE)</f>
        <v>#N/A</v>
      </c>
    </row>
    <row r="10" spans="1:15" ht="18" x14ac:dyDescent="0.35">
      <c r="A10" s="38" t="s">
        <v>394</v>
      </c>
      <c r="B10" s="39">
        <v>65</v>
      </c>
      <c r="C10" s="40">
        <v>53.75</v>
      </c>
      <c r="D10" s="41">
        <v>58.333333333333336</v>
      </c>
      <c r="E10" s="42">
        <v>64.434198440344559</v>
      </c>
      <c r="F10" s="43">
        <v>43.333333333333336</v>
      </c>
      <c r="G10" s="44">
        <v>0.95445587752622862</v>
      </c>
      <c r="H10" s="44"/>
      <c r="I10" s="44"/>
      <c r="J10" s="44"/>
      <c r="K10" s="44"/>
      <c r="L10" s="44"/>
      <c r="M10" s="44">
        <v>57.924432840538934</v>
      </c>
      <c r="N10" s="50">
        <v>84</v>
      </c>
      <c r="O10" s="53">
        <f>VLOOKUP(A10,[1]Sheet1!$A$1:$I$297,2,FALSE)</f>
        <v>4</v>
      </c>
    </row>
    <row r="11" spans="1:15" ht="18" x14ac:dyDescent="0.35">
      <c r="A11" s="38" t="s">
        <v>428</v>
      </c>
      <c r="B11" s="39">
        <v>20</v>
      </c>
      <c r="C11" s="40">
        <v>72.5</v>
      </c>
      <c r="D11" s="41">
        <v>83.333333333333329</v>
      </c>
      <c r="E11" s="42">
        <v>75.333000361503935</v>
      </c>
      <c r="F11" s="43">
        <v>33.333333333333336</v>
      </c>
      <c r="G11" s="44">
        <v>0.92035842027448089</v>
      </c>
      <c r="H11" s="44"/>
      <c r="I11" s="44"/>
      <c r="J11" s="44"/>
      <c r="K11" s="44"/>
      <c r="L11" s="44"/>
      <c r="M11" s="44">
        <v>57.581444830664857</v>
      </c>
      <c r="N11" s="50">
        <v>85</v>
      </c>
      <c r="O11" s="53">
        <f>VLOOKUP(A11,[1]Sheet1!$A$1:$I$297,2,FALSE)</f>
        <v>3</v>
      </c>
    </row>
    <row r="12" spans="1:15" ht="18" x14ac:dyDescent="0.35">
      <c r="A12" s="38" t="s">
        <v>584</v>
      </c>
      <c r="B12" s="39">
        <v>0</v>
      </c>
      <c r="C12" s="40">
        <v>82.5</v>
      </c>
      <c r="D12" s="41">
        <v>75</v>
      </c>
      <c r="E12" s="42">
        <v>64.768363738346778</v>
      </c>
      <c r="F12" s="43">
        <v>60</v>
      </c>
      <c r="G12" s="44">
        <v>1.0594613390750269</v>
      </c>
      <c r="H12" s="44"/>
      <c r="I12" s="44"/>
      <c r="J12" s="44"/>
      <c r="K12" s="44"/>
      <c r="L12" s="44"/>
      <c r="M12" s="44">
        <v>57.447830950370914</v>
      </c>
      <c r="N12" s="50">
        <v>86</v>
      </c>
      <c r="O12" s="53" t="e">
        <f>VLOOKUP(A12,[1]Sheet1!$A$1:$I$297,2,FALSE)</f>
        <v>#N/A</v>
      </c>
    </row>
    <row r="13" spans="1:15" ht="18" x14ac:dyDescent="0.35">
      <c r="A13" s="38" t="s">
        <v>360</v>
      </c>
      <c r="B13" s="39">
        <v>67.5</v>
      </c>
      <c r="C13" s="40">
        <v>58.75</v>
      </c>
      <c r="D13" s="41">
        <v>58.333333333333336</v>
      </c>
      <c r="E13" s="42">
        <v>58.155196740374919</v>
      </c>
      <c r="F13" s="43">
        <v>26.666666666666668</v>
      </c>
      <c r="G13" s="44">
        <v>1.010391727769488</v>
      </c>
      <c r="H13" s="44"/>
      <c r="I13" s="44"/>
      <c r="J13" s="44"/>
      <c r="K13" s="44"/>
      <c r="L13" s="44"/>
      <c r="M13" s="44">
        <v>57.394100210200854</v>
      </c>
      <c r="N13" s="50">
        <v>87</v>
      </c>
      <c r="O13" s="53">
        <f>VLOOKUP(A13,[1]Sheet1!$A$1:$I$297,2,FALSE)</f>
        <v>1</v>
      </c>
    </row>
    <row r="14" spans="1:15" ht="18" x14ac:dyDescent="0.35">
      <c r="A14" s="38" t="s">
        <v>447</v>
      </c>
      <c r="B14" s="39">
        <v>65</v>
      </c>
      <c r="C14" s="40">
        <v>60</v>
      </c>
      <c r="D14" s="41">
        <v>75</v>
      </c>
      <c r="E14" s="42">
        <v>47.080628938720984</v>
      </c>
      <c r="F14" s="43">
        <v>43.333333333333336</v>
      </c>
      <c r="G14" s="44">
        <v>1.0489596407718242</v>
      </c>
      <c r="H14" s="44"/>
      <c r="I14" s="44"/>
      <c r="J14" s="44"/>
      <c r="K14" s="44"/>
      <c r="L14" s="44"/>
      <c r="M14" s="44">
        <v>57.224080510915982</v>
      </c>
      <c r="N14" s="50">
        <v>88</v>
      </c>
      <c r="O14" s="53">
        <f>VLOOKUP(A14,[1]Sheet1!$A$1:$I$297,2,FALSE)</f>
        <v>2</v>
      </c>
    </row>
    <row r="15" spans="1:15" ht="18" x14ac:dyDescent="0.35">
      <c r="A15" s="45" t="s">
        <v>312</v>
      </c>
      <c r="B15" s="39">
        <v>65</v>
      </c>
      <c r="C15" s="40">
        <v>21.25</v>
      </c>
      <c r="D15" s="46">
        <v>58.333333333333336</v>
      </c>
      <c r="E15" s="42">
        <v>81.098682283955014</v>
      </c>
      <c r="F15" s="43">
        <v>43.333333333333336</v>
      </c>
      <c r="G15" s="44">
        <v>0.94180898772599264</v>
      </c>
      <c r="H15" s="44"/>
      <c r="I15" s="44"/>
      <c r="J15" s="44"/>
      <c r="K15" s="44"/>
      <c r="L15" s="44"/>
      <c r="M15" s="44">
        <v>57.211970654210006</v>
      </c>
      <c r="N15" s="50">
        <v>89</v>
      </c>
      <c r="O15" s="53">
        <f>VLOOKUP(A15,[1]Sheet1!$A$1:$I$297,2,FALSE)</f>
        <v>4</v>
      </c>
    </row>
    <row r="16" spans="1:15" ht="18" x14ac:dyDescent="0.35">
      <c r="A16" s="38" t="s">
        <v>367</v>
      </c>
      <c r="B16" s="39">
        <v>10</v>
      </c>
      <c r="C16" s="40">
        <v>88.75</v>
      </c>
      <c r="D16" s="41">
        <v>66.666666666666671</v>
      </c>
      <c r="E16" s="42">
        <v>63.581017110725796</v>
      </c>
      <c r="F16" s="43">
        <v>60</v>
      </c>
      <c r="G16" s="44">
        <v>0.97326039103799267</v>
      </c>
      <c r="H16" s="44"/>
      <c r="I16" s="44"/>
      <c r="J16" s="44"/>
      <c r="K16" s="44"/>
      <c r="L16" s="44"/>
      <c r="M16" s="44">
        <v>57.115541679053976</v>
      </c>
      <c r="N16" s="50">
        <v>90</v>
      </c>
      <c r="O16" s="53">
        <f>VLOOKUP(A16,[1]Sheet1!$A$1:$I$297,2,FALSE)</f>
        <v>3</v>
      </c>
    </row>
    <row r="17" spans="1:15" ht="18" x14ac:dyDescent="0.35">
      <c r="A17" s="38" t="s">
        <v>340</v>
      </c>
      <c r="B17" s="39">
        <v>42.5</v>
      </c>
      <c r="C17" s="40">
        <v>38.75</v>
      </c>
      <c r="D17" s="41">
        <v>66.666666666666671</v>
      </c>
      <c r="E17" s="42">
        <v>69.351981886849671</v>
      </c>
      <c r="F17" s="43">
        <v>43.333333333333336</v>
      </c>
      <c r="G17" s="44">
        <v>1.053755528933396</v>
      </c>
      <c r="H17" s="44"/>
      <c r="I17" s="44"/>
      <c r="J17" s="44"/>
      <c r="K17" s="44"/>
      <c r="L17" s="44"/>
      <c r="M17" s="44">
        <v>56.938935738236502</v>
      </c>
      <c r="N17" s="50">
        <v>91</v>
      </c>
      <c r="O17" s="53">
        <f>VLOOKUP(A17,[1]Sheet1!$A$1:$I$297,2,FALSE)</f>
        <v>4</v>
      </c>
    </row>
    <row r="18" spans="1:15" ht="18" x14ac:dyDescent="0.35">
      <c r="A18" s="38" t="s">
        <v>453</v>
      </c>
      <c r="B18" s="39">
        <v>62.5</v>
      </c>
      <c r="C18" s="40">
        <v>65</v>
      </c>
      <c r="D18" s="41">
        <v>50</v>
      </c>
      <c r="E18" s="42">
        <v>62.634002783027796</v>
      </c>
      <c r="F18" s="43">
        <v>43.333333333333336</v>
      </c>
      <c r="G18" s="44">
        <v>0.92035842027448089</v>
      </c>
      <c r="H18" s="44"/>
      <c r="I18" s="44"/>
      <c r="J18" s="44"/>
      <c r="K18" s="44"/>
      <c r="L18" s="44"/>
      <c r="M18" s="44">
        <v>56.89610632950631</v>
      </c>
      <c r="N18" s="50">
        <v>92</v>
      </c>
      <c r="O18" s="53">
        <f>VLOOKUP(A18,[1]Sheet1!$A$1:$I$297,2,FALSE)</f>
        <v>3</v>
      </c>
    </row>
    <row r="19" spans="1:15" ht="18" x14ac:dyDescent="0.35">
      <c r="A19" s="38" t="s">
        <v>541</v>
      </c>
      <c r="B19" s="39">
        <v>10</v>
      </c>
      <c r="C19" s="40">
        <v>77.5</v>
      </c>
      <c r="D19" s="41">
        <v>66.666666666666671</v>
      </c>
      <c r="E19" s="42">
        <v>77.26837905479421</v>
      </c>
      <c r="F19" s="43">
        <v>43.333333333333336</v>
      </c>
      <c r="G19" s="44">
        <v>0.92035842027448089</v>
      </c>
      <c r="H19" s="44"/>
      <c r="I19" s="44"/>
      <c r="J19" s="44"/>
      <c r="K19" s="44"/>
      <c r="L19" s="44"/>
      <c r="M19" s="44">
        <v>56.786558154165043</v>
      </c>
      <c r="N19" s="50">
        <v>93</v>
      </c>
      <c r="O19" s="53">
        <f>VLOOKUP(A19,[1]Sheet1!$A$1:$I$297,2,FALSE)</f>
        <v>3</v>
      </c>
    </row>
    <row r="20" spans="1:15" ht="18" x14ac:dyDescent="0.35">
      <c r="A20" s="38" t="s">
        <v>304</v>
      </c>
      <c r="B20" s="39">
        <v>0</v>
      </c>
      <c r="C20" s="40">
        <v>70</v>
      </c>
      <c r="D20" s="41">
        <v>83.333333333333329</v>
      </c>
      <c r="E20" s="42">
        <v>66.173665906584432</v>
      </c>
      <c r="F20" s="43">
        <v>66.666666666666671</v>
      </c>
      <c r="G20" s="44">
        <v>1.0466186559340642</v>
      </c>
      <c r="H20" s="44"/>
      <c r="I20" s="44"/>
      <c r="J20" s="44"/>
      <c r="K20" s="44"/>
      <c r="L20" s="44"/>
      <c r="M20" s="44">
        <v>56.703437307751685</v>
      </c>
      <c r="N20" s="50">
        <v>94</v>
      </c>
      <c r="O20" s="53">
        <f>VLOOKUP(A20,[1]Sheet1!$A$1:$I$297,2,FALSE)</f>
        <v>4</v>
      </c>
    </row>
    <row r="21" spans="1:15" ht="18" x14ac:dyDescent="0.35">
      <c r="A21" s="38" t="s">
        <v>483</v>
      </c>
      <c r="B21" s="39">
        <v>20</v>
      </c>
      <c r="C21" s="40">
        <v>76.25</v>
      </c>
      <c r="D21" s="41">
        <v>91.666666666666671</v>
      </c>
      <c r="E21" s="42">
        <v>57.520700225688586</v>
      </c>
      <c r="F21" s="43">
        <v>60</v>
      </c>
      <c r="G21" s="44">
        <v>0.97202131166840344</v>
      </c>
      <c r="H21" s="44"/>
      <c r="I21" s="44"/>
      <c r="J21" s="44"/>
      <c r="K21" s="44"/>
      <c r="L21" s="44"/>
      <c r="M21" s="44">
        <v>56.669290505923826</v>
      </c>
      <c r="N21" s="50">
        <v>95</v>
      </c>
      <c r="O21" s="53">
        <f>VLOOKUP(A21,[1]Sheet1!$A$1:$I$297,2,FALSE)</f>
        <v>2</v>
      </c>
    </row>
    <row r="22" spans="1:15" ht="18" x14ac:dyDescent="0.35">
      <c r="A22" s="38" t="s">
        <v>464</v>
      </c>
      <c r="B22" s="39">
        <v>10</v>
      </c>
      <c r="C22" s="40">
        <v>71.25</v>
      </c>
      <c r="D22" s="41">
        <v>91.666666666666671</v>
      </c>
      <c r="E22" s="42">
        <v>71.459975670458391</v>
      </c>
      <c r="F22" s="43">
        <v>50</v>
      </c>
      <c r="G22" s="44">
        <v>0.92035842027448089</v>
      </c>
      <c r="H22" s="44"/>
      <c r="I22" s="44"/>
      <c r="J22" s="44"/>
      <c r="K22" s="44"/>
      <c r="L22" s="44"/>
      <c r="M22" s="44">
        <v>56.564899635581995</v>
      </c>
      <c r="N22" s="50">
        <v>96</v>
      </c>
      <c r="O22" s="53">
        <f>VLOOKUP(A22,[1]Sheet1!$A$1:$I$297,2,FALSE)</f>
        <v>3</v>
      </c>
    </row>
    <row r="23" spans="1:15" ht="18" x14ac:dyDescent="0.35">
      <c r="A23" s="38" t="s">
        <v>388</v>
      </c>
      <c r="B23" s="39">
        <v>32.5</v>
      </c>
      <c r="C23" s="40">
        <v>82.5</v>
      </c>
      <c r="D23" s="41">
        <v>83.333333333333329</v>
      </c>
      <c r="E23" s="42">
        <v>47.139980280516873</v>
      </c>
      <c r="F23" s="43">
        <v>66.666666666666671</v>
      </c>
      <c r="G23" s="44">
        <v>0.98703729020087061</v>
      </c>
      <c r="H23" s="44"/>
      <c r="I23" s="44"/>
      <c r="J23" s="44"/>
      <c r="K23" s="44"/>
      <c r="L23" s="44"/>
      <c r="M23" s="44">
        <v>56.527309744787203</v>
      </c>
      <c r="N23" s="50">
        <v>97</v>
      </c>
      <c r="O23" s="53">
        <f>VLOOKUP(A23,[1]Sheet1!$A$1:$I$297,2,FALSE)</f>
        <v>4</v>
      </c>
    </row>
    <row r="24" spans="1:15" ht="18" x14ac:dyDescent="0.35">
      <c r="A24" s="38" t="s">
        <v>511</v>
      </c>
      <c r="B24" s="39">
        <v>10</v>
      </c>
      <c r="C24" s="40">
        <v>65</v>
      </c>
      <c r="D24" s="41">
        <v>75</v>
      </c>
      <c r="E24" s="42">
        <v>75.343012349427369</v>
      </c>
      <c r="F24" s="43">
        <v>50</v>
      </c>
      <c r="G24" s="44">
        <v>0.96382664932009887</v>
      </c>
      <c r="H24" s="44"/>
      <c r="I24" s="44"/>
      <c r="J24" s="44"/>
      <c r="K24" s="44"/>
      <c r="L24" s="44"/>
      <c r="M24" s="44">
        <v>56.474694555612764</v>
      </c>
      <c r="N24" s="50">
        <v>98</v>
      </c>
      <c r="O24" s="53">
        <f>VLOOKUP(A24,[1]Sheet1!$A$1:$I$297,2,FALSE)</f>
        <v>4</v>
      </c>
    </row>
    <row r="25" spans="1:15" ht="18" x14ac:dyDescent="0.35">
      <c r="A25" s="38" t="s">
        <v>535</v>
      </c>
      <c r="B25" s="39">
        <v>62.5</v>
      </c>
      <c r="C25" s="40">
        <v>71.25</v>
      </c>
      <c r="D25" s="41">
        <v>58.333333333333336</v>
      </c>
      <c r="E25" s="42">
        <v>60.243489717361712</v>
      </c>
      <c r="F25" s="43">
        <v>26.666666666666668</v>
      </c>
      <c r="G25" s="44">
        <v>0.92035842027448089</v>
      </c>
      <c r="H25" s="44"/>
      <c r="I25" s="44"/>
      <c r="J25" s="44"/>
      <c r="K25" s="44"/>
      <c r="L25" s="44"/>
      <c r="M25" s="44">
        <v>56.432721464668198</v>
      </c>
      <c r="N25" s="50">
        <v>99</v>
      </c>
      <c r="O25" s="53">
        <f>VLOOKUP(A25,[1]Sheet1!$A$1:$I$297,2,FALSE)</f>
        <v>3</v>
      </c>
    </row>
    <row r="26" spans="1:15" ht="18" x14ac:dyDescent="0.35">
      <c r="A26" s="38" t="s">
        <v>331</v>
      </c>
      <c r="B26" s="39">
        <v>10</v>
      </c>
      <c r="C26" s="40">
        <v>66.25</v>
      </c>
      <c r="D26" s="41">
        <v>83.333333333333329</v>
      </c>
      <c r="E26" s="42">
        <v>75.818531493329829</v>
      </c>
      <c r="F26" s="43">
        <v>43.333333333333336</v>
      </c>
      <c r="G26" s="44">
        <v>0.94102124460834258</v>
      </c>
      <c r="H26" s="44"/>
      <c r="I26" s="44"/>
      <c r="J26" s="44"/>
      <c r="K26" s="44"/>
      <c r="L26" s="44"/>
      <c r="M26" s="44">
        <v>56.337448703975376</v>
      </c>
      <c r="N26" s="50">
        <v>100</v>
      </c>
      <c r="O26" s="53">
        <f>VLOOKUP(A26,[1]Sheet1!$A$1:$I$297,2,FALSE)</f>
        <v>3</v>
      </c>
    </row>
    <row r="27" spans="1:15" ht="18" x14ac:dyDescent="0.35">
      <c r="A27" s="38" t="s">
        <v>452</v>
      </c>
      <c r="B27" s="39">
        <v>20</v>
      </c>
      <c r="C27" s="40">
        <v>77.5</v>
      </c>
      <c r="D27" s="41">
        <v>75</v>
      </c>
      <c r="E27" s="42">
        <v>71.320439176169344</v>
      </c>
      <c r="F27" s="43">
        <v>33.333333333333336</v>
      </c>
      <c r="G27" s="44">
        <v>0.92035842027448089</v>
      </c>
      <c r="H27" s="44"/>
      <c r="I27" s="44"/>
      <c r="J27" s="44"/>
      <c r="K27" s="44"/>
      <c r="L27" s="44"/>
      <c r="M27" s="44">
        <v>56.270913707815829</v>
      </c>
      <c r="N27" s="50">
        <v>101</v>
      </c>
      <c r="O27" s="53">
        <f>VLOOKUP(A27,[1]Sheet1!$A$1:$I$297,2,FALSE)</f>
        <v>1</v>
      </c>
    </row>
    <row r="28" spans="1:15" ht="18" x14ac:dyDescent="0.35">
      <c r="A28" s="38" t="s">
        <v>342</v>
      </c>
      <c r="B28" s="39">
        <v>52.5</v>
      </c>
      <c r="C28" s="40">
        <v>76.25</v>
      </c>
      <c r="D28" s="41">
        <v>66.666666666666671</v>
      </c>
      <c r="E28" s="42">
        <v>54.62130906495922</v>
      </c>
      <c r="F28" s="43">
        <v>43.333333333333336</v>
      </c>
      <c r="G28" s="44">
        <v>0.9278839348042387</v>
      </c>
      <c r="H28" s="44"/>
      <c r="I28" s="44"/>
      <c r="J28" s="44"/>
      <c r="K28" s="44"/>
      <c r="L28" s="44"/>
      <c r="M28" s="44">
        <v>56.265675387185631</v>
      </c>
      <c r="N28" s="50">
        <v>102</v>
      </c>
      <c r="O28" s="53">
        <f>VLOOKUP(A28,[1]Sheet1!$A$1:$I$297,2,FALSE)</f>
        <v>4</v>
      </c>
    </row>
    <row r="29" spans="1:15" ht="18" x14ac:dyDescent="0.35">
      <c r="A29" s="38" t="s">
        <v>441</v>
      </c>
      <c r="B29" s="39">
        <v>20</v>
      </c>
      <c r="C29" s="40">
        <v>72.5</v>
      </c>
      <c r="D29" s="41">
        <v>58.333333333333336</v>
      </c>
      <c r="E29" s="42">
        <v>75.298578814637168</v>
      </c>
      <c r="F29" s="43">
        <v>43.333333333333336</v>
      </c>
      <c r="G29" s="44">
        <v>0.92035842027448089</v>
      </c>
      <c r="H29" s="44"/>
      <c r="I29" s="44"/>
      <c r="J29" s="44"/>
      <c r="K29" s="44"/>
      <c r="L29" s="44"/>
      <c r="M29" s="44">
        <v>56.068772766465777</v>
      </c>
      <c r="N29" s="50">
        <v>103</v>
      </c>
      <c r="O29" s="53">
        <f>VLOOKUP(A29,[1]Sheet1!$A$1:$I$297,2,FALSE)</f>
        <v>3</v>
      </c>
    </row>
    <row r="30" spans="1:15" ht="18" x14ac:dyDescent="0.35">
      <c r="A30" s="38" t="s">
        <v>433</v>
      </c>
      <c r="B30" s="39">
        <v>65</v>
      </c>
      <c r="C30" s="40">
        <v>42.5</v>
      </c>
      <c r="D30" s="41">
        <v>50</v>
      </c>
      <c r="E30" s="42">
        <v>75.828546087780808</v>
      </c>
      <c r="F30" s="43">
        <v>26.666666666666668</v>
      </c>
      <c r="G30" s="44">
        <v>0.92035842027448089</v>
      </c>
      <c r="H30" s="44"/>
      <c r="I30" s="44"/>
      <c r="J30" s="44"/>
      <c r="K30" s="44"/>
      <c r="L30" s="44"/>
      <c r="M30" s="44">
        <v>56.047102485859163</v>
      </c>
      <c r="N30" s="50">
        <v>104</v>
      </c>
      <c r="O30" s="53">
        <f>VLOOKUP(A30,[1]Sheet1!$A$1:$I$297,2,FALSE)</f>
        <v>3</v>
      </c>
    </row>
    <row r="31" spans="1:15" ht="18" x14ac:dyDescent="0.35">
      <c r="A31" s="38" t="s">
        <v>545</v>
      </c>
      <c r="B31" s="39">
        <v>52.5</v>
      </c>
      <c r="C31" s="40">
        <v>48.75</v>
      </c>
      <c r="D31" s="41">
        <v>50</v>
      </c>
      <c r="E31" s="42">
        <v>58.339171761455489</v>
      </c>
      <c r="F31" s="43">
        <v>43.333333333333336</v>
      </c>
      <c r="G31" s="44">
        <v>1.0861884242329052</v>
      </c>
      <c r="H31" s="44"/>
      <c r="I31" s="44"/>
      <c r="J31" s="44"/>
      <c r="K31" s="44"/>
      <c r="L31" s="44"/>
      <c r="M31" s="44">
        <v>55.835245006430092</v>
      </c>
      <c r="N31" s="50">
        <v>105</v>
      </c>
      <c r="O31" s="53">
        <f>VLOOKUP(A31,[1]Sheet1!$A$1:$I$297,2,FALSE)</f>
        <v>3</v>
      </c>
    </row>
    <row r="32" spans="1:15" ht="18" x14ac:dyDescent="0.35">
      <c r="A32" s="38" t="s">
        <v>710</v>
      </c>
      <c r="B32" s="39">
        <v>62.5</v>
      </c>
      <c r="C32" s="40">
        <v>61.25</v>
      </c>
      <c r="D32" s="41">
        <v>66.666666666666671</v>
      </c>
      <c r="E32" s="42">
        <v>42.504950574417848</v>
      </c>
      <c r="F32" s="43">
        <v>66.666666666666671</v>
      </c>
      <c r="G32" s="44">
        <v>1.0221745377458751</v>
      </c>
      <c r="H32" s="44"/>
      <c r="I32" s="44"/>
      <c r="J32" s="44"/>
      <c r="K32" s="44"/>
      <c r="L32" s="44"/>
      <c r="M32" s="44">
        <v>55.739506337283515</v>
      </c>
      <c r="N32" s="50">
        <v>106</v>
      </c>
      <c r="O32" s="53">
        <f>VLOOKUP(A32,[1]Sheet1!$A$1:$I$297,2,FALSE)</f>
        <v>1</v>
      </c>
    </row>
    <row r="33" spans="1:15" ht="18" x14ac:dyDescent="0.35">
      <c r="A33" s="38" t="s">
        <v>528</v>
      </c>
      <c r="B33" s="39">
        <v>75</v>
      </c>
      <c r="C33" s="40">
        <v>42.5</v>
      </c>
      <c r="D33" s="41">
        <v>41.666666666666664</v>
      </c>
      <c r="E33" s="42">
        <v>60.852637703127378</v>
      </c>
      <c r="F33" s="43">
        <v>43.333333333333336</v>
      </c>
      <c r="G33" s="44">
        <v>0.98318396958441934</v>
      </c>
      <c r="H33" s="44"/>
      <c r="I33" s="44"/>
      <c r="J33" s="44"/>
      <c r="K33" s="44"/>
      <c r="L33" s="44"/>
      <c r="M33" s="44">
        <v>55.679494702423604</v>
      </c>
      <c r="N33" s="50">
        <v>107</v>
      </c>
      <c r="O33" s="53">
        <f>VLOOKUP(A33,[1]Sheet1!$A$1:$I$297,2,FALSE)</f>
        <v>3</v>
      </c>
    </row>
    <row r="34" spans="1:15" ht="18" x14ac:dyDescent="0.35">
      <c r="A34" s="38" t="s">
        <v>368</v>
      </c>
      <c r="B34" s="39">
        <v>0</v>
      </c>
      <c r="C34" s="40">
        <v>90</v>
      </c>
      <c r="D34" s="41">
        <v>91.666666666666671</v>
      </c>
      <c r="E34" s="42">
        <v>56.288346865589368</v>
      </c>
      <c r="F34" s="43">
        <v>60</v>
      </c>
      <c r="G34" s="44">
        <v>0.99085890904832907</v>
      </c>
      <c r="H34" s="44"/>
      <c r="I34" s="44"/>
      <c r="J34" s="44"/>
      <c r="K34" s="44"/>
      <c r="L34" s="44"/>
      <c r="M34" s="44">
        <v>55.47619065361539</v>
      </c>
      <c r="N34" s="50">
        <v>108</v>
      </c>
      <c r="O34" s="53">
        <f>VLOOKUP(A34,[1]Sheet1!$A$1:$I$297,2,FALSE)</f>
        <v>4</v>
      </c>
    </row>
    <row r="35" spans="1:15" ht="18" x14ac:dyDescent="0.35">
      <c r="A35" s="38" t="s">
        <v>598</v>
      </c>
      <c r="B35" s="39">
        <v>10</v>
      </c>
      <c r="C35" s="40">
        <v>77.5</v>
      </c>
      <c r="D35" s="41">
        <v>91.666666666666671</v>
      </c>
      <c r="E35" s="42">
        <v>65.978094549937865</v>
      </c>
      <c r="F35" s="43">
        <v>33.333333333333336</v>
      </c>
      <c r="G35" s="44">
        <v>0.95819293905114511</v>
      </c>
      <c r="H35" s="44"/>
      <c r="I35" s="44"/>
      <c r="J35" s="44"/>
      <c r="K35" s="44"/>
      <c r="L35" s="44"/>
      <c r="M35" s="44">
        <v>55.20428361002201</v>
      </c>
      <c r="N35" s="50">
        <v>109</v>
      </c>
      <c r="O35" s="53" t="e">
        <f>VLOOKUP(A35,[1]Sheet1!$A$1:$I$297,2,FALSE)</f>
        <v>#N/A</v>
      </c>
    </row>
    <row r="36" spans="1:15" ht="18" x14ac:dyDescent="0.35">
      <c r="A36" s="38" t="s">
        <v>421</v>
      </c>
      <c r="B36" s="39">
        <v>30</v>
      </c>
      <c r="C36" s="40">
        <v>76.25</v>
      </c>
      <c r="D36" s="41">
        <v>83.333333333333329</v>
      </c>
      <c r="E36" s="42">
        <v>54.274674372286043</v>
      </c>
      <c r="F36" s="43">
        <v>60</v>
      </c>
      <c r="G36" s="44">
        <v>0.92035842027448089</v>
      </c>
      <c r="H36" s="44"/>
      <c r="I36" s="44"/>
      <c r="J36" s="44"/>
      <c r="K36" s="44"/>
      <c r="L36" s="44"/>
      <c r="M36" s="44">
        <v>55.086345281455834</v>
      </c>
      <c r="N36" s="50">
        <v>110</v>
      </c>
      <c r="O36" s="53">
        <f>VLOOKUP(A36,[1]Sheet1!$A$1:$I$297,2,FALSE)</f>
        <v>4</v>
      </c>
    </row>
    <row r="37" spans="1:15" ht="18" x14ac:dyDescent="0.35">
      <c r="A37" s="38" t="s">
        <v>473</v>
      </c>
      <c r="B37" s="39">
        <v>30</v>
      </c>
      <c r="C37" s="40">
        <v>43.75</v>
      </c>
      <c r="D37" s="41">
        <v>33.333333333333336</v>
      </c>
      <c r="E37" s="42">
        <v>86.058039496279491</v>
      </c>
      <c r="F37" s="43">
        <v>43.333333333333336</v>
      </c>
      <c r="G37" s="44">
        <v>0.95628258375197084</v>
      </c>
      <c r="H37" s="44"/>
      <c r="I37" s="44"/>
      <c r="J37" s="44"/>
      <c r="K37" s="44"/>
      <c r="L37" s="44"/>
      <c r="M37" s="44">
        <v>55.072683914031025</v>
      </c>
      <c r="N37" s="50">
        <v>111</v>
      </c>
      <c r="O37" s="53">
        <f>VLOOKUP(A37,[1]Sheet1!$A$1:$I$297,2,FALSE)</f>
        <v>4</v>
      </c>
    </row>
    <row r="38" spans="1:15" ht="18" x14ac:dyDescent="0.35">
      <c r="A38" s="38" t="s">
        <v>472</v>
      </c>
      <c r="B38" s="39">
        <v>20</v>
      </c>
      <c r="C38" s="40">
        <v>65</v>
      </c>
      <c r="D38" s="41">
        <v>75</v>
      </c>
      <c r="E38" s="42">
        <v>55.676998162269761</v>
      </c>
      <c r="F38" s="43">
        <v>60</v>
      </c>
      <c r="G38" s="44">
        <v>1.0861884242329052</v>
      </c>
      <c r="H38" s="44"/>
      <c r="I38" s="44"/>
      <c r="J38" s="44"/>
      <c r="K38" s="44"/>
      <c r="L38" s="44"/>
      <c r="M38" s="44">
        <v>55.035038056889277</v>
      </c>
      <c r="N38" s="50">
        <v>112</v>
      </c>
      <c r="O38" s="53">
        <f>VLOOKUP(A38,[1]Sheet1!$A$1:$I$297,2,FALSE)</f>
        <v>4</v>
      </c>
    </row>
    <row r="39" spans="1:15" ht="18" x14ac:dyDescent="0.35">
      <c r="A39" s="38" t="s">
        <v>538</v>
      </c>
      <c r="B39" s="39">
        <v>0</v>
      </c>
      <c r="C39" s="40">
        <v>77.5</v>
      </c>
      <c r="D39" s="41">
        <v>83.333333333333329</v>
      </c>
      <c r="E39" s="42">
        <v>60.525728682892392</v>
      </c>
      <c r="F39" s="43">
        <v>66.666666666666671</v>
      </c>
      <c r="G39" s="44">
        <v>1.0111688242405901</v>
      </c>
      <c r="H39" s="44"/>
      <c r="I39" s="44"/>
      <c r="J39" s="44"/>
      <c r="K39" s="44"/>
      <c r="L39" s="44"/>
      <c r="M39" s="44">
        <v>54.980691963434111</v>
      </c>
      <c r="N39" s="50">
        <v>113</v>
      </c>
      <c r="O39" s="53">
        <f>VLOOKUP(A39,[1]Sheet1!$A$1:$I$297,2,FALSE)</f>
        <v>4</v>
      </c>
    </row>
    <row r="40" spans="1:15" ht="18" x14ac:dyDescent="0.35">
      <c r="A40" s="38" t="s">
        <v>427</v>
      </c>
      <c r="B40" s="39">
        <v>10</v>
      </c>
      <c r="C40" s="40">
        <v>81.25</v>
      </c>
      <c r="D40" s="41">
        <v>91.666666666666671</v>
      </c>
      <c r="E40" s="42">
        <v>58.943648101614862</v>
      </c>
      <c r="F40" s="43">
        <v>60</v>
      </c>
      <c r="G40" s="44">
        <v>0.92035842027448089</v>
      </c>
      <c r="H40" s="44"/>
      <c r="I40" s="44"/>
      <c r="J40" s="44"/>
      <c r="K40" s="44"/>
      <c r="L40" s="44"/>
      <c r="M40" s="44">
        <v>54.957096648022493</v>
      </c>
      <c r="N40" s="50">
        <v>114</v>
      </c>
      <c r="O40" s="53">
        <f>VLOOKUP(A40,[1]Sheet1!$A$1:$I$297,2,FALSE)</f>
        <v>2</v>
      </c>
    </row>
    <row r="41" spans="1:15" ht="18" x14ac:dyDescent="0.35">
      <c r="A41" s="38" t="s">
        <v>420</v>
      </c>
      <c r="B41" s="39">
        <v>10</v>
      </c>
      <c r="C41" s="40">
        <v>82.5</v>
      </c>
      <c r="D41" s="41">
        <v>83.333333333333329</v>
      </c>
      <c r="E41" s="42">
        <v>60.901651875274226</v>
      </c>
      <c r="F41" s="43">
        <v>43.333333333333336</v>
      </c>
      <c r="G41" s="44">
        <v>0.97749499101086323</v>
      </c>
      <c r="H41" s="44"/>
      <c r="I41" s="44"/>
      <c r="J41" s="44"/>
      <c r="K41" s="44"/>
      <c r="L41" s="44"/>
      <c r="M41" s="44">
        <v>54.934080509635557</v>
      </c>
      <c r="N41" s="50">
        <v>115</v>
      </c>
      <c r="O41" s="53">
        <f>VLOOKUP(A41,[1]Sheet1!$A$1:$I$297,2,FALSE)</f>
        <v>3</v>
      </c>
    </row>
    <row r="42" spans="1:15" ht="18" x14ac:dyDescent="0.35">
      <c r="A42" s="38" t="s">
        <v>488</v>
      </c>
      <c r="B42" s="39">
        <v>20</v>
      </c>
      <c r="C42" s="40">
        <v>72.5</v>
      </c>
      <c r="D42" s="41">
        <v>83.333333333333329</v>
      </c>
      <c r="E42" s="42">
        <v>56.555179689140516</v>
      </c>
      <c r="F42" s="43">
        <v>60</v>
      </c>
      <c r="G42" s="44">
        <v>0.97679200921662279</v>
      </c>
      <c r="H42" s="44"/>
      <c r="I42" s="44"/>
      <c r="J42" s="44"/>
      <c r="K42" s="44"/>
      <c r="L42" s="44"/>
      <c r="M42" s="44">
        <v>54.837560410264899</v>
      </c>
      <c r="N42" s="50">
        <v>116</v>
      </c>
      <c r="O42" s="53">
        <f>VLOOKUP(A42,[1]Sheet1!$A$1:$I$297,2,FALSE)</f>
        <v>2</v>
      </c>
    </row>
    <row r="43" spans="1:15" ht="18" x14ac:dyDescent="0.35">
      <c r="A43" s="38" t="s">
        <v>582</v>
      </c>
      <c r="B43" s="39">
        <v>20</v>
      </c>
      <c r="C43" s="40">
        <v>65</v>
      </c>
      <c r="D43" s="41">
        <v>75</v>
      </c>
      <c r="E43" s="42">
        <v>66.044494299988841</v>
      </c>
      <c r="F43" s="43">
        <v>26.666666666666668</v>
      </c>
      <c r="G43" s="44">
        <v>1.0400722961926481</v>
      </c>
      <c r="H43" s="44"/>
      <c r="I43" s="44"/>
      <c r="J43" s="44"/>
      <c r="K43" s="44"/>
      <c r="L43" s="44"/>
      <c r="M43" s="44">
        <v>54.80337538642592</v>
      </c>
      <c r="N43" s="50">
        <v>117</v>
      </c>
      <c r="O43" s="53" t="e">
        <f>VLOOKUP(A43,[1]Sheet1!$A$1:$I$297,2,FALSE)</f>
        <v>#N/A</v>
      </c>
    </row>
    <row r="44" spans="1:15" ht="18" x14ac:dyDescent="0.35">
      <c r="A44" s="38" t="s">
        <v>330</v>
      </c>
      <c r="B44" s="39">
        <v>20</v>
      </c>
      <c r="C44" s="40">
        <v>83.75</v>
      </c>
      <c r="D44" s="41">
        <v>91.666666666666671</v>
      </c>
      <c r="E44" s="42">
        <v>45.557570401005847</v>
      </c>
      <c r="F44" s="43">
        <v>66.666666666666671</v>
      </c>
      <c r="G44" s="44">
        <v>0.99915145558103347</v>
      </c>
      <c r="H44" s="44"/>
      <c r="I44" s="44"/>
      <c r="J44" s="44"/>
      <c r="K44" s="44"/>
      <c r="L44" s="44"/>
      <c r="M44" s="44">
        <v>54.787504267217628</v>
      </c>
      <c r="N44" s="50">
        <v>118</v>
      </c>
      <c r="O44" s="53">
        <f>VLOOKUP(A44,[1]Sheet1!$A$1:$I$297,2,FALSE)</f>
        <v>3</v>
      </c>
    </row>
    <row r="45" spans="1:15" ht="18" x14ac:dyDescent="0.35">
      <c r="A45" s="38" t="s">
        <v>310</v>
      </c>
      <c r="B45" s="39">
        <v>20</v>
      </c>
      <c r="C45" s="40">
        <v>65</v>
      </c>
      <c r="D45" s="41">
        <v>66.666666666666671</v>
      </c>
      <c r="E45" s="42">
        <v>56.399539553896943</v>
      </c>
      <c r="F45" s="43">
        <v>66.666666666666671</v>
      </c>
      <c r="G45" s="44">
        <v>1.0630637544670267</v>
      </c>
      <c r="H45" s="44"/>
      <c r="I45" s="44"/>
      <c r="J45" s="44"/>
      <c r="K45" s="44"/>
      <c r="L45" s="44"/>
      <c r="M45" s="44">
        <v>54.568110858552359</v>
      </c>
      <c r="N45" s="50">
        <v>119</v>
      </c>
      <c r="O45" s="53">
        <f>VLOOKUP(A45,[1]Sheet1!$A$1:$I$297,2,FALSE)</f>
        <v>3</v>
      </c>
    </row>
    <row r="46" spans="1:15" ht="18" x14ac:dyDescent="0.35">
      <c r="A46" s="38" t="s">
        <v>417</v>
      </c>
      <c r="B46" s="39">
        <v>20</v>
      </c>
      <c r="C46" s="40">
        <v>61.25</v>
      </c>
      <c r="D46" s="41">
        <v>58.333333333333336</v>
      </c>
      <c r="E46" s="42">
        <v>78.139083843207885</v>
      </c>
      <c r="F46" s="43">
        <v>26.666666666666668</v>
      </c>
      <c r="G46" s="44">
        <v>0.95330799382027653</v>
      </c>
      <c r="H46" s="44"/>
      <c r="I46" s="44"/>
      <c r="J46" s="44"/>
      <c r="K46" s="44"/>
      <c r="L46" s="44"/>
      <c r="M46" s="44">
        <v>54.359477278290264</v>
      </c>
      <c r="N46" s="50">
        <v>120</v>
      </c>
      <c r="O46" s="53">
        <f>VLOOKUP(A46,[1]Sheet1!$A$1:$I$297,2,FALSE)</f>
        <v>3</v>
      </c>
    </row>
    <row r="47" spans="1:15" ht="18" x14ac:dyDescent="0.35">
      <c r="A47" s="38" t="s">
        <v>358</v>
      </c>
      <c r="B47" s="39">
        <v>10</v>
      </c>
      <c r="C47" s="40">
        <v>71.25</v>
      </c>
      <c r="D47" s="41">
        <v>83.333333333333329</v>
      </c>
      <c r="E47" s="42">
        <v>54.633152328997397</v>
      </c>
      <c r="F47" s="43">
        <v>60</v>
      </c>
      <c r="G47" s="44">
        <v>1.0742499877791833</v>
      </c>
      <c r="H47" s="44"/>
      <c r="I47" s="44"/>
      <c r="J47" s="44"/>
      <c r="K47" s="44"/>
      <c r="L47" s="44"/>
      <c r="M47" s="44">
        <v>54.207698597597187</v>
      </c>
      <c r="N47" s="50">
        <v>121</v>
      </c>
      <c r="O47" s="53">
        <f>VLOOKUP(A47,[1]Sheet1!$A$1:$I$297,2,FALSE)</f>
        <v>2</v>
      </c>
    </row>
    <row r="48" spans="1:15" ht="18" x14ac:dyDescent="0.35">
      <c r="A48" s="38" t="s">
        <v>501</v>
      </c>
      <c r="B48" s="39">
        <v>55</v>
      </c>
      <c r="C48" s="40">
        <v>53.75</v>
      </c>
      <c r="D48" s="41">
        <v>25</v>
      </c>
      <c r="E48" s="42">
        <v>61.796372599602947</v>
      </c>
      <c r="F48" s="43">
        <v>43.333333333333336</v>
      </c>
      <c r="G48" s="44">
        <v>1.0213987592459346</v>
      </c>
      <c r="H48" s="44"/>
      <c r="I48" s="44"/>
      <c r="J48" s="44"/>
      <c r="K48" s="44"/>
      <c r="L48" s="44"/>
      <c r="M48" s="44">
        <v>54.066215004692189</v>
      </c>
      <c r="N48" s="50">
        <v>122</v>
      </c>
      <c r="O48" s="53">
        <f>VLOOKUP(A48,[1]Sheet1!$A$1:$I$297,2,FALSE)</f>
        <v>2</v>
      </c>
    </row>
    <row r="49" spans="1:15" ht="18" x14ac:dyDescent="0.35">
      <c r="A49" s="38" t="s">
        <v>476</v>
      </c>
      <c r="B49" s="39">
        <v>40</v>
      </c>
      <c r="C49" s="40">
        <v>58.75</v>
      </c>
      <c r="D49" s="41">
        <v>58.333333333333336</v>
      </c>
      <c r="E49" s="42">
        <v>59.947947582911681</v>
      </c>
      <c r="F49" s="43">
        <v>60</v>
      </c>
      <c r="G49" s="44">
        <v>0.94398917594650522</v>
      </c>
      <c r="H49" s="44"/>
      <c r="I49" s="44"/>
      <c r="J49" s="44"/>
      <c r="K49" s="44"/>
      <c r="L49" s="44"/>
      <c r="M49" s="44">
        <v>53.771332196296207</v>
      </c>
      <c r="N49" s="50">
        <v>123</v>
      </c>
      <c r="O49" s="53">
        <f>VLOOKUP(A49,[1]Sheet1!$A$1:$I$297,2,FALSE)</f>
        <v>3</v>
      </c>
    </row>
    <row r="50" spans="1:15" ht="18" x14ac:dyDescent="0.35">
      <c r="A50" s="38" t="s">
        <v>540</v>
      </c>
      <c r="B50" s="39">
        <v>75</v>
      </c>
      <c r="C50" s="40">
        <v>28.75</v>
      </c>
      <c r="D50" s="41">
        <v>33.333333333333336</v>
      </c>
      <c r="E50" s="42">
        <v>63.54649479776581</v>
      </c>
      <c r="F50" s="43">
        <v>43.333333333333336</v>
      </c>
      <c r="G50" s="44">
        <v>0.99801762417336992</v>
      </c>
      <c r="H50" s="44"/>
      <c r="I50" s="44"/>
      <c r="J50" s="44"/>
      <c r="K50" s="44"/>
      <c r="L50" s="44"/>
      <c r="M50" s="44">
        <v>53.755139734311889</v>
      </c>
      <c r="N50" s="50">
        <v>124</v>
      </c>
      <c r="O50" s="53">
        <f>VLOOKUP(A50,[1]Sheet1!$A$1:$I$297,2,FALSE)</f>
        <v>2</v>
      </c>
    </row>
    <row r="51" spans="1:15" ht="18" x14ac:dyDescent="0.35">
      <c r="A51" s="38" t="s">
        <v>413</v>
      </c>
      <c r="B51" s="39">
        <v>0</v>
      </c>
      <c r="C51" s="40">
        <v>76.25</v>
      </c>
      <c r="D51" s="41">
        <v>83.333333333333329</v>
      </c>
      <c r="E51" s="42">
        <v>62.171175337627872</v>
      </c>
      <c r="F51" s="43">
        <v>50</v>
      </c>
      <c r="G51" s="44">
        <v>1.007246800656006</v>
      </c>
      <c r="H51" s="44"/>
      <c r="I51" s="44"/>
      <c r="J51" s="44"/>
      <c r="K51" s="44"/>
      <c r="L51" s="44"/>
      <c r="M51" s="44">
        <v>53.632020314073038</v>
      </c>
      <c r="N51" s="50">
        <v>125</v>
      </c>
      <c r="O51" s="53">
        <f>VLOOKUP(A51,[1]Sheet1!$A$1:$I$297,2,FALSE)</f>
        <v>4</v>
      </c>
    </row>
    <row r="52" spans="1:15" ht="18" x14ac:dyDescent="0.35">
      <c r="A52" s="38" t="s">
        <v>435</v>
      </c>
      <c r="B52" s="39">
        <v>10</v>
      </c>
      <c r="C52" s="40">
        <v>82.5</v>
      </c>
      <c r="D52" s="41">
        <v>83.333333333333329</v>
      </c>
      <c r="E52" s="42">
        <v>61.18469681494382</v>
      </c>
      <c r="F52" s="43">
        <v>43.333333333333336</v>
      </c>
      <c r="G52" s="44">
        <v>0.92385236937466597</v>
      </c>
      <c r="H52" s="44"/>
      <c r="I52" s="44"/>
      <c r="J52" s="44"/>
      <c r="K52" s="44"/>
      <c r="L52" s="44"/>
      <c r="M52" s="44">
        <v>53.62462225419857</v>
      </c>
      <c r="N52" s="50">
        <v>126</v>
      </c>
      <c r="O52" s="53">
        <f>VLOOKUP(A52,[1]Sheet1!$A$1:$I$297,2,FALSE)</f>
        <v>2</v>
      </c>
    </row>
    <row r="53" spans="1:15" ht="18" x14ac:dyDescent="0.35">
      <c r="A53" s="38" t="s">
        <v>401</v>
      </c>
      <c r="B53" s="39">
        <v>10</v>
      </c>
      <c r="C53" s="40">
        <v>65</v>
      </c>
      <c r="D53" s="41">
        <v>83.333333333333329</v>
      </c>
      <c r="E53" s="42">
        <v>73.639802780338783</v>
      </c>
      <c r="F53" s="43">
        <v>33.333333333333336</v>
      </c>
      <c r="G53" s="44">
        <v>0.92035842027448089</v>
      </c>
      <c r="H53" s="44"/>
      <c r="I53" s="44"/>
      <c r="J53" s="44"/>
      <c r="K53" s="44"/>
      <c r="L53" s="44"/>
      <c r="M53" s="44">
        <v>53.617388529710404</v>
      </c>
      <c r="N53" s="50">
        <v>127</v>
      </c>
      <c r="O53" s="53">
        <f>VLOOKUP(A53,[1]Sheet1!$A$1:$I$297,2,FALSE)</f>
        <v>2</v>
      </c>
    </row>
    <row r="54" spans="1:15" ht="18" x14ac:dyDescent="0.35">
      <c r="A54" s="38" t="s">
        <v>366</v>
      </c>
      <c r="B54" s="39">
        <v>30</v>
      </c>
      <c r="C54" s="40">
        <v>77.5</v>
      </c>
      <c r="D54" s="41">
        <v>75</v>
      </c>
      <c r="E54" s="42">
        <v>53.054159180871736</v>
      </c>
      <c r="F54" s="43">
        <v>50</v>
      </c>
      <c r="G54" s="44">
        <v>0.93236423560662918</v>
      </c>
      <c r="H54" s="44"/>
      <c r="I54" s="44"/>
      <c r="J54" s="44"/>
      <c r="K54" s="44"/>
      <c r="L54" s="44"/>
      <c r="M54" s="44">
        <v>53.380505641810132</v>
      </c>
      <c r="N54" s="50">
        <v>128</v>
      </c>
      <c r="O54" s="53">
        <f>VLOOKUP(A54,[1]Sheet1!$A$1:$I$297,2,FALSE)</f>
        <v>2</v>
      </c>
    </row>
    <row r="55" spans="1:15" ht="18" x14ac:dyDescent="0.35">
      <c r="A55" s="38" t="s">
        <v>405</v>
      </c>
      <c r="B55" s="39">
        <v>0</v>
      </c>
      <c r="C55" s="40">
        <v>66.25</v>
      </c>
      <c r="D55" s="41">
        <v>58.333333333333336</v>
      </c>
      <c r="E55" s="42">
        <v>71.965878944659337</v>
      </c>
      <c r="F55" s="43">
        <v>60</v>
      </c>
      <c r="G55" s="44">
        <v>0.98166550268777741</v>
      </c>
      <c r="H55" s="44"/>
      <c r="I55" s="44"/>
      <c r="J55" s="44"/>
      <c r="K55" s="44"/>
      <c r="L55" s="44"/>
      <c r="M55" s="44">
        <v>53.341901625564034</v>
      </c>
      <c r="N55" s="50">
        <v>129</v>
      </c>
      <c r="O55" s="53">
        <f>VLOOKUP(A55,[1]Sheet1!$A$1:$I$297,2,FALSE)</f>
        <v>2</v>
      </c>
    </row>
    <row r="56" spans="1:15" ht="18" x14ac:dyDescent="0.35">
      <c r="A56" s="38" t="s">
        <v>338</v>
      </c>
      <c r="B56" s="39">
        <v>20</v>
      </c>
      <c r="C56" s="40">
        <v>65</v>
      </c>
      <c r="D56" s="41">
        <v>41.666666666666664</v>
      </c>
      <c r="E56" s="42">
        <v>60.612736236324629</v>
      </c>
      <c r="F56" s="43">
        <v>60</v>
      </c>
      <c r="G56" s="44">
        <v>1.0664658150733226</v>
      </c>
      <c r="H56" s="44"/>
      <c r="I56" s="44"/>
      <c r="J56" s="44"/>
      <c r="K56" s="44"/>
      <c r="L56" s="44"/>
      <c r="M56" s="44">
        <v>53.289094388598464</v>
      </c>
      <c r="N56" s="50">
        <v>130</v>
      </c>
      <c r="O56" s="53">
        <f>VLOOKUP(A56,[1]Sheet1!$A$1:$I$297,2,FALSE)</f>
        <v>3</v>
      </c>
    </row>
    <row r="57" spans="1:15" ht="18" x14ac:dyDescent="0.35">
      <c r="A57" s="38" t="s">
        <v>496</v>
      </c>
      <c r="B57" s="39">
        <v>10</v>
      </c>
      <c r="C57" s="40">
        <v>71.25</v>
      </c>
      <c r="D57" s="41">
        <v>83.333333333333329</v>
      </c>
      <c r="E57" s="42">
        <v>52.823728017197418</v>
      </c>
      <c r="F57" s="43">
        <v>60</v>
      </c>
      <c r="G57" s="44">
        <v>1.0671299968472034</v>
      </c>
      <c r="H57" s="44"/>
      <c r="I57" s="44"/>
      <c r="J57" s="44"/>
      <c r="K57" s="44"/>
      <c r="L57" s="44"/>
      <c r="M57" s="44">
        <v>53.265507212007506</v>
      </c>
      <c r="N57" s="50">
        <v>131</v>
      </c>
      <c r="O57" s="53">
        <f>VLOOKUP(A57,[1]Sheet1!$A$1:$I$297,2,FALSE)</f>
        <v>3</v>
      </c>
    </row>
    <row r="58" spans="1:15" ht="18" x14ac:dyDescent="0.35">
      <c r="A58" s="38" t="s">
        <v>599</v>
      </c>
      <c r="B58" s="39">
        <v>40</v>
      </c>
      <c r="C58" s="40">
        <v>60</v>
      </c>
      <c r="D58" s="41">
        <v>66.666666666666671</v>
      </c>
      <c r="E58" s="42">
        <v>48.478314422435211</v>
      </c>
      <c r="F58" s="43">
        <v>50</v>
      </c>
      <c r="G58" s="44">
        <v>1.0792580024366516</v>
      </c>
      <c r="H58" s="44"/>
      <c r="I58" s="44"/>
      <c r="J58" s="44"/>
      <c r="K58" s="44"/>
      <c r="L58" s="44"/>
      <c r="M58" s="44">
        <v>53.228974200181213</v>
      </c>
      <c r="N58" s="50">
        <v>132</v>
      </c>
      <c r="O58" s="53" t="e">
        <f>VLOOKUP(A58,[1]Sheet1!$A$1:$I$297,2,FALSE)</f>
        <v>#N/A</v>
      </c>
    </row>
    <row r="59" spans="1:15" ht="18" x14ac:dyDescent="0.35">
      <c r="A59" s="38" t="s">
        <v>565</v>
      </c>
      <c r="B59" s="39">
        <v>10</v>
      </c>
      <c r="C59" s="40">
        <v>71.25</v>
      </c>
      <c r="D59" s="41">
        <v>50</v>
      </c>
      <c r="E59" s="42">
        <v>65.499450077380217</v>
      </c>
      <c r="F59" s="43">
        <v>33.333333333333336</v>
      </c>
      <c r="G59" s="44">
        <v>1.0861884242329052</v>
      </c>
      <c r="H59" s="44"/>
      <c r="I59" s="44"/>
      <c r="J59" s="44"/>
      <c r="K59" s="44"/>
      <c r="L59" s="44"/>
      <c r="M59" s="44">
        <v>53.213607968867727</v>
      </c>
      <c r="N59" s="50">
        <v>133</v>
      </c>
      <c r="O59" s="53">
        <f>VLOOKUP(A59,[1]Sheet1!$A$1:$I$297,2,FALSE)</f>
        <v>4</v>
      </c>
    </row>
    <row r="60" spans="1:15" ht="18" x14ac:dyDescent="0.35">
      <c r="A60" s="38" t="s">
        <v>355</v>
      </c>
      <c r="B60" s="39">
        <v>10</v>
      </c>
      <c r="C60" s="40">
        <v>83.75</v>
      </c>
      <c r="D60" s="41">
        <v>91.666666666666671</v>
      </c>
      <c r="E60" s="42">
        <v>42.455547393497348</v>
      </c>
      <c r="F60" s="43">
        <v>66.666666666666671</v>
      </c>
      <c r="G60" s="44">
        <v>1.0861884242329052</v>
      </c>
      <c r="H60" s="44"/>
      <c r="I60" s="44"/>
      <c r="J60" s="44"/>
      <c r="K60" s="44"/>
      <c r="L60" s="44"/>
      <c r="M60" s="44">
        <v>53.201599831114464</v>
      </c>
      <c r="N60" s="50">
        <v>134</v>
      </c>
      <c r="O60" s="53">
        <f>VLOOKUP(A60,[1]Sheet1!$A$1:$I$297,2,FALSE)</f>
        <v>4</v>
      </c>
    </row>
    <row r="61" spans="1:15" ht="18" x14ac:dyDescent="0.35">
      <c r="A61" s="38" t="s">
        <v>434</v>
      </c>
      <c r="B61" s="39">
        <v>0</v>
      </c>
      <c r="C61" s="40">
        <v>82.5</v>
      </c>
      <c r="D61" s="41">
        <v>66.666666666666671</v>
      </c>
      <c r="E61" s="42">
        <v>60.600991717502374</v>
      </c>
      <c r="F61" s="43">
        <v>66.666666666666671</v>
      </c>
      <c r="G61" s="44">
        <v>0.96262015930040112</v>
      </c>
      <c r="H61" s="44"/>
      <c r="I61" s="44"/>
      <c r="J61" s="44"/>
      <c r="K61" s="44"/>
      <c r="L61" s="44"/>
      <c r="M61" s="44">
        <v>53.167627853679107</v>
      </c>
      <c r="N61" s="50">
        <v>135</v>
      </c>
      <c r="O61" s="53">
        <f>VLOOKUP(A61,[1]Sheet1!$A$1:$I$297,2,FALSE)</f>
        <v>3</v>
      </c>
    </row>
    <row r="62" spans="1:15" ht="18" x14ac:dyDescent="0.35">
      <c r="A62" s="38" t="s">
        <v>550</v>
      </c>
      <c r="B62" s="39">
        <v>10</v>
      </c>
      <c r="C62" s="40">
        <v>71.25</v>
      </c>
      <c r="D62" s="41">
        <v>91.666666666666671</v>
      </c>
      <c r="E62" s="42">
        <v>59.123473925827327</v>
      </c>
      <c r="F62" s="43">
        <v>43.333333333333336</v>
      </c>
      <c r="G62" s="44">
        <v>0.98543333774022268</v>
      </c>
      <c r="H62" s="44"/>
      <c r="I62" s="44"/>
      <c r="J62" s="44"/>
      <c r="K62" s="44"/>
      <c r="L62" s="44"/>
      <c r="M62" s="44">
        <v>53.025763575290469</v>
      </c>
      <c r="N62" s="50">
        <v>136</v>
      </c>
      <c r="O62" s="53">
        <f>VLOOKUP(A62,[1]Sheet1!$A$1:$I$297,2,FALSE)</f>
        <v>3</v>
      </c>
    </row>
    <row r="63" spans="1:15" ht="18" x14ac:dyDescent="0.35">
      <c r="A63" s="38" t="s">
        <v>474</v>
      </c>
      <c r="B63" s="39">
        <v>42.5</v>
      </c>
      <c r="C63" s="40">
        <v>71.25</v>
      </c>
      <c r="D63" s="41">
        <v>66.666666666666671</v>
      </c>
      <c r="E63" s="42">
        <v>42.41645876675981</v>
      </c>
      <c r="F63" s="43">
        <v>43.333333333333336</v>
      </c>
      <c r="G63" s="44">
        <v>1.0861884242329052</v>
      </c>
      <c r="H63" s="44"/>
      <c r="I63" s="44"/>
      <c r="J63" s="44"/>
      <c r="K63" s="44"/>
      <c r="L63" s="44"/>
      <c r="M63" s="44">
        <v>52.911508209742429</v>
      </c>
      <c r="N63" s="50">
        <v>137</v>
      </c>
      <c r="O63" s="53">
        <f>VLOOKUP(A63,[1]Sheet1!$A$1:$I$297,2,FALSE)</f>
        <v>4</v>
      </c>
    </row>
    <row r="64" spans="1:15" ht="18" x14ac:dyDescent="0.35">
      <c r="A64" s="38" t="s">
        <v>425</v>
      </c>
      <c r="B64" s="39">
        <v>10</v>
      </c>
      <c r="C64" s="40">
        <v>82.5</v>
      </c>
      <c r="D64" s="41">
        <v>75</v>
      </c>
      <c r="E64" s="42">
        <v>56.925240340837568</v>
      </c>
      <c r="F64" s="43">
        <v>60</v>
      </c>
      <c r="G64" s="44">
        <v>0.92035842027448089</v>
      </c>
      <c r="H64" s="44"/>
      <c r="I64" s="44"/>
      <c r="J64" s="44"/>
      <c r="K64" s="44"/>
      <c r="L64" s="44"/>
      <c r="M64" s="44">
        <v>52.797366550084327</v>
      </c>
      <c r="N64" s="50">
        <v>138</v>
      </c>
      <c r="O64" s="53">
        <f>VLOOKUP(A64,[1]Sheet1!$A$1:$I$297,2,FALSE)</f>
        <v>2</v>
      </c>
    </row>
    <row r="65" spans="1:15" ht="18" x14ac:dyDescent="0.35">
      <c r="A65" s="38" t="s">
        <v>306</v>
      </c>
      <c r="B65" s="39">
        <v>0</v>
      </c>
      <c r="C65" s="40">
        <v>70</v>
      </c>
      <c r="D65" s="41">
        <v>75</v>
      </c>
      <c r="E65" s="42">
        <v>71.276407107745825</v>
      </c>
      <c r="F65" s="43">
        <v>50</v>
      </c>
      <c r="G65" s="44">
        <v>0.92035842027448089</v>
      </c>
      <c r="H65" s="44"/>
      <c r="I65" s="44"/>
      <c r="J65" s="44"/>
      <c r="K65" s="44"/>
      <c r="L65" s="44"/>
      <c r="M65" s="44">
        <v>52.739936579410298</v>
      </c>
      <c r="N65" s="50">
        <v>139</v>
      </c>
      <c r="O65" s="53">
        <f>VLOOKUP(A65,[1]Sheet1!$A$1:$I$297,2,FALSE)</f>
        <v>1</v>
      </c>
    </row>
    <row r="66" spans="1:15" ht="18" x14ac:dyDescent="0.35">
      <c r="A66" s="38" t="s">
        <v>500</v>
      </c>
      <c r="B66" s="39">
        <v>10</v>
      </c>
      <c r="C66" s="40">
        <v>78.75</v>
      </c>
      <c r="D66" s="41">
        <v>83.333333333333329</v>
      </c>
      <c r="E66" s="42">
        <v>54.437234717611837</v>
      </c>
      <c r="F66" s="43">
        <v>66.666666666666671</v>
      </c>
      <c r="G66" s="44">
        <v>0.92035842027448089</v>
      </c>
      <c r="H66" s="44"/>
      <c r="I66" s="44"/>
      <c r="J66" s="44"/>
      <c r="K66" s="44"/>
      <c r="L66" s="44"/>
      <c r="M66" s="44">
        <v>52.631423780073902</v>
      </c>
      <c r="N66" s="50">
        <v>140</v>
      </c>
      <c r="O66" s="53">
        <f>VLOOKUP(A66,[1]Sheet1!$A$1:$I$297,2,FALSE)</f>
        <v>3</v>
      </c>
    </row>
    <row r="67" spans="1:15" ht="18" x14ac:dyDescent="0.35">
      <c r="A67" s="38" t="s">
        <v>323</v>
      </c>
      <c r="B67" s="39">
        <v>32.5</v>
      </c>
      <c r="C67" s="40">
        <v>65</v>
      </c>
      <c r="D67" s="41">
        <v>83.333333333333329</v>
      </c>
      <c r="E67" s="42">
        <v>61.36727097148686</v>
      </c>
      <c r="F67" s="43">
        <v>26.666666666666668</v>
      </c>
      <c r="G67" s="44">
        <v>0.92035842027448089</v>
      </c>
      <c r="H67" s="44"/>
      <c r="I67" s="44"/>
      <c r="J67" s="44"/>
      <c r="K67" s="44"/>
      <c r="L67" s="44"/>
      <c r="M67" s="44">
        <v>52.574283558933594</v>
      </c>
      <c r="N67" s="50">
        <v>141</v>
      </c>
      <c r="O67" s="53">
        <f>VLOOKUP(A67,[1]Sheet1!$A$1:$I$297,2,FALSE)</f>
        <v>1</v>
      </c>
    </row>
    <row r="68" spans="1:15" ht="18" x14ac:dyDescent="0.35">
      <c r="A68" s="38" t="s">
        <v>539</v>
      </c>
      <c r="B68" s="39">
        <v>0</v>
      </c>
      <c r="C68" s="40">
        <v>88.75</v>
      </c>
      <c r="D68" s="41">
        <v>75</v>
      </c>
      <c r="E68" s="42">
        <v>57.838081528131042</v>
      </c>
      <c r="F68" s="43">
        <v>60</v>
      </c>
      <c r="G68" s="44">
        <v>0.92035842027448089</v>
      </c>
      <c r="H68" s="44"/>
      <c r="I68" s="44"/>
      <c r="J68" s="44"/>
      <c r="K68" s="44"/>
      <c r="L68" s="44"/>
      <c r="M68" s="44">
        <v>52.542706138774932</v>
      </c>
      <c r="N68" s="50">
        <v>142</v>
      </c>
      <c r="O68" s="53">
        <f>VLOOKUP(A68,[1]Sheet1!$A$1:$I$297,2,FALSE)</f>
        <v>4</v>
      </c>
    </row>
    <row r="69" spans="1:15" ht="18" x14ac:dyDescent="0.35">
      <c r="A69" s="38" t="s">
        <v>446</v>
      </c>
      <c r="B69" s="39">
        <v>0</v>
      </c>
      <c r="C69" s="40">
        <v>60</v>
      </c>
      <c r="D69" s="41">
        <v>75</v>
      </c>
      <c r="E69" s="42">
        <v>60.912833812487115</v>
      </c>
      <c r="F69" s="43">
        <v>66.666666666666671</v>
      </c>
      <c r="G69" s="44">
        <v>1.0770942218661876</v>
      </c>
      <c r="H69" s="44"/>
      <c r="I69" s="44"/>
      <c r="J69" s="44"/>
      <c r="K69" s="44"/>
      <c r="L69" s="44"/>
      <c r="M69" s="44">
        <v>52.410211201436752</v>
      </c>
      <c r="N69" s="50">
        <v>143</v>
      </c>
      <c r="O69" s="53">
        <f>VLOOKUP(A69,[1]Sheet1!$A$1:$I$297,2,FALSE)</f>
        <v>2</v>
      </c>
    </row>
    <row r="70" spans="1:15" ht="18" x14ac:dyDescent="0.35">
      <c r="A70" s="38" t="s">
        <v>371</v>
      </c>
      <c r="B70" s="39">
        <v>65</v>
      </c>
      <c r="C70" s="40">
        <v>47.5</v>
      </c>
      <c r="D70" s="41">
        <v>50</v>
      </c>
      <c r="E70" s="42">
        <v>42.771461769282915</v>
      </c>
      <c r="F70" s="43">
        <v>50</v>
      </c>
      <c r="G70" s="44">
        <v>1.0861884242329052</v>
      </c>
      <c r="H70" s="44"/>
      <c r="I70" s="44"/>
      <c r="J70" s="44"/>
      <c r="K70" s="44"/>
      <c r="L70" s="44"/>
      <c r="M70" s="44">
        <v>52.203596179553912</v>
      </c>
      <c r="N70" s="50">
        <v>144</v>
      </c>
      <c r="O70" s="53">
        <f>VLOOKUP(A70,[1]Sheet1!$A$1:$I$297,2,FALSE)</f>
        <v>4</v>
      </c>
    </row>
    <row r="71" spans="1:15" ht="18" x14ac:dyDescent="0.35">
      <c r="A71" s="38" t="s">
        <v>374</v>
      </c>
      <c r="B71" s="39">
        <v>20</v>
      </c>
      <c r="C71" s="40">
        <v>82.5</v>
      </c>
      <c r="D71" s="41">
        <v>83.333333333333329</v>
      </c>
      <c r="E71" s="42">
        <v>48.042412552681633</v>
      </c>
      <c r="F71" s="43">
        <v>60</v>
      </c>
      <c r="G71" s="44">
        <v>0.92035842027448089</v>
      </c>
      <c r="H71" s="44"/>
      <c r="I71" s="44"/>
      <c r="J71" s="44"/>
      <c r="K71" s="44"/>
      <c r="L71" s="44"/>
      <c r="M71" s="44">
        <v>52.201262583695637</v>
      </c>
      <c r="N71" s="50">
        <v>145</v>
      </c>
      <c r="O71" s="53">
        <f>VLOOKUP(A71,[1]Sheet1!$A$1:$I$297,2,FALSE)</f>
        <v>3</v>
      </c>
    </row>
    <row r="72" spans="1:15" ht="18" x14ac:dyDescent="0.35">
      <c r="A72" s="38" t="s">
        <v>507</v>
      </c>
      <c r="B72" s="39">
        <v>10</v>
      </c>
      <c r="C72" s="40">
        <v>66.25</v>
      </c>
      <c r="D72" s="41">
        <v>66.666666666666671</v>
      </c>
      <c r="E72" s="42">
        <v>65.550128508473577</v>
      </c>
      <c r="F72" s="43">
        <v>43.333333333333336</v>
      </c>
      <c r="G72" s="44">
        <v>0.98970333859454085</v>
      </c>
      <c r="H72" s="44"/>
      <c r="I72" s="44"/>
      <c r="J72" s="44"/>
      <c r="K72" s="44"/>
      <c r="L72" s="44"/>
      <c r="M72" s="44">
        <v>52.179479089244083</v>
      </c>
      <c r="N72" s="50">
        <v>146</v>
      </c>
      <c r="O72" s="53">
        <f>VLOOKUP(A72,[1]Sheet1!$A$1:$I$297,2,FALSE)</f>
        <v>4</v>
      </c>
    </row>
    <row r="73" spans="1:15" ht="18" x14ac:dyDescent="0.35">
      <c r="A73" s="38" t="s">
        <v>527</v>
      </c>
      <c r="B73" s="39">
        <v>10</v>
      </c>
      <c r="C73" s="40">
        <v>76.25</v>
      </c>
      <c r="D73" s="41">
        <v>75</v>
      </c>
      <c r="E73" s="42">
        <v>52.668939429286382</v>
      </c>
      <c r="F73" s="43">
        <v>50</v>
      </c>
      <c r="G73" s="44">
        <v>1.0527925976552359</v>
      </c>
      <c r="H73" s="44"/>
      <c r="I73" s="44"/>
      <c r="J73" s="44"/>
      <c r="K73" s="44"/>
      <c r="L73" s="44"/>
      <c r="M73" s="44">
        <v>52.035373018312349</v>
      </c>
      <c r="N73" s="50">
        <v>147</v>
      </c>
      <c r="O73" s="53">
        <f>VLOOKUP(A73,[1]Sheet1!$A$1:$I$297,2,FALSE)</f>
        <v>4</v>
      </c>
    </row>
    <row r="74" spans="1:15" ht="18" x14ac:dyDescent="0.35">
      <c r="A74" s="38" t="s">
        <v>357</v>
      </c>
      <c r="B74" s="39">
        <v>30</v>
      </c>
      <c r="C74" s="40">
        <v>52.5</v>
      </c>
      <c r="D74" s="41">
        <v>75</v>
      </c>
      <c r="E74" s="42">
        <v>53.264992089074354</v>
      </c>
      <c r="F74" s="43">
        <v>43.333333333333336</v>
      </c>
      <c r="G74" s="44">
        <v>1.0861884242329052</v>
      </c>
      <c r="H74" s="44"/>
      <c r="I74" s="44"/>
      <c r="J74" s="44"/>
      <c r="K74" s="44"/>
      <c r="L74" s="44"/>
      <c r="M74" s="44">
        <v>51.992791008334699</v>
      </c>
      <c r="N74" s="50">
        <v>148</v>
      </c>
      <c r="O74" s="53">
        <f>VLOOKUP(A74,[1]Sheet1!$A$1:$I$297,2,FALSE)</f>
        <v>4</v>
      </c>
    </row>
    <row r="75" spans="1:15" ht="18" x14ac:dyDescent="0.35">
      <c r="A75" s="38" t="s">
        <v>419</v>
      </c>
      <c r="B75" s="39">
        <v>0</v>
      </c>
      <c r="C75" s="40">
        <v>76.25</v>
      </c>
      <c r="D75" s="41">
        <v>66.666666666666671</v>
      </c>
      <c r="E75" s="42">
        <v>59.585918914145203</v>
      </c>
      <c r="F75" s="43">
        <v>43.333333333333336</v>
      </c>
      <c r="G75" s="44">
        <v>1.0767654249824674</v>
      </c>
      <c r="H75" s="44"/>
      <c r="I75" s="44"/>
      <c r="J75" s="44"/>
      <c r="K75" s="44"/>
      <c r="L75" s="44"/>
      <c r="M75" s="44">
        <v>51.914022921024163</v>
      </c>
      <c r="N75" s="50">
        <v>149</v>
      </c>
      <c r="O75" s="53">
        <f>VLOOKUP(A75,[1]Sheet1!$A$1:$I$297,2,FALSE)</f>
        <v>3</v>
      </c>
    </row>
    <row r="76" spans="1:15" ht="18" x14ac:dyDescent="0.35">
      <c r="A76" s="38" t="s">
        <v>348</v>
      </c>
      <c r="B76" s="39">
        <v>65</v>
      </c>
      <c r="C76" s="40">
        <v>47.5</v>
      </c>
      <c r="D76" s="41">
        <v>33.333333333333336</v>
      </c>
      <c r="E76" s="42">
        <v>61.647846809928872</v>
      </c>
      <c r="F76" s="43">
        <v>26.666666666666668</v>
      </c>
      <c r="G76" s="44">
        <v>0.96606069900903646</v>
      </c>
      <c r="H76" s="44"/>
      <c r="I76" s="44"/>
      <c r="J76" s="44"/>
      <c r="K76" s="44"/>
      <c r="L76" s="44"/>
      <c r="M76" s="44">
        <v>51.881013879758228</v>
      </c>
      <c r="N76" s="50">
        <v>150</v>
      </c>
      <c r="O76" s="53">
        <f>VLOOKUP(A76,[1]Sheet1!$A$1:$I$297,2,FALSE)</f>
        <v>4</v>
      </c>
    </row>
    <row r="77" spans="1:15" ht="18" x14ac:dyDescent="0.35">
      <c r="A77" s="38" t="s">
        <v>426</v>
      </c>
      <c r="B77" s="39">
        <v>75</v>
      </c>
      <c r="C77" s="40">
        <v>27.5</v>
      </c>
      <c r="D77" s="41">
        <v>16.666666666666668</v>
      </c>
      <c r="E77" s="42">
        <v>76.128195684245668</v>
      </c>
      <c r="F77" s="43">
        <v>26.666666666666668</v>
      </c>
      <c r="G77" s="44">
        <v>0.922003899419229</v>
      </c>
      <c r="H77" s="44"/>
      <c r="I77" s="44"/>
      <c r="J77" s="44"/>
      <c r="K77" s="44"/>
      <c r="L77" s="44"/>
      <c r="M77" s="44">
        <v>51.739589135271622</v>
      </c>
      <c r="N77" s="50">
        <v>151</v>
      </c>
      <c r="O77" s="53">
        <f>VLOOKUP(A77,[1]Sheet1!$A$1:$I$297,2,FALSE)</f>
        <v>2</v>
      </c>
    </row>
    <row r="78" spans="1:15" ht="18" x14ac:dyDescent="0.35">
      <c r="A78" s="38" t="s">
        <v>318</v>
      </c>
      <c r="B78" s="39">
        <v>25</v>
      </c>
      <c r="C78" s="40">
        <v>66.25</v>
      </c>
      <c r="D78" s="41">
        <v>83.333333333333329</v>
      </c>
      <c r="E78" s="42">
        <v>55.737688530126398</v>
      </c>
      <c r="F78" s="43">
        <v>43.333333333333336</v>
      </c>
      <c r="G78" s="44">
        <v>0.94506644658343708</v>
      </c>
      <c r="H78" s="44"/>
      <c r="I78" s="44"/>
      <c r="J78" s="44"/>
      <c r="K78" s="44"/>
      <c r="L78" s="44"/>
      <c r="M78" s="44">
        <v>51.712326595560235</v>
      </c>
      <c r="N78" s="50">
        <v>152</v>
      </c>
      <c r="O78" s="53">
        <f>VLOOKUP(A78,[1]Sheet1!$A$1:$I$297,2,FALSE)</f>
        <v>3</v>
      </c>
    </row>
    <row r="79" spans="1:15" ht="18" x14ac:dyDescent="0.35">
      <c r="A79" s="38" t="s">
        <v>333</v>
      </c>
      <c r="B79" s="39">
        <v>0</v>
      </c>
      <c r="C79" s="40">
        <v>93.75</v>
      </c>
      <c r="D79" s="41">
        <v>91.666666666666671</v>
      </c>
      <c r="E79" s="42">
        <v>43.231335984611235</v>
      </c>
      <c r="F79" s="43">
        <v>50</v>
      </c>
      <c r="G79" s="44">
        <v>1.0861884242329052</v>
      </c>
      <c r="H79" s="44"/>
      <c r="I79" s="44"/>
      <c r="J79" s="44"/>
      <c r="K79" s="44"/>
      <c r="L79" s="44"/>
      <c r="M79" s="44">
        <v>51.699617350909932</v>
      </c>
      <c r="N79" s="50">
        <v>153</v>
      </c>
      <c r="O79" s="53">
        <f>VLOOKUP(A79,[1]Sheet1!$A$1:$I$297,2,FALSE)</f>
        <v>2</v>
      </c>
    </row>
    <row r="80" spans="1:15" ht="18" x14ac:dyDescent="0.35">
      <c r="A80" s="38" t="s">
        <v>491</v>
      </c>
      <c r="B80" s="39">
        <v>12.5</v>
      </c>
      <c r="C80" s="40">
        <v>77.5</v>
      </c>
      <c r="D80" s="41">
        <v>91.666666666666671</v>
      </c>
      <c r="E80" s="42">
        <v>49.363463200492191</v>
      </c>
      <c r="F80" s="43">
        <v>50</v>
      </c>
      <c r="G80" s="44">
        <v>0.98162048393079326</v>
      </c>
      <c r="H80" s="44"/>
      <c r="I80" s="44"/>
      <c r="J80" s="44"/>
      <c r="K80" s="44"/>
      <c r="L80" s="44"/>
      <c r="M80" s="44">
        <v>51.503192530640476</v>
      </c>
      <c r="N80" s="50">
        <v>154</v>
      </c>
      <c r="O80" s="53">
        <f>VLOOKUP(A80,[1]Sheet1!$A$1:$I$297,2,FALSE)</f>
        <v>3</v>
      </c>
    </row>
    <row r="81" spans="1:15" ht="18" x14ac:dyDescent="0.35">
      <c r="A81" s="38" t="s">
        <v>351</v>
      </c>
      <c r="B81" s="39">
        <v>10</v>
      </c>
      <c r="C81" s="40">
        <v>55</v>
      </c>
      <c r="D81" s="41">
        <v>50</v>
      </c>
      <c r="E81" s="42">
        <v>71.398842227887584</v>
      </c>
      <c r="F81" s="43">
        <v>26.666666666666668</v>
      </c>
      <c r="G81" s="44">
        <v>1.072619881814399</v>
      </c>
      <c r="H81" s="44"/>
      <c r="I81" s="44"/>
      <c r="J81" s="44"/>
      <c r="K81" s="44"/>
      <c r="L81" s="44"/>
      <c r="M81" s="44">
        <v>51.44543351516014</v>
      </c>
      <c r="N81" s="50">
        <v>155</v>
      </c>
      <c r="O81" s="53">
        <f>VLOOKUP(A81,[1]Sheet1!$A$1:$I$297,2,FALSE)</f>
        <v>2</v>
      </c>
    </row>
    <row r="82" spans="1:15" ht="18" x14ac:dyDescent="0.35">
      <c r="A82" s="38" t="s">
        <v>529</v>
      </c>
      <c r="B82" s="39">
        <v>20</v>
      </c>
      <c r="C82" s="40">
        <v>76.25</v>
      </c>
      <c r="D82" s="41">
        <v>75</v>
      </c>
      <c r="E82" s="42">
        <v>42.835035276279967</v>
      </c>
      <c r="F82" s="43">
        <v>66.666666666666671</v>
      </c>
      <c r="G82" s="44">
        <v>1.0394894244633139</v>
      </c>
      <c r="H82" s="44"/>
      <c r="I82" s="44"/>
      <c r="J82" s="44"/>
      <c r="K82" s="44"/>
      <c r="L82" s="44"/>
      <c r="M82" s="44">
        <v>51.385250831002338</v>
      </c>
      <c r="N82" s="50">
        <v>156</v>
      </c>
      <c r="O82" s="53">
        <f>VLOOKUP(A82,[1]Sheet1!$A$1:$I$297,2,FALSE)</f>
        <v>2</v>
      </c>
    </row>
    <row r="83" spans="1:15" ht="18" x14ac:dyDescent="0.35">
      <c r="A83" s="38" t="s">
        <v>579</v>
      </c>
      <c r="B83" s="39">
        <v>62.5</v>
      </c>
      <c r="C83" s="40">
        <v>77.5</v>
      </c>
      <c r="D83" s="41">
        <v>75</v>
      </c>
      <c r="E83" s="42">
        <v>28.864813128863236</v>
      </c>
      <c r="F83" s="43">
        <v>60</v>
      </c>
      <c r="G83" s="44">
        <v>0.92159946389226599</v>
      </c>
      <c r="H83" s="44"/>
      <c r="I83" s="44"/>
      <c r="J83" s="44"/>
      <c r="K83" s="44"/>
      <c r="L83" s="44"/>
      <c r="M83" s="44">
        <v>51.160711820617649</v>
      </c>
      <c r="N83" s="50">
        <v>157</v>
      </c>
      <c r="O83" s="53" t="e">
        <f>VLOOKUP(A83,[1]Sheet1!$A$1:$I$297,2,FALSE)</f>
        <v>#N/A</v>
      </c>
    </row>
    <row r="84" spans="1:15" ht="18" x14ac:dyDescent="0.35">
      <c r="A84" s="38" t="s">
        <v>592</v>
      </c>
      <c r="B84" s="39">
        <v>20</v>
      </c>
      <c r="C84" s="40">
        <v>71.25</v>
      </c>
      <c r="D84" s="41">
        <v>83.333333333333329</v>
      </c>
      <c r="E84" s="42">
        <v>42.344782973362499</v>
      </c>
      <c r="F84" s="43">
        <v>66.666666666666671</v>
      </c>
      <c r="G84" s="44">
        <v>1.0425436163323203</v>
      </c>
      <c r="H84" s="44"/>
      <c r="I84" s="44"/>
      <c r="J84" s="44"/>
      <c r="K84" s="44"/>
      <c r="L84" s="44"/>
      <c r="M84" s="44">
        <v>51.078687734871934</v>
      </c>
      <c r="N84" s="50">
        <v>158</v>
      </c>
      <c r="O84" s="53" t="e">
        <f>VLOOKUP(A84,[1]Sheet1!$A$1:$I$297,2,FALSE)</f>
        <v>#N/A</v>
      </c>
    </row>
    <row r="85" spans="1:15" ht="18" x14ac:dyDescent="0.35">
      <c r="A85" s="38" t="s">
        <v>378</v>
      </c>
      <c r="B85" s="39">
        <v>10</v>
      </c>
      <c r="C85" s="40">
        <v>66.25</v>
      </c>
      <c r="D85" s="41">
        <v>66.666666666666671</v>
      </c>
      <c r="E85" s="42">
        <v>59.274398418403322</v>
      </c>
      <c r="F85" s="43">
        <v>43.333333333333336</v>
      </c>
      <c r="G85" s="44">
        <v>1.0427922560745797</v>
      </c>
      <c r="H85" s="44"/>
      <c r="I85" s="44"/>
      <c r="J85" s="44"/>
      <c r="K85" s="44"/>
      <c r="L85" s="44"/>
      <c r="M85" s="44">
        <v>51.059937973825278</v>
      </c>
      <c r="N85" s="50">
        <v>159</v>
      </c>
      <c r="O85" s="53">
        <f>VLOOKUP(A85,[1]Sheet1!$A$1:$I$297,2,FALSE)</f>
        <v>3</v>
      </c>
    </row>
    <row r="86" spans="1:15" ht="18" x14ac:dyDescent="0.35">
      <c r="A86" s="38" t="s">
        <v>431</v>
      </c>
      <c r="B86" s="39">
        <v>42.5</v>
      </c>
      <c r="C86" s="40">
        <v>67.5</v>
      </c>
      <c r="D86" s="41">
        <v>66.666666666666671</v>
      </c>
      <c r="E86" s="42">
        <v>43.542005236301279</v>
      </c>
      <c r="F86" s="43">
        <v>26.666666666666668</v>
      </c>
      <c r="G86" s="44">
        <v>1.0861884242329052</v>
      </c>
      <c r="H86" s="44"/>
      <c r="I86" s="44"/>
      <c r="J86" s="44"/>
      <c r="K86" s="44"/>
      <c r="L86" s="44"/>
      <c r="M86" s="44">
        <v>50.983863761536625</v>
      </c>
      <c r="N86" s="50">
        <v>160</v>
      </c>
      <c r="O86" s="53">
        <f>VLOOKUP(A86,[1]Sheet1!$A$1:$I$297,2,FALSE)</f>
        <v>4</v>
      </c>
    </row>
    <row r="87" spans="1:15" ht="18" x14ac:dyDescent="0.35">
      <c r="A87" s="38" t="s">
        <v>444</v>
      </c>
      <c r="B87" s="39">
        <v>65</v>
      </c>
      <c r="C87" s="40">
        <v>47.5</v>
      </c>
      <c r="D87" s="41">
        <v>16.666666666666668</v>
      </c>
      <c r="E87" s="42">
        <v>58.80508896552459</v>
      </c>
      <c r="F87" s="43">
        <v>26.666666666666668</v>
      </c>
      <c r="G87" s="44">
        <v>1.0160806602136412</v>
      </c>
      <c r="H87" s="44"/>
      <c r="I87" s="44"/>
      <c r="J87" s="44"/>
      <c r="K87" s="44"/>
      <c r="L87" s="44"/>
      <c r="M87" s="44">
        <v>50.942667364115522</v>
      </c>
      <c r="N87" s="50">
        <v>161</v>
      </c>
      <c r="O87" s="53">
        <f>VLOOKUP(A87,[1]Sheet1!$A$1:$I$297,2,FALSE)</f>
        <v>3</v>
      </c>
    </row>
    <row r="88" spans="1:15" ht="18" x14ac:dyDescent="0.35">
      <c r="A88" s="38" t="s">
        <v>320</v>
      </c>
      <c r="B88" s="39">
        <v>0</v>
      </c>
      <c r="C88" s="40">
        <v>63.75</v>
      </c>
      <c r="D88" s="41">
        <v>100</v>
      </c>
      <c r="E88" s="42">
        <v>72.836239728175727</v>
      </c>
      <c r="F88" s="43">
        <v>13.333333333333334</v>
      </c>
      <c r="G88" s="44">
        <v>0.92035842027448089</v>
      </c>
      <c r="H88" s="44"/>
      <c r="I88" s="44"/>
      <c r="J88" s="44"/>
      <c r="K88" s="44"/>
      <c r="L88" s="44"/>
      <c r="M88" s="44">
        <v>50.897511947316211</v>
      </c>
      <c r="N88" s="50">
        <v>162</v>
      </c>
      <c r="O88" s="53">
        <f>VLOOKUP(A88,[1]Sheet1!$A$1:$I$297,2,FALSE)</f>
        <v>4</v>
      </c>
    </row>
    <row r="89" spans="1:15" ht="18" x14ac:dyDescent="0.35">
      <c r="A89" s="38" t="s">
        <v>577</v>
      </c>
      <c r="B89" s="39">
        <v>10</v>
      </c>
      <c r="C89" s="40">
        <v>65</v>
      </c>
      <c r="D89" s="41">
        <v>75</v>
      </c>
      <c r="E89" s="42">
        <v>63.712336401838897</v>
      </c>
      <c r="F89" s="43">
        <v>26.666666666666668</v>
      </c>
      <c r="G89" s="44">
        <v>1.007845475665885</v>
      </c>
      <c r="H89" s="44"/>
      <c r="I89" s="44"/>
      <c r="J89" s="44"/>
      <c r="K89" s="44"/>
      <c r="L89" s="44"/>
      <c r="M89" s="44">
        <v>50.86723361267692</v>
      </c>
      <c r="N89" s="50">
        <v>163</v>
      </c>
      <c r="O89" s="53" t="e">
        <f>VLOOKUP(A89,[1]Sheet1!$A$1:$I$297,2,FALSE)</f>
        <v>#N/A</v>
      </c>
    </row>
    <row r="90" spans="1:15" ht="18" x14ac:dyDescent="0.35">
      <c r="A90" s="38" t="s">
        <v>523</v>
      </c>
      <c r="B90" s="39">
        <v>42.5</v>
      </c>
      <c r="C90" s="40">
        <v>77.5</v>
      </c>
      <c r="D90" s="41">
        <v>50</v>
      </c>
      <c r="E90" s="42">
        <v>42.436174344457058</v>
      </c>
      <c r="F90" s="43">
        <v>26.666666666666668</v>
      </c>
      <c r="G90" s="44">
        <v>1.0861884242329052</v>
      </c>
      <c r="H90" s="44"/>
      <c r="I90" s="44"/>
      <c r="J90" s="44"/>
      <c r="K90" s="44"/>
      <c r="L90" s="44"/>
      <c r="M90" s="44">
        <v>50.836740809317824</v>
      </c>
      <c r="N90" s="50">
        <v>164</v>
      </c>
      <c r="O90" s="53">
        <f>VLOOKUP(A90,[1]Sheet1!$A$1:$I$297,2,FALSE)</f>
        <v>4</v>
      </c>
    </row>
    <row r="91" spans="1:15" ht="18" x14ac:dyDescent="0.35">
      <c r="A91" s="38" t="s">
        <v>526</v>
      </c>
      <c r="B91" s="39">
        <v>20</v>
      </c>
      <c r="C91" s="40">
        <v>53.75</v>
      </c>
      <c r="D91" s="41">
        <v>16.666666666666668</v>
      </c>
      <c r="E91" s="42">
        <v>79.275212462506886</v>
      </c>
      <c r="F91" s="43">
        <v>43.333333333333336</v>
      </c>
      <c r="G91" s="44">
        <v>0.95206965986969316</v>
      </c>
      <c r="H91" s="44"/>
      <c r="I91" s="44"/>
      <c r="J91" s="44"/>
      <c r="K91" s="44"/>
      <c r="L91" s="44"/>
      <c r="M91" s="44">
        <v>50.748488465589411</v>
      </c>
      <c r="N91" s="50">
        <v>165</v>
      </c>
      <c r="O91" s="53">
        <f>VLOOKUP(A91,[1]Sheet1!$A$1:$I$297,2,FALSE)</f>
        <v>4</v>
      </c>
    </row>
    <row r="92" spans="1:15" ht="18" x14ac:dyDescent="0.35">
      <c r="A92" s="38" t="s">
        <v>509</v>
      </c>
      <c r="B92" s="39">
        <v>62.5</v>
      </c>
      <c r="C92" s="40">
        <v>58.75</v>
      </c>
      <c r="D92" s="41">
        <v>33.333333333333336</v>
      </c>
      <c r="E92" s="42">
        <v>54.448837509978446</v>
      </c>
      <c r="F92" s="43">
        <v>26.666666666666668</v>
      </c>
      <c r="G92" s="44">
        <v>0.96163364883324676</v>
      </c>
      <c r="H92" s="44"/>
      <c r="I92" s="44"/>
      <c r="J92" s="44"/>
      <c r="K92" s="44"/>
      <c r="L92" s="44"/>
      <c r="M92" s="44">
        <v>50.714354326195235</v>
      </c>
      <c r="N92" s="50">
        <v>166</v>
      </c>
      <c r="O92" s="53">
        <f>VLOOKUP(A92,[1]Sheet1!$A$1:$I$297,2,FALSE)</f>
        <v>3</v>
      </c>
    </row>
    <row r="93" spans="1:15" ht="18" x14ac:dyDescent="0.35">
      <c r="A93" s="38" t="s">
        <v>370</v>
      </c>
      <c r="B93" s="39">
        <v>0</v>
      </c>
      <c r="C93" s="40">
        <v>65</v>
      </c>
      <c r="D93" s="41">
        <v>66.666666666666671</v>
      </c>
      <c r="E93" s="42">
        <v>65.540370361845902</v>
      </c>
      <c r="F93" s="43">
        <v>60</v>
      </c>
      <c r="G93" s="44">
        <v>0.94494652492619058</v>
      </c>
      <c r="H93" s="44"/>
      <c r="I93" s="44"/>
      <c r="J93" s="44"/>
      <c r="K93" s="44"/>
      <c r="L93" s="44"/>
      <c r="M93" s="44">
        <v>50.439524752987381</v>
      </c>
      <c r="N93" s="50">
        <v>167</v>
      </c>
      <c r="O93" s="53">
        <f>VLOOKUP(A93,[1]Sheet1!$A$1:$I$297,2,FALSE)</f>
        <v>3</v>
      </c>
    </row>
    <row r="94" spans="1:15" ht="18" x14ac:dyDescent="0.35">
      <c r="A94" s="38" t="s">
        <v>519</v>
      </c>
      <c r="B94" s="39">
        <v>10</v>
      </c>
      <c r="C94" s="40">
        <v>60</v>
      </c>
      <c r="D94" s="41">
        <v>75</v>
      </c>
      <c r="E94" s="42">
        <v>52.337639591309539</v>
      </c>
      <c r="F94" s="43">
        <v>60</v>
      </c>
      <c r="G94" s="44">
        <v>1.0861884242329052</v>
      </c>
      <c r="H94" s="44"/>
      <c r="I94" s="44"/>
      <c r="J94" s="44"/>
      <c r="K94" s="44"/>
      <c r="L94" s="44"/>
      <c r="M94" s="44">
        <v>50.411792158767497</v>
      </c>
      <c r="N94" s="50">
        <v>168</v>
      </c>
      <c r="O94" s="53">
        <f>VLOOKUP(A94,[1]Sheet1!$A$1:$I$297,2,FALSE)</f>
        <v>3</v>
      </c>
    </row>
    <row r="95" spans="1:15" ht="18" x14ac:dyDescent="0.35">
      <c r="A95" s="38" t="s">
        <v>575</v>
      </c>
      <c r="B95" s="39">
        <v>42.5</v>
      </c>
      <c r="C95" s="40">
        <v>63.75</v>
      </c>
      <c r="D95" s="41">
        <v>75</v>
      </c>
      <c r="E95" s="42">
        <v>37.902301796272184</v>
      </c>
      <c r="F95" s="43">
        <v>43.333333333333336</v>
      </c>
      <c r="G95" s="44">
        <v>1.0861884242329052</v>
      </c>
      <c r="H95" s="44"/>
      <c r="I95" s="44"/>
      <c r="J95" s="44"/>
      <c r="K95" s="44"/>
      <c r="L95" s="44"/>
      <c r="M95" s="44">
        <v>50.283551524470191</v>
      </c>
      <c r="N95" s="50">
        <v>169</v>
      </c>
      <c r="O95" s="53" t="e">
        <f>VLOOKUP(A95,[1]Sheet1!$A$1:$I$297,2,FALSE)</f>
        <v>#N/A</v>
      </c>
    </row>
    <row r="96" spans="1:15" ht="18" x14ac:dyDescent="0.35">
      <c r="A96" s="38" t="s">
        <v>443</v>
      </c>
      <c r="B96" s="39">
        <v>32.5</v>
      </c>
      <c r="C96" s="40">
        <v>65</v>
      </c>
      <c r="D96" s="41">
        <v>75</v>
      </c>
      <c r="E96" s="42">
        <v>42.783952980638645</v>
      </c>
      <c r="F96" s="43">
        <v>50</v>
      </c>
      <c r="G96" s="44">
        <v>1.0455476497231624</v>
      </c>
      <c r="H96" s="44"/>
      <c r="I96" s="44"/>
      <c r="J96" s="44"/>
      <c r="K96" s="44"/>
      <c r="L96" s="44"/>
      <c r="M96" s="44">
        <v>50.189124317109773</v>
      </c>
      <c r="N96" s="50">
        <v>170</v>
      </c>
      <c r="O96" s="53">
        <f>VLOOKUP(A96,[1]Sheet1!$A$1:$I$297,2,FALSE)</f>
        <v>2</v>
      </c>
    </row>
    <row r="97" spans="1:15" ht="18" x14ac:dyDescent="0.35">
      <c r="A97" s="38" t="s">
        <v>390</v>
      </c>
      <c r="B97" s="39">
        <v>10</v>
      </c>
      <c r="C97" s="40">
        <v>53.75</v>
      </c>
      <c r="D97" s="41">
        <v>41.666666666666664</v>
      </c>
      <c r="E97" s="42">
        <v>66.132994923006819</v>
      </c>
      <c r="F97" s="43">
        <v>43.333333333333336</v>
      </c>
      <c r="G97" s="44">
        <v>1.0861884242329052</v>
      </c>
      <c r="H97" s="44"/>
      <c r="I97" s="44"/>
      <c r="J97" s="44"/>
      <c r="K97" s="44"/>
      <c r="L97" s="44"/>
      <c r="M97" s="44">
        <v>50.155534266555215</v>
      </c>
      <c r="N97" s="50">
        <v>171</v>
      </c>
      <c r="O97" s="53">
        <f>VLOOKUP(A97,[1]Sheet1!$A$1:$I$297,2,FALSE)</f>
        <v>3</v>
      </c>
    </row>
    <row r="98" spans="1:15" ht="18" x14ac:dyDescent="0.35">
      <c r="A98" s="38" t="s">
        <v>328</v>
      </c>
      <c r="B98" s="39">
        <v>30</v>
      </c>
      <c r="C98" s="40">
        <v>45</v>
      </c>
      <c r="D98" s="41">
        <v>75</v>
      </c>
      <c r="E98" s="42">
        <v>67.652704384966114</v>
      </c>
      <c r="F98" s="43">
        <v>26.666666666666668</v>
      </c>
      <c r="G98" s="44">
        <v>0.93586538895320825</v>
      </c>
      <c r="H98" s="44"/>
      <c r="I98" s="44"/>
      <c r="J98" s="44"/>
      <c r="K98" s="44"/>
      <c r="L98" s="44"/>
      <c r="M98" s="44">
        <v>50.107388801575006</v>
      </c>
      <c r="N98" s="50">
        <v>172</v>
      </c>
      <c r="O98" s="53">
        <f>VLOOKUP(A98,[1]Sheet1!$A$1:$I$297,2,FALSE)</f>
        <v>4</v>
      </c>
    </row>
    <row r="99" spans="1:15" ht="18" x14ac:dyDescent="0.35">
      <c r="A99" s="38" t="s">
        <v>460</v>
      </c>
      <c r="B99" s="39">
        <v>57.5</v>
      </c>
      <c r="C99" s="40">
        <v>60</v>
      </c>
      <c r="D99" s="41">
        <v>58.333333333333336</v>
      </c>
      <c r="E99" s="42">
        <v>45.106290581936676</v>
      </c>
      <c r="F99" s="43">
        <v>13.333333333333334</v>
      </c>
      <c r="G99" s="44">
        <v>1.0465712588631939</v>
      </c>
      <c r="H99" s="44"/>
      <c r="I99" s="44"/>
      <c r="J99" s="44"/>
      <c r="K99" s="44"/>
      <c r="L99" s="44"/>
      <c r="M99" s="44">
        <v>50.085015070388003</v>
      </c>
      <c r="N99" s="50">
        <v>173</v>
      </c>
      <c r="O99" s="53">
        <f>VLOOKUP(A99,[1]Sheet1!$A$1:$I$297,2,FALSE)</f>
        <v>3</v>
      </c>
    </row>
    <row r="100" spans="1:15" ht="18" x14ac:dyDescent="0.35">
      <c r="A100" s="38" t="s">
        <v>386</v>
      </c>
      <c r="B100" s="39">
        <v>0</v>
      </c>
      <c r="C100" s="40">
        <v>58.75</v>
      </c>
      <c r="D100" s="41">
        <v>83.333333333333329</v>
      </c>
      <c r="E100" s="42">
        <v>58.909223762565965</v>
      </c>
      <c r="F100" s="43">
        <v>43.333333333333336</v>
      </c>
      <c r="G100" s="44">
        <v>1.0855435235695083</v>
      </c>
      <c r="H100" s="44"/>
      <c r="I100" s="44"/>
      <c r="J100" s="44"/>
      <c r="K100" s="44"/>
      <c r="L100" s="44"/>
      <c r="M100" s="44">
        <v>49.996077200250859</v>
      </c>
      <c r="N100" s="50">
        <v>174</v>
      </c>
      <c r="O100" s="53">
        <f>VLOOKUP(A100,[1]Sheet1!$A$1:$I$297,2,FALSE)</f>
        <v>3</v>
      </c>
    </row>
    <row r="101" spans="1:15" ht="18" x14ac:dyDescent="0.35">
      <c r="A101" s="38" t="s">
        <v>408</v>
      </c>
      <c r="B101" s="39">
        <v>20</v>
      </c>
      <c r="C101" s="40">
        <v>66.25</v>
      </c>
      <c r="D101" s="41">
        <v>50</v>
      </c>
      <c r="E101" s="42">
        <v>49.072825787450185</v>
      </c>
      <c r="F101" s="43">
        <v>60</v>
      </c>
      <c r="G101" s="44">
        <v>1.0861884242329052</v>
      </c>
      <c r="H101" s="44"/>
      <c r="I101" s="44"/>
      <c r="J101" s="44"/>
      <c r="K101" s="44"/>
      <c r="L101" s="44"/>
      <c r="M101" s="44">
        <v>49.915687822822179</v>
      </c>
      <c r="N101" s="50">
        <v>175</v>
      </c>
      <c r="O101" s="53">
        <f>VLOOKUP(A101,[1]Sheet1!$A$1:$I$297,2,FALSE)</f>
        <v>2</v>
      </c>
    </row>
    <row r="102" spans="1:15" ht="18" x14ac:dyDescent="0.35">
      <c r="A102" s="38" t="s">
        <v>513</v>
      </c>
      <c r="B102" s="39">
        <v>12.5</v>
      </c>
      <c r="C102" s="40">
        <v>76.25</v>
      </c>
      <c r="D102" s="41">
        <v>83.333333333333329</v>
      </c>
      <c r="E102" s="42">
        <v>42.353931503159259</v>
      </c>
      <c r="F102" s="43">
        <v>66.666666666666671</v>
      </c>
      <c r="G102" s="44">
        <v>1.0088717190225456</v>
      </c>
      <c r="H102" s="44"/>
      <c r="I102" s="44"/>
      <c r="J102" s="44"/>
      <c r="K102" s="44"/>
      <c r="L102" s="44"/>
      <c r="M102" s="44">
        <v>49.864052770738539</v>
      </c>
      <c r="N102" s="50">
        <v>176</v>
      </c>
      <c r="O102" s="53">
        <f>VLOOKUP(A102,[1]Sheet1!$A$1:$I$297,2,FALSE)</f>
        <v>3</v>
      </c>
    </row>
    <row r="103" spans="1:15" ht="18" x14ac:dyDescent="0.35">
      <c r="A103" s="38" t="s">
        <v>521</v>
      </c>
      <c r="B103" s="39">
        <v>55</v>
      </c>
      <c r="C103" s="40">
        <v>66.25</v>
      </c>
      <c r="D103" s="41">
        <v>50</v>
      </c>
      <c r="E103" s="42">
        <v>37.475205678858686</v>
      </c>
      <c r="F103" s="43">
        <v>33.333333333333336</v>
      </c>
      <c r="G103" s="44">
        <v>1.0861884242329052</v>
      </c>
      <c r="H103" s="44"/>
      <c r="I103" s="44"/>
      <c r="J103" s="44"/>
      <c r="K103" s="44"/>
      <c r="L103" s="44"/>
      <c r="M103" s="44">
        <v>49.813459841544706</v>
      </c>
      <c r="N103" s="50">
        <v>177</v>
      </c>
      <c r="O103" s="53">
        <f>VLOOKUP(A103,[1]Sheet1!$A$1:$I$297,2,FALSE)</f>
        <v>4</v>
      </c>
    </row>
    <row r="104" spans="1:15" ht="18" x14ac:dyDescent="0.35">
      <c r="A104" s="38" t="s">
        <v>487</v>
      </c>
      <c r="B104" s="39">
        <v>10</v>
      </c>
      <c r="C104" s="40">
        <v>65</v>
      </c>
      <c r="D104" s="41">
        <v>83.333333333333329</v>
      </c>
      <c r="E104" s="42">
        <v>51.929696758020924</v>
      </c>
      <c r="F104" s="43">
        <v>66.666666666666671</v>
      </c>
      <c r="G104" s="44">
        <v>0.9578165785423407</v>
      </c>
      <c r="H104" s="44"/>
      <c r="I104" s="44"/>
      <c r="J104" s="44"/>
      <c r="K104" s="44"/>
      <c r="L104" s="44"/>
      <c r="M104" s="44">
        <v>49.811282946488234</v>
      </c>
      <c r="N104" s="50">
        <v>178</v>
      </c>
      <c r="O104" s="53">
        <f>VLOOKUP(A104,[1]Sheet1!$A$1:$I$297,2,FALSE)</f>
        <v>3</v>
      </c>
    </row>
    <row r="105" spans="1:15" ht="18" x14ac:dyDescent="0.35">
      <c r="A105" s="38" t="s">
        <v>711</v>
      </c>
      <c r="B105" s="39">
        <v>42.5</v>
      </c>
      <c r="C105" s="40">
        <v>65</v>
      </c>
      <c r="D105" s="41">
        <v>41.666666666666664</v>
      </c>
      <c r="E105" s="42">
        <v>59.676089958147045</v>
      </c>
      <c r="F105" s="43">
        <v>26.666666666666668</v>
      </c>
      <c r="G105" s="44">
        <v>0.92489005356049747</v>
      </c>
      <c r="H105" s="44"/>
      <c r="I105" s="44"/>
      <c r="J105" s="44"/>
      <c r="K105" s="44"/>
      <c r="L105" s="44"/>
      <c r="M105" s="44">
        <v>49.772427603666237</v>
      </c>
      <c r="N105" s="50">
        <v>179</v>
      </c>
      <c r="O105" s="53" t="e">
        <f>VLOOKUP(A105,[1]Sheet1!$A$1:$I$297,2,FALSE)</f>
        <v>#N/A</v>
      </c>
    </row>
    <row r="106" spans="1:15" ht="18" x14ac:dyDescent="0.35">
      <c r="A106" s="38" t="s">
        <v>407</v>
      </c>
      <c r="B106" s="39">
        <v>10</v>
      </c>
      <c r="C106" s="40">
        <v>78.75</v>
      </c>
      <c r="D106" s="41">
        <v>75</v>
      </c>
      <c r="E106" s="42">
        <v>53.950308550319484</v>
      </c>
      <c r="F106" s="43">
        <v>43.333333333333336</v>
      </c>
      <c r="G106" s="44">
        <v>0.93334626397882836</v>
      </c>
      <c r="H106" s="44"/>
      <c r="I106" s="44"/>
      <c r="J106" s="44"/>
      <c r="K106" s="44"/>
      <c r="L106" s="44"/>
      <c r="M106" s="44">
        <v>49.591753431669282</v>
      </c>
      <c r="N106" s="50">
        <v>180</v>
      </c>
      <c r="O106" s="53">
        <f>VLOOKUP(A106,[1]Sheet1!$A$1:$I$297,2,FALSE)</f>
        <v>3</v>
      </c>
    </row>
    <row r="107" spans="1:15" ht="18" x14ac:dyDescent="0.35">
      <c r="A107" s="38" t="s">
        <v>416</v>
      </c>
      <c r="B107" s="39">
        <v>62.5</v>
      </c>
      <c r="C107" s="40">
        <v>27.5</v>
      </c>
      <c r="D107" s="41">
        <v>16.666666666666668</v>
      </c>
      <c r="E107" s="42">
        <v>71.922861406301635</v>
      </c>
      <c r="F107" s="43">
        <v>43.333333333333336</v>
      </c>
      <c r="G107" s="44">
        <v>0.92035842027448089</v>
      </c>
      <c r="H107" s="44"/>
      <c r="I107" s="44"/>
      <c r="J107" s="44"/>
      <c r="K107" s="44"/>
      <c r="L107" s="44"/>
      <c r="M107" s="44">
        <v>49.482404695640696</v>
      </c>
      <c r="N107" s="50">
        <v>181</v>
      </c>
      <c r="O107" s="53">
        <f>VLOOKUP(A107,[1]Sheet1!$A$1:$I$297,2,FALSE)</f>
        <v>3</v>
      </c>
    </row>
    <row r="108" spans="1:15" ht="18" x14ac:dyDescent="0.35">
      <c r="A108" s="38" t="s">
        <v>372</v>
      </c>
      <c r="B108" s="39">
        <v>87.5</v>
      </c>
      <c r="C108" s="40">
        <v>58.75</v>
      </c>
      <c r="D108" s="41">
        <v>16.666666666666668</v>
      </c>
      <c r="E108" s="42">
        <v>41.173361344209056</v>
      </c>
      <c r="F108" s="43">
        <v>26.666666666666668</v>
      </c>
      <c r="G108" s="44">
        <v>0.98275582291873964</v>
      </c>
      <c r="H108" s="44"/>
      <c r="I108" s="44"/>
      <c r="J108" s="44"/>
      <c r="K108" s="44"/>
      <c r="L108" s="44"/>
      <c r="M108" s="44">
        <v>49.466904478474795</v>
      </c>
      <c r="N108" s="50">
        <v>182</v>
      </c>
      <c r="O108" s="53">
        <f>VLOOKUP(A108,[1]Sheet1!$A$1:$I$297,2,FALSE)</f>
        <v>2</v>
      </c>
    </row>
    <row r="109" spans="1:15" ht="18" x14ac:dyDescent="0.35">
      <c r="A109" s="38" t="s">
        <v>311</v>
      </c>
      <c r="B109" s="39">
        <v>0</v>
      </c>
      <c r="C109" s="40">
        <v>71.25</v>
      </c>
      <c r="D109" s="41">
        <v>75</v>
      </c>
      <c r="E109" s="42">
        <v>52.632331725098069</v>
      </c>
      <c r="F109" s="43">
        <v>60</v>
      </c>
      <c r="G109" s="44">
        <v>1.0237959617839771</v>
      </c>
      <c r="H109" s="44"/>
      <c r="I109" s="44"/>
      <c r="J109" s="44"/>
      <c r="K109" s="44"/>
      <c r="L109" s="44"/>
      <c r="M109" s="44">
        <v>49.30390747177205</v>
      </c>
      <c r="N109" s="50">
        <v>183</v>
      </c>
      <c r="O109" s="53">
        <f>VLOOKUP(A109,[1]Sheet1!$A$1:$I$297,2,FALSE)</f>
        <v>2</v>
      </c>
    </row>
    <row r="110" spans="1:15" ht="18" x14ac:dyDescent="0.35">
      <c r="A110" s="38" t="s">
        <v>363</v>
      </c>
      <c r="B110" s="39">
        <v>65</v>
      </c>
      <c r="C110" s="40">
        <v>27.5</v>
      </c>
      <c r="D110" s="41">
        <v>41.666666666666664</v>
      </c>
      <c r="E110" s="42">
        <v>70.04722544079884</v>
      </c>
      <c r="F110" s="43">
        <v>13.333333333333334</v>
      </c>
      <c r="G110" s="44">
        <v>0.93330326212484827</v>
      </c>
      <c r="H110" s="44"/>
      <c r="I110" s="44"/>
      <c r="J110" s="44"/>
      <c r="K110" s="44"/>
      <c r="L110" s="44"/>
      <c r="M110" s="44">
        <v>49.283064010299917</v>
      </c>
      <c r="N110" s="50">
        <v>184</v>
      </c>
      <c r="O110" s="53">
        <f>VLOOKUP(A110,[1]Sheet1!$A$1:$I$297,2,FALSE)</f>
        <v>3</v>
      </c>
    </row>
    <row r="111" spans="1:15" ht="18" x14ac:dyDescent="0.35">
      <c r="A111" s="38" t="s">
        <v>467</v>
      </c>
      <c r="B111" s="39">
        <v>20</v>
      </c>
      <c r="C111" s="40">
        <v>48.75</v>
      </c>
      <c r="D111" s="41">
        <v>58.333333333333336</v>
      </c>
      <c r="E111" s="42">
        <v>53.55111915984741</v>
      </c>
      <c r="F111" s="43">
        <v>60</v>
      </c>
      <c r="G111" s="44">
        <v>1.0861884242329052</v>
      </c>
      <c r="H111" s="44"/>
      <c r="I111" s="44"/>
      <c r="J111" s="44"/>
      <c r="K111" s="44"/>
      <c r="L111" s="44"/>
      <c r="M111" s="44">
        <v>49.194729324722232</v>
      </c>
      <c r="N111" s="50">
        <v>185</v>
      </c>
      <c r="O111" s="53">
        <f>VLOOKUP(A111,[1]Sheet1!$A$1:$I$297,2,FALSE)</f>
        <v>3</v>
      </c>
    </row>
    <row r="112" spans="1:15" ht="18" x14ac:dyDescent="0.35">
      <c r="A112" s="38" t="s">
        <v>392</v>
      </c>
      <c r="B112" s="39">
        <v>10</v>
      </c>
      <c r="C112" s="40">
        <v>47.5</v>
      </c>
      <c r="D112" s="41">
        <v>91.666666666666671</v>
      </c>
      <c r="E112" s="42">
        <v>53.75450464972203</v>
      </c>
      <c r="F112" s="43">
        <v>50</v>
      </c>
      <c r="G112" s="44">
        <v>1.0861884242329052</v>
      </c>
      <c r="H112" s="44"/>
      <c r="I112" s="44"/>
      <c r="J112" s="44"/>
      <c r="K112" s="44"/>
      <c r="L112" s="44"/>
      <c r="M112" s="44">
        <v>49.194051795493252</v>
      </c>
      <c r="N112" s="50">
        <v>186</v>
      </c>
      <c r="O112" s="53">
        <f>VLOOKUP(A112,[1]Sheet1!$A$1:$I$297,2,FALSE)</f>
        <v>2</v>
      </c>
    </row>
    <row r="113" spans="1:15" ht="18" x14ac:dyDescent="0.35">
      <c r="A113" s="38" t="s">
        <v>508</v>
      </c>
      <c r="B113" s="39">
        <v>20</v>
      </c>
      <c r="C113" s="40">
        <v>50</v>
      </c>
      <c r="D113" s="41">
        <v>75</v>
      </c>
      <c r="E113" s="42">
        <v>58.332428287139109</v>
      </c>
      <c r="F113" s="43">
        <v>43.333333333333336</v>
      </c>
      <c r="G113" s="44">
        <v>0.99961427481268783</v>
      </c>
      <c r="H113" s="44"/>
      <c r="I113" s="44"/>
      <c r="J113" s="44"/>
      <c r="K113" s="44"/>
      <c r="L113" s="44"/>
      <c r="M113" s="44">
        <v>49.15576163270876</v>
      </c>
      <c r="N113" s="50">
        <v>187</v>
      </c>
      <c r="O113" s="53">
        <f>VLOOKUP(A113,[1]Sheet1!$A$1:$I$297,2,FALSE)</f>
        <v>3</v>
      </c>
    </row>
    <row r="114" spans="1:15" ht="18" x14ac:dyDescent="0.35">
      <c r="A114" s="38" t="s">
        <v>534</v>
      </c>
      <c r="B114" s="39">
        <v>10</v>
      </c>
      <c r="C114" s="40">
        <v>71.25</v>
      </c>
      <c r="D114" s="41">
        <v>66.666666666666671</v>
      </c>
      <c r="E114" s="42">
        <v>53.578513401466033</v>
      </c>
      <c r="F114" s="43">
        <v>66.666666666666671</v>
      </c>
      <c r="G114" s="44">
        <v>0.92035842027448089</v>
      </c>
      <c r="H114" s="44"/>
      <c r="I114" s="44"/>
      <c r="J114" s="44"/>
      <c r="K114" s="44"/>
      <c r="L114" s="44"/>
      <c r="M114" s="44">
        <v>49.148624555813655</v>
      </c>
      <c r="N114" s="50">
        <v>188</v>
      </c>
      <c r="O114" s="53">
        <f>VLOOKUP(A114,[1]Sheet1!$A$1:$I$297,2,FALSE)</f>
        <v>4</v>
      </c>
    </row>
    <row r="115" spans="1:15" ht="18" x14ac:dyDescent="0.35">
      <c r="A115" s="38" t="s">
        <v>369</v>
      </c>
      <c r="B115" s="39">
        <v>20</v>
      </c>
      <c r="C115" s="40">
        <v>55</v>
      </c>
      <c r="D115" s="41">
        <v>83.333333333333329</v>
      </c>
      <c r="E115" s="42">
        <v>48.645824509326701</v>
      </c>
      <c r="F115" s="43">
        <v>43.333333333333336</v>
      </c>
      <c r="G115" s="44">
        <v>1.0861884242329052</v>
      </c>
      <c r="H115" s="44"/>
      <c r="I115" s="44"/>
      <c r="J115" s="44"/>
      <c r="K115" s="44"/>
      <c r="L115" s="44"/>
      <c r="M115" s="44">
        <v>49.146832951316689</v>
      </c>
      <c r="N115" s="50">
        <v>189</v>
      </c>
      <c r="O115" s="53">
        <f>VLOOKUP(A115,[1]Sheet1!$A$1:$I$297,2,FALSE)</f>
        <v>3</v>
      </c>
    </row>
    <row r="116" spans="1:15" ht="18" x14ac:dyDescent="0.35">
      <c r="A116" s="38" t="s">
        <v>456</v>
      </c>
      <c r="B116" s="39">
        <v>20</v>
      </c>
      <c r="C116" s="40">
        <v>56.25</v>
      </c>
      <c r="D116" s="41">
        <v>75</v>
      </c>
      <c r="E116" s="42">
        <v>52.993347344037389</v>
      </c>
      <c r="F116" s="43">
        <v>60</v>
      </c>
      <c r="G116" s="44">
        <v>0.9674647154692283</v>
      </c>
      <c r="H116" s="44"/>
      <c r="I116" s="44"/>
      <c r="J116" s="44"/>
      <c r="K116" s="44"/>
      <c r="L116" s="44"/>
      <c r="M116" s="44">
        <v>49.127536345861358</v>
      </c>
      <c r="N116" s="50">
        <v>190</v>
      </c>
      <c r="O116" s="53">
        <f>VLOOKUP(A116,[1]Sheet1!$A$1:$I$297,2,FALSE)</f>
        <v>3</v>
      </c>
    </row>
    <row r="117" spans="1:15" ht="18" x14ac:dyDescent="0.35">
      <c r="A117" s="38" t="s">
        <v>437</v>
      </c>
      <c r="B117" s="39">
        <v>0</v>
      </c>
      <c r="C117" s="40">
        <v>65</v>
      </c>
      <c r="D117" s="41">
        <v>66.666666666666671</v>
      </c>
      <c r="E117" s="42">
        <v>72.555982922729143</v>
      </c>
      <c r="F117" s="43">
        <v>26.666666666666668</v>
      </c>
      <c r="G117" s="44">
        <v>0.92035842027448089</v>
      </c>
      <c r="H117" s="44"/>
      <c r="I117" s="44"/>
      <c r="J117" s="44"/>
      <c r="K117" s="44"/>
      <c r="L117" s="44"/>
      <c r="M117" s="44">
        <v>49.044337263023415</v>
      </c>
      <c r="N117" s="50">
        <v>191</v>
      </c>
      <c r="O117" s="53">
        <f>VLOOKUP(A117,[1]Sheet1!$A$1:$I$297,2,FALSE)</f>
        <v>2</v>
      </c>
    </row>
    <row r="118" spans="1:15" ht="18" x14ac:dyDescent="0.35">
      <c r="A118" s="38" t="s">
        <v>418</v>
      </c>
      <c r="B118" s="39">
        <v>45</v>
      </c>
      <c r="C118" s="40">
        <v>33.75</v>
      </c>
      <c r="D118" s="41">
        <v>41.666666666666664</v>
      </c>
      <c r="E118" s="42">
        <v>57.60237970318731</v>
      </c>
      <c r="F118" s="43">
        <v>43.333333333333336</v>
      </c>
      <c r="G118" s="44">
        <v>1.0537959410922184</v>
      </c>
      <c r="H118" s="44"/>
      <c r="I118" s="44"/>
      <c r="J118" s="44"/>
      <c r="K118" s="44"/>
      <c r="L118" s="44"/>
      <c r="M118" s="44">
        <v>49.014625041218601</v>
      </c>
      <c r="N118" s="50">
        <v>192</v>
      </c>
      <c r="O118" s="53">
        <f>VLOOKUP(A118,[1]Sheet1!$A$1:$I$297,2,FALSE)</f>
        <v>4</v>
      </c>
    </row>
    <row r="119" spans="1:15" ht="18" x14ac:dyDescent="0.35">
      <c r="A119" s="38" t="s">
        <v>525</v>
      </c>
      <c r="B119" s="39">
        <v>10</v>
      </c>
      <c r="C119" s="40">
        <v>55</v>
      </c>
      <c r="D119" s="41">
        <v>75</v>
      </c>
      <c r="E119" s="42">
        <v>55.136738483495094</v>
      </c>
      <c r="F119" s="43">
        <v>66.666666666666671</v>
      </c>
      <c r="G119" s="44">
        <v>0.98750151777076434</v>
      </c>
      <c r="H119" s="44"/>
      <c r="I119" s="44"/>
      <c r="J119" s="44"/>
      <c r="K119" s="44"/>
      <c r="L119" s="44"/>
      <c r="M119" s="44">
        <v>48.920714877160648</v>
      </c>
      <c r="N119" s="50">
        <v>193</v>
      </c>
      <c r="O119" s="53">
        <f>VLOOKUP(A119,[1]Sheet1!$A$1:$I$297,2,FALSE)</f>
        <v>4</v>
      </c>
    </row>
    <row r="120" spans="1:15" ht="18" x14ac:dyDescent="0.35">
      <c r="A120" s="38" t="s">
        <v>601</v>
      </c>
      <c r="B120" s="39">
        <v>10</v>
      </c>
      <c r="C120" s="40">
        <v>72.5</v>
      </c>
      <c r="D120" s="41">
        <v>75</v>
      </c>
      <c r="E120" s="42">
        <v>42.959256028168838</v>
      </c>
      <c r="F120" s="43">
        <v>60</v>
      </c>
      <c r="G120" s="44">
        <v>1.0861884242329052</v>
      </c>
      <c r="H120" s="44"/>
      <c r="I120" s="44"/>
      <c r="J120" s="44"/>
      <c r="K120" s="44"/>
      <c r="L120" s="44"/>
      <c r="M120" s="44">
        <v>48.837115493047662</v>
      </c>
      <c r="N120" s="50">
        <v>194</v>
      </c>
      <c r="O120" s="53" t="e">
        <f>VLOOKUP(A120,[1]Sheet1!$A$1:$I$297,2,FALSE)</f>
        <v>#N/A</v>
      </c>
    </row>
    <row r="121" spans="1:15" ht="18" x14ac:dyDescent="0.35">
      <c r="A121" s="38" t="s">
        <v>503</v>
      </c>
      <c r="B121" s="39">
        <v>0</v>
      </c>
      <c r="C121" s="40">
        <v>70</v>
      </c>
      <c r="D121" s="41">
        <v>83.333333333333329</v>
      </c>
      <c r="E121" s="42">
        <v>53.859746559879916</v>
      </c>
      <c r="F121" s="43">
        <v>66.666666666666671</v>
      </c>
      <c r="G121" s="44">
        <v>0.92035842027448089</v>
      </c>
      <c r="H121" s="44"/>
      <c r="I121" s="44"/>
      <c r="J121" s="44"/>
      <c r="K121" s="44"/>
      <c r="L121" s="44"/>
      <c r="M121" s="44">
        <v>48.828108504094004</v>
      </c>
      <c r="N121" s="50">
        <v>195</v>
      </c>
      <c r="O121" s="53">
        <f>VLOOKUP(A121,[1]Sheet1!$A$1:$I$297,2,FALSE)</f>
        <v>3</v>
      </c>
    </row>
    <row r="122" spans="1:15" ht="18" x14ac:dyDescent="0.35">
      <c r="A122" s="38" t="s">
        <v>564</v>
      </c>
      <c r="B122" s="39">
        <v>75</v>
      </c>
      <c r="C122" s="40">
        <v>42.5</v>
      </c>
      <c r="D122" s="41">
        <v>58.333333333333336</v>
      </c>
      <c r="E122" s="42">
        <v>48.900736543919422</v>
      </c>
      <c r="F122" s="43">
        <v>26.666666666666668</v>
      </c>
      <c r="G122" s="44">
        <v>0.92078883541035106</v>
      </c>
      <c r="H122" s="44"/>
      <c r="I122" s="44"/>
      <c r="J122" s="44"/>
      <c r="K122" s="44"/>
      <c r="L122" s="44"/>
      <c r="M122" s="44">
        <v>48.822733432348848</v>
      </c>
      <c r="N122" s="50">
        <v>196</v>
      </c>
      <c r="O122" s="53">
        <f>VLOOKUP(A122,[1]Sheet1!$A$1:$I$297,2,FALSE)</f>
        <v>3</v>
      </c>
    </row>
    <row r="123" spans="1:15" ht="18" x14ac:dyDescent="0.35">
      <c r="A123" s="38" t="s">
        <v>325</v>
      </c>
      <c r="B123" s="39">
        <v>10</v>
      </c>
      <c r="C123" s="40">
        <v>53.75</v>
      </c>
      <c r="D123" s="41">
        <v>41.666666666666664</v>
      </c>
      <c r="E123" s="42">
        <v>68.173292580267486</v>
      </c>
      <c r="F123" s="43">
        <v>26.666666666666668</v>
      </c>
      <c r="G123" s="44">
        <v>1.0661896421840105</v>
      </c>
      <c r="H123" s="44"/>
      <c r="I123" s="44"/>
      <c r="J123" s="44"/>
      <c r="K123" s="44"/>
      <c r="L123" s="44"/>
      <c r="M123" s="44">
        <v>48.789975986765853</v>
      </c>
      <c r="N123" s="50">
        <v>197</v>
      </c>
      <c r="O123" s="53">
        <f>VLOOKUP(A123,[1]Sheet1!$A$1:$I$297,2,FALSE)</f>
        <v>2</v>
      </c>
    </row>
    <row r="124" spans="1:15" ht="18" x14ac:dyDescent="0.35">
      <c r="A124" s="38" t="s">
        <v>478</v>
      </c>
      <c r="B124" s="39">
        <v>0</v>
      </c>
      <c r="C124" s="40">
        <v>76.25</v>
      </c>
      <c r="D124" s="41">
        <v>91.666666666666671</v>
      </c>
      <c r="E124" s="42">
        <v>43.101228247770983</v>
      </c>
      <c r="F124" s="43">
        <v>66.666666666666671</v>
      </c>
      <c r="G124" s="44">
        <v>1.0266156366690784</v>
      </c>
      <c r="H124" s="44"/>
      <c r="I124" s="44"/>
      <c r="J124" s="44"/>
      <c r="K124" s="44"/>
      <c r="L124" s="44"/>
      <c r="M124" s="44">
        <v>48.782691284855204</v>
      </c>
      <c r="N124" s="50">
        <v>198</v>
      </c>
      <c r="O124" s="53">
        <f>VLOOKUP(A124,[1]Sheet1!$A$1:$I$297,2,FALSE)</f>
        <v>3</v>
      </c>
    </row>
    <row r="125" spans="1:15" ht="18" x14ac:dyDescent="0.35">
      <c r="A125" s="38" t="s">
        <v>385</v>
      </c>
      <c r="B125" s="39">
        <v>0</v>
      </c>
      <c r="C125" s="40">
        <v>65</v>
      </c>
      <c r="D125" s="41">
        <v>75</v>
      </c>
      <c r="E125" s="42">
        <v>55.870889310074816</v>
      </c>
      <c r="F125" s="43">
        <v>43.333333333333336</v>
      </c>
      <c r="G125" s="44">
        <v>1.0698726630612674</v>
      </c>
      <c r="H125" s="44"/>
      <c r="I125" s="44"/>
      <c r="J125" s="44"/>
      <c r="K125" s="44"/>
      <c r="L125" s="44"/>
      <c r="M125" s="44">
        <v>48.743228186841755</v>
      </c>
      <c r="N125" s="50">
        <v>199</v>
      </c>
      <c r="O125" s="53">
        <f>VLOOKUP(A125,[1]Sheet1!$A$1:$I$297,2,FALSE)</f>
        <v>4</v>
      </c>
    </row>
    <row r="126" spans="1:15" ht="18" x14ac:dyDescent="0.35">
      <c r="A126" s="38" t="s">
        <v>361</v>
      </c>
      <c r="B126" s="39">
        <v>10</v>
      </c>
      <c r="C126" s="40">
        <v>66.25</v>
      </c>
      <c r="D126" s="41">
        <v>50</v>
      </c>
      <c r="E126" s="42">
        <v>62.163982346664739</v>
      </c>
      <c r="F126" s="43">
        <v>26.666666666666668</v>
      </c>
      <c r="G126" s="44">
        <v>1.0305384057745832</v>
      </c>
      <c r="H126" s="44"/>
      <c r="I126" s="44"/>
      <c r="J126" s="44"/>
      <c r="K126" s="44"/>
      <c r="L126" s="44"/>
      <c r="M126" s="44">
        <v>48.602691983868318</v>
      </c>
      <c r="N126" s="50">
        <v>200</v>
      </c>
      <c r="O126" s="53">
        <f>VLOOKUP(A126,[1]Sheet1!$A$1:$I$297,2,FALSE)</f>
        <v>3</v>
      </c>
    </row>
    <row r="127" spans="1:15" ht="18" x14ac:dyDescent="0.35">
      <c r="A127" s="38" t="s">
        <v>530</v>
      </c>
      <c r="B127" s="39">
        <v>0</v>
      </c>
      <c r="C127" s="40">
        <v>71.25</v>
      </c>
      <c r="D127" s="41">
        <v>75</v>
      </c>
      <c r="E127" s="42">
        <v>58.608649831105296</v>
      </c>
      <c r="F127" s="43">
        <v>26.666666666666668</v>
      </c>
      <c r="G127" s="44">
        <v>1.0166896167724373</v>
      </c>
      <c r="H127" s="44"/>
      <c r="I127" s="44"/>
      <c r="J127" s="44"/>
      <c r="K127" s="44"/>
      <c r="L127" s="44"/>
      <c r="M127" s="44">
        <v>48.251388961201236</v>
      </c>
      <c r="N127" s="50">
        <v>201</v>
      </c>
      <c r="O127" s="53">
        <f>VLOOKUP(A127,[1]Sheet1!$A$1:$I$297,2,FALSE)</f>
        <v>3</v>
      </c>
    </row>
    <row r="128" spans="1:15" ht="18" x14ac:dyDescent="0.35">
      <c r="A128" s="38" t="s">
        <v>574</v>
      </c>
      <c r="B128" s="39">
        <v>10</v>
      </c>
      <c r="C128" s="40">
        <v>71.25</v>
      </c>
      <c r="D128" s="41">
        <v>91.666666666666671</v>
      </c>
      <c r="E128" s="42">
        <v>37.794197349582952</v>
      </c>
      <c r="F128" s="43">
        <v>60</v>
      </c>
      <c r="G128" s="44">
        <v>1.0861884242329052</v>
      </c>
      <c r="H128" s="44"/>
      <c r="I128" s="44"/>
      <c r="J128" s="44"/>
      <c r="K128" s="44"/>
      <c r="L128" s="44"/>
      <c r="M128" s="44">
        <v>48.009691380848857</v>
      </c>
      <c r="N128" s="50">
        <v>202</v>
      </c>
      <c r="O128" s="53" t="e">
        <f>VLOOKUP(A128,[1]Sheet1!$A$1:$I$297,2,FALSE)</f>
        <v>#N/A</v>
      </c>
    </row>
    <row r="129" spans="1:15" ht="18" x14ac:dyDescent="0.35">
      <c r="A129" s="38" t="s">
        <v>341</v>
      </c>
      <c r="B129" s="39">
        <v>0</v>
      </c>
      <c r="C129" s="40">
        <v>77.5</v>
      </c>
      <c r="D129" s="41">
        <v>83.333333333333329</v>
      </c>
      <c r="E129" s="42">
        <v>53.603823110165173</v>
      </c>
      <c r="F129" s="43">
        <v>43.333333333333336</v>
      </c>
      <c r="G129" s="44">
        <v>0.92268580808411205</v>
      </c>
      <c r="H129" s="44"/>
      <c r="I129" s="44"/>
      <c r="J129" s="44"/>
      <c r="K129" s="44"/>
      <c r="L129" s="44"/>
      <c r="M129" s="44">
        <v>47.950461403786896</v>
      </c>
      <c r="N129" s="50">
        <v>203</v>
      </c>
      <c r="O129" s="53">
        <f>VLOOKUP(A129,[1]Sheet1!$A$1:$I$297,2,FALSE)</f>
        <v>2</v>
      </c>
    </row>
    <row r="130" spans="1:15" ht="18" x14ac:dyDescent="0.35">
      <c r="A130" s="38" t="s">
        <v>339</v>
      </c>
      <c r="B130" s="39">
        <v>55</v>
      </c>
      <c r="C130" s="40">
        <v>38.75</v>
      </c>
      <c r="D130" s="41">
        <v>50</v>
      </c>
      <c r="E130" s="42">
        <v>60.796487122641224</v>
      </c>
      <c r="F130" s="43">
        <v>26.666666666666668</v>
      </c>
      <c r="G130" s="44">
        <v>0.92102772856564563</v>
      </c>
      <c r="H130" s="44"/>
      <c r="I130" s="44"/>
      <c r="J130" s="44"/>
      <c r="K130" s="44"/>
      <c r="L130" s="44"/>
      <c r="M130" s="44">
        <v>47.946071856623476</v>
      </c>
      <c r="N130" s="50">
        <v>204</v>
      </c>
      <c r="O130" s="53">
        <f>VLOOKUP(A130,[1]Sheet1!$A$1:$I$297,2,FALSE)</f>
        <v>2</v>
      </c>
    </row>
    <row r="131" spans="1:15" ht="18" x14ac:dyDescent="0.35">
      <c r="A131" s="38" t="s">
        <v>389</v>
      </c>
      <c r="B131" s="39">
        <v>57.5</v>
      </c>
      <c r="C131" s="40">
        <v>28.75</v>
      </c>
      <c r="D131" s="41">
        <v>58.333333333333336</v>
      </c>
      <c r="E131" s="42">
        <v>48.732010776376576</v>
      </c>
      <c r="F131" s="43">
        <v>26.666666666666668</v>
      </c>
      <c r="G131" s="44">
        <v>1.0861884242329052</v>
      </c>
      <c r="H131" s="44"/>
      <c r="I131" s="44"/>
      <c r="J131" s="44"/>
      <c r="K131" s="44"/>
      <c r="L131" s="44"/>
      <c r="M131" s="44">
        <v>47.914025276635776</v>
      </c>
      <c r="N131" s="50">
        <v>205</v>
      </c>
      <c r="O131" s="53">
        <f>VLOOKUP(A131,[1]Sheet1!$A$1:$I$297,2,FALSE)</f>
        <v>4</v>
      </c>
    </row>
    <row r="132" spans="1:15" ht="18" x14ac:dyDescent="0.35">
      <c r="A132" s="38" t="s">
        <v>475</v>
      </c>
      <c r="B132" s="39">
        <v>20</v>
      </c>
      <c r="C132" s="40">
        <v>45</v>
      </c>
      <c r="D132" s="41">
        <v>75</v>
      </c>
      <c r="E132" s="42">
        <v>62.41300000430752</v>
      </c>
      <c r="F132" s="43">
        <v>43.333333333333336</v>
      </c>
      <c r="G132" s="44">
        <v>0.92992508662066853</v>
      </c>
      <c r="H132" s="44"/>
      <c r="I132" s="44"/>
      <c r="J132" s="44"/>
      <c r="K132" s="44"/>
      <c r="L132" s="44"/>
      <c r="M132" s="44">
        <v>47.7687994539206</v>
      </c>
      <c r="N132" s="50">
        <v>206</v>
      </c>
      <c r="O132" s="53">
        <f>VLOOKUP(A132,[1]Sheet1!$A$1:$I$297,2,FALSE)</f>
        <v>4</v>
      </c>
    </row>
    <row r="133" spans="1:15" ht="18" x14ac:dyDescent="0.35">
      <c r="A133" s="38" t="s">
        <v>398</v>
      </c>
      <c r="B133" s="39">
        <v>0</v>
      </c>
      <c r="C133" s="40">
        <v>82.5</v>
      </c>
      <c r="D133" s="41">
        <v>75</v>
      </c>
      <c r="E133" s="42">
        <v>42.59720586963418</v>
      </c>
      <c r="F133" s="43">
        <v>66.666666666666671</v>
      </c>
      <c r="G133" s="44">
        <v>0.98217010045602193</v>
      </c>
      <c r="H133" s="44"/>
      <c r="I133" s="44"/>
      <c r="J133" s="44"/>
      <c r="K133" s="44"/>
      <c r="L133" s="44"/>
      <c r="M133" s="44">
        <v>47.401747453916457</v>
      </c>
      <c r="N133" s="50">
        <v>207</v>
      </c>
      <c r="O133" s="53">
        <f>VLOOKUP(A133,[1]Sheet1!$A$1:$I$297,2,FALSE)</f>
        <v>3</v>
      </c>
    </row>
    <row r="134" spans="1:15" ht="18" x14ac:dyDescent="0.35">
      <c r="A134" s="38" t="s">
        <v>591</v>
      </c>
      <c r="B134" s="39">
        <v>10</v>
      </c>
      <c r="C134" s="40">
        <v>83.75</v>
      </c>
      <c r="D134" s="41">
        <v>83.333333333333329</v>
      </c>
      <c r="E134" s="42">
        <v>43.45916912537416</v>
      </c>
      <c r="F134" s="43">
        <v>26.666666666666668</v>
      </c>
      <c r="G134" s="44">
        <v>1.0087484018118333</v>
      </c>
      <c r="H134" s="44"/>
      <c r="I134" s="44"/>
      <c r="J134" s="44"/>
      <c r="K134" s="44"/>
      <c r="L134" s="44"/>
      <c r="M134" s="44">
        <v>47.303243763340213</v>
      </c>
      <c r="N134" s="50">
        <v>208</v>
      </c>
      <c r="O134" s="53" t="e">
        <f>VLOOKUP(A134,[1]Sheet1!$A$1:$I$297,2,FALSE)</f>
        <v>#N/A</v>
      </c>
    </row>
    <row r="135" spans="1:15" ht="18" x14ac:dyDescent="0.35">
      <c r="A135" s="38" t="s">
        <v>481</v>
      </c>
      <c r="B135" s="39">
        <v>10</v>
      </c>
      <c r="C135" s="40">
        <v>76.25</v>
      </c>
      <c r="D135" s="41">
        <v>58.333333333333336</v>
      </c>
      <c r="E135" s="42">
        <v>53.142353537574323</v>
      </c>
      <c r="F135" s="43">
        <v>43.333333333333336</v>
      </c>
      <c r="G135" s="44">
        <v>0.94011939798767241</v>
      </c>
      <c r="H135" s="44"/>
      <c r="I135" s="44"/>
      <c r="J135" s="44"/>
      <c r="K135" s="44"/>
      <c r="L135" s="44"/>
      <c r="M135" s="44">
        <v>47.280968428798992</v>
      </c>
      <c r="N135" s="50">
        <v>209</v>
      </c>
      <c r="O135" s="53">
        <f>VLOOKUP(A135,[1]Sheet1!$A$1:$I$297,2,FALSE)</f>
        <v>2</v>
      </c>
    </row>
    <row r="136" spans="1:15" ht="18" x14ac:dyDescent="0.35">
      <c r="A136" s="38" t="s">
        <v>324</v>
      </c>
      <c r="B136" s="39">
        <v>20</v>
      </c>
      <c r="C136" s="40">
        <v>48.75</v>
      </c>
      <c r="D136" s="41">
        <v>66.666666666666671</v>
      </c>
      <c r="E136" s="42">
        <v>48.644897507557417</v>
      </c>
      <c r="F136" s="43">
        <v>60</v>
      </c>
      <c r="G136" s="44">
        <v>1.0575999110704775</v>
      </c>
      <c r="H136" s="44"/>
      <c r="I136" s="44"/>
      <c r="J136" s="44"/>
      <c r="K136" s="44"/>
      <c r="L136" s="44"/>
      <c r="M136" s="44">
        <v>47.225802022158661</v>
      </c>
      <c r="N136" s="50">
        <v>210</v>
      </c>
      <c r="O136" s="53">
        <f>VLOOKUP(A136,[1]Sheet1!$A$1:$I$297,2,FALSE)</f>
        <v>3</v>
      </c>
    </row>
    <row r="137" spans="1:15" ht="18" x14ac:dyDescent="0.35">
      <c r="A137" s="38" t="s">
        <v>531</v>
      </c>
      <c r="B137" s="39">
        <v>0</v>
      </c>
      <c r="C137" s="40">
        <v>61.25</v>
      </c>
      <c r="D137" s="41">
        <v>66.666666666666671</v>
      </c>
      <c r="E137" s="42">
        <v>55.793476625303725</v>
      </c>
      <c r="F137" s="43">
        <v>43.333333333333336</v>
      </c>
      <c r="G137" s="44">
        <v>1.06954484577403</v>
      </c>
      <c r="H137" s="44"/>
      <c r="I137" s="44"/>
      <c r="J137" s="44"/>
      <c r="K137" s="44"/>
      <c r="L137" s="44"/>
      <c r="M137" s="44">
        <v>47.119450140962975</v>
      </c>
      <c r="N137" s="50">
        <v>211</v>
      </c>
      <c r="O137" s="53">
        <f>VLOOKUP(A137,[1]Sheet1!$A$1:$I$297,2,FALSE)</f>
        <v>2</v>
      </c>
    </row>
    <row r="138" spans="1:15" ht="18" x14ac:dyDescent="0.35">
      <c r="A138" s="38" t="s">
        <v>308</v>
      </c>
      <c r="B138" s="39">
        <v>10</v>
      </c>
      <c r="C138" s="40">
        <v>61.25</v>
      </c>
      <c r="D138" s="41">
        <v>75</v>
      </c>
      <c r="E138" s="42">
        <v>43.030338087292719</v>
      </c>
      <c r="F138" s="43">
        <v>60</v>
      </c>
      <c r="G138" s="44">
        <v>1.0861884242329052</v>
      </c>
      <c r="H138" s="44"/>
      <c r="I138" s="44"/>
      <c r="J138" s="44"/>
      <c r="K138" s="44"/>
      <c r="L138" s="44"/>
      <c r="M138" s="44">
        <v>46.617998896964068</v>
      </c>
      <c r="N138" s="50">
        <v>212</v>
      </c>
      <c r="O138" s="53">
        <f>VLOOKUP(A138,[1]Sheet1!$A$1:$I$297,2,FALSE)</f>
        <v>4</v>
      </c>
    </row>
    <row r="139" spans="1:15" ht="18" x14ac:dyDescent="0.35">
      <c r="A139" s="38" t="s">
        <v>505</v>
      </c>
      <c r="B139" s="39">
        <v>0</v>
      </c>
      <c r="C139" s="40">
        <v>65</v>
      </c>
      <c r="D139" s="41">
        <v>83.333333333333329</v>
      </c>
      <c r="E139" s="42">
        <v>54.728592468666221</v>
      </c>
      <c r="F139" s="43">
        <v>50</v>
      </c>
      <c r="G139" s="44">
        <v>0.92035842027448089</v>
      </c>
      <c r="H139" s="44"/>
      <c r="I139" s="44"/>
      <c r="J139" s="44"/>
      <c r="K139" s="44"/>
      <c r="L139" s="44"/>
      <c r="M139" s="44">
        <v>46.481301696656331</v>
      </c>
      <c r="N139" s="50">
        <v>213</v>
      </c>
      <c r="O139" s="53">
        <f>VLOOKUP(A139,[1]Sheet1!$A$1:$I$297,2,FALSE)</f>
        <v>2</v>
      </c>
    </row>
    <row r="140" spans="1:15" ht="18" x14ac:dyDescent="0.35">
      <c r="A140" s="38" t="s">
        <v>346</v>
      </c>
      <c r="B140" s="39">
        <v>20</v>
      </c>
      <c r="C140" s="40">
        <v>65</v>
      </c>
      <c r="D140" s="41">
        <v>83.333333333333329</v>
      </c>
      <c r="E140" s="42">
        <v>38.657662678011604</v>
      </c>
      <c r="F140" s="43">
        <v>43.333333333333336</v>
      </c>
      <c r="G140" s="44">
        <v>1.0685297351389789</v>
      </c>
      <c r="H140" s="44"/>
      <c r="I140" s="44"/>
      <c r="J140" s="44"/>
      <c r="K140" s="44"/>
      <c r="L140" s="44"/>
      <c r="M140" s="44">
        <v>46.463530432193679</v>
      </c>
      <c r="N140" s="50">
        <v>214</v>
      </c>
      <c r="O140" s="53">
        <f>VLOOKUP(A140,[1]Sheet1!$A$1:$I$297,2,FALSE)</f>
        <v>3</v>
      </c>
    </row>
    <row r="141" spans="1:15" ht="18" x14ac:dyDescent="0.35">
      <c r="A141" s="38" t="s">
        <v>489</v>
      </c>
      <c r="B141" s="39">
        <v>10</v>
      </c>
      <c r="C141" s="40">
        <v>37.5</v>
      </c>
      <c r="D141" s="41">
        <v>58.333333333333336</v>
      </c>
      <c r="E141" s="42">
        <v>63.595037087058884</v>
      </c>
      <c r="F141" s="43">
        <v>60</v>
      </c>
      <c r="G141" s="44">
        <v>0.98683679855504047</v>
      </c>
      <c r="H141" s="44"/>
      <c r="I141" s="44"/>
      <c r="J141" s="44"/>
      <c r="K141" s="44"/>
      <c r="L141" s="44"/>
      <c r="M141" s="44">
        <v>46.41017605163632</v>
      </c>
      <c r="N141" s="50">
        <v>215</v>
      </c>
      <c r="O141" s="53">
        <f>VLOOKUP(A141,[1]Sheet1!$A$1:$I$297,2,FALSE)</f>
        <v>2</v>
      </c>
    </row>
    <row r="142" spans="1:15" ht="18" x14ac:dyDescent="0.35">
      <c r="A142" s="38" t="s">
        <v>568</v>
      </c>
      <c r="B142" s="39">
        <v>0</v>
      </c>
      <c r="C142" s="40">
        <v>82.5</v>
      </c>
      <c r="D142" s="41">
        <v>91.666666666666671</v>
      </c>
      <c r="E142" s="42">
        <v>31.913122015825941</v>
      </c>
      <c r="F142" s="43">
        <v>66.666666666666671</v>
      </c>
      <c r="G142" s="44">
        <v>1.0861884242329052</v>
      </c>
      <c r="H142" s="44"/>
      <c r="I142" s="44"/>
      <c r="J142" s="44"/>
      <c r="K142" s="44"/>
      <c r="L142" s="44"/>
      <c r="M142" s="44">
        <v>46.198798819222304</v>
      </c>
      <c r="N142" s="50">
        <v>216</v>
      </c>
      <c r="O142" s="53">
        <f>VLOOKUP(A142,[1]Sheet1!$A$1:$I$297,2,FALSE)</f>
        <v>4</v>
      </c>
    </row>
    <row r="143" spans="1:15" ht="18" x14ac:dyDescent="0.35">
      <c r="A143" s="38" t="s">
        <v>332</v>
      </c>
      <c r="B143" s="39">
        <v>0</v>
      </c>
      <c r="C143" s="40">
        <v>76.25</v>
      </c>
      <c r="D143" s="41">
        <v>66.666666666666671</v>
      </c>
      <c r="E143" s="42">
        <v>47.16249055827123</v>
      </c>
      <c r="F143" s="43">
        <v>50</v>
      </c>
      <c r="G143" s="44">
        <v>1.0188244175697843</v>
      </c>
      <c r="H143" s="44"/>
      <c r="I143" s="44"/>
      <c r="J143" s="44"/>
      <c r="K143" s="44"/>
      <c r="L143" s="44"/>
      <c r="M143" s="44">
        <v>46.136785456335119</v>
      </c>
      <c r="N143" s="50">
        <v>217</v>
      </c>
      <c r="O143" s="53">
        <f>VLOOKUP(A143,[1]Sheet1!$A$1:$I$297,2,FALSE)</f>
        <v>3</v>
      </c>
    </row>
    <row r="144" spans="1:15" ht="18" x14ac:dyDescent="0.35">
      <c r="A144" s="38" t="s">
        <v>454</v>
      </c>
      <c r="B144" s="39">
        <v>10</v>
      </c>
      <c r="C144" s="40">
        <v>66.25</v>
      </c>
      <c r="D144" s="41">
        <v>75</v>
      </c>
      <c r="E144" s="42">
        <v>54.066322603431608</v>
      </c>
      <c r="F144" s="43">
        <v>33.333333333333336</v>
      </c>
      <c r="G144" s="44">
        <v>0.92503563975347836</v>
      </c>
      <c r="H144" s="44"/>
      <c r="I144" s="44"/>
      <c r="J144" s="44"/>
      <c r="K144" s="44"/>
      <c r="L144" s="44"/>
      <c r="M144" s="44">
        <v>45.938714740273618</v>
      </c>
      <c r="N144" s="50">
        <v>218</v>
      </c>
      <c r="O144" s="53">
        <f>VLOOKUP(A144,[1]Sheet1!$A$1:$I$297,2,FALSE)</f>
        <v>2</v>
      </c>
    </row>
    <row r="145" spans="1:15" ht="18" x14ac:dyDescent="0.35">
      <c r="A145" s="38" t="s">
        <v>583</v>
      </c>
      <c r="B145" s="39">
        <v>10</v>
      </c>
      <c r="C145" s="40">
        <v>72.5</v>
      </c>
      <c r="D145" s="41">
        <v>66.666666666666671</v>
      </c>
      <c r="E145" s="42">
        <v>37.018319420942042</v>
      </c>
      <c r="F145" s="43">
        <v>66.666666666666671</v>
      </c>
      <c r="G145" s="44">
        <v>1.0752525581411503</v>
      </c>
      <c r="H145" s="44"/>
      <c r="I145" s="44"/>
      <c r="J145" s="44"/>
      <c r="K145" s="44"/>
      <c r="L145" s="44"/>
      <c r="M145" s="44">
        <v>45.9054555117973</v>
      </c>
      <c r="N145" s="50">
        <v>219</v>
      </c>
      <c r="O145" s="53" t="e">
        <f>VLOOKUP(A145,[1]Sheet1!$A$1:$I$297,2,FALSE)</f>
        <v>#N/A</v>
      </c>
    </row>
    <row r="146" spans="1:15" ht="18" x14ac:dyDescent="0.35">
      <c r="A146" s="38" t="s">
        <v>499</v>
      </c>
      <c r="B146" s="39">
        <v>10</v>
      </c>
      <c r="C146" s="40">
        <v>58.75</v>
      </c>
      <c r="D146" s="41">
        <v>58.333333333333336</v>
      </c>
      <c r="E146" s="42">
        <v>59.064482811209814</v>
      </c>
      <c r="F146" s="43">
        <v>43.333333333333336</v>
      </c>
      <c r="G146" s="44">
        <v>0.93460077186507284</v>
      </c>
      <c r="H146" s="44"/>
      <c r="I146" s="44"/>
      <c r="J146" s="44"/>
      <c r="K146" s="44"/>
      <c r="L146" s="44"/>
      <c r="M146" s="44">
        <v>45.86655270046402</v>
      </c>
      <c r="N146" s="50">
        <v>220</v>
      </c>
      <c r="O146" s="53">
        <f>VLOOKUP(A146,[1]Sheet1!$A$1:$I$297,2,FALSE)</f>
        <v>2</v>
      </c>
    </row>
    <row r="147" spans="1:15" ht="18" x14ac:dyDescent="0.35">
      <c r="A147" s="38" t="s">
        <v>345</v>
      </c>
      <c r="B147" s="39">
        <v>10</v>
      </c>
      <c r="C147" s="40">
        <v>66.25</v>
      </c>
      <c r="D147" s="41">
        <v>66.666666666666671</v>
      </c>
      <c r="E147" s="42">
        <v>42.955456386579748</v>
      </c>
      <c r="F147" s="43">
        <v>50</v>
      </c>
      <c r="G147" s="44">
        <v>1.0861884242329052</v>
      </c>
      <c r="H147" s="44"/>
      <c r="I147" s="44"/>
      <c r="J147" s="44"/>
      <c r="K147" s="44"/>
      <c r="L147" s="44"/>
      <c r="M147" s="44">
        <v>45.752131309030219</v>
      </c>
      <c r="N147" s="50">
        <v>221</v>
      </c>
      <c r="O147" s="53">
        <f>VLOOKUP(A147,[1]Sheet1!$A$1:$I$297,2,FALSE)</f>
        <v>4</v>
      </c>
    </row>
    <row r="148" spans="1:15" ht="18" x14ac:dyDescent="0.35">
      <c r="A148" s="38" t="s">
        <v>560</v>
      </c>
      <c r="B148" s="39">
        <v>42.5</v>
      </c>
      <c r="C148" s="40">
        <v>36.25</v>
      </c>
      <c r="D148" s="41">
        <v>58.333333333333336</v>
      </c>
      <c r="E148" s="42">
        <v>47.657002330801603</v>
      </c>
      <c r="F148" s="43">
        <v>26.666666666666668</v>
      </c>
      <c r="G148" s="44">
        <v>1.0861884242329052</v>
      </c>
      <c r="H148" s="44"/>
      <c r="I148" s="44"/>
      <c r="J148" s="44"/>
      <c r="K148" s="44"/>
      <c r="L148" s="44"/>
      <c r="M148" s="44">
        <v>45.688395312122609</v>
      </c>
      <c r="N148" s="50">
        <v>222</v>
      </c>
      <c r="O148" s="53">
        <f>VLOOKUP(A148,[1]Sheet1!$A$1:$I$297,2,FALSE)</f>
        <v>2</v>
      </c>
    </row>
    <row r="149" spans="1:15" ht="18" x14ac:dyDescent="0.35">
      <c r="A149" s="38" t="s">
        <v>573</v>
      </c>
      <c r="B149" s="39">
        <v>32.5</v>
      </c>
      <c r="C149" s="40">
        <v>60</v>
      </c>
      <c r="D149" s="41">
        <v>66.666666666666671</v>
      </c>
      <c r="E149" s="42">
        <v>36.95912857751749</v>
      </c>
      <c r="F149" s="43">
        <v>60</v>
      </c>
      <c r="G149" s="44">
        <v>0.9862231742901113</v>
      </c>
      <c r="H149" s="44"/>
      <c r="I149" s="44"/>
      <c r="J149" s="44"/>
      <c r="K149" s="44"/>
      <c r="L149" s="44"/>
      <c r="M149" s="44">
        <v>45.65709694143866</v>
      </c>
      <c r="N149" s="50">
        <v>223</v>
      </c>
      <c r="O149" s="53" t="e">
        <f>VLOOKUP(A149,[1]Sheet1!$A$1:$I$297,2,FALSE)</f>
        <v>#N/A</v>
      </c>
    </row>
    <row r="150" spans="1:15" ht="17.399999999999999" x14ac:dyDescent="0.3">
      <c r="A150" s="5">
        <f>COUNTA(A2:A149)</f>
        <v>148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5D30B-FA97-48FB-B67E-BE04149B36FD}">
  <dimension ref="A1:O75"/>
  <sheetViews>
    <sheetView workbookViewId="0">
      <pane ySplit="5400" topLeftCell="A68" activePane="bottomLeft"/>
      <selection activeCell="A2" sqref="A2:N74"/>
      <selection pane="bottomLeft" activeCell="I80" sqref="I80"/>
    </sheetView>
  </sheetViews>
  <sheetFormatPr defaultRowHeight="14.4" x14ac:dyDescent="0.25"/>
  <cols>
    <col min="13" max="13" width="10.6640625" customWidth="1"/>
    <col min="15" max="15" width="21.21875" customWidth="1"/>
  </cols>
  <sheetData>
    <row r="1" spans="1:15" ht="31.2" x14ac:dyDescent="0.25">
      <c r="A1" s="32" t="s">
        <v>298</v>
      </c>
      <c r="B1" s="33" t="s">
        <v>702</v>
      </c>
      <c r="C1" s="34" t="s">
        <v>703</v>
      </c>
      <c r="D1" s="34" t="s">
        <v>704</v>
      </c>
      <c r="E1" s="34" t="s">
        <v>705</v>
      </c>
      <c r="F1" s="35" t="s">
        <v>706</v>
      </c>
      <c r="G1" s="36" t="s">
        <v>707</v>
      </c>
      <c r="H1" s="36" t="s">
        <v>662</v>
      </c>
      <c r="I1" s="36" t="s">
        <v>663</v>
      </c>
      <c r="J1" s="36" t="s">
        <v>664</v>
      </c>
      <c r="K1" s="36" t="s">
        <v>665</v>
      </c>
      <c r="L1" s="36" t="s">
        <v>666</v>
      </c>
      <c r="M1" s="37" t="s">
        <v>708</v>
      </c>
      <c r="N1" s="51" t="s">
        <v>709</v>
      </c>
      <c r="O1" s="51" t="s">
        <v>715</v>
      </c>
    </row>
    <row r="2" spans="1:15" ht="21" x14ac:dyDescent="0.4">
      <c r="A2" s="38" t="s">
        <v>445</v>
      </c>
      <c r="B2" s="39">
        <v>20</v>
      </c>
      <c r="C2" s="40">
        <v>43.75</v>
      </c>
      <c r="D2" s="41">
        <v>58.333333333333336</v>
      </c>
      <c r="E2" s="42">
        <v>53.267246217200132</v>
      </c>
      <c r="F2" s="43">
        <v>60</v>
      </c>
      <c r="G2" s="44">
        <v>0.98935980744804897</v>
      </c>
      <c r="H2" s="44"/>
      <c r="I2" s="44"/>
      <c r="J2" s="44"/>
      <c r="K2" s="44"/>
      <c r="L2" s="44"/>
      <c r="M2" s="44">
        <v>45.620961547420308</v>
      </c>
      <c r="N2" s="50">
        <v>224</v>
      </c>
      <c r="O2" s="54">
        <f>VLOOKUP(A2,[1]Sheet1!$A$1:$I$297,2,FALSE)</f>
        <v>3</v>
      </c>
    </row>
    <row r="3" spans="1:15" ht="21" x14ac:dyDescent="0.4">
      <c r="A3" s="38" t="s">
        <v>442</v>
      </c>
      <c r="B3" s="39">
        <v>20</v>
      </c>
      <c r="C3" s="40">
        <v>55</v>
      </c>
      <c r="D3" s="41">
        <v>33.333333333333336</v>
      </c>
      <c r="E3" s="42">
        <v>63.15139482828711</v>
      </c>
      <c r="F3" s="43">
        <v>43.333333333333336</v>
      </c>
      <c r="G3" s="44">
        <v>0.92035842027448089</v>
      </c>
      <c r="H3" s="44"/>
      <c r="I3" s="44"/>
      <c r="J3" s="44"/>
      <c r="K3" s="44"/>
      <c r="L3" s="44"/>
      <c r="M3" s="44">
        <v>45.596867540681536</v>
      </c>
      <c r="N3" s="50">
        <v>225</v>
      </c>
      <c r="O3" s="54">
        <f>VLOOKUP(A3,[1]Sheet1!$A$1:$I$297,2,FALSE)</f>
        <v>2</v>
      </c>
    </row>
    <row r="4" spans="1:15" ht="21" x14ac:dyDescent="0.4">
      <c r="A4" s="38" t="s">
        <v>439</v>
      </c>
      <c r="B4" s="39">
        <v>10</v>
      </c>
      <c r="C4" s="40">
        <v>37.5</v>
      </c>
      <c r="D4" s="41">
        <v>41.666666666666664</v>
      </c>
      <c r="E4" s="42">
        <v>66.219901113466079</v>
      </c>
      <c r="F4" s="43">
        <v>33.333333333333336</v>
      </c>
      <c r="G4" s="44">
        <v>1.0714579080237403</v>
      </c>
      <c r="H4" s="44"/>
      <c r="I4" s="44"/>
      <c r="J4" s="44"/>
      <c r="K4" s="44"/>
      <c r="L4" s="44"/>
      <c r="M4" s="44">
        <v>45.523650502676809</v>
      </c>
      <c r="N4" s="50">
        <v>226</v>
      </c>
      <c r="O4" s="54">
        <f>VLOOKUP(A4,[1]Sheet1!$A$1:$I$297,2,FALSE)</f>
        <v>3</v>
      </c>
    </row>
    <row r="5" spans="1:15" ht="21" x14ac:dyDescent="0.4">
      <c r="A5" s="38" t="s">
        <v>353</v>
      </c>
      <c r="B5" s="39">
        <v>22.5</v>
      </c>
      <c r="C5" s="40">
        <v>32.5</v>
      </c>
      <c r="D5" s="41">
        <v>41.666666666666664</v>
      </c>
      <c r="E5" s="42">
        <v>59.347831654763873</v>
      </c>
      <c r="F5" s="43">
        <v>60</v>
      </c>
      <c r="G5" s="44">
        <v>1.0064790004448334</v>
      </c>
      <c r="H5" s="44"/>
      <c r="I5" s="44"/>
      <c r="J5" s="44"/>
      <c r="K5" s="44"/>
      <c r="L5" s="44"/>
      <c r="M5" s="44">
        <v>45.088760681650413</v>
      </c>
      <c r="N5" s="50">
        <v>227</v>
      </c>
      <c r="O5" s="54">
        <f>VLOOKUP(A5,[1]Sheet1!$A$1:$I$297,2,FALSE)</f>
        <v>4</v>
      </c>
    </row>
    <row r="6" spans="1:15" ht="21" x14ac:dyDescent="0.4">
      <c r="A6" s="38" t="s">
        <v>327</v>
      </c>
      <c r="B6" s="39">
        <v>0</v>
      </c>
      <c r="C6" s="40">
        <v>48.75</v>
      </c>
      <c r="D6" s="41">
        <v>50</v>
      </c>
      <c r="E6" s="42">
        <v>68.144976818755737</v>
      </c>
      <c r="F6" s="43">
        <v>26.666666666666668</v>
      </c>
      <c r="G6" s="44">
        <v>1.0109755897735506</v>
      </c>
      <c r="H6" s="44"/>
      <c r="I6" s="44"/>
      <c r="J6" s="44"/>
      <c r="K6" s="44"/>
      <c r="L6" s="44"/>
      <c r="M6" s="44">
        <v>44.973829918445269</v>
      </c>
      <c r="N6" s="50">
        <v>228</v>
      </c>
      <c r="O6" s="54">
        <f>VLOOKUP(A6,[1]Sheet1!$A$1:$I$297,2,FALSE)</f>
        <v>3</v>
      </c>
    </row>
    <row r="7" spans="1:15" ht="21" x14ac:dyDescent="0.4">
      <c r="A7" s="38" t="s">
        <v>334</v>
      </c>
      <c r="B7" s="39">
        <v>10</v>
      </c>
      <c r="C7" s="40">
        <v>65</v>
      </c>
      <c r="D7" s="41">
        <v>66.666666666666671</v>
      </c>
      <c r="E7" s="42">
        <v>47.443383960529658</v>
      </c>
      <c r="F7" s="43">
        <v>60</v>
      </c>
      <c r="G7" s="44">
        <v>0.92035842027448089</v>
      </c>
      <c r="H7" s="44"/>
      <c r="I7" s="44"/>
      <c r="J7" s="44"/>
      <c r="K7" s="44"/>
      <c r="L7" s="44"/>
      <c r="M7" s="44">
        <v>44.973350672971122</v>
      </c>
      <c r="N7" s="50">
        <v>229</v>
      </c>
      <c r="O7" s="54">
        <f>VLOOKUP(A7,[1]Sheet1!$A$1:$I$297,2,FALSE)</f>
        <v>3</v>
      </c>
    </row>
    <row r="8" spans="1:15" ht="21" x14ac:dyDescent="0.4">
      <c r="A8" s="38" t="s">
        <v>477</v>
      </c>
      <c r="B8" s="39">
        <v>65</v>
      </c>
      <c r="C8" s="40">
        <v>60</v>
      </c>
      <c r="D8" s="41">
        <v>33.333333333333336</v>
      </c>
      <c r="E8" s="42">
        <v>32.919820185625696</v>
      </c>
      <c r="F8" s="43">
        <v>26.666666666666668</v>
      </c>
      <c r="G8" s="44">
        <v>1.0215434534303263</v>
      </c>
      <c r="H8" s="44"/>
      <c r="I8" s="44"/>
      <c r="J8" s="44"/>
      <c r="K8" s="44"/>
      <c r="L8" s="44"/>
      <c r="M8" s="44">
        <v>44.731675614086015</v>
      </c>
      <c r="N8" s="50">
        <v>230</v>
      </c>
      <c r="O8" s="54">
        <f>VLOOKUP(A8,[1]Sheet1!$A$1:$I$297,2,FALSE)</f>
        <v>2</v>
      </c>
    </row>
    <row r="9" spans="1:15" ht="21" x14ac:dyDescent="0.4">
      <c r="A9" s="38" t="s">
        <v>449</v>
      </c>
      <c r="B9" s="39">
        <v>0</v>
      </c>
      <c r="C9" s="40">
        <v>60</v>
      </c>
      <c r="D9" s="41">
        <v>66.666666666666671</v>
      </c>
      <c r="E9" s="42">
        <v>46.606425314733407</v>
      </c>
      <c r="F9" s="43">
        <v>66.666666666666671</v>
      </c>
      <c r="G9" s="44">
        <v>1.0380707477178501</v>
      </c>
      <c r="H9" s="44"/>
      <c r="I9" s="44"/>
      <c r="J9" s="44"/>
      <c r="K9" s="44"/>
      <c r="L9" s="44"/>
      <c r="M9" s="44">
        <v>44.685640043301916</v>
      </c>
      <c r="N9" s="50">
        <v>231</v>
      </c>
      <c r="O9" s="54">
        <f>VLOOKUP(A9,[1]Sheet1!$A$1:$I$297,2,FALSE)</f>
        <v>3</v>
      </c>
    </row>
    <row r="10" spans="1:15" ht="21" x14ac:dyDescent="0.4">
      <c r="A10" s="38" t="s">
        <v>479</v>
      </c>
      <c r="B10" s="39">
        <v>10</v>
      </c>
      <c r="C10" s="40">
        <v>63.75</v>
      </c>
      <c r="D10" s="41">
        <v>83.333333333333329</v>
      </c>
      <c r="E10" s="42">
        <v>33.946905289616907</v>
      </c>
      <c r="F10" s="43">
        <v>66.666666666666671</v>
      </c>
      <c r="G10" s="44">
        <v>1.0861884242329052</v>
      </c>
      <c r="H10" s="44"/>
      <c r="I10" s="44"/>
      <c r="J10" s="44"/>
      <c r="K10" s="44"/>
      <c r="L10" s="44"/>
      <c r="M10" s="44">
        <v>44.671471074110883</v>
      </c>
      <c r="N10" s="50">
        <v>232</v>
      </c>
      <c r="O10" s="54">
        <f>VLOOKUP(A10,[1]Sheet1!$A$1:$I$297,2,FALSE)</f>
        <v>4</v>
      </c>
    </row>
    <row r="11" spans="1:15" ht="21" x14ac:dyDescent="0.4">
      <c r="A11" s="38" t="s">
        <v>522</v>
      </c>
      <c r="B11" s="39">
        <v>10</v>
      </c>
      <c r="C11" s="40">
        <v>50</v>
      </c>
      <c r="D11" s="41">
        <v>66.666666666666671</v>
      </c>
      <c r="E11" s="42">
        <v>54.128472989027394</v>
      </c>
      <c r="F11" s="43">
        <v>60</v>
      </c>
      <c r="G11" s="44">
        <v>0.92135930496978646</v>
      </c>
      <c r="H11" s="44"/>
      <c r="I11" s="44"/>
      <c r="J11" s="44"/>
      <c r="K11" s="44"/>
      <c r="L11" s="44"/>
      <c r="M11" s="44">
        <v>44.458094177504705</v>
      </c>
      <c r="N11" s="50">
        <v>233</v>
      </c>
      <c r="O11" s="54">
        <f>VLOOKUP(A11,[1]Sheet1!$A$1:$I$297,2,FALSE)</f>
        <v>3</v>
      </c>
    </row>
    <row r="12" spans="1:15" ht="21" x14ac:dyDescent="0.4">
      <c r="A12" s="38" t="s">
        <v>410</v>
      </c>
      <c r="B12" s="39">
        <v>10</v>
      </c>
      <c r="C12" s="40">
        <v>53.75</v>
      </c>
      <c r="D12" s="41">
        <v>41.666666666666664</v>
      </c>
      <c r="E12" s="42">
        <v>58.658203949358679</v>
      </c>
      <c r="F12" s="43">
        <v>43.333333333333336</v>
      </c>
      <c r="G12" s="44">
        <v>0.98832016945080292</v>
      </c>
      <c r="H12" s="44"/>
      <c r="I12" s="44"/>
      <c r="J12" s="44"/>
      <c r="K12" s="44"/>
      <c r="L12" s="44"/>
      <c r="M12" s="44">
        <v>44.415874765665585</v>
      </c>
      <c r="N12" s="50">
        <v>234</v>
      </c>
      <c r="O12" s="54">
        <f>VLOOKUP(A12,[1]Sheet1!$A$1:$I$297,2,FALSE)</f>
        <v>2</v>
      </c>
    </row>
    <row r="13" spans="1:15" ht="21" x14ac:dyDescent="0.4">
      <c r="A13" s="38" t="s">
        <v>502</v>
      </c>
      <c r="B13" s="39">
        <v>0</v>
      </c>
      <c r="C13" s="40">
        <v>66.25</v>
      </c>
      <c r="D13" s="41">
        <v>66.666666666666671</v>
      </c>
      <c r="E13" s="42">
        <v>44.874515936945159</v>
      </c>
      <c r="F13" s="43">
        <v>50</v>
      </c>
      <c r="G13" s="44">
        <v>1.0861884242329052</v>
      </c>
      <c r="H13" s="44"/>
      <c r="I13" s="44"/>
      <c r="J13" s="44"/>
      <c r="K13" s="44"/>
      <c r="L13" s="44"/>
      <c r="M13" s="44">
        <v>44.413538568172612</v>
      </c>
      <c r="N13" s="50">
        <v>235</v>
      </c>
      <c r="O13" s="54">
        <f>VLOOKUP(A13,[1]Sheet1!$A$1:$I$297,2,FALSE)</f>
        <v>3</v>
      </c>
    </row>
    <row r="14" spans="1:15" ht="21" x14ac:dyDescent="0.4">
      <c r="A14" s="38" t="s">
        <v>399</v>
      </c>
      <c r="B14" s="39">
        <v>32.5</v>
      </c>
      <c r="C14" s="40">
        <v>38.75</v>
      </c>
      <c r="D14" s="41">
        <v>41.666666666666664</v>
      </c>
      <c r="E14" s="42">
        <v>51.422657003490826</v>
      </c>
      <c r="F14" s="43">
        <v>43.333333333333336</v>
      </c>
      <c r="G14" s="44">
        <v>1.0321228222588212</v>
      </c>
      <c r="H14" s="44"/>
      <c r="I14" s="44"/>
      <c r="J14" s="44"/>
      <c r="K14" s="44"/>
      <c r="L14" s="44"/>
      <c r="M14" s="44">
        <v>44.188597494478465</v>
      </c>
      <c r="N14" s="50">
        <v>236</v>
      </c>
      <c r="O14" s="54">
        <f>VLOOKUP(A14,[1]Sheet1!$A$1:$I$297,2,FALSE)</f>
        <v>4</v>
      </c>
    </row>
    <row r="15" spans="1:15" ht="21" x14ac:dyDescent="0.4">
      <c r="A15" s="38" t="s">
        <v>440</v>
      </c>
      <c r="B15" s="39">
        <v>30</v>
      </c>
      <c r="C15" s="40">
        <v>32.5</v>
      </c>
      <c r="D15" s="41">
        <v>66.666666666666671</v>
      </c>
      <c r="E15" s="42">
        <v>57.345495329151902</v>
      </c>
      <c r="F15" s="43">
        <v>43.333333333333336</v>
      </c>
      <c r="G15" s="44">
        <v>0.92035842027448089</v>
      </c>
      <c r="H15" s="44"/>
      <c r="I15" s="44"/>
      <c r="J15" s="44"/>
      <c r="K15" s="44"/>
      <c r="L15" s="44"/>
      <c r="M15" s="44">
        <v>44.133514318045236</v>
      </c>
      <c r="N15" s="50">
        <v>237</v>
      </c>
      <c r="O15" s="54">
        <f>VLOOKUP(A15,[1]Sheet1!$A$1:$I$297,2,FALSE)</f>
        <v>4</v>
      </c>
    </row>
    <row r="16" spans="1:15" ht="21" x14ac:dyDescent="0.4">
      <c r="A16" s="38" t="s">
        <v>397</v>
      </c>
      <c r="B16" s="39">
        <v>0</v>
      </c>
      <c r="C16" s="40">
        <v>77.5</v>
      </c>
      <c r="D16" s="41">
        <v>83.333333333333329</v>
      </c>
      <c r="E16" s="42">
        <v>37.255082794640259</v>
      </c>
      <c r="F16" s="43">
        <v>43.333333333333336</v>
      </c>
      <c r="G16" s="44">
        <v>1.0582569412051155</v>
      </c>
      <c r="H16" s="44"/>
      <c r="I16" s="44"/>
      <c r="J16" s="44"/>
      <c r="K16" s="44"/>
      <c r="L16" s="44"/>
      <c r="M16" s="44">
        <v>43.936846651706404</v>
      </c>
      <c r="N16" s="50">
        <v>238</v>
      </c>
      <c r="O16" s="54">
        <f>VLOOKUP(A16,[1]Sheet1!$A$1:$I$297,2,FALSE)</f>
        <v>3</v>
      </c>
    </row>
    <row r="17" spans="1:15" ht="21" x14ac:dyDescent="0.4">
      <c r="A17" s="38" t="s">
        <v>596</v>
      </c>
      <c r="B17" s="39">
        <v>20</v>
      </c>
      <c r="C17" s="40">
        <v>27.5</v>
      </c>
      <c r="D17" s="41">
        <v>33.333333333333336</v>
      </c>
      <c r="E17" s="42">
        <v>64.532838961004302</v>
      </c>
      <c r="F17" s="43">
        <v>43.333333333333336</v>
      </c>
      <c r="G17" s="44">
        <v>1.0285386758532915</v>
      </c>
      <c r="H17" s="44"/>
      <c r="I17" s="44"/>
      <c r="J17" s="44"/>
      <c r="K17" s="44"/>
      <c r="L17" s="44"/>
      <c r="M17" s="44">
        <v>43.830629663681869</v>
      </c>
      <c r="N17" s="50">
        <v>239</v>
      </c>
      <c r="O17" s="54" t="e">
        <f>VLOOKUP(A17,[1]Sheet1!$A$1:$I$297,2,FALSE)</f>
        <v>#N/A</v>
      </c>
    </row>
    <row r="18" spans="1:15" ht="21" x14ac:dyDescent="0.4">
      <c r="A18" s="38" t="s">
        <v>532</v>
      </c>
      <c r="B18" s="39">
        <v>0</v>
      </c>
      <c r="C18" s="40">
        <v>76.25</v>
      </c>
      <c r="D18" s="41">
        <v>58.333333333333336</v>
      </c>
      <c r="E18" s="42">
        <v>47.810807589789945</v>
      </c>
      <c r="F18" s="43">
        <v>26.666666666666668</v>
      </c>
      <c r="G18" s="44">
        <v>1.0432740822886371</v>
      </c>
      <c r="H18" s="44"/>
      <c r="I18" s="44"/>
      <c r="J18" s="44"/>
      <c r="K18" s="44"/>
      <c r="L18" s="44"/>
      <c r="M18" s="44">
        <v>43.701910564686685</v>
      </c>
      <c r="N18" s="50">
        <v>240</v>
      </c>
      <c r="O18" s="54">
        <f>VLOOKUP(A18,[1]Sheet1!$A$1:$I$297,2,FALSE)</f>
        <v>3</v>
      </c>
    </row>
    <row r="19" spans="1:15" ht="21" x14ac:dyDescent="0.4">
      <c r="A19" s="38" t="s">
        <v>382</v>
      </c>
      <c r="B19" s="39">
        <v>55</v>
      </c>
      <c r="C19" s="40">
        <v>45</v>
      </c>
      <c r="D19" s="41">
        <v>33.333333333333336</v>
      </c>
      <c r="E19" s="42">
        <v>34.397221837986052</v>
      </c>
      <c r="F19" s="43">
        <v>43.333333333333336</v>
      </c>
      <c r="G19" s="44">
        <v>1.0861884242329052</v>
      </c>
      <c r="H19" s="44"/>
      <c r="I19" s="44"/>
      <c r="J19" s="44"/>
      <c r="K19" s="44"/>
      <c r="L19" s="44"/>
      <c r="M19" s="44">
        <v>43.559485007705327</v>
      </c>
      <c r="N19" s="50">
        <v>241</v>
      </c>
      <c r="O19" s="54">
        <f>VLOOKUP(A19,[1]Sheet1!$A$1:$I$297,2,FALSE)</f>
        <v>4</v>
      </c>
    </row>
    <row r="20" spans="1:15" ht="21" x14ac:dyDescent="0.4">
      <c r="A20" s="38" t="s">
        <v>402</v>
      </c>
      <c r="B20" s="39">
        <v>10</v>
      </c>
      <c r="C20" s="40">
        <v>53.75</v>
      </c>
      <c r="D20" s="41">
        <v>58.333333333333336</v>
      </c>
      <c r="E20" s="42">
        <v>53.853375205496988</v>
      </c>
      <c r="F20" s="43">
        <v>26.666666666666668</v>
      </c>
      <c r="G20" s="44">
        <v>1.0296970336996123</v>
      </c>
      <c r="H20" s="44"/>
      <c r="I20" s="44"/>
      <c r="J20" s="44"/>
      <c r="K20" s="44"/>
      <c r="L20" s="44"/>
      <c r="M20" s="44">
        <v>43.490458348924228</v>
      </c>
      <c r="N20" s="50">
        <v>242</v>
      </c>
      <c r="O20" s="54">
        <f>VLOOKUP(A20,[1]Sheet1!$A$1:$I$297,2,FALSE)</f>
        <v>2</v>
      </c>
    </row>
    <row r="21" spans="1:15" ht="21" x14ac:dyDescent="0.4">
      <c r="A21" s="38" t="s">
        <v>471</v>
      </c>
      <c r="B21" s="39">
        <v>10</v>
      </c>
      <c r="C21" s="40">
        <v>43.75</v>
      </c>
      <c r="D21" s="41">
        <v>58.333333333333336</v>
      </c>
      <c r="E21" s="42">
        <v>66.204614533756171</v>
      </c>
      <c r="F21" s="43">
        <v>26.666666666666668</v>
      </c>
      <c r="G21" s="44">
        <v>0.92035842027448089</v>
      </c>
      <c r="H21" s="44"/>
      <c r="I21" s="44"/>
      <c r="J21" s="44"/>
      <c r="K21" s="44"/>
      <c r="L21" s="44"/>
      <c r="M21" s="44">
        <v>43.463506619416471</v>
      </c>
      <c r="N21" s="50">
        <v>243</v>
      </c>
      <c r="O21" s="54">
        <f>VLOOKUP(A21,[1]Sheet1!$A$1:$I$297,2,FALSE)</f>
        <v>2</v>
      </c>
    </row>
    <row r="22" spans="1:15" ht="21" x14ac:dyDescent="0.4">
      <c r="A22" s="38" t="s">
        <v>587</v>
      </c>
      <c r="B22" s="39">
        <v>0</v>
      </c>
      <c r="C22" s="40">
        <v>77.5</v>
      </c>
      <c r="D22" s="41">
        <v>58.333333333333336</v>
      </c>
      <c r="E22" s="42">
        <v>38.186164782881264</v>
      </c>
      <c r="F22" s="43">
        <v>60</v>
      </c>
      <c r="G22" s="44">
        <v>1.0296333825708335</v>
      </c>
      <c r="H22" s="44"/>
      <c r="I22" s="44"/>
      <c r="J22" s="44"/>
      <c r="K22" s="44"/>
      <c r="L22" s="44"/>
      <c r="M22" s="44">
        <v>43.060433338455447</v>
      </c>
      <c r="N22" s="50">
        <v>244</v>
      </c>
      <c r="O22" s="54" t="e">
        <f>VLOOKUP(A22,[1]Sheet1!$A$1:$I$297,2,FALSE)</f>
        <v>#N/A</v>
      </c>
    </row>
    <row r="23" spans="1:15" ht="21" x14ac:dyDescent="0.4">
      <c r="A23" s="38" t="s">
        <v>524</v>
      </c>
      <c r="B23" s="39">
        <v>0</v>
      </c>
      <c r="C23" s="40">
        <v>50</v>
      </c>
      <c r="D23" s="41">
        <v>83.333333333333329</v>
      </c>
      <c r="E23" s="42">
        <v>54.982557967500973</v>
      </c>
      <c r="F23" s="43">
        <v>43.333333333333336</v>
      </c>
      <c r="G23" s="44">
        <v>0.92035842027448089</v>
      </c>
      <c r="H23" s="44"/>
      <c r="I23" s="44"/>
      <c r="J23" s="44"/>
      <c r="K23" s="44"/>
      <c r="L23" s="44"/>
      <c r="M23" s="44">
        <v>42.908130744114381</v>
      </c>
      <c r="N23" s="50">
        <v>245</v>
      </c>
      <c r="O23" s="54">
        <f>VLOOKUP(A23,[1]Sheet1!$A$1:$I$297,2,FALSE)</f>
        <v>3</v>
      </c>
    </row>
    <row r="24" spans="1:15" ht="21" x14ac:dyDescent="0.4">
      <c r="A24" s="38" t="s">
        <v>415</v>
      </c>
      <c r="B24" s="39">
        <v>10</v>
      </c>
      <c r="C24" s="40">
        <v>32.5</v>
      </c>
      <c r="D24" s="41">
        <v>33.333333333333336</v>
      </c>
      <c r="E24" s="42">
        <v>65.437075047020784</v>
      </c>
      <c r="F24" s="43">
        <v>30</v>
      </c>
      <c r="G24" s="44">
        <v>1.0619236178016014</v>
      </c>
      <c r="H24" s="44"/>
      <c r="I24" s="44"/>
      <c r="J24" s="44"/>
      <c r="K24" s="44"/>
      <c r="L24" s="44"/>
      <c r="M24" s="44">
        <v>42.752850757851419</v>
      </c>
      <c r="N24" s="50">
        <v>246</v>
      </c>
      <c r="O24" s="54">
        <f>VLOOKUP(A24,[1]Sheet1!$A$1:$I$297,2,FALSE)</f>
        <v>3</v>
      </c>
    </row>
    <row r="25" spans="1:15" ht="21" x14ac:dyDescent="0.4">
      <c r="A25" s="38" t="s">
        <v>336</v>
      </c>
      <c r="B25" s="39">
        <v>45</v>
      </c>
      <c r="C25" s="40">
        <v>21.25</v>
      </c>
      <c r="D25" s="41">
        <v>8.3333333333333339</v>
      </c>
      <c r="E25" s="42">
        <v>72.007232867251759</v>
      </c>
      <c r="F25" s="43">
        <v>26.666666666666668</v>
      </c>
      <c r="G25" s="44">
        <v>0.92035842027448089</v>
      </c>
      <c r="H25" s="44"/>
      <c r="I25" s="44"/>
      <c r="J25" s="44"/>
      <c r="K25" s="44"/>
      <c r="L25" s="44"/>
      <c r="M25" s="44">
        <v>42.542211018486533</v>
      </c>
      <c r="N25" s="50">
        <v>247</v>
      </c>
      <c r="O25" s="54">
        <f>VLOOKUP(A25,[1]Sheet1!$A$1:$I$297,2,FALSE)</f>
        <v>4</v>
      </c>
    </row>
    <row r="26" spans="1:15" ht="21" x14ac:dyDescent="0.4">
      <c r="A26" s="38" t="s">
        <v>544</v>
      </c>
      <c r="B26" s="39">
        <v>20</v>
      </c>
      <c r="C26" s="40">
        <v>32.5</v>
      </c>
      <c r="D26" s="41">
        <v>58.333333333333336</v>
      </c>
      <c r="E26" s="42">
        <v>58.659002920232197</v>
      </c>
      <c r="F26" s="43">
        <v>13.333333333333334</v>
      </c>
      <c r="G26" s="44">
        <v>1.0486957774450114</v>
      </c>
      <c r="H26" s="44"/>
      <c r="I26" s="44"/>
      <c r="J26" s="44"/>
      <c r="K26" s="44"/>
      <c r="L26" s="44"/>
      <c r="M26" s="44">
        <v>42.467629245079557</v>
      </c>
      <c r="N26" s="50">
        <v>248</v>
      </c>
      <c r="O26" s="54">
        <f>VLOOKUP(A26,[1]Sheet1!$A$1:$I$297,2,FALSE)</f>
        <v>3</v>
      </c>
    </row>
    <row r="27" spans="1:15" ht="21" x14ac:dyDescent="0.4">
      <c r="A27" s="38" t="s">
        <v>423</v>
      </c>
      <c r="B27" s="39">
        <v>10</v>
      </c>
      <c r="C27" s="40">
        <v>33.75</v>
      </c>
      <c r="D27" s="41">
        <v>25</v>
      </c>
      <c r="E27" s="42">
        <v>76.722593443667179</v>
      </c>
      <c r="F27" s="43">
        <v>26.666666666666668</v>
      </c>
      <c r="G27" s="44">
        <v>0.92035842027448089</v>
      </c>
      <c r="H27" s="44"/>
      <c r="I27" s="44"/>
      <c r="J27" s="44"/>
      <c r="K27" s="44"/>
      <c r="L27" s="44"/>
      <c r="M27" s="44">
        <v>42.002297467685537</v>
      </c>
      <c r="N27" s="50">
        <v>249</v>
      </c>
      <c r="O27" s="54">
        <f>VLOOKUP(A27,[1]Sheet1!$A$1:$I$297,2,FALSE)</f>
        <v>4</v>
      </c>
    </row>
    <row r="28" spans="1:15" ht="21" x14ac:dyDescent="0.4">
      <c r="A28" s="38" t="s">
        <v>448</v>
      </c>
      <c r="B28" s="39">
        <v>22.5</v>
      </c>
      <c r="C28" s="40">
        <v>58.75</v>
      </c>
      <c r="D28" s="41">
        <v>33.333333333333336</v>
      </c>
      <c r="E28" s="42">
        <v>47.297892766933678</v>
      </c>
      <c r="F28" s="43">
        <v>26.666666666666668</v>
      </c>
      <c r="G28" s="44">
        <v>1.0312710225207264</v>
      </c>
      <c r="H28" s="44"/>
      <c r="I28" s="44"/>
      <c r="J28" s="44"/>
      <c r="K28" s="44"/>
      <c r="L28" s="44"/>
      <c r="M28" s="44">
        <v>41.901498096075819</v>
      </c>
      <c r="N28" s="50">
        <v>250</v>
      </c>
      <c r="O28" s="54">
        <f>VLOOKUP(A28,[1]Sheet1!$A$1:$I$297,2,FALSE)</f>
        <v>2</v>
      </c>
    </row>
    <row r="29" spans="1:15" ht="21" x14ac:dyDescent="0.4">
      <c r="A29" s="38" t="s">
        <v>314</v>
      </c>
      <c r="B29" s="39">
        <v>10</v>
      </c>
      <c r="C29" s="40">
        <v>32.5</v>
      </c>
      <c r="D29" s="41">
        <v>75</v>
      </c>
      <c r="E29" s="42">
        <v>58.233357980520211</v>
      </c>
      <c r="F29" s="43">
        <v>43.333333333333336</v>
      </c>
      <c r="G29" s="44">
        <v>0.92035842027448089</v>
      </c>
      <c r="H29" s="44"/>
      <c r="I29" s="44"/>
      <c r="J29" s="44"/>
      <c r="K29" s="44"/>
      <c r="L29" s="44"/>
      <c r="M29" s="44">
        <v>41.612274717174266</v>
      </c>
      <c r="N29" s="50">
        <v>251</v>
      </c>
      <c r="O29" s="54">
        <f>VLOOKUP(A29,[1]Sheet1!$A$1:$I$297,2,FALSE)</f>
        <v>4</v>
      </c>
    </row>
    <row r="30" spans="1:15" ht="21" x14ac:dyDescent="0.4">
      <c r="A30" s="38" t="s">
        <v>536</v>
      </c>
      <c r="B30" s="39">
        <v>10</v>
      </c>
      <c r="C30" s="40">
        <v>48.75</v>
      </c>
      <c r="D30" s="41">
        <v>16.666666666666668</v>
      </c>
      <c r="E30" s="42">
        <v>54.459900498527659</v>
      </c>
      <c r="F30" s="43">
        <v>50</v>
      </c>
      <c r="G30" s="44">
        <v>1.0375032071366035</v>
      </c>
      <c r="H30" s="44"/>
      <c r="I30" s="44"/>
      <c r="J30" s="44"/>
      <c r="K30" s="44"/>
      <c r="L30" s="44"/>
      <c r="M30" s="44">
        <v>41.092601651964983</v>
      </c>
      <c r="N30" s="50">
        <v>252</v>
      </c>
      <c r="O30" s="54">
        <f>VLOOKUP(A30,[1]Sheet1!$A$1:$I$297,2,FALSE)</f>
        <v>3</v>
      </c>
    </row>
    <row r="31" spans="1:15" ht="21" x14ac:dyDescent="0.4">
      <c r="A31" s="38" t="s">
        <v>602</v>
      </c>
      <c r="B31" s="39">
        <v>10</v>
      </c>
      <c r="C31" s="40">
        <v>38.75</v>
      </c>
      <c r="D31" s="41">
        <v>58.333333333333336</v>
      </c>
      <c r="E31" s="42">
        <v>51.280732927031529</v>
      </c>
      <c r="F31" s="43">
        <v>43.333333333333336</v>
      </c>
      <c r="G31" s="44">
        <v>1.0288669736070541</v>
      </c>
      <c r="H31" s="44"/>
      <c r="I31" s="44"/>
      <c r="J31" s="44"/>
      <c r="K31" s="44"/>
      <c r="L31" s="44"/>
      <c r="M31" s="44">
        <v>41.078821610275398</v>
      </c>
      <c r="N31" s="50">
        <v>253</v>
      </c>
      <c r="O31" s="54" t="e">
        <f>VLOOKUP(A31,[1]Sheet1!$A$1:$I$297,2,FALSE)</f>
        <v>#N/A</v>
      </c>
    </row>
    <row r="32" spans="1:15" ht="21" x14ac:dyDescent="0.4">
      <c r="A32" s="38" t="s">
        <v>451</v>
      </c>
      <c r="B32" s="39">
        <v>10</v>
      </c>
      <c r="C32" s="40">
        <v>37.5</v>
      </c>
      <c r="D32" s="41">
        <v>33.333333333333336</v>
      </c>
      <c r="E32" s="42">
        <v>60.447458344296763</v>
      </c>
      <c r="F32" s="43">
        <v>30</v>
      </c>
      <c r="G32" s="44">
        <v>1.0400307993216384</v>
      </c>
      <c r="H32" s="44"/>
      <c r="I32" s="44"/>
      <c r="J32" s="44"/>
      <c r="K32" s="44"/>
      <c r="L32" s="44"/>
      <c r="M32" s="44">
        <v>41.060282299488769</v>
      </c>
      <c r="N32" s="50">
        <v>254</v>
      </c>
      <c r="O32" s="54">
        <f>VLOOKUP(A32,[1]Sheet1!$A$1:$I$297,2,FALSE)</f>
        <v>2</v>
      </c>
    </row>
    <row r="33" spans="1:15" ht="21" x14ac:dyDescent="0.4">
      <c r="A33" s="38" t="s">
        <v>559</v>
      </c>
      <c r="B33" s="39">
        <v>10</v>
      </c>
      <c r="C33" s="40">
        <v>42.5</v>
      </c>
      <c r="D33" s="41">
        <v>25</v>
      </c>
      <c r="E33" s="42">
        <v>58.956684047375447</v>
      </c>
      <c r="F33" s="43">
        <v>33.333333333333336</v>
      </c>
      <c r="G33" s="44">
        <v>1.0439990240288379</v>
      </c>
      <c r="H33" s="44"/>
      <c r="I33" s="44"/>
      <c r="J33" s="44"/>
      <c r="K33" s="44"/>
      <c r="L33" s="44"/>
      <c r="M33" s="44">
        <v>41.041619623565623</v>
      </c>
      <c r="N33" s="50">
        <v>255</v>
      </c>
      <c r="O33" s="54">
        <f>VLOOKUP(A33,[1]Sheet1!$A$1:$I$297,2,FALSE)</f>
        <v>2</v>
      </c>
    </row>
    <row r="34" spans="1:15" ht="21" x14ac:dyDescent="0.4">
      <c r="A34" s="38" t="s">
        <v>364</v>
      </c>
      <c r="B34" s="39">
        <v>10</v>
      </c>
      <c r="C34" s="40">
        <v>50</v>
      </c>
      <c r="D34" s="41">
        <v>66.666666666666671</v>
      </c>
      <c r="E34" s="42">
        <v>44.014297539756768</v>
      </c>
      <c r="F34" s="43">
        <v>43.333333333333336</v>
      </c>
      <c r="G34" s="44">
        <v>0.99712728574066567</v>
      </c>
      <c r="H34" s="44"/>
      <c r="I34" s="44"/>
      <c r="J34" s="44"/>
      <c r="K34" s="44"/>
      <c r="L34" s="44"/>
      <c r="M34" s="44">
        <v>40.549397387321228</v>
      </c>
      <c r="N34" s="50">
        <v>256</v>
      </c>
      <c r="O34" s="54">
        <f>VLOOKUP(A34,[1]Sheet1!$A$1:$I$297,2,FALSE)</f>
        <v>3</v>
      </c>
    </row>
    <row r="35" spans="1:15" ht="21" x14ac:dyDescent="0.4">
      <c r="A35" s="38" t="s">
        <v>309</v>
      </c>
      <c r="B35" s="39">
        <v>0</v>
      </c>
      <c r="C35" s="40">
        <v>37.5</v>
      </c>
      <c r="D35" s="41">
        <v>91.666666666666671</v>
      </c>
      <c r="E35" s="42">
        <v>61.146368540228906</v>
      </c>
      <c r="F35" s="43">
        <v>13.333333333333334</v>
      </c>
      <c r="G35" s="44">
        <v>0.92035842027448089</v>
      </c>
      <c r="H35" s="44"/>
      <c r="I35" s="44"/>
      <c r="J35" s="44"/>
      <c r="K35" s="44"/>
      <c r="L35" s="44"/>
      <c r="M35" s="44">
        <v>40.510630062082519</v>
      </c>
      <c r="N35" s="50">
        <v>257</v>
      </c>
      <c r="O35" s="54">
        <f>VLOOKUP(A35,[1]Sheet1!$A$1:$I$297,2,FALSE)</f>
        <v>2</v>
      </c>
    </row>
    <row r="36" spans="1:15" ht="21" x14ac:dyDescent="0.4">
      <c r="A36" s="38" t="s">
        <v>313</v>
      </c>
      <c r="B36" s="39">
        <v>10</v>
      </c>
      <c r="C36" s="40">
        <v>42.5</v>
      </c>
      <c r="D36" s="41">
        <v>25</v>
      </c>
      <c r="E36" s="42">
        <v>62.666273852367581</v>
      </c>
      <c r="F36" s="43">
        <v>30</v>
      </c>
      <c r="G36" s="44">
        <v>0.97302558540617912</v>
      </c>
      <c r="H36" s="44"/>
      <c r="I36" s="44"/>
      <c r="J36" s="44"/>
      <c r="K36" s="44"/>
      <c r="L36" s="44"/>
      <c r="M36" s="44">
        <v>40.33640629098192</v>
      </c>
      <c r="N36" s="50">
        <v>258</v>
      </c>
      <c r="O36" s="54">
        <f>VLOOKUP(A36,[1]Sheet1!$A$1:$I$297,2,FALSE)</f>
        <v>3</v>
      </c>
    </row>
    <row r="37" spans="1:15" ht="21" x14ac:dyDescent="0.4">
      <c r="A37" s="38" t="s">
        <v>510</v>
      </c>
      <c r="B37" s="39">
        <v>10</v>
      </c>
      <c r="C37" s="40">
        <v>47.5</v>
      </c>
      <c r="D37" s="41">
        <v>41.666666666666664</v>
      </c>
      <c r="E37" s="42">
        <v>54.531458938815547</v>
      </c>
      <c r="F37" s="43">
        <v>13.333333333333334</v>
      </c>
      <c r="G37" s="44">
        <v>1.0628555374028341</v>
      </c>
      <c r="H37" s="44"/>
      <c r="I37" s="44"/>
      <c r="J37" s="44"/>
      <c r="K37" s="44"/>
      <c r="L37" s="44"/>
      <c r="M37" s="44">
        <v>40.309336313115828</v>
      </c>
      <c r="N37" s="50">
        <v>259</v>
      </c>
      <c r="O37" s="54">
        <f>VLOOKUP(A37,[1]Sheet1!$A$1:$I$297,2,FALSE)</f>
        <v>3</v>
      </c>
    </row>
    <row r="38" spans="1:15" ht="21" x14ac:dyDescent="0.4">
      <c r="A38" s="38" t="s">
        <v>566</v>
      </c>
      <c r="B38" s="39">
        <v>0</v>
      </c>
      <c r="C38" s="40">
        <v>70</v>
      </c>
      <c r="D38" s="41">
        <v>58.333333333333336</v>
      </c>
      <c r="E38" s="42">
        <v>43.772315765057506</v>
      </c>
      <c r="F38" s="43">
        <v>43.333333333333336</v>
      </c>
      <c r="G38" s="44">
        <v>0.92035842027448089</v>
      </c>
      <c r="H38" s="44"/>
      <c r="I38" s="44"/>
      <c r="J38" s="44"/>
      <c r="K38" s="44"/>
      <c r="L38" s="44"/>
      <c r="M38" s="44">
        <v>40.281154422380304</v>
      </c>
      <c r="N38" s="50">
        <v>260</v>
      </c>
      <c r="O38" s="54">
        <f>VLOOKUP(A38,[1]Sheet1!$A$1:$I$297,2,FALSE)</f>
        <v>4</v>
      </c>
    </row>
    <row r="39" spans="1:15" ht="21" x14ac:dyDescent="0.4">
      <c r="A39" s="38" t="s">
        <v>486</v>
      </c>
      <c r="B39" s="39">
        <v>10</v>
      </c>
      <c r="C39" s="40">
        <v>48.75</v>
      </c>
      <c r="D39" s="41">
        <v>58.333333333333336</v>
      </c>
      <c r="E39" s="42">
        <v>52.096143541876643</v>
      </c>
      <c r="F39" s="43">
        <v>13.333333333333334</v>
      </c>
      <c r="G39" s="44">
        <v>1.0151377802952035</v>
      </c>
      <c r="H39" s="44"/>
      <c r="I39" s="44"/>
      <c r="J39" s="44"/>
      <c r="K39" s="44"/>
      <c r="L39" s="44"/>
      <c r="M39" s="44">
        <v>40.10084763407346</v>
      </c>
      <c r="N39" s="50">
        <v>261</v>
      </c>
      <c r="O39" s="54">
        <f>VLOOKUP(A39,[1]Sheet1!$A$1:$I$297,2,FALSE)</f>
        <v>3</v>
      </c>
    </row>
    <row r="40" spans="1:15" ht="21" x14ac:dyDescent="0.4">
      <c r="A40" s="38" t="s">
        <v>424</v>
      </c>
      <c r="B40" s="39">
        <v>0</v>
      </c>
      <c r="C40" s="40">
        <v>65</v>
      </c>
      <c r="D40" s="41">
        <v>75</v>
      </c>
      <c r="E40" s="42">
        <v>36.995270290956341</v>
      </c>
      <c r="F40" s="43">
        <v>43.333333333333336</v>
      </c>
      <c r="G40" s="44">
        <v>1.0257914060631408</v>
      </c>
      <c r="H40" s="44"/>
      <c r="I40" s="44"/>
      <c r="J40" s="44"/>
      <c r="K40" s="44"/>
      <c r="L40" s="44"/>
      <c r="M40" s="44">
        <v>40.013105465111757</v>
      </c>
      <c r="N40" s="50">
        <v>262</v>
      </c>
      <c r="O40" s="54">
        <f>VLOOKUP(A40,[1]Sheet1!$A$1:$I$297,2,FALSE)</f>
        <v>2</v>
      </c>
    </row>
    <row r="41" spans="1:15" ht="21" x14ac:dyDescent="0.4">
      <c r="A41" s="38" t="s">
        <v>458</v>
      </c>
      <c r="B41" s="39">
        <v>0</v>
      </c>
      <c r="C41" s="40">
        <v>43.75</v>
      </c>
      <c r="D41" s="41">
        <v>50</v>
      </c>
      <c r="E41" s="42">
        <v>62.90870288133496</v>
      </c>
      <c r="F41" s="43">
        <v>26.666666666666668</v>
      </c>
      <c r="G41" s="44">
        <v>0.92920688626403558</v>
      </c>
      <c r="H41" s="44"/>
      <c r="I41" s="44"/>
      <c r="J41" s="44"/>
      <c r="K41" s="44"/>
      <c r="L41" s="44"/>
      <c r="M41" s="44">
        <v>39.798746635976521</v>
      </c>
      <c r="N41" s="50">
        <v>263</v>
      </c>
      <c r="O41" s="54">
        <f>VLOOKUP(A41,[1]Sheet1!$A$1:$I$297,2,FALSE)</f>
        <v>2</v>
      </c>
    </row>
    <row r="42" spans="1:15" ht="21" x14ac:dyDescent="0.4">
      <c r="A42" s="38" t="s">
        <v>395</v>
      </c>
      <c r="B42" s="39">
        <v>0</v>
      </c>
      <c r="C42" s="40">
        <v>66.25</v>
      </c>
      <c r="D42" s="41">
        <v>25</v>
      </c>
      <c r="E42" s="42">
        <v>48.804060978710801</v>
      </c>
      <c r="F42" s="43">
        <v>26.666666666666668</v>
      </c>
      <c r="G42" s="44">
        <v>1.0861884242329052</v>
      </c>
      <c r="H42" s="44"/>
      <c r="I42" s="44"/>
      <c r="J42" s="44"/>
      <c r="K42" s="44"/>
      <c r="L42" s="44"/>
      <c r="M42" s="44">
        <v>39.620829102919664</v>
      </c>
      <c r="N42" s="50">
        <v>264</v>
      </c>
      <c r="O42" s="54">
        <f>VLOOKUP(A42,[1]Sheet1!$A$1:$I$297,2,FALSE)</f>
        <v>4</v>
      </c>
    </row>
    <row r="43" spans="1:15" ht="21" x14ac:dyDescent="0.4">
      <c r="A43" s="38" t="s">
        <v>411</v>
      </c>
      <c r="B43" s="39">
        <v>10</v>
      </c>
      <c r="C43" s="40">
        <v>61.25</v>
      </c>
      <c r="D43" s="41">
        <v>75</v>
      </c>
      <c r="E43" s="42">
        <v>35.318965389916549</v>
      </c>
      <c r="F43" s="43">
        <v>26.666666666666668</v>
      </c>
      <c r="G43" s="44">
        <v>1.0625076052031726</v>
      </c>
      <c r="H43" s="44"/>
      <c r="I43" s="44"/>
      <c r="J43" s="44"/>
      <c r="K43" s="44"/>
      <c r="L43" s="44"/>
      <c r="M43" s="44">
        <v>39.5523496109506</v>
      </c>
      <c r="N43" s="50">
        <v>265</v>
      </c>
      <c r="O43" s="54">
        <f>VLOOKUP(A43,[1]Sheet1!$A$1:$I$297,2,FALSE)</f>
        <v>4</v>
      </c>
    </row>
    <row r="44" spans="1:15" ht="21" x14ac:dyDescent="0.4">
      <c r="A44" s="38" t="s">
        <v>557</v>
      </c>
      <c r="B44" s="39">
        <v>10</v>
      </c>
      <c r="C44" s="40">
        <v>38.75</v>
      </c>
      <c r="D44" s="41">
        <v>41.666666666666664</v>
      </c>
      <c r="E44" s="42">
        <v>53.308679807597322</v>
      </c>
      <c r="F44" s="43">
        <v>43.333333333333336</v>
      </c>
      <c r="G44" s="44">
        <v>0.99031377703253243</v>
      </c>
      <c r="H44" s="44"/>
      <c r="I44" s="44"/>
      <c r="J44" s="44"/>
      <c r="K44" s="44"/>
      <c r="L44" s="44"/>
      <c r="M44" s="44">
        <v>39.347555573616908</v>
      </c>
      <c r="N44" s="50">
        <v>266</v>
      </c>
      <c r="O44" s="54">
        <f>VLOOKUP(A44,[1]Sheet1!$A$1:$I$297,2,FALSE)</f>
        <v>2</v>
      </c>
    </row>
    <row r="45" spans="1:15" ht="21" x14ac:dyDescent="0.4">
      <c r="A45" s="38" t="s">
        <v>396</v>
      </c>
      <c r="B45" s="39">
        <v>10</v>
      </c>
      <c r="C45" s="40">
        <v>33.75</v>
      </c>
      <c r="D45" s="41">
        <v>33.333333333333336</v>
      </c>
      <c r="E45" s="42">
        <v>59.21854428016961</v>
      </c>
      <c r="F45" s="43">
        <v>26.666666666666668</v>
      </c>
      <c r="G45" s="44">
        <v>1.0323832140267861</v>
      </c>
      <c r="H45" s="44"/>
      <c r="I45" s="44"/>
      <c r="J45" s="44"/>
      <c r="K45" s="44"/>
      <c r="L45" s="44"/>
      <c r="M45" s="44">
        <v>39.269258857633197</v>
      </c>
      <c r="N45" s="50">
        <v>267</v>
      </c>
      <c r="O45" s="54">
        <f>VLOOKUP(A45,[1]Sheet1!$A$1:$I$297,2,FALSE)</f>
        <v>2</v>
      </c>
    </row>
    <row r="46" spans="1:15" ht="21" x14ac:dyDescent="0.4">
      <c r="A46" s="38" t="s">
        <v>352</v>
      </c>
      <c r="B46" s="39">
        <v>10</v>
      </c>
      <c r="C46" s="40">
        <v>70</v>
      </c>
      <c r="D46" s="41">
        <v>16.666666666666668</v>
      </c>
      <c r="E46" s="42">
        <v>43.747940552402738</v>
      </c>
      <c r="F46" s="43">
        <v>26.666666666666668</v>
      </c>
      <c r="G46" s="44">
        <v>1.0692946921754718</v>
      </c>
      <c r="H46" s="44"/>
      <c r="I46" s="44"/>
      <c r="J46" s="44"/>
      <c r="K46" s="44"/>
      <c r="L46" s="44"/>
      <c r="M46" s="44">
        <v>39.183698968201206</v>
      </c>
      <c r="N46" s="50">
        <v>268</v>
      </c>
      <c r="O46" s="54">
        <f>VLOOKUP(A46,[1]Sheet1!$A$1:$I$297,2,FALSE)</f>
        <v>3</v>
      </c>
    </row>
    <row r="47" spans="1:15" ht="21" x14ac:dyDescent="0.4">
      <c r="A47" s="38" t="s">
        <v>350</v>
      </c>
      <c r="B47" s="39">
        <v>0</v>
      </c>
      <c r="C47" s="40">
        <v>70</v>
      </c>
      <c r="D47" s="41">
        <v>66.666666666666671</v>
      </c>
      <c r="E47" s="42">
        <v>32.271856529335466</v>
      </c>
      <c r="F47" s="43">
        <v>43.333333333333336</v>
      </c>
      <c r="G47" s="44">
        <v>1.0861884242329052</v>
      </c>
      <c r="H47" s="44"/>
      <c r="I47" s="44"/>
      <c r="J47" s="44"/>
      <c r="K47" s="44"/>
      <c r="L47" s="44"/>
      <c r="M47" s="44">
        <v>39.021326796267715</v>
      </c>
      <c r="N47" s="50">
        <v>269</v>
      </c>
      <c r="O47" s="54">
        <f>VLOOKUP(A47,[1]Sheet1!$A$1:$I$297,2,FALSE)</f>
        <v>4</v>
      </c>
    </row>
    <row r="48" spans="1:15" ht="21" x14ac:dyDescent="0.4">
      <c r="A48" s="38" t="s">
        <v>383</v>
      </c>
      <c r="B48" s="39">
        <v>10</v>
      </c>
      <c r="C48" s="40">
        <v>32.5</v>
      </c>
      <c r="D48" s="41">
        <v>25</v>
      </c>
      <c r="E48" s="42">
        <v>58.625377358077813</v>
      </c>
      <c r="F48" s="43">
        <v>43.333333333333336</v>
      </c>
      <c r="G48" s="44">
        <v>0.99846477727292804</v>
      </c>
      <c r="H48" s="44"/>
      <c r="I48" s="44"/>
      <c r="J48" s="44"/>
      <c r="K48" s="44"/>
      <c r="L48" s="44"/>
      <c r="M48" s="44">
        <v>38.744412626429003</v>
      </c>
      <c r="N48" s="50">
        <v>270</v>
      </c>
      <c r="O48" s="54">
        <f>VLOOKUP(A48,[1]Sheet1!$A$1:$I$297,2,FALSE)</f>
        <v>2</v>
      </c>
    </row>
    <row r="49" spans="1:15" ht="21" x14ac:dyDescent="0.4">
      <c r="A49" s="38" t="s">
        <v>362</v>
      </c>
      <c r="B49" s="39">
        <v>20</v>
      </c>
      <c r="C49" s="40">
        <v>32.5</v>
      </c>
      <c r="D49" s="41">
        <v>50</v>
      </c>
      <c r="E49" s="42">
        <v>52.160501914116082</v>
      </c>
      <c r="F49" s="43">
        <v>13.333333333333334</v>
      </c>
      <c r="G49" s="44">
        <v>1.0236415013327018</v>
      </c>
      <c r="H49" s="44"/>
      <c r="I49" s="44"/>
      <c r="J49" s="44"/>
      <c r="K49" s="44"/>
      <c r="L49" s="44"/>
      <c r="M49" s="44">
        <v>38.285361134517366</v>
      </c>
      <c r="N49" s="50">
        <v>271</v>
      </c>
      <c r="O49" s="54">
        <f>VLOOKUP(A49,[1]Sheet1!$A$1:$I$297,2,FALSE)</f>
        <v>3</v>
      </c>
    </row>
    <row r="50" spans="1:15" ht="21" x14ac:dyDescent="0.4">
      <c r="A50" s="38" t="s">
        <v>551</v>
      </c>
      <c r="B50" s="39">
        <v>30</v>
      </c>
      <c r="C50" s="40">
        <v>0</v>
      </c>
      <c r="D50" s="41">
        <v>0</v>
      </c>
      <c r="E50" s="42">
        <v>73.85768563202997</v>
      </c>
      <c r="F50" s="43">
        <v>0</v>
      </c>
      <c r="G50" s="44">
        <v>1.0747031096970729</v>
      </c>
      <c r="H50" s="44"/>
      <c r="I50" s="44"/>
      <c r="J50" s="44"/>
      <c r="K50" s="44"/>
      <c r="L50" s="44"/>
      <c r="M50" s="44">
        <v>38.198252427691017</v>
      </c>
      <c r="N50" s="50">
        <v>272</v>
      </c>
      <c r="O50" s="54">
        <f>VLOOKUP(A50,[1]Sheet1!$A$1:$I$297,2,FALSE)</f>
        <v>4</v>
      </c>
    </row>
    <row r="51" spans="1:15" ht="21" x14ac:dyDescent="0.4">
      <c r="A51" s="38" t="s">
        <v>344</v>
      </c>
      <c r="B51" s="39">
        <v>0</v>
      </c>
      <c r="C51" s="40">
        <v>40</v>
      </c>
      <c r="D51" s="41">
        <v>25</v>
      </c>
      <c r="E51" s="42">
        <v>55.467858081792002</v>
      </c>
      <c r="F51" s="43">
        <v>43.333333333333336</v>
      </c>
      <c r="G51" s="44">
        <v>1.04797426478682</v>
      </c>
      <c r="H51" s="44"/>
      <c r="I51" s="44"/>
      <c r="J51" s="44"/>
      <c r="K51" s="44"/>
      <c r="L51" s="44"/>
      <c r="M51" s="44">
        <v>38.084888450359593</v>
      </c>
      <c r="N51" s="50">
        <v>273</v>
      </c>
      <c r="O51" s="54">
        <f>VLOOKUP(A51,[1]Sheet1!$A$1:$I$297,2,FALSE)</f>
        <v>4</v>
      </c>
    </row>
    <row r="52" spans="1:15" ht="21" x14ac:dyDescent="0.4">
      <c r="A52" s="38" t="s">
        <v>359</v>
      </c>
      <c r="B52" s="39">
        <v>0</v>
      </c>
      <c r="C52" s="40">
        <v>45</v>
      </c>
      <c r="D52" s="41">
        <v>41.666666666666664</v>
      </c>
      <c r="E52" s="42">
        <v>46.436178016721712</v>
      </c>
      <c r="F52" s="43">
        <v>43.333333333333336</v>
      </c>
      <c r="G52" s="44">
        <v>1.0861884242329052</v>
      </c>
      <c r="H52" s="44"/>
      <c r="I52" s="44"/>
      <c r="J52" s="44"/>
      <c r="K52" s="44"/>
      <c r="L52" s="44"/>
      <c r="M52" s="44">
        <v>37.675375610952656</v>
      </c>
      <c r="N52" s="50">
        <v>274</v>
      </c>
      <c r="O52" s="54">
        <f>VLOOKUP(A52,[1]Sheet1!$A$1:$I$297,2,FALSE)</f>
        <v>2</v>
      </c>
    </row>
    <row r="53" spans="1:15" ht="21" x14ac:dyDescent="0.4">
      <c r="A53" s="38" t="s">
        <v>462</v>
      </c>
      <c r="B53" s="39">
        <v>65</v>
      </c>
      <c r="C53" s="40">
        <v>0</v>
      </c>
      <c r="D53" s="41">
        <v>8.3333333333333339</v>
      </c>
      <c r="E53" s="42">
        <v>63.574076641181847</v>
      </c>
      <c r="F53" s="43">
        <v>13.333333333333334</v>
      </c>
      <c r="G53" s="44">
        <v>0.92035842027448089</v>
      </c>
      <c r="H53" s="44"/>
      <c r="I53" s="44"/>
      <c r="J53" s="44"/>
      <c r="K53" s="44"/>
      <c r="L53" s="44"/>
      <c r="M53" s="44">
        <v>37.535700829389683</v>
      </c>
      <c r="N53" s="50">
        <v>275</v>
      </c>
      <c r="O53" s="54">
        <f>VLOOKUP(A53,[1]Sheet1!$A$1:$I$297,2,FALSE)</f>
        <v>3</v>
      </c>
    </row>
    <row r="54" spans="1:15" ht="21" x14ac:dyDescent="0.4">
      <c r="A54" s="38" t="s">
        <v>337</v>
      </c>
      <c r="B54" s="39">
        <v>10</v>
      </c>
      <c r="C54" s="40">
        <v>33.75</v>
      </c>
      <c r="D54" s="41">
        <v>25</v>
      </c>
      <c r="E54" s="42">
        <v>58.958813360584671</v>
      </c>
      <c r="F54" s="43">
        <v>26.666666666666668</v>
      </c>
      <c r="G54" s="44">
        <v>1.0003860229848884</v>
      </c>
      <c r="H54" s="44"/>
      <c r="I54" s="44"/>
      <c r="J54" s="44"/>
      <c r="K54" s="44"/>
      <c r="L54" s="44"/>
      <c r="M54" s="44">
        <v>37.510067839717884</v>
      </c>
      <c r="N54" s="50">
        <v>276</v>
      </c>
      <c r="O54" s="54">
        <f>VLOOKUP(A54,[1]Sheet1!$A$1:$I$297,2,FALSE)</f>
        <v>2</v>
      </c>
    </row>
    <row r="55" spans="1:15" ht="21" x14ac:dyDescent="0.4">
      <c r="A55" s="38" t="s">
        <v>465</v>
      </c>
      <c r="B55" s="39">
        <v>20</v>
      </c>
      <c r="C55" s="40">
        <v>21.25</v>
      </c>
      <c r="D55" s="41">
        <v>25</v>
      </c>
      <c r="E55" s="42">
        <v>53.46071462637893</v>
      </c>
      <c r="F55" s="43">
        <v>30</v>
      </c>
      <c r="G55" s="44">
        <v>1.0861884242329052</v>
      </c>
      <c r="H55" s="44"/>
      <c r="I55" s="44"/>
      <c r="J55" s="44"/>
      <c r="K55" s="44"/>
      <c r="L55" s="44"/>
      <c r="M55" s="44">
        <v>37.322117448288246</v>
      </c>
      <c r="N55" s="50">
        <v>277</v>
      </c>
      <c r="O55" s="54">
        <f>VLOOKUP(A55,[1]Sheet1!$A$1:$I$297,2,FALSE)</f>
        <v>3</v>
      </c>
    </row>
    <row r="56" spans="1:15" ht="21" x14ac:dyDescent="0.4">
      <c r="A56" s="38" t="s">
        <v>463</v>
      </c>
      <c r="B56" s="39">
        <v>0</v>
      </c>
      <c r="C56" s="40">
        <v>61.25</v>
      </c>
      <c r="D56" s="41">
        <v>50</v>
      </c>
      <c r="E56" s="42">
        <v>42.133741565619921</v>
      </c>
      <c r="F56" s="43">
        <v>26.666666666666668</v>
      </c>
      <c r="G56" s="44">
        <v>1.0261617406148802</v>
      </c>
      <c r="H56" s="44"/>
      <c r="I56" s="44"/>
      <c r="J56" s="44"/>
      <c r="K56" s="44"/>
      <c r="L56" s="44"/>
      <c r="M56" s="44">
        <v>37.21108010010429</v>
      </c>
      <c r="N56" s="50">
        <v>278</v>
      </c>
      <c r="O56" s="54">
        <f>VLOOKUP(A56,[1]Sheet1!$A$1:$I$297,2,FALSE)</f>
        <v>2</v>
      </c>
    </row>
    <row r="57" spans="1:15" ht="21" x14ac:dyDescent="0.4">
      <c r="A57" s="38" t="s">
        <v>493</v>
      </c>
      <c r="B57" s="39">
        <v>10</v>
      </c>
      <c r="C57" s="40">
        <v>32.5</v>
      </c>
      <c r="D57" s="41">
        <v>33.333333333333336</v>
      </c>
      <c r="E57" s="42">
        <v>61.467119378641421</v>
      </c>
      <c r="F57" s="43">
        <v>26.666666666666668</v>
      </c>
      <c r="G57" s="44">
        <v>0.92035842027448089</v>
      </c>
      <c r="H57" s="44"/>
      <c r="I57" s="44"/>
      <c r="J57" s="44"/>
      <c r="K57" s="44"/>
      <c r="L57" s="44"/>
      <c r="M57" s="44">
        <v>36.969429196608701</v>
      </c>
      <c r="N57" s="50">
        <v>279</v>
      </c>
      <c r="O57" s="54">
        <f>VLOOKUP(A57,[1]Sheet1!$A$1:$I$297,2,FALSE)</f>
        <v>2</v>
      </c>
    </row>
    <row r="58" spans="1:15" ht="21" x14ac:dyDescent="0.4">
      <c r="A58" s="38" t="s">
        <v>546</v>
      </c>
      <c r="B58" s="39">
        <v>0</v>
      </c>
      <c r="C58" s="40">
        <v>22.5</v>
      </c>
      <c r="D58" s="41">
        <v>16.666666666666668</v>
      </c>
      <c r="E58" s="42">
        <v>66.991109040314697</v>
      </c>
      <c r="F58" s="43">
        <v>13.333333333333334</v>
      </c>
      <c r="G58" s="44">
        <v>1.0499626611570552</v>
      </c>
      <c r="H58" s="44"/>
      <c r="I58" s="44"/>
      <c r="J58" s="44"/>
      <c r="K58" s="44"/>
      <c r="L58" s="44"/>
      <c r="M58" s="44">
        <v>35.635265248732516</v>
      </c>
      <c r="N58" s="50">
        <v>280</v>
      </c>
      <c r="O58" s="54">
        <f>VLOOKUP(A58,[1]Sheet1!$A$1:$I$297,2,FALSE)</f>
        <v>3</v>
      </c>
    </row>
    <row r="59" spans="1:15" ht="21" x14ac:dyDescent="0.4">
      <c r="A59" s="38" t="s">
        <v>379</v>
      </c>
      <c r="B59" s="39">
        <v>0</v>
      </c>
      <c r="C59" s="40">
        <v>32.5</v>
      </c>
      <c r="D59" s="41">
        <v>50</v>
      </c>
      <c r="E59" s="42">
        <v>59.486158379766337</v>
      </c>
      <c r="F59" s="43">
        <v>13.333333333333334</v>
      </c>
      <c r="G59" s="44">
        <v>0.94994284655512584</v>
      </c>
      <c r="H59" s="44"/>
      <c r="I59" s="44"/>
      <c r="J59" s="44"/>
      <c r="K59" s="44"/>
      <c r="L59" s="44"/>
      <c r="M59" s="44">
        <v>35.436713582095052</v>
      </c>
      <c r="N59" s="50">
        <v>281</v>
      </c>
      <c r="O59" s="54">
        <f>VLOOKUP(A59,[1]Sheet1!$A$1:$I$297,2,FALSE)</f>
        <v>2</v>
      </c>
    </row>
    <row r="60" spans="1:15" ht="21" x14ac:dyDescent="0.4">
      <c r="A60" s="38" t="s">
        <v>365</v>
      </c>
      <c r="B60" s="39">
        <v>40</v>
      </c>
      <c r="C60" s="40">
        <v>11.25</v>
      </c>
      <c r="D60" s="41">
        <v>8.3333333333333339</v>
      </c>
      <c r="E60" s="42">
        <v>63.86820778032714</v>
      </c>
      <c r="F60" s="43">
        <v>13.333333333333334</v>
      </c>
      <c r="G60" s="44">
        <v>0.92035842027448089</v>
      </c>
      <c r="H60" s="44"/>
      <c r="I60" s="44"/>
      <c r="J60" s="44"/>
      <c r="K60" s="44"/>
      <c r="L60" s="44"/>
      <c r="M60" s="44">
        <v>35.292191156248194</v>
      </c>
      <c r="N60" s="50">
        <v>282</v>
      </c>
      <c r="O60" s="54">
        <f>VLOOKUP(A60,[1]Sheet1!$A$1:$I$297,2,FALSE)</f>
        <v>4</v>
      </c>
    </row>
    <row r="61" spans="1:15" ht="21" x14ac:dyDescent="0.4">
      <c r="A61" s="38" t="s">
        <v>414</v>
      </c>
      <c r="B61" s="39">
        <v>10</v>
      </c>
      <c r="C61" s="40">
        <v>23.75</v>
      </c>
      <c r="D61" s="41">
        <v>33.333333333333336</v>
      </c>
      <c r="E61" s="42">
        <v>51.01071464092233</v>
      </c>
      <c r="F61" s="43">
        <v>30</v>
      </c>
      <c r="G61" s="44">
        <v>1.072922722201</v>
      </c>
      <c r="H61" s="44"/>
      <c r="I61" s="44"/>
      <c r="J61" s="44"/>
      <c r="K61" s="44"/>
      <c r="L61" s="44"/>
      <c r="M61" s="44">
        <v>35.121400703318059</v>
      </c>
      <c r="N61" s="50">
        <v>283</v>
      </c>
      <c r="O61" s="54">
        <f>VLOOKUP(A61,[1]Sheet1!$A$1:$I$297,2,FALSE)</f>
        <v>3</v>
      </c>
    </row>
    <row r="62" spans="1:15" ht="21" x14ac:dyDescent="0.4">
      <c r="A62" s="38" t="s">
        <v>354</v>
      </c>
      <c r="B62" s="39">
        <v>10</v>
      </c>
      <c r="C62" s="40">
        <v>66.25</v>
      </c>
      <c r="D62" s="41">
        <v>25</v>
      </c>
      <c r="E62" s="42">
        <v>36.917569551278106</v>
      </c>
      <c r="F62" s="43">
        <v>26.666666666666668</v>
      </c>
      <c r="G62" s="44">
        <v>0.96668889202081898</v>
      </c>
      <c r="H62" s="44"/>
      <c r="I62" s="44"/>
      <c r="J62" s="44"/>
      <c r="K62" s="44"/>
      <c r="L62" s="44"/>
      <c r="M62" s="44">
        <v>34.625166212958923</v>
      </c>
      <c r="N62" s="50">
        <v>284</v>
      </c>
      <c r="O62" s="54">
        <f>VLOOKUP(A62,[1]Sheet1!$A$1:$I$297,2,FALSE)</f>
        <v>3</v>
      </c>
    </row>
    <row r="63" spans="1:15" ht="21" x14ac:dyDescent="0.4">
      <c r="A63" s="38" t="s">
        <v>412</v>
      </c>
      <c r="B63" s="39">
        <v>10</v>
      </c>
      <c r="C63" s="40">
        <v>37.5</v>
      </c>
      <c r="D63" s="41">
        <v>50</v>
      </c>
      <c r="E63" s="42">
        <v>42.024484477494049</v>
      </c>
      <c r="F63" s="43">
        <v>26.666666666666668</v>
      </c>
      <c r="G63" s="44">
        <v>1.031311215583711</v>
      </c>
      <c r="H63" s="44"/>
      <c r="I63" s="44"/>
      <c r="J63" s="44"/>
      <c r="K63" s="44"/>
      <c r="L63" s="44"/>
      <c r="M63" s="44">
        <v>34.565417966139364</v>
      </c>
      <c r="N63" s="50">
        <v>285</v>
      </c>
      <c r="O63" s="54">
        <f>VLOOKUP(A63,[1]Sheet1!$A$1:$I$297,2,FALSE)</f>
        <v>3</v>
      </c>
    </row>
    <row r="64" spans="1:15" ht="21" x14ac:dyDescent="0.4">
      <c r="A64" s="38" t="s">
        <v>422</v>
      </c>
      <c r="B64" s="39">
        <v>10</v>
      </c>
      <c r="C64" s="40">
        <v>27.5</v>
      </c>
      <c r="D64" s="41">
        <v>16.666666666666668</v>
      </c>
      <c r="E64" s="42">
        <v>55.379110195357619</v>
      </c>
      <c r="F64" s="43">
        <v>13.333333333333334</v>
      </c>
      <c r="G64" s="44">
        <v>1.0715571738075789</v>
      </c>
      <c r="H64" s="44"/>
      <c r="I64" s="44"/>
      <c r="J64" s="44"/>
      <c r="K64" s="44"/>
      <c r="L64" s="44"/>
      <c r="M64" s="44">
        <v>34.37986747118152</v>
      </c>
      <c r="N64" s="50">
        <v>286</v>
      </c>
      <c r="O64" s="54">
        <f>VLOOKUP(A64,[1]Sheet1!$A$1:$I$297,2,FALSE)</f>
        <v>4</v>
      </c>
    </row>
    <row r="65" spans="1:15" ht="21" x14ac:dyDescent="0.4">
      <c r="A65" s="38" t="s">
        <v>563</v>
      </c>
      <c r="B65" s="39">
        <v>0</v>
      </c>
      <c r="C65" s="40">
        <v>0</v>
      </c>
      <c r="D65" s="41">
        <v>0</v>
      </c>
      <c r="E65" s="42">
        <v>91.758896915197766</v>
      </c>
      <c r="F65" s="43">
        <v>0</v>
      </c>
      <c r="G65" s="44">
        <v>0.9287196207575894</v>
      </c>
      <c r="H65" s="44"/>
      <c r="I65" s="44"/>
      <c r="J65" s="44"/>
      <c r="K65" s="44"/>
      <c r="L65" s="44"/>
      <c r="M65" s="44">
        <v>34.087315177686882</v>
      </c>
      <c r="N65" s="50">
        <v>287</v>
      </c>
      <c r="O65" s="54">
        <f>VLOOKUP(A65,[1]Sheet1!$A$1:$I$297,2,FALSE)</f>
        <v>4</v>
      </c>
    </row>
    <row r="66" spans="1:15" ht="21" x14ac:dyDescent="0.4">
      <c r="A66" s="38" t="s">
        <v>520</v>
      </c>
      <c r="B66" s="39">
        <v>0</v>
      </c>
      <c r="C66" s="40">
        <v>53.75</v>
      </c>
      <c r="D66" s="41">
        <v>25</v>
      </c>
      <c r="E66" s="42">
        <v>45.103285722267351</v>
      </c>
      <c r="F66" s="43">
        <v>26.666666666666668</v>
      </c>
      <c r="G66" s="44">
        <v>0.98939452199119904</v>
      </c>
      <c r="H66" s="44"/>
      <c r="I66" s="44"/>
      <c r="J66" s="44"/>
      <c r="K66" s="44"/>
      <c r="L66" s="44"/>
      <c r="M66" s="44">
        <v>33.766644193632736</v>
      </c>
      <c r="N66" s="50">
        <v>288</v>
      </c>
      <c r="O66" s="54">
        <f>VLOOKUP(A66,[1]Sheet1!$A$1:$I$297,2,FALSE)</f>
        <v>4</v>
      </c>
    </row>
    <row r="67" spans="1:15" ht="21" x14ac:dyDescent="0.4">
      <c r="A67" s="38" t="s">
        <v>317</v>
      </c>
      <c r="B67" s="39">
        <v>10</v>
      </c>
      <c r="C67" s="40">
        <v>32.5</v>
      </c>
      <c r="D67" s="41">
        <v>41.666666666666664</v>
      </c>
      <c r="E67" s="42">
        <v>38.016912300656621</v>
      </c>
      <c r="F67" s="43">
        <v>43.333333333333336</v>
      </c>
      <c r="G67" s="44">
        <v>1.0861884242329052</v>
      </c>
      <c r="H67" s="44"/>
      <c r="I67" s="44"/>
      <c r="J67" s="44"/>
      <c r="K67" s="44"/>
      <c r="L67" s="44"/>
      <c r="M67" s="44">
        <v>33.689788874886119</v>
      </c>
      <c r="N67" s="50">
        <v>289</v>
      </c>
      <c r="O67" s="54">
        <f>VLOOKUP(A67,[1]Sheet1!$A$1:$I$297,2,FALSE)</f>
        <v>3</v>
      </c>
    </row>
    <row r="68" spans="1:15" ht="21" x14ac:dyDescent="0.4">
      <c r="A68" s="38" t="s">
        <v>307</v>
      </c>
      <c r="B68" s="39">
        <v>0</v>
      </c>
      <c r="C68" s="40">
        <v>71.25</v>
      </c>
      <c r="D68" s="41">
        <v>33.333333333333336</v>
      </c>
      <c r="E68" s="42">
        <v>31.894212946198522</v>
      </c>
      <c r="F68" s="43">
        <v>26.666666666666668</v>
      </c>
      <c r="G68" s="44">
        <v>1.0350243114840945</v>
      </c>
      <c r="H68" s="44"/>
      <c r="I68" s="44"/>
      <c r="J68" s="44"/>
      <c r="K68" s="44"/>
      <c r="L68" s="44"/>
      <c r="M68" s="44">
        <v>33.454514317986487</v>
      </c>
      <c r="N68" s="50">
        <v>290</v>
      </c>
      <c r="O68" s="54">
        <f>VLOOKUP(A68,[1]Sheet1!$A$1:$I$297,2,FALSE)</f>
        <v>3</v>
      </c>
    </row>
    <row r="69" spans="1:15" ht="21" x14ac:dyDescent="0.4">
      <c r="A69" s="38" t="s">
        <v>461</v>
      </c>
      <c r="B69" s="39">
        <v>0</v>
      </c>
      <c r="C69" s="40">
        <v>27.5</v>
      </c>
      <c r="D69" s="41">
        <v>33.333333333333336</v>
      </c>
      <c r="E69" s="42">
        <v>48.954750903115247</v>
      </c>
      <c r="F69" s="43">
        <v>26.666666666666668</v>
      </c>
      <c r="G69" s="44">
        <v>1.0861884242329052</v>
      </c>
      <c r="H69" s="44"/>
      <c r="I69" s="44"/>
      <c r="J69" s="44"/>
      <c r="K69" s="44"/>
      <c r="L69" s="44"/>
      <c r="M69" s="44">
        <v>32.769633496867655</v>
      </c>
      <c r="N69" s="50">
        <v>291</v>
      </c>
      <c r="O69" s="54">
        <f>VLOOKUP(A69,[1]Sheet1!$A$1:$I$297,2,FALSE)</f>
        <v>3</v>
      </c>
    </row>
    <row r="70" spans="1:15" ht="21" x14ac:dyDescent="0.4">
      <c r="A70" s="38" t="s">
        <v>494</v>
      </c>
      <c r="B70" s="39">
        <v>0</v>
      </c>
      <c r="C70" s="40">
        <v>33.75</v>
      </c>
      <c r="D70" s="41">
        <v>33.333333333333336</v>
      </c>
      <c r="E70" s="42">
        <v>42.173928715236272</v>
      </c>
      <c r="F70" s="43">
        <v>26.666666666666668</v>
      </c>
      <c r="G70" s="44">
        <v>1.0760505553027284</v>
      </c>
      <c r="H70" s="44"/>
      <c r="I70" s="44"/>
      <c r="J70" s="44"/>
      <c r="K70" s="44"/>
      <c r="L70" s="44"/>
      <c r="M70" s="44">
        <v>30.902511765331074</v>
      </c>
      <c r="N70" s="50">
        <v>292</v>
      </c>
      <c r="O70" s="54">
        <f>VLOOKUP(A70,[1]Sheet1!$A$1:$I$297,2,FALSE)</f>
        <v>3</v>
      </c>
    </row>
    <row r="71" spans="1:15" ht="21" x14ac:dyDescent="0.4">
      <c r="A71" s="38" t="s">
        <v>516</v>
      </c>
      <c r="B71" s="39">
        <v>0</v>
      </c>
      <c r="C71" s="40">
        <v>32.5</v>
      </c>
      <c r="D71" s="41">
        <v>25</v>
      </c>
      <c r="E71" s="42">
        <v>36.687237229758438</v>
      </c>
      <c r="F71" s="43">
        <v>43.333333333333336</v>
      </c>
      <c r="G71" s="44">
        <v>1.0861884242329052</v>
      </c>
      <c r="H71" s="44"/>
      <c r="I71" s="44"/>
      <c r="J71" s="44"/>
      <c r="K71" s="44"/>
      <c r="L71" s="44"/>
      <c r="M71" s="44">
        <v>29.273034291753369</v>
      </c>
      <c r="N71" s="50">
        <v>293</v>
      </c>
      <c r="O71" s="54">
        <f>VLOOKUP(A71,[1]Sheet1!$A$1:$I$297,2,FALSE)</f>
        <v>4</v>
      </c>
    </row>
    <row r="72" spans="1:15" ht="21" x14ac:dyDescent="0.4">
      <c r="A72" s="38" t="s">
        <v>482</v>
      </c>
      <c r="B72" s="39">
        <v>0</v>
      </c>
      <c r="C72" s="40">
        <v>6.25</v>
      </c>
      <c r="D72" s="41">
        <v>8.3333333333333339</v>
      </c>
      <c r="E72" s="42">
        <v>55.913601250324703</v>
      </c>
      <c r="F72" s="43">
        <v>13.333333333333334</v>
      </c>
      <c r="G72" s="44">
        <v>1.0861884242329052</v>
      </c>
      <c r="H72" s="44"/>
      <c r="I72" s="44"/>
      <c r="J72" s="44"/>
      <c r="K72" s="44"/>
      <c r="L72" s="44"/>
      <c r="M72" s="44">
        <v>27.709749240777541</v>
      </c>
      <c r="N72" s="50">
        <v>294</v>
      </c>
      <c r="O72" s="54">
        <f>VLOOKUP(A72,[1]Sheet1!$A$1:$I$297,2,FALSE)</f>
        <v>4</v>
      </c>
    </row>
    <row r="73" spans="1:15" ht="21" x14ac:dyDescent="0.4">
      <c r="A73" s="38" t="s">
        <v>495</v>
      </c>
      <c r="B73" s="39">
        <v>0</v>
      </c>
      <c r="C73" s="40">
        <v>0</v>
      </c>
      <c r="D73" s="41">
        <v>8.3333333333333339</v>
      </c>
      <c r="E73" s="42">
        <v>57.415228330387201</v>
      </c>
      <c r="F73" s="43">
        <v>26.666666666666668</v>
      </c>
      <c r="G73" s="44">
        <v>1.0047976264329039</v>
      </c>
      <c r="H73" s="44"/>
      <c r="I73" s="44"/>
      <c r="J73" s="44"/>
      <c r="K73" s="44"/>
      <c r="L73" s="44"/>
      <c r="M73" s="44">
        <v>26.576274058990514</v>
      </c>
      <c r="N73" s="50">
        <v>295</v>
      </c>
      <c r="O73" s="54">
        <f>VLOOKUP(A73,[1]Sheet1!$A$1:$I$297,2,FALSE)</f>
        <v>3</v>
      </c>
    </row>
    <row r="74" spans="1:15" ht="21" x14ac:dyDescent="0.4">
      <c r="A74" s="38" t="s">
        <v>562</v>
      </c>
      <c r="B74" s="39">
        <v>0</v>
      </c>
      <c r="C74" s="40">
        <v>0</v>
      </c>
      <c r="D74" s="41">
        <v>0</v>
      </c>
      <c r="E74" s="42">
        <v>54.015198144912986</v>
      </c>
      <c r="F74" s="43">
        <v>0</v>
      </c>
      <c r="G74" s="44">
        <v>1.0151991465906902</v>
      </c>
      <c r="H74" s="44"/>
      <c r="I74" s="44"/>
      <c r="J74" s="44"/>
      <c r="K74" s="44"/>
      <c r="L74" s="44"/>
      <c r="M74" s="44">
        <v>21.934473223857079</v>
      </c>
      <c r="N74" s="50">
        <v>296</v>
      </c>
      <c r="O74" s="54">
        <f>VLOOKUP(A74,[1]Sheet1!$A$1:$I$297,2,FALSE)</f>
        <v>4</v>
      </c>
    </row>
    <row r="75" spans="1:15" ht="17.399999999999999" x14ac:dyDescent="0.3">
      <c r="A75" s="5">
        <f>COUNTA(A2:A74)</f>
        <v>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A717-3C70-4529-AA75-E85AA5F74114}">
  <dimension ref="A1:D300"/>
  <sheetViews>
    <sheetView workbookViewId="0">
      <pane xSplit="25296" ySplit="4164" topLeftCell="B293" activePane="bottomLeft"/>
      <selection activeCell="D8" sqref="D8"/>
      <selection pane="topRight" activeCell="B1" sqref="B1"/>
      <selection pane="bottomLeft" activeCell="B295" sqref="B295"/>
      <selection pane="bottomRight" activeCell="B34" sqref="B34"/>
    </sheetView>
  </sheetViews>
  <sheetFormatPr defaultColWidth="9" defaultRowHeight="13.8" x14ac:dyDescent="0.25"/>
  <cols>
    <col min="1" max="1" width="18.109375" style="2" customWidth="1"/>
    <col min="2" max="2" width="37.33203125" style="28" customWidth="1"/>
    <col min="3" max="3" width="43.6640625" style="28" customWidth="1"/>
    <col min="4" max="4" width="37.44140625" style="2" customWidth="1"/>
    <col min="5" max="16384" width="9" style="2"/>
  </cols>
  <sheetData>
    <row r="1" spans="1:4" ht="14.4" x14ac:dyDescent="0.25">
      <c r="A1" s="1" t="s">
        <v>298</v>
      </c>
      <c r="B1" s="7" t="s">
        <v>299</v>
      </c>
      <c r="C1" s="7" t="s">
        <v>300</v>
      </c>
      <c r="D1" s="27" t="s">
        <v>659</v>
      </c>
    </row>
    <row r="2" spans="1:4" ht="14.4" x14ac:dyDescent="0.25">
      <c r="A2" s="15" t="s">
        <v>610</v>
      </c>
      <c r="B2" s="28">
        <v>50</v>
      </c>
      <c r="C2" s="28">
        <v>40</v>
      </c>
      <c r="D2" s="2">
        <f>AVERAGE(B2:C2)</f>
        <v>45</v>
      </c>
    </row>
    <row r="3" spans="1:4" ht="14.4" x14ac:dyDescent="0.25">
      <c r="A3" s="15" t="s">
        <v>613</v>
      </c>
      <c r="B3" s="28">
        <v>25</v>
      </c>
      <c r="C3" s="28">
        <v>40</v>
      </c>
      <c r="D3" s="2">
        <f t="shared" ref="D3:D66" si="0">AVERAGE(B3:C3)</f>
        <v>32.5</v>
      </c>
    </row>
    <row r="4" spans="1:4" ht="14.4" x14ac:dyDescent="0.25">
      <c r="A4" s="15" t="s">
        <v>611</v>
      </c>
      <c r="B4" s="28">
        <v>25</v>
      </c>
      <c r="C4" s="28">
        <v>40</v>
      </c>
      <c r="D4" s="2">
        <f t="shared" si="0"/>
        <v>32.5</v>
      </c>
    </row>
    <row r="5" spans="1:4" ht="14.4" x14ac:dyDescent="0.25">
      <c r="A5" s="15" t="s">
        <v>612</v>
      </c>
      <c r="B5" s="28">
        <v>25</v>
      </c>
      <c r="C5" s="28">
        <v>60</v>
      </c>
      <c r="D5" s="2">
        <f t="shared" si="0"/>
        <v>42.5</v>
      </c>
    </row>
    <row r="6" spans="1:4" x14ac:dyDescent="0.25">
      <c r="A6" s="2" t="s">
        <v>346</v>
      </c>
      <c r="B6" s="28">
        <v>0</v>
      </c>
      <c r="C6" s="28">
        <v>40</v>
      </c>
      <c r="D6" s="2">
        <f t="shared" si="0"/>
        <v>20</v>
      </c>
    </row>
    <row r="7" spans="1:4" x14ac:dyDescent="0.25">
      <c r="A7" s="2" t="s">
        <v>338</v>
      </c>
      <c r="B7" s="28">
        <v>0</v>
      </c>
      <c r="C7" s="28">
        <v>40</v>
      </c>
      <c r="D7" s="2">
        <f t="shared" si="0"/>
        <v>20</v>
      </c>
    </row>
    <row r="8" spans="1:4" x14ac:dyDescent="0.25">
      <c r="A8" s="2" t="s">
        <v>325</v>
      </c>
      <c r="B8" s="28">
        <v>0</v>
      </c>
      <c r="C8" s="28">
        <v>20</v>
      </c>
      <c r="D8" s="2">
        <f t="shared" si="0"/>
        <v>10</v>
      </c>
    </row>
    <row r="9" spans="1:4" x14ac:dyDescent="0.25">
      <c r="A9" s="2" t="s">
        <v>311</v>
      </c>
      <c r="B9" s="28">
        <v>0</v>
      </c>
      <c r="C9" s="28">
        <v>0</v>
      </c>
      <c r="D9" s="2">
        <f t="shared" si="0"/>
        <v>0</v>
      </c>
    </row>
    <row r="10" spans="1:4" ht="14.4" x14ac:dyDescent="0.25">
      <c r="A10" s="15" t="s">
        <v>639</v>
      </c>
      <c r="B10" s="28">
        <v>0</v>
      </c>
      <c r="C10" s="28">
        <v>20</v>
      </c>
      <c r="D10" s="2">
        <f t="shared" si="0"/>
        <v>10</v>
      </c>
    </row>
    <row r="11" spans="1:4" x14ac:dyDescent="0.25">
      <c r="A11" s="2" t="s">
        <v>533</v>
      </c>
      <c r="B11" s="28">
        <v>50</v>
      </c>
      <c r="C11" s="28">
        <v>80</v>
      </c>
      <c r="D11" s="2">
        <f t="shared" si="0"/>
        <v>65</v>
      </c>
    </row>
    <row r="12" spans="1:4" x14ac:dyDescent="0.25">
      <c r="A12" s="2" t="s">
        <v>556</v>
      </c>
      <c r="B12" s="28">
        <v>0</v>
      </c>
      <c r="C12" s="28">
        <v>20</v>
      </c>
      <c r="D12" s="2">
        <f t="shared" si="0"/>
        <v>10</v>
      </c>
    </row>
    <row r="13" spans="1:4" ht="14.4" x14ac:dyDescent="0.25">
      <c r="A13" s="15" t="s">
        <v>631</v>
      </c>
      <c r="B13" s="28">
        <v>0</v>
      </c>
      <c r="C13" s="28">
        <v>80</v>
      </c>
      <c r="D13" s="2">
        <f t="shared" si="0"/>
        <v>40</v>
      </c>
    </row>
    <row r="14" spans="1:4" ht="14.4" x14ac:dyDescent="0.25">
      <c r="A14" s="15" t="s">
        <v>621</v>
      </c>
      <c r="B14" s="28">
        <v>0</v>
      </c>
      <c r="C14" s="28">
        <v>20</v>
      </c>
      <c r="D14" s="2">
        <f t="shared" si="0"/>
        <v>10</v>
      </c>
    </row>
    <row r="15" spans="1:4" ht="14.4" x14ac:dyDescent="0.25">
      <c r="A15" s="3" t="s">
        <v>494</v>
      </c>
      <c r="B15" s="28">
        <v>0</v>
      </c>
      <c r="C15" s="28">
        <v>0</v>
      </c>
      <c r="D15" s="2">
        <f t="shared" si="0"/>
        <v>0</v>
      </c>
    </row>
    <row r="16" spans="1:4" ht="14.4" x14ac:dyDescent="0.25">
      <c r="A16" s="15" t="s">
        <v>622</v>
      </c>
      <c r="B16" s="28">
        <v>0</v>
      </c>
      <c r="C16" s="28">
        <v>20</v>
      </c>
      <c r="D16" s="2">
        <f t="shared" si="0"/>
        <v>10</v>
      </c>
    </row>
    <row r="17" spans="1:4" ht="14.4" x14ac:dyDescent="0.25">
      <c r="A17" s="15" t="s">
        <v>623</v>
      </c>
      <c r="B17" s="28">
        <v>50</v>
      </c>
      <c r="C17" s="28">
        <v>60</v>
      </c>
      <c r="D17" s="2">
        <f t="shared" si="0"/>
        <v>55</v>
      </c>
    </row>
    <row r="18" spans="1:4" ht="14.4" x14ac:dyDescent="0.25">
      <c r="A18" s="15" t="s">
        <v>624</v>
      </c>
      <c r="B18" s="28">
        <v>75</v>
      </c>
      <c r="C18" s="28">
        <v>80</v>
      </c>
      <c r="D18" s="2">
        <f t="shared" si="0"/>
        <v>77.5</v>
      </c>
    </row>
    <row r="19" spans="1:4" x14ac:dyDescent="0.25">
      <c r="A19" s="2" t="s">
        <v>505</v>
      </c>
      <c r="B19" s="28">
        <v>0</v>
      </c>
      <c r="C19" s="28">
        <v>0</v>
      </c>
      <c r="D19" s="2">
        <f t="shared" si="0"/>
        <v>0</v>
      </c>
    </row>
    <row r="20" spans="1:4" x14ac:dyDescent="0.25">
      <c r="A20" s="2" t="s">
        <v>543</v>
      </c>
      <c r="B20" s="28">
        <v>50</v>
      </c>
      <c r="C20" s="28">
        <v>80</v>
      </c>
      <c r="D20" s="2">
        <f t="shared" si="0"/>
        <v>65</v>
      </c>
    </row>
    <row r="21" spans="1:4" x14ac:dyDescent="0.25">
      <c r="A21" s="2" t="s">
        <v>432</v>
      </c>
      <c r="B21" s="28">
        <v>50</v>
      </c>
      <c r="C21" s="28">
        <v>80</v>
      </c>
      <c r="D21" s="2">
        <f t="shared" si="0"/>
        <v>65</v>
      </c>
    </row>
    <row r="22" spans="1:4" ht="14.4" x14ac:dyDescent="0.25">
      <c r="A22" s="15" t="s">
        <v>619</v>
      </c>
      <c r="B22" s="28">
        <v>0</v>
      </c>
      <c r="C22" s="28">
        <v>40</v>
      </c>
      <c r="D22" s="2">
        <f t="shared" si="0"/>
        <v>20</v>
      </c>
    </row>
    <row r="23" spans="1:4" ht="14.4" x14ac:dyDescent="0.25">
      <c r="A23" s="15" t="s">
        <v>620</v>
      </c>
      <c r="B23" s="28">
        <v>50</v>
      </c>
      <c r="C23" s="28">
        <v>100</v>
      </c>
      <c r="D23" s="2">
        <f t="shared" si="0"/>
        <v>75</v>
      </c>
    </row>
    <row r="24" spans="1:4" x14ac:dyDescent="0.25">
      <c r="A24" s="2" t="s">
        <v>463</v>
      </c>
      <c r="B24" s="28">
        <v>0</v>
      </c>
      <c r="C24" s="28">
        <v>0</v>
      </c>
      <c r="D24" s="2">
        <f t="shared" si="0"/>
        <v>0</v>
      </c>
    </row>
    <row r="25" spans="1:4" ht="14.4" x14ac:dyDescent="0.25">
      <c r="A25" s="15" t="s">
        <v>632</v>
      </c>
      <c r="B25" s="28">
        <v>0</v>
      </c>
      <c r="C25" s="28">
        <v>80</v>
      </c>
      <c r="D25" s="2">
        <f t="shared" si="0"/>
        <v>40</v>
      </c>
    </row>
    <row r="26" spans="1:4" x14ac:dyDescent="0.25">
      <c r="A26" s="2" t="s">
        <v>327</v>
      </c>
      <c r="B26" s="28">
        <v>0</v>
      </c>
      <c r="C26" s="28">
        <v>0</v>
      </c>
      <c r="D26" s="2">
        <f t="shared" si="0"/>
        <v>0</v>
      </c>
    </row>
    <row r="27" spans="1:4" x14ac:dyDescent="0.25">
      <c r="A27" s="2" t="s">
        <v>447</v>
      </c>
      <c r="B27" s="28">
        <v>50</v>
      </c>
      <c r="C27" s="28">
        <v>80</v>
      </c>
      <c r="D27" s="2">
        <f t="shared" si="0"/>
        <v>65</v>
      </c>
    </row>
    <row r="28" spans="1:4" x14ac:dyDescent="0.25">
      <c r="A28" s="2" t="s">
        <v>458</v>
      </c>
      <c r="B28" s="28">
        <v>0</v>
      </c>
      <c r="C28" s="28">
        <v>0</v>
      </c>
      <c r="D28" s="2">
        <f t="shared" si="0"/>
        <v>0</v>
      </c>
    </row>
    <row r="29" spans="1:4" ht="14.4" x14ac:dyDescent="0.25">
      <c r="A29" s="15" t="s">
        <v>618</v>
      </c>
      <c r="B29" s="28">
        <v>0</v>
      </c>
      <c r="C29" s="28">
        <v>20</v>
      </c>
      <c r="D29" s="2">
        <f t="shared" si="0"/>
        <v>10</v>
      </c>
    </row>
    <row r="30" spans="1:4" ht="14.4" x14ac:dyDescent="0.25">
      <c r="A30" s="15" t="s">
        <v>650</v>
      </c>
      <c r="B30" s="28">
        <v>25</v>
      </c>
      <c r="C30" s="28">
        <v>100</v>
      </c>
      <c r="D30" s="2">
        <f t="shared" si="0"/>
        <v>62.5</v>
      </c>
    </row>
    <row r="31" spans="1:4" ht="14.4" x14ac:dyDescent="0.25">
      <c r="A31" s="15" t="s">
        <v>627</v>
      </c>
      <c r="B31" s="28">
        <v>25</v>
      </c>
      <c r="C31" s="28">
        <v>80</v>
      </c>
      <c r="D31" s="2">
        <f t="shared" si="0"/>
        <v>52.5</v>
      </c>
    </row>
    <row r="32" spans="1:4" x14ac:dyDescent="0.25">
      <c r="A32" s="2" t="s">
        <v>454</v>
      </c>
      <c r="B32" s="28">
        <v>0</v>
      </c>
      <c r="C32" s="28">
        <v>20</v>
      </c>
      <c r="D32" s="2">
        <f t="shared" si="0"/>
        <v>10</v>
      </c>
    </row>
    <row r="33" spans="1:4" x14ac:dyDescent="0.25">
      <c r="A33" s="2" t="s">
        <v>490</v>
      </c>
      <c r="B33" s="28">
        <v>25</v>
      </c>
      <c r="C33" s="28">
        <v>80</v>
      </c>
      <c r="D33" s="2">
        <f t="shared" si="0"/>
        <v>52.5</v>
      </c>
    </row>
    <row r="34" spans="1:4" x14ac:dyDescent="0.25">
      <c r="A34" s="2" t="s">
        <v>514</v>
      </c>
      <c r="B34" s="28">
        <v>0</v>
      </c>
      <c r="C34" s="28">
        <v>80</v>
      </c>
      <c r="D34" s="2">
        <f t="shared" si="0"/>
        <v>40</v>
      </c>
    </row>
    <row r="35" spans="1:4" ht="14.4" x14ac:dyDescent="0.25">
      <c r="A35" s="15" t="s">
        <v>617</v>
      </c>
      <c r="B35" s="28">
        <v>0</v>
      </c>
      <c r="C35" s="28">
        <v>40</v>
      </c>
      <c r="D35" s="2">
        <f t="shared" si="0"/>
        <v>20</v>
      </c>
    </row>
    <row r="36" spans="1:4" x14ac:dyDescent="0.25">
      <c r="A36" s="2" t="s">
        <v>517</v>
      </c>
      <c r="B36" s="28">
        <v>25</v>
      </c>
      <c r="C36" s="28">
        <v>80</v>
      </c>
      <c r="D36" s="2">
        <f t="shared" si="0"/>
        <v>52.5</v>
      </c>
    </row>
    <row r="37" spans="1:4" x14ac:dyDescent="0.25">
      <c r="A37" s="2" t="s">
        <v>477</v>
      </c>
      <c r="B37" s="28">
        <v>50</v>
      </c>
      <c r="C37" s="28">
        <v>80</v>
      </c>
      <c r="D37" s="2">
        <f t="shared" si="0"/>
        <v>65</v>
      </c>
    </row>
    <row r="38" spans="1:4" ht="14.4" x14ac:dyDescent="0.25">
      <c r="A38" s="15" t="s">
        <v>616</v>
      </c>
      <c r="B38" s="28">
        <v>75</v>
      </c>
      <c r="C38" s="28">
        <v>80</v>
      </c>
      <c r="D38" s="2">
        <f t="shared" si="0"/>
        <v>77.5</v>
      </c>
    </row>
    <row r="39" spans="1:4" x14ac:dyDescent="0.25">
      <c r="A39" s="2" t="s">
        <v>515</v>
      </c>
      <c r="B39" s="28">
        <v>50</v>
      </c>
      <c r="C39" s="28">
        <v>80</v>
      </c>
      <c r="D39" s="2">
        <f t="shared" si="0"/>
        <v>65</v>
      </c>
    </row>
    <row r="40" spans="1:4" ht="14.4" x14ac:dyDescent="0.25">
      <c r="A40" s="15" t="s">
        <v>615</v>
      </c>
      <c r="B40" s="28">
        <v>50</v>
      </c>
      <c r="C40" s="28">
        <v>60</v>
      </c>
      <c r="D40" s="2">
        <f t="shared" si="0"/>
        <v>55</v>
      </c>
    </row>
    <row r="41" spans="1:4" x14ac:dyDescent="0.25">
      <c r="A41" s="2" t="s">
        <v>305</v>
      </c>
      <c r="B41" s="28">
        <v>50</v>
      </c>
      <c r="C41" s="28">
        <v>100</v>
      </c>
      <c r="D41" s="2">
        <f t="shared" si="0"/>
        <v>75</v>
      </c>
    </row>
    <row r="42" spans="1:4" x14ac:dyDescent="0.25">
      <c r="A42" s="2" t="s">
        <v>499</v>
      </c>
      <c r="B42" s="28">
        <v>0</v>
      </c>
      <c r="C42" s="28">
        <v>20</v>
      </c>
      <c r="D42" s="2">
        <f t="shared" si="0"/>
        <v>10</v>
      </c>
    </row>
    <row r="43" spans="1:4" x14ac:dyDescent="0.25">
      <c r="A43" s="2" t="s">
        <v>439</v>
      </c>
      <c r="B43" s="28">
        <v>0</v>
      </c>
      <c r="C43" s="28">
        <v>20</v>
      </c>
      <c r="D43" s="2">
        <f t="shared" si="0"/>
        <v>10</v>
      </c>
    </row>
    <row r="44" spans="1:4" x14ac:dyDescent="0.25">
      <c r="A44" s="2" t="s">
        <v>442</v>
      </c>
      <c r="B44" s="28">
        <v>0</v>
      </c>
      <c r="C44" s="28">
        <v>40</v>
      </c>
      <c r="D44" s="2">
        <f t="shared" si="0"/>
        <v>20</v>
      </c>
    </row>
    <row r="45" spans="1:4" ht="14.4" x14ac:dyDescent="0.25">
      <c r="A45" s="15" t="s">
        <v>614</v>
      </c>
      <c r="B45" s="28">
        <v>0</v>
      </c>
      <c r="C45" s="28">
        <v>20</v>
      </c>
      <c r="D45" s="2">
        <f t="shared" si="0"/>
        <v>10</v>
      </c>
    </row>
    <row r="46" spans="1:4" x14ac:dyDescent="0.25">
      <c r="A46" s="2" t="s">
        <v>489</v>
      </c>
      <c r="B46" s="28">
        <v>0</v>
      </c>
      <c r="C46" s="28">
        <v>20</v>
      </c>
      <c r="D46" s="2">
        <f t="shared" si="0"/>
        <v>10</v>
      </c>
    </row>
    <row r="47" spans="1:4" ht="14.4" x14ac:dyDescent="0.25">
      <c r="A47" s="15" t="s">
        <v>642</v>
      </c>
      <c r="B47" s="28">
        <v>25</v>
      </c>
      <c r="C47" s="28">
        <v>60</v>
      </c>
      <c r="D47" s="2">
        <f t="shared" si="0"/>
        <v>42.5</v>
      </c>
    </row>
    <row r="48" spans="1:4" x14ac:dyDescent="0.25">
      <c r="A48" s="2" t="s">
        <v>337</v>
      </c>
      <c r="B48" s="28">
        <v>0</v>
      </c>
      <c r="C48" s="28">
        <v>20</v>
      </c>
      <c r="D48" s="2">
        <f t="shared" si="0"/>
        <v>10</v>
      </c>
    </row>
    <row r="49" spans="1:4" x14ac:dyDescent="0.25">
      <c r="A49" s="2" t="s">
        <v>446</v>
      </c>
      <c r="B49" s="28">
        <v>0</v>
      </c>
      <c r="C49" s="28">
        <v>0</v>
      </c>
      <c r="D49" s="2">
        <f t="shared" si="0"/>
        <v>0</v>
      </c>
    </row>
    <row r="50" spans="1:4" x14ac:dyDescent="0.25">
      <c r="A50" s="2" t="s">
        <v>351</v>
      </c>
      <c r="B50" s="28">
        <v>0</v>
      </c>
      <c r="C50" s="28">
        <v>20</v>
      </c>
      <c r="D50" s="2">
        <f t="shared" si="0"/>
        <v>10</v>
      </c>
    </row>
    <row r="51" spans="1:4" x14ac:dyDescent="0.25">
      <c r="A51" s="2" t="s">
        <v>469</v>
      </c>
      <c r="B51" s="28">
        <v>50</v>
      </c>
      <c r="C51" s="28">
        <v>100</v>
      </c>
      <c r="D51" s="2">
        <f t="shared" si="0"/>
        <v>75</v>
      </c>
    </row>
    <row r="52" spans="1:4" ht="14.4" x14ac:dyDescent="0.25">
      <c r="A52" s="15" t="s">
        <v>633</v>
      </c>
      <c r="B52" s="28">
        <v>0</v>
      </c>
      <c r="C52" s="28">
        <v>20</v>
      </c>
      <c r="D52" s="2">
        <f t="shared" si="0"/>
        <v>10</v>
      </c>
    </row>
    <row r="53" spans="1:4" x14ac:dyDescent="0.25">
      <c r="A53" s="2" t="s">
        <v>548</v>
      </c>
      <c r="B53" s="28">
        <v>50</v>
      </c>
      <c r="C53" s="28">
        <v>100</v>
      </c>
      <c r="D53" s="2">
        <f t="shared" si="0"/>
        <v>75</v>
      </c>
    </row>
    <row r="54" spans="1:4" ht="14.4" x14ac:dyDescent="0.25">
      <c r="A54" s="15" t="s">
        <v>628</v>
      </c>
      <c r="B54" s="28">
        <v>50</v>
      </c>
      <c r="C54" s="28">
        <v>100</v>
      </c>
      <c r="D54" s="2">
        <f t="shared" si="0"/>
        <v>75</v>
      </c>
    </row>
    <row r="55" spans="1:4" x14ac:dyDescent="0.25">
      <c r="A55" s="2" t="s">
        <v>557</v>
      </c>
      <c r="B55" s="28">
        <v>0</v>
      </c>
      <c r="C55" s="28">
        <v>20</v>
      </c>
      <c r="D55" s="2">
        <f t="shared" si="0"/>
        <v>10</v>
      </c>
    </row>
    <row r="56" spans="1:4" x14ac:dyDescent="0.25">
      <c r="A56" s="2" t="s">
        <v>406</v>
      </c>
      <c r="B56" s="28">
        <v>50</v>
      </c>
      <c r="C56" s="28">
        <v>20</v>
      </c>
      <c r="D56" s="2">
        <f t="shared" si="0"/>
        <v>35</v>
      </c>
    </row>
    <row r="57" spans="1:4" x14ac:dyDescent="0.25">
      <c r="A57" s="2" t="s">
        <v>417</v>
      </c>
      <c r="B57" s="28">
        <v>0</v>
      </c>
      <c r="C57" s="28">
        <v>40</v>
      </c>
      <c r="D57" s="2">
        <f t="shared" si="0"/>
        <v>20</v>
      </c>
    </row>
    <row r="58" spans="1:4" x14ac:dyDescent="0.25">
      <c r="A58" s="2" t="s">
        <v>321</v>
      </c>
      <c r="B58" s="28">
        <v>0</v>
      </c>
      <c r="C58" s="28">
        <v>80</v>
      </c>
      <c r="D58" s="2">
        <f t="shared" si="0"/>
        <v>40</v>
      </c>
    </row>
    <row r="59" spans="1:4" x14ac:dyDescent="0.25">
      <c r="A59" s="2" t="s">
        <v>408</v>
      </c>
      <c r="B59" s="28">
        <v>0</v>
      </c>
      <c r="C59" s="28">
        <v>40</v>
      </c>
      <c r="D59" s="2">
        <f t="shared" si="0"/>
        <v>20</v>
      </c>
    </row>
    <row r="60" spans="1:4" x14ac:dyDescent="0.25">
      <c r="A60" s="2" t="s">
        <v>377</v>
      </c>
      <c r="B60" s="28">
        <v>50</v>
      </c>
      <c r="C60" s="28">
        <v>80</v>
      </c>
      <c r="D60" s="2">
        <f t="shared" si="0"/>
        <v>65</v>
      </c>
    </row>
    <row r="61" spans="1:4" x14ac:dyDescent="0.25">
      <c r="A61" s="2" t="s">
        <v>466</v>
      </c>
      <c r="B61" s="28">
        <v>25</v>
      </c>
      <c r="C61" s="28">
        <v>0</v>
      </c>
      <c r="D61" s="2">
        <f t="shared" si="0"/>
        <v>12.5</v>
      </c>
    </row>
    <row r="62" spans="1:4" x14ac:dyDescent="0.25">
      <c r="A62" s="2" t="s">
        <v>509</v>
      </c>
      <c r="B62" s="28">
        <v>25</v>
      </c>
      <c r="C62" s="28">
        <v>100</v>
      </c>
      <c r="D62" s="2">
        <f t="shared" si="0"/>
        <v>62.5</v>
      </c>
    </row>
    <row r="63" spans="1:4" x14ac:dyDescent="0.25">
      <c r="A63" s="2" t="s">
        <v>484</v>
      </c>
      <c r="B63" s="28">
        <v>50</v>
      </c>
      <c r="C63" s="28">
        <v>80</v>
      </c>
      <c r="D63" s="2">
        <f t="shared" si="0"/>
        <v>65</v>
      </c>
    </row>
    <row r="64" spans="1:4" x14ac:dyDescent="0.25">
      <c r="A64" s="2" t="s">
        <v>433</v>
      </c>
      <c r="B64" s="28">
        <v>50</v>
      </c>
      <c r="C64" s="28">
        <v>80</v>
      </c>
      <c r="D64" s="2">
        <f t="shared" si="0"/>
        <v>65</v>
      </c>
    </row>
    <row r="65" spans="1:4" x14ac:dyDescent="0.25">
      <c r="A65" s="2" t="s">
        <v>558</v>
      </c>
      <c r="B65" s="28">
        <v>0</v>
      </c>
      <c r="C65" s="28">
        <v>40</v>
      </c>
      <c r="D65" s="2">
        <f t="shared" si="0"/>
        <v>20</v>
      </c>
    </row>
    <row r="66" spans="1:4" x14ac:dyDescent="0.25">
      <c r="A66" s="2" t="s">
        <v>369</v>
      </c>
      <c r="B66" s="28">
        <v>0</v>
      </c>
      <c r="C66" s="28">
        <v>40</v>
      </c>
      <c r="D66" s="2">
        <f t="shared" si="0"/>
        <v>20</v>
      </c>
    </row>
    <row r="67" spans="1:4" x14ac:dyDescent="0.25">
      <c r="A67" s="2" t="s">
        <v>452</v>
      </c>
      <c r="B67" s="28">
        <v>0</v>
      </c>
      <c r="C67" s="28">
        <v>40</v>
      </c>
      <c r="D67" s="2">
        <f t="shared" ref="D67:D130" si="1">AVERAGE(B67:C67)</f>
        <v>20</v>
      </c>
    </row>
    <row r="68" spans="1:4" x14ac:dyDescent="0.25">
      <c r="A68" s="2" t="s">
        <v>491</v>
      </c>
      <c r="B68" s="28">
        <v>25</v>
      </c>
      <c r="C68" s="28">
        <v>0</v>
      </c>
      <c r="D68" s="2">
        <f t="shared" si="1"/>
        <v>12.5</v>
      </c>
    </row>
    <row r="69" spans="1:4" x14ac:dyDescent="0.25">
      <c r="A69" s="2" t="s">
        <v>366</v>
      </c>
      <c r="B69" s="28">
        <v>0</v>
      </c>
      <c r="C69" s="28">
        <v>60</v>
      </c>
      <c r="D69" s="2">
        <f t="shared" si="1"/>
        <v>30</v>
      </c>
    </row>
    <row r="70" spans="1:4" x14ac:dyDescent="0.25">
      <c r="A70" s="2" t="s">
        <v>341</v>
      </c>
      <c r="B70" s="28">
        <v>0</v>
      </c>
      <c r="C70" s="28">
        <v>0</v>
      </c>
      <c r="D70" s="2">
        <f t="shared" si="1"/>
        <v>0</v>
      </c>
    </row>
    <row r="71" spans="1:4" x14ac:dyDescent="0.25">
      <c r="A71" s="2" t="s">
        <v>360</v>
      </c>
      <c r="B71" s="28">
        <v>75</v>
      </c>
      <c r="C71" s="28">
        <v>60</v>
      </c>
      <c r="D71" s="2">
        <f t="shared" si="1"/>
        <v>67.5</v>
      </c>
    </row>
    <row r="72" spans="1:4" x14ac:dyDescent="0.25">
      <c r="A72" s="2" t="s">
        <v>374</v>
      </c>
      <c r="B72" s="28">
        <v>0</v>
      </c>
      <c r="C72" s="28">
        <v>40</v>
      </c>
      <c r="D72" s="2">
        <f t="shared" si="1"/>
        <v>20</v>
      </c>
    </row>
    <row r="73" spans="1:4" x14ac:dyDescent="0.25">
      <c r="A73" s="2" t="s">
        <v>397</v>
      </c>
      <c r="B73" s="28">
        <v>0</v>
      </c>
      <c r="C73" s="28">
        <v>0</v>
      </c>
      <c r="D73" s="2">
        <f t="shared" si="1"/>
        <v>0</v>
      </c>
    </row>
    <row r="74" spans="1:4" x14ac:dyDescent="0.25">
      <c r="A74" s="2" t="s">
        <v>384</v>
      </c>
      <c r="B74" s="28">
        <v>50</v>
      </c>
      <c r="C74" s="28">
        <v>100</v>
      </c>
      <c r="D74" s="2">
        <f t="shared" si="1"/>
        <v>75</v>
      </c>
    </row>
    <row r="75" spans="1:4" x14ac:dyDescent="0.25">
      <c r="A75" s="2" t="s">
        <v>378</v>
      </c>
      <c r="B75" s="28">
        <v>0</v>
      </c>
      <c r="C75" s="28">
        <v>20</v>
      </c>
      <c r="D75" s="2">
        <f t="shared" si="1"/>
        <v>10</v>
      </c>
    </row>
    <row r="76" spans="1:4" ht="14.4" x14ac:dyDescent="0.25">
      <c r="A76" s="15" t="s">
        <v>641</v>
      </c>
      <c r="B76" s="28">
        <v>50</v>
      </c>
      <c r="C76" s="28">
        <v>80</v>
      </c>
      <c r="D76" s="2">
        <f t="shared" si="1"/>
        <v>65</v>
      </c>
    </row>
    <row r="77" spans="1:4" x14ac:dyDescent="0.25">
      <c r="A77" s="2" t="s">
        <v>501</v>
      </c>
      <c r="B77" s="28">
        <v>50</v>
      </c>
      <c r="C77" s="28">
        <v>60</v>
      </c>
      <c r="D77" s="2">
        <f t="shared" si="1"/>
        <v>55</v>
      </c>
    </row>
    <row r="78" spans="1:4" x14ac:dyDescent="0.25">
      <c r="A78" s="2" t="s">
        <v>330</v>
      </c>
      <c r="B78" s="28">
        <v>0</v>
      </c>
      <c r="C78" s="28">
        <v>40</v>
      </c>
      <c r="D78" s="2">
        <f t="shared" si="1"/>
        <v>20</v>
      </c>
    </row>
    <row r="79" spans="1:4" x14ac:dyDescent="0.25">
      <c r="A79" s="2" t="s">
        <v>435</v>
      </c>
      <c r="B79" s="28">
        <v>0</v>
      </c>
      <c r="C79" s="28">
        <v>20</v>
      </c>
      <c r="D79" s="2">
        <f t="shared" si="1"/>
        <v>10</v>
      </c>
    </row>
    <row r="80" spans="1:4" x14ac:dyDescent="0.25">
      <c r="A80" s="2" t="s">
        <v>386</v>
      </c>
      <c r="B80" s="28">
        <v>0</v>
      </c>
      <c r="C80" s="28">
        <v>0</v>
      </c>
      <c r="D80" s="2">
        <f t="shared" si="1"/>
        <v>0</v>
      </c>
    </row>
    <row r="81" spans="1:4" x14ac:dyDescent="0.25">
      <c r="A81" s="2" t="s">
        <v>443</v>
      </c>
      <c r="B81" s="28">
        <v>25</v>
      </c>
      <c r="C81" s="28">
        <v>40</v>
      </c>
      <c r="D81" s="2">
        <f t="shared" si="1"/>
        <v>32.5</v>
      </c>
    </row>
    <row r="82" spans="1:4" x14ac:dyDescent="0.25">
      <c r="A82" s="2" t="s">
        <v>503</v>
      </c>
      <c r="B82" s="28">
        <v>0</v>
      </c>
      <c r="C82" s="28">
        <v>0</v>
      </c>
      <c r="D82" s="2">
        <f t="shared" si="1"/>
        <v>0</v>
      </c>
    </row>
    <row r="83" spans="1:4" x14ac:dyDescent="0.25">
      <c r="A83" s="2" t="s">
        <v>392</v>
      </c>
      <c r="B83" s="28">
        <v>0</v>
      </c>
      <c r="C83" s="28">
        <v>20</v>
      </c>
      <c r="D83" s="2">
        <f t="shared" si="1"/>
        <v>10</v>
      </c>
    </row>
    <row r="84" spans="1:4" x14ac:dyDescent="0.25">
      <c r="A84" s="2" t="s">
        <v>379</v>
      </c>
      <c r="B84" s="28">
        <v>0</v>
      </c>
      <c r="C84" s="28">
        <v>0</v>
      </c>
      <c r="D84" s="2">
        <f t="shared" si="1"/>
        <v>0</v>
      </c>
    </row>
    <row r="85" spans="1:4" x14ac:dyDescent="0.25">
      <c r="A85" s="2" t="s">
        <v>451</v>
      </c>
      <c r="B85" s="28">
        <v>0</v>
      </c>
      <c r="C85" s="28">
        <v>20</v>
      </c>
      <c r="D85" s="2">
        <f t="shared" si="1"/>
        <v>10</v>
      </c>
    </row>
    <row r="86" spans="1:4" x14ac:dyDescent="0.25">
      <c r="A86" s="2" t="s">
        <v>372</v>
      </c>
      <c r="B86" s="28">
        <v>75</v>
      </c>
      <c r="C86" s="28">
        <v>100</v>
      </c>
      <c r="D86" s="2">
        <f t="shared" si="1"/>
        <v>87.5</v>
      </c>
    </row>
    <row r="87" spans="1:4" x14ac:dyDescent="0.25">
      <c r="A87" s="2" t="s">
        <v>428</v>
      </c>
      <c r="B87" s="28">
        <v>0</v>
      </c>
      <c r="C87" s="28">
        <v>40</v>
      </c>
      <c r="D87" s="2">
        <f t="shared" si="1"/>
        <v>20</v>
      </c>
    </row>
    <row r="88" spans="1:4" x14ac:dyDescent="0.25">
      <c r="A88" s="2" t="s">
        <v>427</v>
      </c>
      <c r="B88" s="28">
        <v>0</v>
      </c>
      <c r="C88" s="28">
        <v>20</v>
      </c>
      <c r="D88" s="2">
        <f t="shared" si="1"/>
        <v>10</v>
      </c>
    </row>
    <row r="89" spans="1:4" ht="14.4" x14ac:dyDescent="0.25">
      <c r="A89" s="15" t="s">
        <v>634</v>
      </c>
      <c r="B89" s="28">
        <v>25</v>
      </c>
      <c r="C89" s="28">
        <v>100</v>
      </c>
      <c r="D89" s="2">
        <f t="shared" si="1"/>
        <v>62.5</v>
      </c>
    </row>
    <row r="90" spans="1:4" x14ac:dyDescent="0.25">
      <c r="A90" s="2" t="s">
        <v>342</v>
      </c>
      <c r="B90" s="28">
        <v>25</v>
      </c>
      <c r="C90" s="28">
        <v>80</v>
      </c>
      <c r="D90" s="2">
        <f t="shared" si="1"/>
        <v>52.5</v>
      </c>
    </row>
    <row r="91" spans="1:4" x14ac:dyDescent="0.25">
      <c r="A91" s="2" t="s">
        <v>455</v>
      </c>
      <c r="B91" s="28">
        <v>50</v>
      </c>
      <c r="C91" s="28">
        <v>80</v>
      </c>
      <c r="D91" s="2">
        <f t="shared" si="1"/>
        <v>65</v>
      </c>
    </row>
    <row r="92" spans="1:4" x14ac:dyDescent="0.25">
      <c r="A92" s="2" t="s">
        <v>559</v>
      </c>
      <c r="B92" s="28">
        <v>0</v>
      </c>
      <c r="C92" s="28">
        <v>20</v>
      </c>
      <c r="D92" s="2">
        <f t="shared" si="1"/>
        <v>10</v>
      </c>
    </row>
    <row r="93" spans="1:4" x14ac:dyDescent="0.25">
      <c r="A93" s="2" t="s">
        <v>518</v>
      </c>
      <c r="B93" s="28">
        <v>50</v>
      </c>
      <c r="C93" s="28">
        <v>80</v>
      </c>
      <c r="D93" s="2">
        <f t="shared" si="1"/>
        <v>65</v>
      </c>
    </row>
    <row r="94" spans="1:4" x14ac:dyDescent="0.25">
      <c r="A94" s="2" t="s">
        <v>483</v>
      </c>
      <c r="B94" s="28">
        <v>0</v>
      </c>
      <c r="C94" s="28">
        <v>40</v>
      </c>
      <c r="D94" s="2">
        <f t="shared" si="1"/>
        <v>20</v>
      </c>
    </row>
    <row r="95" spans="1:4" x14ac:dyDescent="0.25">
      <c r="A95" s="2" t="s">
        <v>367</v>
      </c>
      <c r="B95" s="28">
        <v>0</v>
      </c>
      <c r="C95" s="28">
        <v>20</v>
      </c>
      <c r="D95" s="2">
        <f t="shared" si="1"/>
        <v>10</v>
      </c>
    </row>
    <row r="96" spans="1:4" x14ac:dyDescent="0.25">
      <c r="A96" s="2" t="s">
        <v>462</v>
      </c>
      <c r="B96" s="28">
        <v>50</v>
      </c>
      <c r="C96" s="28">
        <v>80</v>
      </c>
      <c r="D96" s="2">
        <f t="shared" si="1"/>
        <v>65</v>
      </c>
    </row>
    <row r="97" spans="1:4" x14ac:dyDescent="0.25">
      <c r="A97" s="2" t="s">
        <v>319</v>
      </c>
      <c r="B97" s="28">
        <v>50</v>
      </c>
      <c r="C97" s="28">
        <v>80</v>
      </c>
      <c r="D97" s="2">
        <f t="shared" si="1"/>
        <v>65</v>
      </c>
    </row>
    <row r="98" spans="1:4" x14ac:dyDescent="0.25">
      <c r="A98" s="2" t="s">
        <v>400</v>
      </c>
      <c r="B98" s="28">
        <v>50</v>
      </c>
      <c r="C98" s="28">
        <v>20</v>
      </c>
      <c r="D98" s="2">
        <f t="shared" si="1"/>
        <v>35</v>
      </c>
    </row>
    <row r="99" spans="1:4" x14ac:dyDescent="0.25">
      <c r="A99" s="2" t="s">
        <v>560</v>
      </c>
      <c r="B99" s="28">
        <v>25</v>
      </c>
      <c r="C99" s="28">
        <v>60</v>
      </c>
      <c r="D99" s="2">
        <f t="shared" si="1"/>
        <v>42.5</v>
      </c>
    </row>
    <row r="100" spans="1:4" x14ac:dyDescent="0.25">
      <c r="A100" s="2" t="s">
        <v>410</v>
      </c>
      <c r="B100" s="28">
        <v>0</v>
      </c>
      <c r="C100" s="28">
        <v>20</v>
      </c>
      <c r="D100" s="2">
        <f t="shared" si="1"/>
        <v>10</v>
      </c>
    </row>
    <row r="101" spans="1:4" x14ac:dyDescent="0.25">
      <c r="A101" s="2" t="s">
        <v>510</v>
      </c>
      <c r="B101" s="28">
        <v>0</v>
      </c>
      <c r="C101" s="28">
        <v>20</v>
      </c>
      <c r="D101" s="2">
        <f t="shared" si="1"/>
        <v>10</v>
      </c>
    </row>
    <row r="102" spans="1:4" x14ac:dyDescent="0.25">
      <c r="A102" s="2" t="s">
        <v>482</v>
      </c>
      <c r="B102" s="28">
        <v>0</v>
      </c>
      <c r="C102" s="28">
        <v>0</v>
      </c>
      <c r="D102" s="2">
        <f t="shared" si="1"/>
        <v>0</v>
      </c>
    </row>
    <row r="103" spans="1:4" x14ac:dyDescent="0.25">
      <c r="A103" s="2" t="s">
        <v>502</v>
      </c>
      <c r="B103" s="28">
        <v>0</v>
      </c>
      <c r="C103" s="28">
        <v>0</v>
      </c>
      <c r="D103" s="2">
        <f t="shared" si="1"/>
        <v>0</v>
      </c>
    </row>
    <row r="104" spans="1:4" x14ac:dyDescent="0.25">
      <c r="A104" s="2" t="s">
        <v>445</v>
      </c>
      <c r="B104" s="28">
        <v>0</v>
      </c>
      <c r="C104" s="28">
        <v>40</v>
      </c>
      <c r="D104" s="2">
        <f t="shared" si="1"/>
        <v>20</v>
      </c>
    </row>
    <row r="105" spans="1:4" x14ac:dyDescent="0.25">
      <c r="A105" s="2" t="s">
        <v>364</v>
      </c>
      <c r="B105" s="28">
        <v>0</v>
      </c>
      <c r="C105" s="28">
        <v>20</v>
      </c>
      <c r="D105" s="2">
        <f t="shared" si="1"/>
        <v>10</v>
      </c>
    </row>
    <row r="106" spans="1:4" x14ac:dyDescent="0.25">
      <c r="A106" s="2" t="s">
        <v>522</v>
      </c>
      <c r="B106" s="28">
        <v>0</v>
      </c>
      <c r="C106" s="28">
        <v>20</v>
      </c>
      <c r="D106" s="2">
        <f t="shared" si="1"/>
        <v>10</v>
      </c>
    </row>
    <row r="107" spans="1:4" x14ac:dyDescent="0.25">
      <c r="A107" s="2" t="s">
        <v>390</v>
      </c>
      <c r="B107" s="28">
        <v>0</v>
      </c>
      <c r="C107" s="28">
        <v>20</v>
      </c>
      <c r="D107" s="2">
        <f t="shared" si="1"/>
        <v>10</v>
      </c>
    </row>
    <row r="108" spans="1:4" x14ac:dyDescent="0.25">
      <c r="A108" s="2" t="s">
        <v>444</v>
      </c>
      <c r="B108" s="28">
        <v>50</v>
      </c>
      <c r="C108" s="28">
        <v>80</v>
      </c>
      <c r="D108" s="2">
        <f t="shared" si="1"/>
        <v>65</v>
      </c>
    </row>
    <row r="109" spans="1:4" x14ac:dyDescent="0.25">
      <c r="A109" s="2" t="s">
        <v>323</v>
      </c>
      <c r="B109" s="28">
        <v>25</v>
      </c>
      <c r="C109" s="28">
        <v>40</v>
      </c>
      <c r="D109" s="2">
        <f t="shared" si="1"/>
        <v>32.5</v>
      </c>
    </row>
    <row r="110" spans="1:4" x14ac:dyDescent="0.25">
      <c r="A110" s="2" t="s">
        <v>476</v>
      </c>
      <c r="B110" s="28">
        <v>0</v>
      </c>
      <c r="C110" s="28">
        <v>80</v>
      </c>
      <c r="D110" s="2">
        <f t="shared" si="1"/>
        <v>40</v>
      </c>
    </row>
    <row r="111" spans="1:4" x14ac:dyDescent="0.25">
      <c r="A111" s="2" t="s">
        <v>498</v>
      </c>
      <c r="B111" s="28">
        <v>0</v>
      </c>
      <c r="C111" s="28">
        <v>40</v>
      </c>
      <c r="D111" s="2">
        <f t="shared" si="1"/>
        <v>20</v>
      </c>
    </row>
    <row r="112" spans="1:4" x14ac:dyDescent="0.25">
      <c r="A112" s="2" t="s">
        <v>393</v>
      </c>
      <c r="B112" s="28">
        <v>0</v>
      </c>
      <c r="C112" s="28">
        <v>20</v>
      </c>
      <c r="D112" s="2">
        <f t="shared" si="1"/>
        <v>10</v>
      </c>
    </row>
    <row r="113" spans="1:4" x14ac:dyDescent="0.25">
      <c r="A113" s="2" t="s">
        <v>485</v>
      </c>
      <c r="B113" s="28">
        <v>25</v>
      </c>
      <c r="C113" s="28">
        <v>60</v>
      </c>
      <c r="D113" s="2">
        <f t="shared" si="1"/>
        <v>42.5</v>
      </c>
    </row>
    <row r="114" spans="1:4" x14ac:dyDescent="0.25">
      <c r="A114" s="2" t="s">
        <v>349</v>
      </c>
      <c r="B114" s="28">
        <v>50</v>
      </c>
      <c r="C114" s="28">
        <v>0</v>
      </c>
      <c r="D114" s="2">
        <f t="shared" si="1"/>
        <v>25</v>
      </c>
    </row>
    <row r="115" spans="1:4" x14ac:dyDescent="0.25">
      <c r="A115" s="2" t="s">
        <v>506</v>
      </c>
      <c r="B115" s="28">
        <v>50</v>
      </c>
      <c r="C115" s="28">
        <v>100</v>
      </c>
      <c r="D115" s="2">
        <f t="shared" si="1"/>
        <v>75</v>
      </c>
    </row>
    <row r="116" spans="1:4" x14ac:dyDescent="0.25">
      <c r="A116" s="2" t="s">
        <v>459</v>
      </c>
      <c r="B116" s="28">
        <v>25</v>
      </c>
      <c r="C116" s="28">
        <v>60</v>
      </c>
      <c r="D116" s="2">
        <f t="shared" si="1"/>
        <v>42.5</v>
      </c>
    </row>
    <row r="117" spans="1:4" x14ac:dyDescent="0.25">
      <c r="A117" s="2" t="s">
        <v>388</v>
      </c>
      <c r="B117" s="28">
        <v>25</v>
      </c>
      <c r="C117" s="28">
        <v>40</v>
      </c>
      <c r="D117" s="2">
        <f t="shared" si="1"/>
        <v>32.5</v>
      </c>
    </row>
    <row r="118" spans="1:4" x14ac:dyDescent="0.25">
      <c r="A118" s="2" t="s">
        <v>402</v>
      </c>
      <c r="B118" s="28">
        <v>0</v>
      </c>
      <c r="C118" s="28">
        <v>20</v>
      </c>
      <c r="D118" s="2">
        <f t="shared" si="1"/>
        <v>10</v>
      </c>
    </row>
    <row r="119" spans="1:4" x14ac:dyDescent="0.25">
      <c r="A119" s="2" t="s">
        <v>453</v>
      </c>
      <c r="B119" s="28">
        <v>25</v>
      </c>
      <c r="C119" s="28">
        <v>100</v>
      </c>
      <c r="D119" s="2">
        <f t="shared" si="1"/>
        <v>62.5</v>
      </c>
    </row>
    <row r="120" spans="1:4" x14ac:dyDescent="0.25">
      <c r="A120" s="2" t="s">
        <v>526</v>
      </c>
      <c r="B120" s="28">
        <v>0</v>
      </c>
      <c r="C120" s="28">
        <v>40</v>
      </c>
      <c r="D120" s="2">
        <f t="shared" si="1"/>
        <v>20</v>
      </c>
    </row>
    <row r="121" spans="1:4" x14ac:dyDescent="0.25">
      <c r="A121" s="2" t="s">
        <v>363</v>
      </c>
      <c r="B121" s="28">
        <v>50</v>
      </c>
      <c r="C121" s="28">
        <v>80</v>
      </c>
      <c r="D121" s="2">
        <f t="shared" si="1"/>
        <v>65</v>
      </c>
    </row>
    <row r="122" spans="1:4" x14ac:dyDescent="0.25">
      <c r="A122" s="2" t="s">
        <v>481</v>
      </c>
      <c r="B122" s="28">
        <v>0</v>
      </c>
      <c r="C122" s="28">
        <v>20</v>
      </c>
      <c r="D122" s="2">
        <f t="shared" si="1"/>
        <v>10</v>
      </c>
    </row>
    <row r="123" spans="1:4" ht="14.4" x14ac:dyDescent="0.25">
      <c r="A123" s="15" t="s">
        <v>630</v>
      </c>
      <c r="B123" s="28">
        <v>0</v>
      </c>
      <c r="C123" s="28">
        <v>20</v>
      </c>
      <c r="D123" s="2">
        <f t="shared" si="1"/>
        <v>10</v>
      </c>
    </row>
    <row r="124" spans="1:4" x14ac:dyDescent="0.25">
      <c r="A124" s="2" t="s">
        <v>465</v>
      </c>
      <c r="B124" s="28">
        <v>0</v>
      </c>
      <c r="C124" s="28">
        <v>40</v>
      </c>
      <c r="D124" s="2">
        <f t="shared" si="1"/>
        <v>20</v>
      </c>
    </row>
    <row r="125" spans="1:4" x14ac:dyDescent="0.25">
      <c r="A125" s="2" t="s">
        <v>448</v>
      </c>
      <c r="B125" s="28">
        <v>25</v>
      </c>
      <c r="C125" s="28">
        <v>20</v>
      </c>
      <c r="D125" s="2">
        <f t="shared" si="1"/>
        <v>22.5</v>
      </c>
    </row>
    <row r="126" spans="1:4" x14ac:dyDescent="0.25">
      <c r="A126" s="2" t="s">
        <v>440</v>
      </c>
      <c r="B126" s="28">
        <v>0</v>
      </c>
      <c r="C126" s="28">
        <v>60</v>
      </c>
      <c r="D126" s="2">
        <f t="shared" si="1"/>
        <v>30</v>
      </c>
    </row>
    <row r="127" spans="1:4" x14ac:dyDescent="0.25">
      <c r="A127" s="2" t="s">
        <v>404</v>
      </c>
      <c r="B127" s="28">
        <v>75</v>
      </c>
      <c r="C127" s="28">
        <v>80</v>
      </c>
      <c r="D127" s="2">
        <f t="shared" si="1"/>
        <v>77.5</v>
      </c>
    </row>
    <row r="128" spans="1:4" x14ac:dyDescent="0.25">
      <c r="A128" s="2" t="s">
        <v>310</v>
      </c>
      <c r="B128" s="28">
        <v>0</v>
      </c>
      <c r="C128" s="28">
        <v>40</v>
      </c>
      <c r="D128" s="2">
        <f t="shared" si="1"/>
        <v>20</v>
      </c>
    </row>
    <row r="129" spans="1:4" x14ac:dyDescent="0.25">
      <c r="A129" s="2" t="s">
        <v>424</v>
      </c>
      <c r="B129" s="28">
        <v>0</v>
      </c>
      <c r="C129" s="28">
        <v>0</v>
      </c>
      <c r="D129" s="2">
        <f t="shared" si="1"/>
        <v>0</v>
      </c>
    </row>
    <row r="130" spans="1:4" x14ac:dyDescent="0.25">
      <c r="A130" s="2" t="s">
        <v>475</v>
      </c>
      <c r="B130" s="28">
        <v>0</v>
      </c>
      <c r="C130" s="28">
        <v>40</v>
      </c>
      <c r="D130" s="2">
        <f t="shared" si="1"/>
        <v>20</v>
      </c>
    </row>
    <row r="131" spans="1:4" x14ac:dyDescent="0.25">
      <c r="A131" s="2" t="s">
        <v>524</v>
      </c>
      <c r="B131" s="28">
        <v>0</v>
      </c>
      <c r="C131" s="28">
        <v>0</v>
      </c>
      <c r="D131" s="2">
        <f t="shared" ref="D131:D194" si="2">AVERAGE(B131:C131)</f>
        <v>0</v>
      </c>
    </row>
    <row r="132" spans="1:4" x14ac:dyDescent="0.25">
      <c r="A132" s="2" t="s">
        <v>401</v>
      </c>
      <c r="B132" s="28">
        <v>0</v>
      </c>
      <c r="C132" s="28">
        <v>20</v>
      </c>
      <c r="D132" s="2">
        <f t="shared" si="2"/>
        <v>10</v>
      </c>
    </row>
    <row r="133" spans="1:4" x14ac:dyDescent="0.25">
      <c r="A133" s="2" t="s">
        <v>437</v>
      </c>
      <c r="B133" s="28">
        <v>0</v>
      </c>
      <c r="C133" s="28">
        <v>0</v>
      </c>
      <c r="D133" s="2">
        <f t="shared" si="2"/>
        <v>0</v>
      </c>
    </row>
    <row r="134" spans="1:4" x14ac:dyDescent="0.25">
      <c r="A134" s="2" t="s">
        <v>332</v>
      </c>
      <c r="B134" s="28">
        <v>0</v>
      </c>
      <c r="C134" s="28">
        <v>0</v>
      </c>
      <c r="D134" s="2">
        <f t="shared" si="2"/>
        <v>0</v>
      </c>
    </row>
    <row r="135" spans="1:4" x14ac:dyDescent="0.25">
      <c r="A135" s="2" t="s">
        <v>343</v>
      </c>
      <c r="B135" s="28">
        <v>0</v>
      </c>
      <c r="C135" s="28">
        <v>20</v>
      </c>
      <c r="D135" s="2">
        <f t="shared" si="2"/>
        <v>10</v>
      </c>
    </row>
    <row r="136" spans="1:4" x14ac:dyDescent="0.25">
      <c r="A136" s="2" t="s">
        <v>460</v>
      </c>
      <c r="B136" s="28">
        <v>75</v>
      </c>
      <c r="C136" s="28">
        <v>40</v>
      </c>
      <c r="D136" s="2">
        <f t="shared" si="2"/>
        <v>57.5</v>
      </c>
    </row>
    <row r="137" spans="1:4" x14ac:dyDescent="0.25">
      <c r="A137" s="2" t="s">
        <v>426</v>
      </c>
      <c r="B137" s="28">
        <v>50</v>
      </c>
      <c r="C137" s="28">
        <v>100</v>
      </c>
      <c r="D137" s="2">
        <f t="shared" si="2"/>
        <v>75</v>
      </c>
    </row>
    <row r="138" spans="1:4" x14ac:dyDescent="0.25">
      <c r="A138" s="2" t="s">
        <v>425</v>
      </c>
      <c r="B138" s="28">
        <v>0</v>
      </c>
      <c r="C138" s="28">
        <v>20</v>
      </c>
      <c r="D138" s="2">
        <f t="shared" si="2"/>
        <v>10</v>
      </c>
    </row>
    <row r="139" spans="1:4" ht="14.4" x14ac:dyDescent="0.25">
      <c r="A139" s="15" t="s">
        <v>638</v>
      </c>
      <c r="B139" s="28">
        <v>0</v>
      </c>
      <c r="C139" s="28">
        <v>0</v>
      </c>
      <c r="D139" s="2">
        <f t="shared" si="2"/>
        <v>0</v>
      </c>
    </row>
    <row r="140" spans="1:4" x14ac:dyDescent="0.25">
      <c r="A140" s="2" t="s">
        <v>344</v>
      </c>
      <c r="B140" s="28">
        <v>0</v>
      </c>
      <c r="C140" s="28">
        <v>0</v>
      </c>
      <c r="D140" s="2">
        <f t="shared" si="2"/>
        <v>0</v>
      </c>
    </row>
    <row r="141" spans="1:4" x14ac:dyDescent="0.25">
      <c r="A141" s="2" t="s">
        <v>450</v>
      </c>
      <c r="B141" s="28">
        <v>50</v>
      </c>
      <c r="C141" s="28">
        <v>100</v>
      </c>
      <c r="D141" s="2">
        <f t="shared" si="2"/>
        <v>75</v>
      </c>
    </row>
    <row r="142" spans="1:4" x14ac:dyDescent="0.25">
      <c r="A142" s="2" t="s">
        <v>383</v>
      </c>
      <c r="B142" s="28">
        <v>0</v>
      </c>
      <c r="C142" s="28">
        <v>20</v>
      </c>
      <c r="D142" s="2">
        <f t="shared" si="2"/>
        <v>10</v>
      </c>
    </row>
    <row r="143" spans="1:4" x14ac:dyDescent="0.25">
      <c r="A143" s="2" t="s">
        <v>488</v>
      </c>
      <c r="B143" s="28">
        <v>0</v>
      </c>
      <c r="C143" s="28">
        <v>40</v>
      </c>
      <c r="D143" s="2">
        <f t="shared" si="2"/>
        <v>20</v>
      </c>
    </row>
    <row r="144" spans="1:4" x14ac:dyDescent="0.25">
      <c r="A144" s="2" t="s">
        <v>373</v>
      </c>
      <c r="B144" s="28">
        <v>0</v>
      </c>
      <c r="C144" s="28">
        <v>40</v>
      </c>
      <c r="D144" s="2">
        <f t="shared" si="2"/>
        <v>20</v>
      </c>
    </row>
    <row r="145" spans="1:4" x14ac:dyDescent="0.25">
      <c r="A145" s="2" t="s">
        <v>497</v>
      </c>
      <c r="B145" s="28">
        <v>50</v>
      </c>
      <c r="C145" s="28">
        <v>100</v>
      </c>
      <c r="D145" s="2">
        <f t="shared" si="2"/>
        <v>75</v>
      </c>
    </row>
    <row r="146" spans="1:4" x14ac:dyDescent="0.25">
      <c r="A146" s="2" t="s">
        <v>430</v>
      </c>
      <c r="B146" s="28">
        <v>50</v>
      </c>
      <c r="C146" s="28">
        <v>80</v>
      </c>
      <c r="D146" s="2">
        <f t="shared" si="2"/>
        <v>65</v>
      </c>
    </row>
    <row r="147" spans="1:4" x14ac:dyDescent="0.25">
      <c r="A147" s="2" t="s">
        <v>398</v>
      </c>
      <c r="B147" s="28">
        <v>0</v>
      </c>
      <c r="C147" s="28">
        <v>0</v>
      </c>
      <c r="D147" s="2">
        <f t="shared" si="2"/>
        <v>0</v>
      </c>
    </row>
    <row r="148" spans="1:4" x14ac:dyDescent="0.25">
      <c r="A148" s="2" t="s">
        <v>434</v>
      </c>
      <c r="B148" s="28">
        <v>0</v>
      </c>
      <c r="C148" s="28">
        <v>0</v>
      </c>
      <c r="D148" s="2">
        <f t="shared" si="2"/>
        <v>0</v>
      </c>
    </row>
    <row r="149" spans="1:4" x14ac:dyDescent="0.25">
      <c r="A149" s="2" t="s">
        <v>403</v>
      </c>
      <c r="B149" s="28">
        <v>0</v>
      </c>
      <c r="C149" s="28">
        <v>20</v>
      </c>
      <c r="D149" s="2">
        <f t="shared" si="2"/>
        <v>10</v>
      </c>
    </row>
    <row r="150" spans="1:4" x14ac:dyDescent="0.25">
      <c r="A150" s="2" t="s">
        <v>375</v>
      </c>
      <c r="B150" s="28">
        <v>0</v>
      </c>
      <c r="C150" s="28">
        <v>20</v>
      </c>
      <c r="D150" s="2">
        <f t="shared" si="2"/>
        <v>10</v>
      </c>
    </row>
    <row r="151" spans="1:4" x14ac:dyDescent="0.25">
      <c r="A151" s="2" t="s">
        <v>354</v>
      </c>
      <c r="B151" s="28">
        <v>0</v>
      </c>
      <c r="C151" s="28">
        <v>20</v>
      </c>
      <c r="D151" s="2">
        <f t="shared" si="2"/>
        <v>10</v>
      </c>
    </row>
    <row r="152" spans="1:4" x14ac:dyDescent="0.25">
      <c r="A152" s="2" t="s">
        <v>467</v>
      </c>
      <c r="B152" s="28">
        <v>0</v>
      </c>
      <c r="C152" s="28">
        <v>40</v>
      </c>
      <c r="D152" s="2">
        <f t="shared" si="2"/>
        <v>20</v>
      </c>
    </row>
    <row r="153" spans="1:4" x14ac:dyDescent="0.25">
      <c r="A153" s="2" t="s">
        <v>441</v>
      </c>
      <c r="B153" s="28">
        <v>0</v>
      </c>
      <c r="C153" s="28">
        <v>40</v>
      </c>
      <c r="D153" s="2">
        <f t="shared" si="2"/>
        <v>20</v>
      </c>
    </row>
    <row r="154" spans="1:4" x14ac:dyDescent="0.25">
      <c r="A154" s="2" t="s">
        <v>361</v>
      </c>
      <c r="B154" s="28">
        <v>0</v>
      </c>
      <c r="C154" s="28">
        <v>20</v>
      </c>
      <c r="D154" s="2">
        <f t="shared" si="2"/>
        <v>10</v>
      </c>
    </row>
    <row r="155" spans="1:4" x14ac:dyDescent="0.25">
      <c r="A155" s="2" t="s">
        <v>493</v>
      </c>
      <c r="B155" s="28">
        <v>0</v>
      </c>
      <c r="C155" s="28">
        <v>20</v>
      </c>
      <c r="D155" s="2">
        <f t="shared" si="2"/>
        <v>10</v>
      </c>
    </row>
    <row r="156" spans="1:4" x14ac:dyDescent="0.25">
      <c r="A156" s="2" t="s">
        <v>381</v>
      </c>
      <c r="B156" s="28">
        <v>50</v>
      </c>
      <c r="C156" s="28">
        <v>80</v>
      </c>
      <c r="D156" s="2">
        <f t="shared" si="2"/>
        <v>65</v>
      </c>
    </row>
    <row r="157" spans="1:4" x14ac:dyDescent="0.25">
      <c r="A157" s="2" t="s">
        <v>331</v>
      </c>
      <c r="B157" s="28">
        <v>0</v>
      </c>
      <c r="C157" s="28">
        <v>20</v>
      </c>
      <c r="D157" s="2">
        <f t="shared" si="2"/>
        <v>10</v>
      </c>
    </row>
    <row r="158" spans="1:4" x14ac:dyDescent="0.25">
      <c r="A158" s="2" t="s">
        <v>513</v>
      </c>
      <c r="B158" s="28">
        <v>25</v>
      </c>
      <c r="C158" s="28">
        <v>0</v>
      </c>
      <c r="D158" s="2">
        <f t="shared" si="2"/>
        <v>12.5</v>
      </c>
    </row>
    <row r="159" spans="1:4" x14ac:dyDescent="0.25">
      <c r="A159" s="2" t="s">
        <v>365</v>
      </c>
      <c r="B159" s="28">
        <v>0</v>
      </c>
      <c r="C159" s="28">
        <v>80</v>
      </c>
      <c r="D159" s="2">
        <f t="shared" si="2"/>
        <v>40</v>
      </c>
    </row>
    <row r="160" spans="1:4" x14ac:dyDescent="0.25">
      <c r="A160" s="2" t="s">
        <v>436</v>
      </c>
      <c r="B160" s="28">
        <v>50</v>
      </c>
      <c r="C160" s="28">
        <v>80</v>
      </c>
      <c r="D160" s="2">
        <f t="shared" si="2"/>
        <v>65</v>
      </c>
    </row>
    <row r="161" spans="1:4" x14ac:dyDescent="0.25">
      <c r="A161" s="2" t="s">
        <v>429</v>
      </c>
      <c r="B161" s="28">
        <v>50</v>
      </c>
      <c r="C161" s="28">
        <v>80</v>
      </c>
      <c r="D161" s="2">
        <f t="shared" si="2"/>
        <v>65</v>
      </c>
    </row>
    <row r="162" spans="1:4" x14ac:dyDescent="0.25">
      <c r="A162" s="2" t="s">
        <v>318</v>
      </c>
      <c r="B162" s="28">
        <v>50</v>
      </c>
      <c r="C162" s="28">
        <v>0</v>
      </c>
      <c r="D162" s="2">
        <f t="shared" si="2"/>
        <v>25</v>
      </c>
    </row>
    <row r="163" spans="1:4" x14ac:dyDescent="0.25">
      <c r="A163" s="2" t="s">
        <v>561</v>
      </c>
      <c r="B163" s="28">
        <v>25</v>
      </c>
      <c r="C163" s="28">
        <v>60</v>
      </c>
      <c r="D163" s="2">
        <f t="shared" si="2"/>
        <v>42.5</v>
      </c>
    </row>
    <row r="164" spans="1:4" x14ac:dyDescent="0.25">
      <c r="A164" s="2" t="s">
        <v>335</v>
      </c>
      <c r="B164" s="28">
        <v>75</v>
      </c>
      <c r="C164" s="28">
        <v>80</v>
      </c>
      <c r="D164" s="2">
        <f t="shared" si="2"/>
        <v>77.5</v>
      </c>
    </row>
    <row r="165" spans="1:4" x14ac:dyDescent="0.25">
      <c r="A165" s="2" t="s">
        <v>531</v>
      </c>
      <c r="B165" s="28">
        <v>0</v>
      </c>
      <c r="C165" s="28">
        <v>0</v>
      </c>
      <c r="D165" s="2">
        <f t="shared" si="2"/>
        <v>0</v>
      </c>
    </row>
    <row r="166" spans="1:4" x14ac:dyDescent="0.25">
      <c r="A166" s="2" t="s">
        <v>541</v>
      </c>
      <c r="B166" s="28">
        <v>0</v>
      </c>
      <c r="C166" s="28">
        <v>20</v>
      </c>
      <c r="D166" s="2">
        <f t="shared" si="2"/>
        <v>10</v>
      </c>
    </row>
    <row r="167" spans="1:4" x14ac:dyDescent="0.25">
      <c r="A167" s="2" t="s">
        <v>562</v>
      </c>
      <c r="B167" s="28">
        <v>0</v>
      </c>
      <c r="C167" s="28">
        <v>0</v>
      </c>
      <c r="D167" s="2">
        <f t="shared" si="2"/>
        <v>0</v>
      </c>
    </row>
    <row r="168" spans="1:4" ht="14.4" x14ac:dyDescent="0.25">
      <c r="A168" s="15" t="s">
        <v>629</v>
      </c>
      <c r="B168" s="28">
        <v>25</v>
      </c>
      <c r="C168" s="28">
        <v>60</v>
      </c>
      <c r="D168" s="2">
        <f t="shared" si="2"/>
        <v>42.5</v>
      </c>
    </row>
    <row r="169" spans="1:4" x14ac:dyDescent="0.25">
      <c r="A169" s="2" t="s">
        <v>414</v>
      </c>
      <c r="B169" s="28">
        <v>0</v>
      </c>
      <c r="C169" s="28">
        <v>20</v>
      </c>
      <c r="D169" s="2">
        <f t="shared" si="2"/>
        <v>10</v>
      </c>
    </row>
    <row r="170" spans="1:4" x14ac:dyDescent="0.25">
      <c r="A170" s="2" t="s">
        <v>540</v>
      </c>
      <c r="B170" s="28">
        <v>50</v>
      </c>
      <c r="C170" s="28">
        <v>100</v>
      </c>
      <c r="D170" s="2">
        <f t="shared" si="2"/>
        <v>75</v>
      </c>
    </row>
    <row r="171" spans="1:4" x14ac:dyDescent="0.25">
      <c r="A171" s="2" t="s">
        <v>419</v>
      </c>
      <c r="B171" s="28">
        <v>0</v>
      </c>
      <c r="C171" s="28">
        <v>0</v>
      </c>
      <c r="D171" s="2">
        <f t="shared" si="2"/>
        <v>0</v>
      </c>
    </row>
    <row r="172" spans="1:4" x14ac:dyDescent="0.25">
      <c r="A172" s="2" t="s">
        <v>552</v>
      </c>
      <c r="B172" s="28">
        <v>50</v>
      </c>
      <c r="C172" s="28">
        <v>100</v>
      </c>
      <c r="D172" s="2">
        <f t="shared" si="2"/>
        <v>75</v>
      </c>
    </row>
    <row r="173" spans="1:4" x14ac:dyDescent="0.25">
      <c r="A173" s="2" t="s">
        <v>486</v>
      </c>
      <c r="B173" s="28">
        <v>0</v>
      </c>
      <c r="C173" s="28">
        <v>20</v>
      </c>
      <c r="D173" s="2">
        <f t="shared" si="2"/>
        <v>10</v>
      </c>
    </row>
    <row r="174" spans="1:4" x14ac:dyDescent="0.25">
      <c r="A174" s="2" t="s">
        <v>358</v>
      </c>
      <c r="B174" s="28">
        <v>0</v>
      </c>
      <c r="C174" s="28">
        <v>20</v>
      </c>
      <c r="D174" s="2">
        <f t="shared" si="2"/>
        <v>10</v>
      </c>
    </row>
    <row r="175" spans="1:4" x14ac:dyDescent="0.25">
      <c r="A175" s="2" t="s">
        <v>512</v>
      </c>
      <c r="B175" s="28">
        <v>50</v>
      </c>
      <c r="C175" s="28">
        <v>60</v>
      </c>
      <c r="D175" s="2">
        <f t="shared" si="2"/>
        <v>55</v>
      </c>
    </row>
    <row r="176" spans="1:4" x14ac:dyDescent="0.25">
      <c r="A176" s="2" t="s">
        <v>336</v>
      </c>
      <c r="B176" s="28">
        <v>50</v>
      </c>
      <c r="C176" s="28">
        <v>40</v>
      </c>
      <c r="D176" s="2">
        <f t="shared" si="2"/>
        <v>45</v>
      </c>
    </row>
    <row r="177" spans="1:4" x14ac:dyDescent="0.25">
      <c r="A177" s="2" t="s">
        <v>412</v>
      </c>
      <c r="B177" s="28">
        <v>0</v>
      </c>
      <c r="C177" s="28">
        <v>20</v>
      </c>
      <c r="D177" s="2">
        <f t="shared" si="2"/>
        <v>10</v>
      </c>
    </row>
    <row r="178" spans="1:4" x14ac:dyDescent="0.25">
      <c r="A178" s="2" t="s">
        <v>370</v>
      </c>
      <c r="B178" s="28">
        <v>0</v>
      </c>
      <c r="C178" s="28">
        <v>0</v>
      </c>
      <c r="D178" s="2">
        <f t="shared" si="2"/>
        <v>0</v>
      </c>
    </row>
    <row r="179" spans="1:4" x14ac:dyDescent="0.25">
      <c r="A179" s="2" t="s">
        <v>399</v>
      </c>
      <c r="B179" s="28">
        <v>25</v>
      </c>
      <c r="C179" s="28">
        <v>40</v>
      </c>
      <c r="D179" s="2">
        <f t="shared" si="2"/>
        <v>32.5</v>
      </c>
    </row>
    <row r="180" spans="1:4" x14ac:dyDescent="0.25">
      <c r="A180" s="2" t="s">
        <v>348</v>
      </c>
      <c r="B180" s="28">
        <v>50</v>
      </c>
      <c r="C180" s="28">
        <v>80</v>
      </c>
      <c r="D180" s="2">
        <f t="shared" si="2"/>
        <v>65</v>
      </c>
    </row>
    <row r="181" spans="1:4" x14ac:dyDescent="0.25">
      <c r="A181" s="2" t="s">
        <v>535</v>
      </c>
      <c r="B181" s="28">
        <v>25</v>
      </c>
      <c r="C181" s="28">
        <v>100</v>
      </c>
      <c r="D181" s="2">
        <f t="shared" si="2"/>
        <v>62.5</v>
      </c>
    </row>
    <row r="182" spans="1:4" x14ac:dyDescent="0.25">
      <c r="A182" s="2" t="s">
        <v>371</v>
      </c>
      <c r="B182" s="28">
        <v>50</v>
      </c>
      <c r="C182" s="28">
        <v>80</v>
      </c>
      <c r="D182" s="2">
        <f t="shared" si="2"/>
        <v>65</v>
      </c>
    </row>
    <row r="183" spans="1:4" x14ac:dyDescent="0.25">
      <c r="A183" s="2" t="s">
        <v>320</v>
      </c>
      <c r="B183" s="28">
        <v>0</v>
      </c>
      <c r="C183" s="28">
        <v>0</v>
      </c>
      <c r="D183" s="2">
        <f t="shared" si="2"/>
        <v>0</v>
      </c>
    </row>
    <row r="184" spans="1:4" x14ac:dyDescent="0.25">
      <c r="A184" s="2" t="s">
        <v>368</v>
      </c>
      <c r="B184" s="28">
        <v>0</v>
      </c>
      <c r="C184" s="28">
        <v>0</v>
      </c>
      <c r="D184" s="2">
        <f t="shared" si="2"/>
        <v>0</v>
      </c>
    </row>
    <row r="185" spans="1:4" x14ac:dyDescent="0.25">
      <c r="A185" s="2" t="s">
        <v>480</v>
      </c>
      <c r="B185" s="28">
        <v>0</v>
      </c>
      <c r="C185" s="28">
        <v>20</v>
      </c>
      <c r="D185" s="2">
        <f t="shared" si="2"/>
        <v>10</v>
      </c>
    </row>
    <row r="186" spans="1:4" x14ac:dyDescent="0.25">
      <c r="A186" s="2" t="s">
        <v>387</v>
      </c>
      <c r="B186" s="28">
        <v>50</v>
      </c>
      <c r="C186" s="28">
        <v>60</v>
      </c>
      <c r="D186" s="2">
        <f t="shared" si="2"/>
        <v>55</v>
      </c>
    </row>
    <row r="187" spans="1:4" x14ac:dyDescent="0.25">
      <c r="A187" s="2" t="s">
        <v>529</v>
      </c>
      <c r="B187" s="28">
        <v>0</v>
      </c>
      <c r="C187" s="28">
        <v>40</v>
      </c>
      <c r="D187" s="2">
        <f t="shared" si="2"/>
        <v>20</v>
      </c>
    </row>
    <row r="188" spans="1:4" x14ac:dyDescent="0.25">
      <c r="A188" s="2" t="s">
        <v>303</v>
      </c>
      <c r="B188" s="28">
        <v>50</v>
      </c>
      <c r="C188" s="28">
        <v>60</v>
      </c>
      <c r="D188" s="2">
        <f t="shared" si="2"/>
        <v>55</v>
      </c>
    </row>
    <row r="189" spans="1:4" x14ac:dyDescent="0.25">
      <c r="A189" s="2" t="s">
        <v>492</v>
      </c>
      <c r="B189" s="28">
        <v>50</v>
      </c>
      <c r="C189" s="28">
        <v>100</v>
      </c>
      <c r="D189" s="2">
        <f t="shared" si="2"/>
        <v>75</v>
      </c>
    </row>
    <row r="190" spans="1:4" x14ac:dyDescent="0.25">
      <c r="A190" s="2" t="s">
        <v>537</v>
      </c>
      <c r="B190" s="28">
        <v>50</v>
      </c>
      <c r="C190" s="28">
        <v>60</v>
      </c>
      <c r="D190" s="2">
        <f t="shared" si="2"/>
        <v>55</v>
      </c>
    </row>
    <row r="191" spans="1:4" x14ac:dyDescent="0.25">
      <c r="A191" s="2" t="s">
        <v>525</v>
      </c>
      <c r="B191" s="28">
        <v>0</v>
      </c>
      <c r="C191" s="28">
        <v>20</v>
      </c>
      <c r="D191" s="2">
        <f t="shared" si="2"/>
        <v>10</v>
      </c>
    </row>
    <row r="192" spans="1:4" x14ac:dyDescent="0.25">
      <c r="A192" s="2" t="s">
        <v>339</v>
      </c>
      <c r="B192" s="28">
        <v>50</v>
      </c>
      <c r="C192" s="28">
        <v>60</v>
      </c>
      <c r="D192" s="2">
        <f t="shared" si="2"/>
        <v>55</v>
      </c>
    </row>
    <row r="193" spans="1:4" x14ac:dyDescent="0.25">
      <c r="A193" s="2" t="s">
        <v>457</v>
      </c>
      <c r="B193" s="28">
        <v>50</v>
      </c>
      <c r="C193" s="28">
        <v>60</v>
      </c>
      <c r="D193" s="2">
        <f t="shared" si="2"/>
        <v>55</v>
      </c>
    </row>
    <row r="194" spans="1:4" x14ac:dyDescent="0.25">
      <c r="A194" s="2" t="s">
        <v>306</v>
      </c>
      <c r="B194" s="28">
        <v>0</v>
      </c>
      <c r="C194" s="28">
        <v>0</v>
      </c>
      <c r="D194" s="2">
        <f t="shared" si="2"/>
        <v>0</v>
      </c>
    </row>
    <row r="195" spans="1:4" x14ac:dyDescent="0.25">
      <c r="A195" s="2" t="s">
        <v>376</v>
      </c>
      <c r="B195" s="28">
        <v>25</v>
      </c>
      <c r="C195" s="28">
        <v>40</v>
      </c>
      <c r="D195" s="2">
        <f t="shared" ref="D195:D258" si="3">AVERAGE(B195:C195)</f>
        <v>32.5</v>
      </c>
    </row>
    <row r="196" spans="1:4" x14ac:dyDescent="0.25">
      <c r="A196" s="2" t="s">
        <v>464</v>
      </c>
      <c r="B196" s="28">
        <v>0</v>
      </c>
      <c r="C196" s="28">
        <v>20</v>
      </c>
      <c r="D196" s="2">
        <f t="shared" si="3"/>
        <v>10</v>
      </c>
    </row>
    <row r="197" spans="1:4" x14ac:dyDescent="0.25">
      <c r="A197" s="2" t="s">
        <v>550</v>
      </c>
      <c r="B197" s="28">
        <v>0</v>
      </c>
      <c r="C197" s="28">
        <v>20</v>
      </c>
      <c r="D197" s="2">
        <f t="shared" si="3"/>
        <v>10</v>
      </c>
    </row>
    <row r="198" spans="1:4" x14ac:dyDescent="0.25">
      <c r="A198" s="2" t="s">
        <v>422</v>
      </c>
      <c r="B198" s="28">
        <v>0</v>
      </c>
      <c r="C198" s="28">
        <v>20</v>
      </c>
      <c r="D198" s="2">
        <f t="shared" si="3"/>
        <v>10</v>
      </c>
    </row>
    <row r="199" spans="1:4" x14ac:dyDescent="0.25">
      <c r="A199" s="2" t="s">
        <v>359</v>
      </c>
      <c r="B199" s="28">
        <v>0</v>
      </c>
      <c r="C199" s="28">
        <v>0</v>
      </c>
      <c r="D199" s="2">
        <f t="shared" si="3"/>
        <v>0</v>
      </c>
    </row>
    <row r="200" spans="1:4" x14ac:dyDescent="0.25">
      <c r="A200" s="2" t="s">
        <v>496</v>
      </c>
      <c r="B200" s="28">
        <v>0</v>
      </c>
      <c r="C200" s="28">
        <v>20</v>
      </c>
      <c r="D200" s="2">
        <f t="shared" si="3"/>
        <v>10</v>
      </c>
    </row>
    <row r="201" spans="1:4" x14ac:dyDescent="0.25">
      <c r="A201" s="2" t="s">
        <v>314</v>
      </c>
      <c r="B201" s="28">
        <v>0</v>
      </c>
      <c r="C201" s="28">
        <v>20</v>
      </c>
      <c r="D201" s="2">
        <f t="shared" si="3"/>
        <v>10</v>
      </c>
    </row>
    <row r="202" spans="1:4" x14ac:dyDescent="0.25">
      <c r="A202" s="2" t="s">
        <v>389</v>
      </c>
      <c r="B202" s="28">
        <v>75</v>
      </c>
      <c r="C202" s="28">
        <v>40</v>
      </c>
      <c r="D202" s="2">
        <f t="shared" si="3"/>
        <v>57.5</v>
      </c>
    </row>
    <row r="203" spans="1:4" x14ac:dyDescent="0.25">
      <c r="A203" s="2" t="s">
        <v>456</v>
      </c>
      <c r="B203" s="28">
        <v>0</v>
      </c>
      <c r="C203" s="28">
        <v>40</v>
      </c>
      <c r="D203" s="2">
        <f t="shared" si="3"/>
        <v>20</v>
      </c>
    </row>
    <row r="204" spans="1:4" x14ac:dyDescent="0.25">
      <c r="A204" s="2" t="s">
        <v>421</v>
      </c>
      <c r="B204" s="28">
        <v>0</v>
      </c>
      <c r="C204" s="28">
        <v>60</v>
      </c>
      <c r="D204" s="2">
        <f t="shared" si="3"/>
        <v>30</v>
      </c>
    </row>
    <row r="205" spans="1:4" x14ac:dyDescent="0.25">
      <c r="A205" s="2" t="s">
        <v>530</v>
      </c>
      <c r="B205" s="28">
        <v>0</v>
      </c>
      <c r="C205" s="28">
        <v>0</v>
      </c>
      <c r="D205" s="2">
        <f t="shared" si="3"/>
        <v>0</v>
      </c>
    </row>
    <row r="206" spans="1:4" x14ac:dyDescent="0.25">
      <c r="A206" s="2" t="s">
        <v>461</v>
      </c>
      <c r="B206" s="28">
        <v>0</v>
      </c>
      <c r="C206" s="28">
        <v>0</v>
      </c>
      <c r="D206" s="2">
        <f t="shared" si="3"/>
        <v>0</v>
      </c>
    </row>
    <row r="207" spans="1:4" x14ac:dyDescent="0.25">
      <c r="A207" s="2" t="s">
        <v>326</v>
      </c>
      <c r="B207" s="28">
        <v>50</v>
      </c>
      <c r="C207" s="28">
        <v>80</v>
      </c>
      <c r="D207" s="2">
        <f t="shared" si="3"/>
        <v>65</v>
      </c>
    </row>
    <row r="208" spans="1:4" x14ac:dyDescent="0.25">
      <c r="A208" s="2" t="s">
        <v>316</v>
      </c>
      <c r="B208" s="28">
        <v>50</v>
      </c>
      <c r="C208" s="28">
        <v>80</v>
      </c>
      <c r="D208" s="2">
        <f t="shared" si="3"/>
        <v>65</v>
      </c>
    </row>
    <row r="209" spans="1:4" x14ac:dyDescent="0.25">
      <c r="A209" s="2" t="s">
        <v>500</v>
      </c>
      <c r="B209" s="28">
        <v>0</v>
      </c>
      <c r="C209" s="28">
        <v>20</v>
      </c>
      <c r="D209" s="2">
        <f t="shared" si="3"/>
        <v>10</v>
      </c>
    </row>
    <row r="210" spans="1:4" x14ac:dyDescent="0.25">
      <c r="A210" s="2" t="s">
        <v>362</v>
      </c>
      <c r="B210" s="28">
        <v>0</v>
      </c>
      <c r="C210" s="28">
        <v>40</v>
      </c>
      <c r="D210" s="2">
        <f t="shared" si="3"/>
        <v>20</v>
      </c>
    </row>
    <row r="211" spans="1:4" ht="14.4" x14ac:dyDescent="0.25">
      <c r="A211" s="15" t="s">
        <v>635</v>
      </c>
      <c r="B211" s="28">
        <v>25</v>
      </c>
      <c r="C211" s="28">
        <v>80</v>
      </c>
      <c r="D211" s="2">
        <f t="shared" si="3"/>
        <v>52.5</v>
      </c>
    </row>
    <row r="212" spans="1:4" x14ac:dyDescent="0.25">
      <c r="A212" s="2" t="s">
        <v>563</v>
      </c>
      <c r="B212" s="28">
        <v>0</v>
      </c>
      <c r="C212" s="28">
        <v>0</v>
      </c>
      <c r="D212" s="2">
        <f t="shared" si="3"/>
        <v>0</v>
      </c>
    </row>
    <row r="213" spans="1:4" x14ac:dyDescent="0.25">
      <c r="A213" s="2" t="s">
        <v>380</v>
      </c>
      <c r="B213" s="28">
        <v>75</v>
      </c>
      <c r="C213" s="28">
        <v>100</v>
      </c>
      <c r="D213" s="2">
        <f t="shared" si="3"/>
        <v>87.5</v>
      </c>
    </row>
    <row r="214" spans="1:4" x14ac:dyDescent="0.25">
      <c r="A214" s="2" t="s">
        <v>347</v>
      </c>
      <c r="B214" s="28">
        <v>0</v>
      </c>
      <c r="C214" s="28">
        <v>40</v>
      </c>
      <c r="D214" s="2">
        <f t="shared" si="3"/>
        <v>20</v>
      </c>
    </row>
    <row r="215" spans="1:4" x14ac:dyDescent="0.25">
      <c r="A215" s="2" t="s">
        <v>504</v>
      </c>
      <c r="B215" s="28">
        <v>75</v>
      </c>
      <c r="C215" s="28">
        <v>80</v>
      </c>
      <c r="D215" s="2">
        <f t="shared" si="3"/>
        <v>77.5</v>
      </c>
    </row>
    <row r="216" spans="1:4" x14ac:dyDescent="0.25">
      <c r="A216" s="2" t="s">
        <v>353</v>
      </c>
      <c r="B216" s="28">
        <v>25</v>
      </c>
      <c r="C216" s="28">
        <v>20</v>
      </c>
      <c r="D216" s="2">
        <f t="shared" si="3"/>
        <v>22.5</v>
      </c>
    </row>
    <row r="217" spans="1:4" x14ac:dyDescent="0.25">
      <c r="A217" s="2" t="s">
        <v>538</v>
      </c>
      <c r="B217" s="28">
        <v>0</v>
      </c>
      <c r="C217" s="28">
        <v>0</v>
      </c>
      <c r="D217" s="2">
        <f t="shared" si="3"/>
        <v>0</v>
      </c>
    </row>
    <row r="218" spans="1:4" x14ac:dyDescent="0.25">
      <c r="A218" s="2" t="s">
        <v>468</v>
      </c>
      <c r="B218" s="28">
        <v>0</v>
      </c>
      <c r="C218" s="28">
        <v>0</v>
      </c>
      <c r="D218" s="2">
        <f t="shared" si="3"/>
        <v>0</v>
      </c>
    </row>
    <row r="219" spans="1:4" x14ac:dyDescent="0.25">
      <c r="A219" s="2" t="s">
        <v>312</v>
      </c>
      <c r="B219" s="28">
        <v>50</v>
      </c>
      <c r="C219" s="28">
        <v>80</v>
      </c>
      <c r="D219" s="2">
        <f t="shared" si="3"/>
        <v>65</v>
      </c>
    </row>
    <row r="220" spans="1:4" x14ac:dyDescent="0.25">
      <c r="A220" s="2" t="s">
        <v>391</v>
      </c>
      <c r="B220" s="28">
        <v>50</v>
      </c>
      <c r="C220" s="28">
        <v>80</v>
      </c>
      <c r="D220" s="2">
        <f t="shared" si="3"/>
        <v>65</v>
      </c>
    </row>
    <row r="221" spans="1:4" x14ac:dyDescent="0.25">
      <c r="A221" s="2" t="s">
        <v>385</v>
      </c>
      <c r="B221" s="28">
        <v>0</v>
      </c>
      <c r="C221" s="28">
        <v>0</v>
      </c>
      <c r="D221" s="2">
        <f t="shared" si="3"/>
        <v>0</v>
      </c>
    </row>
    <row r="222" spans="1:4" x14ac:dyDescent="0.25">
      <c r="A222" s="2" t="s">
        <v>313</v>
      </c>
      <c r="B222" s="28">
        <v>0</v>
      </c>
      <c r="C222" s="28">
        <v>20</v>
      </c>
      <c r="D222" s="2">
        <f t="shared" si="3"/>
        <v>10</v>
      </c>
    </row>
    <row r="223" spans="1:4" x14ac:dyDescent="0.25">
      <c r="A223" s="2" t="s">
        <v>495</v>
      </c>
      <c r="B223" s="28">
        <v>0</v>
      </c>
      <c r="C223" s="28">
        <v>0</v>
      </c>
      <c r="D223" s="2">
        <f t="shared" si="3"/>
        <v>0</v>
      </c>
    </row>
    <row r="224" spans="1:4" x14ac:dyDescent="0.25">
      <c r="A224" s="2" t="s">
        <v>324</v>
      </c>
      <c r="B224" s="28">
        <v>0</v>
      </c>
      <c r="C224" s="28">
        <v>40</v>
      </c>
      <c r="D224" s="2">
        <f t="shared" si="3"/>
        <v>20</v>
      </c>
    </row>
    <row r="225" spans="1:4" x14ac:dyDescent="0.25">
      <c r="A225" s="2" t="s">
        <v>542</v>
      </c>
      <c r="B225" s="28">
        <v>50</v>
      </c>
      <c r="C225" s="28">
        <v>100</v>
      </c>
      <c r="D225" s="2">
        <f t="shared" si="3"/>
        <v>75</v>
      </c>
    </row>
    <row r="226" spans="1:4" x14ac:dyDescent="0.25">
      <c r="A226" s="2" t="s">
        <v>304</v>
      </c>
      <c r="B226" s="28">
        <v>0</v>
      </c>
      <c r="C226" s="28">
        <v>0</v>
      </c>
      <c r="D226" s="2">
        <f t="shared" si="3"/>
        <v>0</v>
      </c>
    </row>
    <row r="227" spans="1:4" x14ac:dyDescent="0.25">
      <c r="A227" s="2" t="s">
        <v>333</v>
      </c>
      <c r="B227" s="28">
        <v>0</v>
      </c>
      <c r="C227" s="28">
        <v>0</v>
      </c>
      <c r="D227" s="2">
        <f t="shared" si="3"/>
        <v>0</v>
      </c>
    </row>
    <row r="228" spans="1:4" x14ac:dyDescent="0.25">
      <c r="A228" s="2" t="s">
        <v>415</v>
      </c>
      <c r="B228" s="28">
        <v>0</v>
      </c>
      <c r="C228" s="28">
        <v>20</v>
      </c>
      <c r="D228" s="2">
        <f t="shared" si="3"/>
        <v>10</v>
      </c>
    </row>
    <row r="229" spans="1:4" x14ac:dyDescent="0.25">
      <c r="A229" s="2" t="s">
        <v>470</v>
      </c>
      <c r="B229" s="28">
        <v>50</v>
      </c>
      <c r="C229" s="28">
        <v>80</v>
      </c>
      <c r="D229" s="2">
        <f t="shared" si="3"/>
        <v>65</v>
      </c>
    </row>
    <row r="230" spans="1:4" x14ac:dyDescent="0.25">
      <c r="A230" s="2" t="s">
        <v>449</v>
      </c>
      <c r="B230" s="28">
        <v>0</v>
      </c>
      <c r="C230" s="28">
        <v>0</v>
      </c>
      <c r="D230" s="2">
        <f t="shared" si="3"/>
        <v>0</v>
      </c>
    </row>
    <row r="231" spans="1:4" ht="14.4" x14ac:dyDescent="0.25">
      <c r="A231" s="15" t="s">
        <v>626</v>
      </c>
      <c r="B231" s="28">
        <v>75</v>
      </c>
      <c r="C231" s="28">
        <v>80</v>
      </c>
      <c r="D231" s="2">
        <f t="shared" si="3"/>
        <v>77.5</v>
      </c>
    </row>
    <row r="232" spans="1:4" ht="14.4" x14ac:dyDescent="0.25">
      <c r="A232" s="15" t="s">
        <v>625</v>
      </c>
      <c r="B232" s="28">
        <v>0</v>
      </c>
      <c r="C232" s="28">
        <v>40</v>
      </c>
      <c r="D232" s="2">
        <f t="shared" si="3"/>
        <v>20</v>
      </c>
    </row>
    <row r="233" spans="1:4" x14ac:dyDescent="0.25">
      <c r="A233" s="2" t="s">
        <v>511</v>
      </c>
      <c r="B233" s="28">
        <v>0</v>
      </c>
      <c r="C233" s="28">
        <v>20</v>
      </c>
      <c r="D233" s="2">
        <f t="shared" si="3"/>
        <v>10</v>
      </c>
    </row>
    <row r="234" spans="1:4" ht="14.4" x14ac:dyDescent="0.25">
      <c r="A234" s="15" t="s">
        <v>637</v>
      </c>
      <c r="B234" s="28">
        <v>0</v>
      </c>
      <c r="C234" s="28">
        <v>20</v>
      </c>
      <c r="D234" s="2">
        <f t="shared" si="3"/>
        <v>10</v>
      </c>
    </row>
    <row r="235" spans="1:4" x14ac:dyDescent="0.25">
      <c r="A235" s="2" t="s">
        <v>356</v>
      </c>
      <c r="B235" s="28">
        <v>50</v>
      </c>
      <c r="C235" s="28">
        <v>80</v>
      </c>
      <c r="D235" s="2">
        <f t="shared" si="3"/>
        <v>65</v>
      </c>
    </row>
    <row r="236" spans="1:4" x14ac:dyDescent="0.25">
      <c r="A236" s="2" t="s">
        <v>405</v>
      </c>
      <c r="B236" s="28">
        <v>0</v>
      </c>
      <c r="C236" s="28">
        <v>0</v>
      </c>
      <c r="D236" s="2">
        <f t="shared" si="3"/>
        <v>0</v>
      </c>
    </row>
    <row r="237" spans="1:4" x14ac:dyDescent="0.25">
      <c r="A237" s="2" t="s">
        <v>564</v>
      </c>
      <c r="B237" s="28">
        <v>50</v>
      </c>
      <c r="C237" s="28">
        <v>100</v>
      </c>
      <c r="D237" s="2">
        <f t="shared" si="3"/>
        <v>75</v>
      </c>
    </row>
    <row r="238" spans="1:4" x14ac:dyDescent="0.25">
      <c r="A238" s="2" t="s">
        <v>309</v>
      </c>
      <c r="B238" s="28">
        <v>0</v>
      </c>
      <c r="C238" s="28">
        <v>0</v>
      </c>
      <c r="D238" s="2">
        <f t="shared" si="3"/>
        <v>0</v>
      </c>
    </row>
    <row r="239" spans="1:4" x14ac:dyDescent="0.25">
      <c r="A239" s="2" t="s">
        <v>307</v>
      </c>
      <c r="B239" s="28">
        <v>0</v>
      </c>
      <c r="C239" s="28">
        <v>0</v>
      </c>
      <c r="D239" s="2">
        <f t="shared" si="3"/>
        <v>0</v>
      </c>
    </row>
    <row r="240" spans="1:4" x14ac:dyDescent="0.25">
      <c r="A240" s="2" t="s">
        <v>431</v>
      </c>
      <c r="B240" s="28">
        <v>25</v>
      </c>
      <c r="C240" s="28">
        <v>60</v>
      </c>
      <c r="D240" s="2">
        <f t="shared" si="3"/>
        <v>42.5</v>
      </c>
    </row>
    <row r="241" spans="1:4" x14ac:dyDescent="0.25">
      <c r="A241" s="2" t="s">
        <v>472</v>
      </c>
      <c r="B241" s="28">
        <v>0</v>
      </c>
      <c r="C241" s="28">
        <v>40</v>
      </c>
      <c r="D241" s="2">
        <f t="shared" si="3"/>
        <v>20</v>
      </c>
    </row>
    <row r="242" spans="1:4" x14ac:dyDescent="0.25">
      <c r="A242" s="2" t="s">
        <v>334</v>
      </c>
      <c r="B242" s="28">
        <v>0</v>
      </c>
      <c r="C242" s="28">
        <v>20</v>
      </c>
      <c r="D242" s="2">
        <f t="shared" si="3"/>
        <v>10</v>
      </c>
    </row>
    <row r="243" spans="1:4" x14ac:dyDescent="0.25">
      <c r="A243" s="2" t="s">
        <v>532</v>
      </c>
      <c r="B243" s="28">
        <v>0</v>
      </c>
      <c r="C243" s="28">
        <v>0</v>
      </c>
      <c r="D243" s="2">
        <f t="shared" si="3"/>
        <v>0</v>
      </c>
    </row>
    <row r="244" spans="1:4" x14ac:dyDescent="0.25">
      <c r="A244" s="2" t="s">
        <v>474</v>
      </c>
      <c r="B244" s="28">
        <v>25</v>
      </c>
      <c r="C244" s="28">
        <v>60</v>
      </c>
      <c r="D244" s="2">
        <f t="shared" si="3"/>
        <v>42.5</v>
      </c>
    </row>
    <row r="245" spans="1:4" x14ac:dyDescent="0.25">
      <c r="A245" s="2" t="s">
        <v>565</v>
      </c>
      <c r="B245" s="28">
        <v>0</v>
      </c>
      <c r="C245" s="28">
        <v>20</v>
      </c>
      <c r="D245" s="2">
        <f t="shared" si="3"/>
        <v>10</v>
      </c>
    </row>
    <row r="246" spans="1:4" x14ac:dyDescent="0.25">
      <c r="A246" s="2" t="s">
        <v>382</v>
      </c>
      <c r="B246" s="28">
        <v>50</v>
      </c>
      <c r="C246" s="28">
        <v>60</v>
      </c>
      <c r="D246" s="2">
        <f t="shared" si="3"/>
        <v>55</v>
      </c>
    </row>
    <row r="247" spans="1:4" x14ac:dyDescent="0.25">
      <c r="A247" s="2" t="s">
        <v>508</v>
      </c>
      <c r="B247" s="28">
        <v>0</v>
      </c>
      <c r="C247" s="28">
        <v>40</v>
      </c>
      <c r="D247" s="2">
        <f t="shared" si="3"/>
        <v>20</v>
      </c>
    </row>
    <row r="248" spans="1:4" x14ac:dyDescent="0.25">
      <c r="A248" s="2" t="s">
        <v>416</v>
      </c>
      <c r="B248" s="28">
        <v>25</v>
      </c>
      <c r="C248" s="28">
        <v>100</v>
      </c>
      <c r="D248" s="2">
        <f t="shared" si="3"/>
        <v>62.5</v>
      </c>
    </row>
    <row r="249" spans="1:4" x14ac:dyDescent="0.25">
      <c r="A249" s="2" t="s">
        <v>545</v>
      </c>
      <c r="B249" s="28">
        <v>25</v>
      </c>
      <c r="C249" s="28">
        <v>80</v>
      </c>
      <c r="D249" s="2">
        <f t="shared" si="3"/>
        <v>52.5</v>
      </c>
    </row>
    <row r="250" spans="1:4" x14ac:dyDescent="0.25">
      <c r="A250" s="2" t="s">
        <v>528</v>
      </c>
      <c r="B250" s="28">
        <v>50</v>
      </c>
      <c r="C250" s="28">
        <v>100</v>
      </c>
      <c r="D250" s="2">
        <f t="shared" si="3"/>
        <v>75</v>
      </c>
    </row>
    <row r="251" spans="1:4" x14ac:dyDescent="0.25">
      <c r="A251" s="2" t="s">
        <v>394</v>
      </c>
      <c r="B251" s="28">
        <v>50</v>
      </c>
      <c r="C251" s="28">
        <v>80</v>
      </c>
      <c r="D251" s="2">
        <f t="shared" si="3"/>
        <v>65</v>
      </c>
    </row>
    <row r="252" spans="1:4" x14ac:dyDescent="0.25">
      <c r="A252" s="2" t="s">
        <v>519</v>
      </c>
      <c r="B252" s="28">
        <v>0</v>
      </c>
      <c r="C252" s="28">
        <v>20</v>
      </c>
      <c r="D252" s="2">
        <f t="shared" si="3"/>
        <v>10</v>
      </c>
    </row>
    <row r="253" spans="1:4" x14ac:dyDescent="0.25">
      <c r="A253" s="2" t="s">
        <v>544</v>
      </c>
      <c r="B253" s="28">
        <v>0</v>
      </c>
      <c r="C253" s="28">
        <v>40</v>
      </c>
      <c r="D253" s="2">
        <f t="shared" si="3"/>
        <v>20</v>
      </c>
    </row>
    <row r="254" spans="1:4" x14ac:dyDescent="0.25">
      <c r="A254" s="2" t="s">
        <v>418</v>
      </c>
      <c r="B254" s="28">
        <v>50</v>
      </c>
      <c r="C254" s="28">
        <v>40</v>
      </c>
      <c r="D254" s="2">
        <f t="shared" si="3"/>
        <v>45</v>
      </c>
    </row>
    <row r="255" spans="1:4" x14ac:dyDescent="0.25">
      <c r="A255" s="2" t="s">
        <v>438</v>
      </c>
      <c r="B255" s="28">
        <v>50</v>
      </c>
      <c r="C255" s="28">
        <v>100</v>
      </c>
      <c r="D255" s="2">
        <f t="shared" si="3"/>
        <v>75</v>
      </c>
    </row>
    <row r="256" spans="1:4" x14ac:dyDescent="0.25">
      <c r="A256" s="2" t="s">
        <v>551</v>
      </c>
      <c r="B256" s="28">
        <v>0</v>
      </c>
      <c r="C256" s="28">
        <v>60</v>
      </c>
      <c r="D256" s="2">
        <f t="shared" si="3"/>
        <v>30</v>
      </c>
    </row>
    <row r="257" spans="1:4" x14ac:dyDescent="0.25">
      <c r="A257" s="2" t="s">
        <v>539</v>
      </c>
      <c r="B257" s="28">
        <v>0</v>
      </c>
      <c r="C257" s="28">
        <v>0</v>
      </c>
      <c r="D257" s="2">
        <f t="shared" si="3"/>
        <v>0</v>
      </c>
    </row>
    <row r="258" spans="1:4" x14ac:dyDescent="0.25">
      <c r="A258" s="2" t="s">
        <v>549</v>
      </c>
      <c r="B258" s="28">
        <v>50</v>
      </c>
      <c r="C258" s="28">
        <v>80</v>
      </c>
      <c r="D258" s="2">
        <f t="shared" si="3"/>
        <v>65</v>
      </c>
    </row>
    <row r="259" spans="1:4" x14ac:dyDescent="0.25">
      <c r="A259" s="2" t="s">
        <v>471</v>
      </c>
      <c r="B259" s="28">
        <v>0</v>
      </c>
      <c r="C259" s="28">
        <v>20</v>
      </c>
      <c r="D259" s="2">
        <f t="shared" ref="D259:D298" si="4">AVERAGE(B259:C259)</f>
        <v>10</v>
      </c>
    </row>
    <row r="260" spans="1:4" x14ac:dyDescent="0.25">
      <c r="A260" s="2" t="s">
        <v>357</v>
      </c>
      <c r="B260" s="28">
        <v>0</v>
      </c>
      <c r="C260" s="28">
        <v>60</v>
      </c>
      <c r="D260" s="2">
        <f t="shared" si="4"/>
        <v>30</v>
      </c>
    </row>
    <row r="261" spans="1:4" x14ac:dyDescent="0.25">
      <c r="A261" s="2" t="s">
        <v>345</v>
      </c>
      <c r="B261" s="28">
        <v>0</v>
      </c>
      <c r="C261" s="28">
        <v>20</v>
      </c>
      <c r="D261" s="2">
        <f t="shared" si="4"/>
        <v>10</v>
      </c>
    </row>
    <row r="262" spans="1:4" x14ac:dyDescent="0.25">
      <c r="A262" s="2" t="s">
        <v>420</v>
      </c>
      <c r="B262" s="28">
        <v>0</v>
      </c>
      <c r="C262" s="28">
        <v>20</v>
      </c>
      <c r="D262" s="2">
        <f t="shared" si="4"/>
        <v>10</v>
      </c>
    </row>
    <row r="263" spans="1:4" x14ac:dyDescent="0.25">
      <c r="A263" s="2" t="s">
        <v>340</v>
      </c>
      <c r="B263" s="28">
        <v>25</v>
      </c>
      <c r="C263" s="28">
        <v>60</v>
      </c>
      <c r="D263" s="2">
        <f t="shared" si="4"/>
        <v>42.5</v>
      </c>
    </row>
    <row r="264" spans="1:4" x14ac:dyDescent="0.25">
      <c r="A264" s="2" t="s">
        <v>536</v>
      </c>
      <c r="B264" s="28">
        <v>0</v>
      </c>
      <c r="C264" s="28">
        <v>20</v>
      </c>
      <c r="D264" s="2">
        <f t="shared" si="4"/>
        <v>10</v>
      </c>
    </row>
    <row r="265" spans="1:4" x14ac:dyDescent="0.25">
      <c r="A265" s="2" t="s">
        <v>395</v>
      </c>
      <c r="B265" s="28">
        <v>0</v>
      </c>
      <c r="C265" s="28">
        <v>0</v>
      </c>
      <c r="D265" s="2">
        <f t="shared" si="4"/>
        <v>0</v>
      </c>
    </row>
    <row r="266" spans="1:4" x14ac:dyDescent="0.25">
      <c r="A266" s="2" t="s">
        <v>478</v>
      </c>
      <c r="B266" s="28">
        <v>0</v>
      </c>
      <c r="C266" s="28">
        <v>0</v>
      </c>
      <c r="D266" s="2">
        <f t="shared" si="4"/>
        <v>0</v>
      </c>
    </row>
    <row r="267" spans="1:4" x14ac:dyDescent="0.25">
      <c r="A267" s="2" t="s">
        <v>547</v>
      </c>
      <c r="B267" s="28">
        <v>25</v>
      </c>
      <c r="C267" s="28">
        <v>60</v>
      </c>
      <c r="D267" s="2">
        <f t="shared" si="4"/>
        <v>42.5</v>
      </c>
    </row>
    <row r="268" spans="1:4" x14ac:dyDescent="0.25">
      <c r="A268" s="2" t="s">
        <v>409</v>
      </c>
      <c r="B268" s="28">
        <v>25</v>
      </c>
      <c r="C268" s="28">
        <v>80</v>
      </c>
      <c r="D268" s="2">
        <f t="shared" si="4"/>
        <v>52.5</v>
      </c>
    </row>
    <row r="269" spans="1:4" x14ac:dyDescent="0.25">
      <c r="A269" s="2" t="s">
        <v>315</v>
      </c>
      <c r="B269" s="28">
        <v>0</v>
      </c>
      <c r="C269" s="28">
        <v>20</v>
      </c>
      <c r="D269" s="2">
        <f t="shared" si="4"/>
        <v>10</v>
      </c>
    </row>
    <row r="270" spans="1:4" x14ac:dyDescent="0.25">
      <c r="A270" s="2" t="s">
        <v>308</v>
      </c>
      <c r="B270" s="28">
        <v>0</v>
      </c>
      <c r="C270" s="28">
        <v>20</v>
      </c>
      <c r="D270" s="2">
        <f t="shared" si="4"/>
        <v>10</v>
      </c>
    </row>
    <row r="271" spans="1:4" x14ac:dyDescent="0.25">
      <c r="A271" s="2" t="s">
        <v>507</v>
      </c>
      <c r="B271" s="28">
        <v>0</v>
      </c>
      <c r="C271" s="28">
        <v>20</v>
      </c>
      <c r="D271" s="2">
        <f t="shared" si="4"/>
        <v>10</v>
      </c>
    </row>
    <row r="272" spans="1:4" x14ac:dyDescent="0.25">
      <c r="A272" s="2" t="s">
        <v>473</v>
      </c>
      <c r="B272" s="28">
        <v>0</v>
      </c>
      <c r="C272" s="28">
        <v>60</v>
      </c>
      <c r="D272" s="2">
        <f t="shared" si="4"/>
        <v>30</v>
      </c>
    </row>
    <row r="273" spans="1:4" x14ac:dyDescent="0.25">
      <c r="A273" s="2" t="s">
        <v>520</v>
      </c>
      <c r="B273" s="28">
        <v>0</v>
      </c>
      <c r="C273" s="28">
        <v>0</v>
      </c>
      <c r="D273" s="2">
        <f t="shared" si="4"/>
        <v>0</v>
      </c>
    </row>
    <row r="274" spans="1:4" x14ac:dyDescent="0.25">
      <c r="A274" s="2" t="s">
        <v>322</v>
      </c>
      <c r="B274" s="28">
        <v>50</v>
      </c>
      <c r="C274" s="28">
        <v>100</v>
      </c>
      <c r="D274" s="2">
        <f t="shared" si="4"/>
        <v>75</v>
      </c>
    </row>
    <row r="275" spans="1:4" x14ac:dyDescent="0.25">
      <c r="A275" s="2" t="s">
        <v>407</v>
      </c>
      <c r="B275" s="28">
        <v>0</v>
      </c>
      <c r="C275" s="28">
        <v>20</v>
      </c>
      <c r="D275" s="2">
        <f t="shared" si="4"/>
        <v>10</v>
      </c>
    </row>
    <row r="276" spans="1:4" x14ac:dyDescent="0.25">
      <c r="A276" s="2" t="s">
        <v>328</v>
      </c>
      <c r="B276" s="28">
        <v>0</v>
      </c>
      <c r="C276" s="28">
        <v>60</v>
      </c>
      <c r="D276" s="2">
        <f t="shared" si="4"/>
        <v>30</v>
      </c>
    </row>
    <row r="277" spans="1:4" x14ac:dyDescent="0.25">
      <c r="A277" s="2" t="s">
        <v>534</v>
      </c>
      <c r="B277" s="28">
        <v>0</v>
      </c>
      <c r="C277" s="28">
        <v>20</v>
      </c>
      <c r="D277" s="2">
        <f t="shared" si="4"/>
        <v>10</v>
      </c>
    </row>
    <row r="278" spans="1:4" x14ac:dyDescent="0.25">
      <c r="A278" s="2" t="s">
        <v>521</v>
      </c>
      <c r="B278" s="28">
        <v>50</v>
      </c>
      <c r="C278" s="28">
        <v>60</v>
      </c>
      <c r="D278" s="2">
        <f t="shared" si="4"/>
        <v>55</v>
      </c>
    </row>
    <row r="279" spans="1:4" x14ac:dyDescent="0.25">
      <c r="A279" s="2" t="s">
        <v>546</v>
      </c>
      <c r="B279" s="28">
        <v>0</v>
      </c>
      <c r="C279" s="28">
        <v>0</v>
      </c>
      <c r="D279" s="2">
        <f t="shared" si="4"/>
        <v>0</v>
      </c>
    </row>
    <row r="280" spans="1:4" x14ac:dyDescent="0.25">
      <c r="A280" s="2" t="s">
        <v>487</v>
      </c>
      <c r="B280" s="28">
        <v>0</v>
      </c>
      <c r="C280" s="28">
        <v>20</v>
      </c>
      <c r="D280" s="2">
        <f t="shared" si="4"/>
        <v>10</v>
      </c>
    </row>
    <row r="281" spans="1:4" x14ac:dyDescent="0.25">
      <c r="A281" s="2" t="s">
        <v>411</v>
      </c>
      <c r="B281" s="28">
        <v>0</v>
      </c>
      <c r="C281" s="28">
        <v>20</v>
      </c>
      <c r="D281" s="2">
        <f t="shared" si="4"/>
        <v>10</v>
      </c>
    </row>
    <row r="282" spans="1:4" x14ac:dyDescent="0.25">
      <c r="A282" s="2" t="s">
        <v>413</v>
      </c>
      <c r="B282" s="28">
        <v>0</v>
      </c>
      <c r="C282" s="28">
        <v>0</v>
      </c>
      <c r="D282" s="2">
        <f t="shared" si="4"/>
        <v>0</v>
      </c>
    </row>
    <row r="283" spans="1:4" x14ac:dyDescent="0.25">
      <c r="A283" s="2" t="s">
        <v>527</v>
      </c>
      <c r="B283" s="28">
        <v>0</v>
      </c>
      <c r="C283" s="28">
        <v>20</v>
      </c>
      <c r="D283" s="2">
        <f t="shared" si="4"/>
        <v>10</v>
      </c>
    </row>
    <row r="284" spans="1:4" x14ac:dyDescent="0.25">
      <c r="A284" s="2" t="s">
        <v>301</v>
      </c>
      <c r="B284" s="28">
        <v>0</v>
      </c>
      <c r="C284" s="28">
        <v>60</v>
      </c>
      <c r="D284" s="2">
        <f t="shared" si="4"/>
        <v>30</v>
      </c>
    </row>
    <row r="285" spans="1:4" x14ac:dyDescent="0.25">
      <c r="A285" s="2" t="s">
        <v>479</v>
      </c>
      <c r="B285" s="28">
        <v>0</v>
      </c>
      <c r="C285" s="28">
        <v>20</v>
      </c>
      <c r="D285" s="2">
        <f t="shared" si="4"/>
        <v>10</v>
      </c>
    </row>
    <row r="286" spans="1:4" x14ac:dyDescent="0.25">
      <c r="A286" s="2" t="s">
        <v>302</v>
      </c>
      <c r="B286" s="28">
        <v>50</v>
      </c>
      <c r="C286" s="28">
        <v>80</v>
      </c>
      <c r="D286" s="2">
        <f t="shared" si="4"/>
        <v>65</v>
      </c>
    </row>
    <row r="287" spans="1:4" ht="14.4" x14ac:dyDescent="0.25">
      <c r="A287" s="15" t="s">
        <v>640</v>
      </c>
      <c r="B287" s="28">
        <v>0</v>
      </c>
      <c r="C287" s="28">
        <v>0</v>
      </c>
      <c r="D287" s="2">
        <f t="shared" si="4"/>
        <v>0</v>
      </c>
    </row>
    <row r="288" spans="1:4" x14ac:dyDescent="0.25">
      <c r="A288" s="2" t="s">
        <v>523</v>
      </c>
      <c r="B288" s="28">
        <v>25</v>
      </c>
      <c r="C288" s="28">
        <v>60</v>
      </c>
      <c r="D288" s="2">
        <f t="shared" si="4"/>
        <v>42.5</v>
      </c>
    </row>
    <row r="289" spans="1:4" x14ac:dyDescent="0.25">
      <c r="A289" s="2" t="s">
        <v>317</v>
      </c>
      <c r="B289" s="28">
        <v>0</v>
      </c>
      <c r="C289" s="28">
        <v>20</v>
      </c>
      <c r="D289" s="2">
        <f t="shared" si="4"/>
        <v>10</v>
      </c>
    </row>
    <row r="290" spans="1:4" x14ac:dyDescent="0.25">
      <c r="A290" s="2" t="s">
        <v>566</v>
      </c>
      <c r="B290" s="28">
        <v>0</v>
      </c>
      <c r="C290" s="28">
        <v>0</v>
      </c>
      <c r="D290" s="2">
        <f t="shared" si="4"/>
        <v>0</v>
      </c>
    </row>
    <row r="291" spans="1:4" x14ac:dyDescent="0.25">
      <c r="A291" s="2" t="s">
        <v>329</v>
      </c>
      <c r="B291" s="28">
        <v>50</v>
      </c>
      <c r="C291" s="28">
        <v>80</v>
      </c>
      <c r="D291" s="2">
        <f t="shared" si="4"/>
        <v>65</v>
      </c>
    </row>
    <row r="292" spans="1:4" x14ac:dyDescent="0.25">
      <c r="A292" s="2" t="s">
        <v>423</v>
      </c>
      <c r="B292" s="28">
        <v>0</v>
      </c>
      <c r="C292" s="28">
        <v>20</v>
      </c>
      <c r="D292" s="2">
        <f t="shared" si="4"/>
        <v>10</v>
      </c>
    </row>
    <row r="293" spans="1:4" x14ac:dyDescent="0.25">
      <c r="A293" s="2" t="s">
        <v>355</v>
      </c>
      <c r="B293" s="28">
        <v>0</v>
      </c>
      <c r="C293" s="28">
        <v>20</v>
      </c>
      <c r="D293" s="2">
        <f t="shared" si="4"/>
        <v>10</v>
      </c>
    </row>
    <row r="294" spans="1:4" x14ac:dyDescent="0.25">
      <c r="A294" s="2" t="s">
        <v>567</v>
      </c>
      <c r="B294" s="28">
        <v>0</v>
      </c>
      <c r="C294" s="28">
        <v>0</v>
      </c>
      <c r="D294" s="2">
        <f t="shared" si="4"/>
        <v>0</v>
      </c>
    </row>
    <row r="295" spans="1:4" x14ac:dyDescent="0.25">
      <c r="A295" s="2" t="s">
        <v>516</v>
      </c>
      <c r="B295" s="28">
        <v>0</v>
      </c>
      <c r="C295" s="28">
        <v>0</v>
      </c>
      <c r="D295" s="2">
        <f t="shared" si="4"/>
        <v>0</v>
      </c>
    </row>
    <row r="296" spans="1:4" ht="14.4" x14ac:dyDescent="0.25">
      <c r="A296" s="15" t="s">
        <v>636</v>
      </c>
      <c r="B296" s="28">
        <v>0</v>
      </c>
      <c r="C296" s="28">
        <v>20</v>
      </c>
      <c r="D296" s="2">
        <f t="shared" si="4"/>
        <v>10</v>
      </c>
    </row>
    <row r="297" spans="1:4" x14ac:dyDescent="0.25">
      <c r="A297" s="2" t="s">
        <v>568</v>
      </c>
      <c r="B297" s="28">
        <v>0</v>
      </c>
      <c r="C297" s="28">
        <v>0</v>
      </c>
      <c r="D297" s="2">
        <f t="shared" si="4"/>
        <v>0</v>
      </c>
    </row>
    <row r="298" spans="1:4" x14ac:dyDescent="0.25">
      <c r="A298" s="2" t="s">
        <v>350</v>
      </c>
      <c r="B298" s="28">
        <v>0</v>
      </c>
      <c r="C298" s="28">
        <v>0</v>
      </c>
      <c r="D298" s="2">
        <f t="shared" si="4"/>
        <v>0</v>
      </c>
    </row>
    <row r="299" spans="1:4" ht="17.399999999999999" x14ac:dyDescent="0.25">
      <c r="A299" s="6">
        <f>COUNTA(A2:A298)</f>
        <v>297</v>
      </c>
      <c r="B299" s="6">
        <f>COUNT(B2:B298)</f>
        <v>297</v>
      </c>
      <c r="C299" s="6">
        <f>COUNT(C2:C298)</f>
        <v>297</v>
      </c>
    </row>
    <row r="300" spans="1:4" ht="17.399999999999999" x14ac:dyDescent="0.25">
      <c r="B300" s="16">
        <f>B299/297</f>
        <v>1</v>
      </c>
      <c r="C300" s="16">
        <f>C299/297</f>
        <v>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03B4-F93B-4CD5-8A87-9BCFCDC80425}">
  <dimension ref="A1:F300"/>
  <sheetViews>
    <sheetView workbookViewId="0">
      <pane ySplit="3396" topLeftCell="A295" activePane="bottomLeft"/>
      <selection activeCell="F2" sqref="F2:F298"/>
      <selection pane="bottomLeft" activeCell="D304" sqref="D304"/>
    </sheetView>
  </sheetViews>
  <sheetFormatPr defaultColWidth="9" defaultRowHeight="13.8" x14ac:dyDescent="0.25"/>
  <cols>
    <col min="1" max="1" width="18.109375" style="2" customWidth="1"/>
    <col min="2" max="2" width="30.77734375" style="8" customWidth="1"/>
    <col min="3" max="3" width="25.33203125" style="8" customWidth="1"/>
    <col min="4" max="5" width="21.88671875" style="2" customWidth="1"/>
    <col min="6" max="6" width="34.21875" style="2" customWidth="1"/>
    <col min="7" max="16384" width="9" style="2"/>
  </cols>
  <sheetData>
    <row r="1" spans="1:6" ht="14.4" x14ac:dyDescent="0.25">
      <c r="A1" s="1" t="s">
        <v>298</v>
      </c>
      <c r="B1" s="4" t="s">
        <v>569</v>
      </c>
      <c r="C1" s="4" t="s">
        <v>570</v>
      </c>
      <c r="D1" s="4" t="s">
        <v>571</v>
      </c>
      <c r="E1" s="4" t="s">
        <v>572</v>
      </c>
      <c r="F1" s="4" t="s">
        <v>655</v>
      </c>
    </row>
    <row r="2" spans="1:6" ht="14.4" x14ac:dyDescent="0.25">
      <c r="A2" s="15" t="s">
        <v>610</v>
      </c>
      <c r="B2" s="8">
        <v>100</v>
      </c>
      <c r="C2" s="8">
        <v>75</v>
      </c>
      <c r="D2" s="2">
        <v>60</v>
      </c>
      <c r="E2" s="2">
        <v>50</v>
      </c>
      <c r="F2" s="31">
        <f>AVERAGE(B2:E2)</f>
        <v>71.25</v>
      </c>
    </row>
    <row r="3" spans="1:6" ht="14.4" x14ac:dyDescent="0.25">
      <c r="A3" s="15" t="s">
        <v>613</v>
      </c>
      <c r="B3" s="8">
        <v>80</v>
      </c>
      <c r="C3" s="8">
        <v>75</v>
      </c>
      <c r="D3" s="2">
        <v>80</v>
      </c>
      <c r="E3" s="2">
        <v>75</v>
      </c>
      <c r="F3" s="31">
        <f t="shared" ref="F3:F66" si="0">AVERAGE(B3:E3)</f>
        <v>77.5</v>
      </c>
    </row>
    <row r="4" spans="1:6" ht="14.4" x14ac:dyDescent="0.25">
      <c r="A4" s="15" t="s">
        <v>611</v>
      </c>
      <c r="B4" s="8">
        <v>100</v>
      </c>
      <c r="C4" s="8">
        <v>50</v>
      </c>
      <c r="D4" s="2">
        <v>40</v>
      </c>
      <c r="E4" s="2">
        <v>50</v>
      </c>
      <c r="F4" s="31">
        <f t="shared" si="0"/>
        <v>60</v>
      </c>
    </row>
    <row r="5" spans="1:6" ht="14.4" x14ac:dyDescent="0.25">
      <c r="A5" s="15" t="s">
        <v>612</v>
      </c>
      <c r="B5" s="8">
        <v>100</v>
      </c>
      <c r="C5" s="8">
        <v>100</v>
      </c>
      <c r="D5" s="2">
        <v>100</v>
      </c>
      <c r="E5" s="2">
        <v>100</v>
      </c>
      <c r="F5" s="31">
        <f t="shared" si="0"/>
        <v>100</v>
      </c>
    </row>
    <row r="6" spans="1:6" x14ac:dyDescent="0.25">
      <c r="A6" s="2" t="s">
        <v>346</v>
      </c>
      <c r="B6" s="8">
        <v>80</v>
      </c>
      <c r="C6" s="8">
        <v>50</v>
      </c>
      <c r="D6" s="2">
        <v>80</v>
      </c>
      <c r="E6" s="2">
        <v>50</v>
      </c>
      <c r="F6" s="31">
        <f t="shared" si="0"/>
        <v>65</v>
      </c>
    </row>
    <row r="7" spans="1:6" x14ac:dyDescent="0.25">
      <c r="A7" s="2" t="s">
        <v>338</v>
      </c>
      <c r="B7" s="8">
        <v>80</v>
      </c>
      <c r="C7" s="8">
        <v>50</v>
      </c>
      <c r="D7" s="2">
        <v>80</v>
      </c>
      <c r="E7" s="2">
        <v>50</v>
      </c>
      <c r="F7" s="31">
        <f t="shared" si="0"/>
        <v>65</v>
      </c>
    </row>
    <row r="8" spans="1:6" x14ac:dyDescent="0.25">
      <c r="A8" s="2" t="s">
        <v>325</v>
      </c>
      <c r="B8" s="8">
        <v>60</v>
      </c>
      <c r="C8" s="8">
        <v>25</v>
      </c>
      <c r="D8" s="2">
        <v>80</v>
      </c>
      <c r="E8" s="2">
        <v>50</v>
      </c>
      <c r="F8" s="31">
        <f t="shared" si="0"/>
        <v>53.75</v>
      </c>
    </row>
    <row r="9" spans="1:6" x14ac:dyDescent="0.25">
      <c r="A9" s="2" t="s">
        <v>311</v>
      </c>
      <c r="B9" s="8">
        <v>60</v>
      </c>
      <c r="C9" s="8">
        <v>75</v>
      </c>
      <c r="D9" s="2">
        <v>100</v>
      </c>
      <c r="E9" s="2">
        <v>50</v>
      </c>
      <c r="F9" s="31">
        <f t="shared" si="0"/>
        <v>71.25</v>
      </c>
    </row>
    <row r="10" spans="1:6" ht="14.4" x14ac:dyDescent="0.25">
      <c r="A10" s="15" t="s">
        <v>639</v>
      </c>
      <c r="B10" s="8">
        <v>60</v>
      </c>
      <c r="C10" s="8">
        <v>100</v>
      </c>
      <c r="D10" s="2">
        <v>80</v>
      </c>
      <c r="E10" s="2">
        <v>50</v>
      </c>
      <c r="F10" s="31">
        <f t="shared" si="0"/>
        <v>72.5</v>
      </c>
    </row>
    <row r="11" spans="1:6" x14ac:dyDescent="0.25">
      <c r="A11" s="2" t="s">
        <v>533</v>
      </c>
      <c r="B11" s="8">
        <v>80</v>
      </c>
      <c r="C11" s="8">
        <v>75</v>
      </c>
      <c r="D11" s="2">
        <v>100</v>
      </c>
      <c r="E11" s="2">
        <v>50</v>
      </c>
      <c r="F11" s="31">
        <f t="shared" si="0"/>
        <v>76.25</v>
      </c>
    </row>
    <row r="12" spans="1:6" x14ac:dyDescent="0.25">
      <c r="A12" s="2" t="s">
        <v>556</v>
      </c>
      <c r="B12" s="8">
        <v>60</v>
      </c>
      <c r="C12" s="8">
        <v>75</v>
      </c>
      <c r="D12" s="2">
        <v>100</v>
      </c>
      <c r="E12" s="2">
        <v>75</v>
      </c>
      <c r="F12" s="31">
        <f t="shared" si="0"/>
        <v>77.5</v>
      </c>
    </row>
    <row r="13" spans="1:6" ht="14.4" x14ac:dyDescent="0.25">
      <c r="A13" s="15" t="s">
        <v>631</v>
      </c>
      <c r="B13" s="8">
        <v>60</v>
      </c>
      <c r="C13" s="8">
        <v>25</v>
      </c>
      <c r="D13" s="2">
        <v>80</v>
      </c>
      <c r="E13" s="2">
        <v>50</v>
      </c>
      <c r="F13" s="31">
        <f t="shared" si="0"/>
        <v>53.75</v>
      </c>
    </row>
    <row r="14" spans="1:6" ht="14.4" x14ac:dyDescent="0.25">
      <c r="A14" s="15" t="s">
        <v>621</v>
      </c>
      <c r="B14" s="8">
        <v>40</v>
      </c>
      <c r="C14" s="8">
        <v>25</v>
      </c>
      <c r="D14" s="2">
        <v>20</v>
      </c>
      <c r="E14" s="2">
        <v>50</v>
      </c>
      <c r="F14" s="31">
        <f t="shared" si="0"/>
        <v>33.75</v>
      </c>
    </row>
    <row r="15" spans="1:6" ht="14.4" x14ac:dyDescent="0.25">
      <c r="A15" s="3" t="s">
        <v>494</v>
      </c>
      <c r="B15" s="8">
        <v>40</v>
      </c>
      <c r="C15" s="8">
        <v>25</v>
      </c>
      <c r="D15" s="2">
        <v>20</v>
      </c>
      <c r="E15" s="2">
        <v>50</v>
      </c>
      <c r="F15" s="31">
        <f t="shared" si="0"/>
        <v>33.75</v>
      </c>
    </row>
    <row r="16" spans="1:6" ht="14.4" x14ac:dyDescent="0.25">
      <c r="A16" s="15" t="s">
        <v>622</v>
      </c>
      <c r="B16" s="8">
        <v>80</v>
      </c>
      <c r="C16" s="8">
        <v>50</v>
      </c>
      <c r="D16" s="2">
        <v>100</v>
      </c>
      <c r="E16" s="2">
        <v>50</v>
      </c>
      <c r="F16" s="31">
        <f t="shared" si="0"/>
        <v>70</v>
      </c>
    </row>
    <row r="17" spans="1:6" ht="14.4" x14ac:dyDescent="0.25">
      <c r="A17" s="15" t="s">
        <v>623</v>
      </c>
      <c r="B17" s="8">
        <v>80</v>
      </c>
      <c r="C17" s="8">
        <v>50</v>
      </c>
      <c r="D17" s="2">
        <v>80</v>
      </c>
      <c r="E17" s="2">
        <v>50</v>
      </c>
      <c r="F17" s="31">
        <f t="shared" si="0"/>
        <v>65</v>
      </c>
    </row>
    <row r="18" spans="1:6" ht="14.4" x14ac:dyDescent="0.25">
      <c r="A18" s="15" t="s">
        <v>624</v>
      </c>
      <c r="B18" s="8">
        <v>40</v>
      </c>
      <c r="C18" s="8">
        <v>25</v>
      </c>
      <c r="D18" s="2">
        <v>100</v>
      </c>
      <c r="E18" s="2">
        <v>50</v>
      </c>
      <c r="F18" s="31">
        <f t="shared" si="0"/>
        <v>53.75</v>
      </c>
    </row>
    <row r="19" spans="1:6" x14ac:dyDescent="0.25">
      <c r="A19" s="2" t="s">
        <v>505</v>
      </c>
      <c r="B19" s="8">
        <v>60</v>
      </c>
      <c r="C19" s="8">
        <v>50</v>
      </c>
      <c r="D19" s="2">
        <v>100</v>
      </c>
      <c r="E19" s="2">
        <v>50</v>
      </c>
      <c r="F19" s="31">
        <f t="shared" si="0"/>
        <v>65</v>
      </c>
    </row>
    <row r="20" spans="1:6" x14ac:dyDescent="0.25">
      <c r="A20" s="2" t="s">
        <v>543</v>
      </c>
      <c r="B20" s="8">
        <v>80</v>
      </c>
      <c r="C20" s="8">
        <v>50</v>
      </c>
      <c r="D20" s="2">
        <v>80</v>
      </c>
      <c r="E20" s="2">
        <v>50</v>
      </c>
      <c r="F20" s="31">
        <f t="shared" si="0"/>
        <v>65</v>
      </c>
    </row>
    <row r="21" spans="1:6" x14ac:dyDescent="0.25">
      <c r="A21" s="2" t="s">
        <v>432</v>
      </c>
      <c r="B21" s="8">
        <v>60</v>
      </c>
      <c r="C21" s="8">
        <v>100</v>
      </c>
      <c r="D21" s="2">
        <v>100</v>
      </c>
      <c r="E21" s="2">
        <v>50</v>
      </c>
      <c r="F21" s="31">
        <f t="shared" si="0"/>
        <v>77.5</v>
      </c>
    </row>
    <row r="22" spans="1:6" ht="14.4" x14ac:dyDescent="0.25">
      <c r="A22" s="15" t="s">
        <v>619</v>
      </c>
      <c r="B22" s="8">
        <v>80</v>
      </c>
      <c r="C22" s="8">
        <v>50</v>
      </c>
      <c r="D22" s="2">
        <v>80</v>
      </c>
      <c r="E22" s="2">
        <v>50</v>
      </c>
      <c r="F22" s="31">
        <f t="shared" si="0"/>
        <v>65</v>
      </c>
    </row>
    <row r="23" spans="1:6" ht="14.4" x14ac:dyDescent="0.25">
      <c r="A23" s="15" t="s">
        <v>620</v>
      </c>
      <c r="B23" s="8">
        <v>60</v>
      </c>
      <c r="C23" s="8">
        <v>75</v>
      </c>
      <c r="D23" s="2">
        <v>100</v>
      </c>
      <c r="E23" s="2">
        <v>50</v>
      </c>
      <c r="F23" s="31">
        <f t="shared" si="0"/>
        <v>71.25</v>
      </c>
    </row>
    <row r="24" spans="1:6" x14ac:dyDescent="0.25">
      <c r="A24" s="2" t="s">
        <v>463</v>
      </c>
      <c r="B24" s="8">
        <v>80</v>
      </c>
      <c r="C24" s="8">
        <v>75</v>
      </c>
      <c r="D24" s="2">
        <v>40</v>
      </c>
      <c r="E24" s="2">
        <v>50</v>
      </c>
      <c r="F24" s="31">
        <f t="shared" si="0"/>
        <v>61.25</v>
      </c>
    </row>
    <row r="25" spans="1:6" ht="14.4" x14ac:dyDescent="0.25">
      <c r="A25" s="15" t="s">
        <v>632</v>
      </c>
      <c r="B25" s="8">
        <v>40</v>
      </c>
      <c r="C25" s="8">
        <v>50</v>
      </c>
      <c r="D25" s="2">
        <v>100</v>
      </c>
      <c r="E25" s="2">
        <v>50</v>
      </c>
      <c r="F25" s="31">
        <f t="shared" si="0"/>
        <v>60</v>
      </c>
    </row>
    <row r="26" spans="1:6" x14ac:dyDescent="0.25">
      <c r="A26" s="2" t="s">
        <v>327</v>
      </c>
      <c r="B26" s="8">
        <v>40</v>
      </c>
      <c r="C26" s="8">
        <v>25</v>
      </c>
      <c r="D26" s="2">
        <v>80</v>
      </c>
      <c r="E26" s="2">
        <v>50</v>
      </c>
      <c r="F26" s="31">
        <f t="shared" si="0"/>
        <v>48.75</v>
      </c>
    </row>
    <row r="27" spans="1:6" x14ac:dyDescent="0.25">
      <c r="A27" s="2" t="s">
        <v>447</v>
      </c>
      <c r="B27" s="8">
        <v>60</v>
      </c>
      <c r="C27" s="8">
        <v>50</v>
      </c>
      <c r="D27" s="2">
        <v>80</v>
      </c>
      <c r="E27" s="2">
        <v>50</v>
      </c>
      <c r="F27" s="31">
        <f t="shared" si="0"/>
        <v>60</v>
      </c>
    </row>
    <row r="28" spans="1:6" x14ac:dyDescent="0.25">
      <c r="A28" s="2" t="s">
        <v>458</v>
      </c>
      <c r="B28" s="8">
        <v>60</v>
      </c>
      <c r="C28" s="8">
        <v>25</v>
      </c>
      <c r="D28" s="2">
        <v>40</v>
      </c>
      <c r="E28" s="2">
        <v>50</v>
      </c>
      <c r="F28" s="31">
        <f t="shared" si="0"/>
        <v>43.75</v>
      </c>
    </row>
    <row r="29" spans="1:6" ht="14.4" x14ac:dyDescent="0.25">
      <c r="A29" s="15" t="s">
        <v>618</v>
      </c>
      <c r="B29" s="8">
        <v>80</v>
      </c>
      <c r="C29" s="8">
        <v>25</v>
      </c>
      <c r="D29" s="2">
        <v>0</v>
      </c>
      <c r="E29" s="2">
        <v>50</v>
      </c>
      <c r="F29" s="31">
        <f t="shared" si="0"/>
        <v>38.75</v>
      </c>
    </row>
    <row r="30" spans="1:6" ht="14.4" x14ac:dyDescent="0.25">
      <c r="A30" s="15" t="s">
        <v>650</v>
      </c>
      <c r="B30" s="8">
        <v>80</v>
      </c>
      <c r="C30" s="8">
        <v>25</v>
      </c>
      <c r="D30" s="2">
        <v>40</v>
      </c>
      <c r="E30" s="2">
        <v>100</v>
      </c>
      <c r="F30" s="31">
        <f t="shared" si="0"/>
        <v>61.25</v>
      </c>
    </row>
    <row r="31" spans="1:6" ht="14.4" x14ac:dyDescent="0.25">
      <c r="A31" s="15" t="s">
        <v>627</v>
      </c>
      <c r="B31" s="8">
        <v>80</v>
      </c>
      <c r="C31" s="8">
        <v>50</v>
      </c>
      <c r="D31" s="2">
        <v>80</v>
      </c>
      <c r="E31" s="2">
        <v>75</v>
      </c>
      <c r="F31" s="31">
        <f t="shared" si="0"/>
        <v>71.25</v>
      </c>
    </row>
    <row r="32" spans="1:6" x14ac:dyDescent="0.25">
      <c r="A32" s="2" t="s">
        <v>454</v>
      </c>
      <c r="B32" s="8">
        <v>60</v>
      </c>
      <c r="C32" s="8">
        <v>75</v>
      </c>
      <c r="D32" s="2">
        <v>80</v>
      </c>
      <c r="E32" s="2">
        <v>50</v>
      </c>
      <c r="F32" s="31">
        <f t="shared" si="0"/>
        <v>66.25</v>
      </c>
    </row>
    <row r="33" spans="1:6" x14ac:dyDescent="0.25">
      <c r="A33" s="2" t="s">
        <v>490</v>
      </c>
      <c r="B33" s="8">
        <v>60</v>
      </c>
      <c r="C33" s="8">
        <v>50</v>
      </c>
      <c r="D33" s="2">
        <v>80</v>
      </c>
      <c r="E33" s="2">
        <v>50</v>
      </c>
      <c r="F33" s="31">
        <f t="shared" si="0"/>
        <v>60</v>
      </c>
    </row>
    <row r="34" spans="1:6" x14ac:dyDescent="0.25">
      <c r="A34" s="2" t="s">
        <v>514</v>
      </c>
      <c r="B34" s="8">
        <v>60</v>
      </c>
      <c r="C34" s="8">
        <v>100</v>
      </c>
      <c r="D34" s="2">
        <v>100</v>
      </c>
      <c r="E34" s="2">
        <v>50</v>
      </c>
      <c r="F34" s="31">
        <f t="shared" si="0"/>
        <v>77.5</v>
      </c>
    </row>
    <row r="35" spans="1:6" ht="14.4" x14ac:dyDescent="0.25">
      <c r="A35" s="15" t="s">
        <v>617</v>
      </c>
      <c r="B35" s="8">
        <v>60</v>
      </c>
      <c r="C35" s="8">
        <v>50</v>
      </c>
      <c r="D35" s="2">
        <v>100</v>
      </c>
      <c r="E35" s="2">
        <v>75</v>
      </c>
      <c r="F35" s="31">
        <f t="shared" si="0"/>
        <v>71.25</v>
      </c>
    </row>
    <row r="36" spans="1:6" x14ac:dyDescent="0.25">
      <c r="A36" s="2" t="s">
        <v>517</v>
      </c>
      <c r="B36" s="8">
        <v>100</v>
      </c>
      <c r="C36" s="8">
        <v>75</v>
      </c>
      <c r="D36" s="2">
        <v>100</v>
      </c>
      <c r="E36" s="2">
        <v>50</v>
      </c>
      <c r="F36" s="31">
        <f t="shared" si="0"/>
        <v>81.25</v>
      </c>
    </row>
    <row r="37" spans="1:6" x14ac:dyDescent="0.25">
      <c r="A37" s="2" t="s">
        <v>477</v>
      </c>
      <c r="B37" s="8">
        <v>60</v>
      </c>
      <c r="C37" s="8">
        <v>25</v>
      </c>
      <c r="D37" s="2">
        <v>80</v>
      </c>
      <c r="E37" s="2">
        <v>75</v>
      </c>
      <c r="F37" s="31">
        <f t="shared" si="0"/>
        <v>60</v>
      </c>
    </row>
    <row r="38" spans="1:6" ht="14.4" x14ac:dyDescent="0.25">
      <c r="A38" s="15" t="s">
        <v>616</v>
      </c>
      <c r="B38" s="8">
        <v>60</v>
      </c>
      <c r="C38" s="8">
        <v>25</v>
      </c>
      <c r="D38" s="2">
        <v>100</v>
      </c>
      <c r="E38" s="2">
        <v>50</v>
      </c>
      <c r="F38" s="31">
        <f t="shared" si="0"/>
        <v>58.75</v>
      </c>
    </row>
    <row r="39" spans="1:6" x14ac:dyDescent="0.25">
      <c r="A39" s="2" t="s">
        <v>515</v>
      </c>
      <c r="B39" s="8">
        <v>60</v>
      </c>
      <c r="C39" s="8">
        <v>50</v>
      </c>
      <c r="D39" s="2">
        <v>100</v>
      </c>
      <c r="E39" s="2">
        <v>50</v>
      </c>
      <c r="F39" s="31">
        <f t="shared" si="0"/>
        <v>65</v>
      </c>
    </row>
    <row r="40" spans="1:6" ht="14.4" x14ac:dyDescent="0.25">
      <c r="A40" s="15" t="s">
        <v>615</v>
      </c>
      <c r="B40" s="8">
        <v>80</v>
      </c>
      <c r="C40" s="8">
        <v>75</v>
      </c>
      <c r="D40" s="2">
        <v>100</v>
      </c>
      <c r="E40" s="2">
        <v>75</v>
      </c>
      <c r="F40" s="31">
        <f t="shared" si="0"/>
        <v>82.5</v>
      </c>
    </row>
    <row r="41" spans="1:6" x14ac:dyDescent="0.25">
      <c r="A41" s="2" t="s">
        <v>305</v>
      </c>
      <c r="B41" s="8">
        <v>80</v>
      </c>
      <c r="C41" s="8">
        <v>50</v>
      </c>
      <c r="D41" s="2">
        <v>100</v>
      </c>
      <c r="E41" s="2">
        <v>50</v>
      </c>
      <c r="F41" s="31">
        <f t="shared" si="0"/>
        <v>70</v>
      </c>
    </row>
    <row r="42" spans="1:6" x14ac:dyDescent="0.25">
      <c r="A42" s="2" t="s">
        <v>499</v>
      </c>
      <c r="B42" s="8">
        <v>60</v>
      </c>
      <c r="C42" s="8">
        <v>25</v>
      </c>
      <c r="D42" s="2">
        <v>100</v>
      </c>
      <c r="E42" s="2">
        <v>50</v>
      </c>
      <c r="F42" s="31">
        <f t="shared" si="0"/>
        <v>58.75</v>
      </c>
    </row>
    <row r="43" spans="1:6" x14ac:dyDescent="0.25">
      <c r="A43" s="2" t="s">
        <v>439</v>
      </c>
      <c r="B43" s="8">
        <v>60</v>
      </c>
      <c r="C43" s="8">
        <v>0</v>
      </c>
      <c r="D43" s="2">
        <v>40</v>
      </c>
      <c r="E43" s="2">
        <v>50</v>
      </c>
      <c r="F43" s="31">
        <f t="shared" si="0"/>
        <v>37.5</v>
      </c>
    </row>
    <row r="44" spans="1:6" x14ac:dyDescent="0.25">
      <c r="A44" s="2" t="s">
        <v>442</v>
      </c>
      <c r="B44" s="8">
        <v>60</v>
      </c>
      <c r="C44" s="8">
        <v>50</v>
      </c>
      <c r="D44" s="2">
        <v>60</v>
      </c>
      <c r="E44" s="2">
        <v>50</v>
      </c>
      <c r="F44" s="31">
        <f t="shared" si="0"/>
        <v>55</v>
      </c>
    </row>
    <row r="45" spans="1:6" ht="14.4" x14ac:dyDescent="0.25">
      <c r="A45" s="15" t="s">
        <v>614</v>
      </c>
      <c r="B45" s="8">
        <v>80</v>
      </c>
      <c r="C45" s="8">
        <v>100</v>
      </c>
      <c r="D45" s="2">
        <v>80</v>
      </c>
      <c r="E45" s="2">
        <v>75</v>
      </c>
      <c r="F45" s="31">
        <f t="shared" si="0"/>
        <v>83.75</v>
      </c>
    </row>
    <row r="46" spans="1:6" x14ac:dyDescent="0.25">
      <c r="A46" s="2" t="s">
        <v>489</v>
      </c>
      <c r="B46" s="8">
        <v>40</v>
      </c>
      <c r="C46" s="8">
        <v>0</v>
      </c>
      <c r="D46" s="2">
        <v>60</v>
      </c>
      <c r="E46" s="2">
        <v>50</v>
      </c>
      <c r="F46" s="31">
        <f t="shared" si="0"/>
        <v>37.5</v>
      </c>
    </row>
    <row r="47" spans="1:6" ht="14.4" x14ac:dyDescent="0.25">
      <c r="A47" s="15" t="s">
        <v>642</v>
      </c>
      <c r="B47" s="8">
        <v>80</v>
      </c>
      <c r="C47" s="8">
        <v>50</v>
      </c>
      <c r="D47" s="2">
        <v>80</v>
      </c>
      <c r="E47" s="2">
        <v>50</v>
      </c>
      <c r="F47" s="31">
        <f t="shared" si="0"/>
        <v>65</v>
      </c>
    </row>
    <row r="48" spans="1:6" x14ac:dyDescent="0.25">
      <c r="A48" s="2" t="s">
        <v>337</v>
      </c>
      <c r="B48" s="8">
        <v>60</v>
      </c>
      <c r="C48" s="8">
        <v>25</v>
      </c>
      <c r="D48" s="2">
        <v>0</v>
      </c>
      <c r="E48" s="2">
        <v>50</v>
      </c>
      <c r="F48" s="31">
        <f t="shared" si="0"/>
        <v>33.75</v>
      </c>
    </row>
    <row r="49" spans="1:6" x14ac:dyDescent="0.25">
      <c r="A49" s="2" t="s">
        <v>446</v>
      </c>
      <c r="B49" s="8">
        <v>60</v>
      </c>
      <c r="C49" s="8">
        <v>50</v>
      </c>
      <c r="D49" s="2">
        <v>80</v>
      </c>
      <c r="E49" s="2">
        <v>50</v>
      </c>
      <c r="F49" s="31">
        <f t="shared" si="0"/>
        <v>60</v>
      </c>
    </row>
    <row r="50" spans="1:6" x14ac:dyDescent="0.25">
      <c r="A50" s="2" t="s">
        <v>351</v>
      </c>
      <c r="B50" s="8">
        <v>40</v>
      </c>
      <c r="C50" s="8">
        <v>50</v>
      </c>
      <c r="D50" s="2">
        <v>80</v>
      </c>
      <c r="E50" s="2">
        <v>50</v>
      </c>
      <c r="F50" s="31">
        <f t="shared" si="0"/>
        <v>55</v>
      </c>
    </row>
    <row r="51" spans="1:6" x14ac:dyDescent="0.25">
      <c r="A51" s="2" t="s">
        <v>469</v>
      </c>
      <c r="B51" s="8">
        <v>100</v>
      </c>
      <c r="C51" s="8">
        <v>75</v>
      </c>
      <c r="D51" s="2">
        <v>40</v>
      </c>
      <c r="E51" s="2">
        <v>50</v>
      </c>
      <c r="F51" s="31">
        <f t="shared" si="0"/>
        <v>66.25</v>
      </c>
    </row>
    <row r="52" spans="1:6" ht="14.4" x14ac:dyDescent="0.25">
      <c r="A52" s="15" t="s">
        <v>633</v>
      </c>
      <c r="B52" s="8">
        <v>60</v>
      </c>
      <c r="C52" s="8">
        <v>25</v>
      </c>
      <c r="D52" s="2">
        <v>100</v>
      </c>
      <c r="E52" s="2">
        <v>75</v>
      </c>
      <c r="F52" s="31">
        <f t="shared" si="0"/>
        <v>65</v>
      </c>
    </row>
    <row r="53" spans="1:6" x14ac:dyDescent="0.25">
      <c r="A53" s="2" t="s">
        <v>548</v>
      </c>
      <c r="B53" s="8">
        <v>100</v>
      </c>
      <c r="C53" s="8">
        <v>100</v>
      </c>
      <c r="D53" s="2">
        <v>100</v>
      </c>
      <c r="E53" s="2">
        <v>50</v>
      </c>
      <c r="F53" s="31">
        <f t="shared" si="0"/>
        <v>87.5</v>
      </c>
    </row>
    <row r="54" spans="1:6" ht="14.4" x14ac:dyDescent="0.25">
      <c r="A54" s="15" t="s">
        <v>628</v>
      </c>
      <c r="B54" s="8">
        <v>60</v>
      </c>
      <c r="C54" s="8">
        <v>50</v>
      </c>
      <c r="D54" s="2">
        <v>80</v>
      </c>
      <c r="E54" s="2">
        <v>50</v>
      </c>
      <c r="F54" s="31">
        <f t="shared" si="0"/>
        <v>60</v>
      </c>
    </row>
    <row r="55" spans="1:6" x14ac:dyDescent="0.25">
      <c r="A55" s="2" t="s">
        <v>557</v>
      </c>
      <c r="B55" s="8">
        <v>40</v>
      </c>
      <c r="C55" s="8">
        <v>25</v>
      </c>
      <c r="D55" s="2">
        <v>40</v>
      </c>
      <c r="E55" s="2">
        <v>50</v>
      </c>
      <c r="F55" s="31">
        <f t="shared" si="0"/>
        <v>38.75</v>
      </c>
    </row>
    <row r="56" spans="1:6" x14ac:dyDescent="0.25">
      <c r="A56" s="2" t="s">
        <v>406</v>
      </c>
      <c r="B56" s="8">
        <v>80</v>
      </c>
      <c r="C56" s="8">
        <v>75</v>
      </c>
      <c r="D56" s="2">
        <v>80</v>
      </c>
      <c r="E56" s="2">
        <v>50</v>
      </c>
      <c r="F56" s="31">
        <f t="shared" si="0"/>
        <v>71.25</v>
      </c>
    </row>
    <row r="57" spans="1:6" x14ac:dyDescent="0.25">
      <c r="A57" s="2" t="s">
        <v>417</v>
      </c>
      <c r="B57" s="8">
        <v>40</v>
      </c>
      <c r="C57" s="8">
        <v>75</v>
      </c>
      <c r="D57" s="2">
        <v>80</v>
      </c>
      <c r="E57" s="2">
        <v>50</v>
      </c>
      <c r="F57" s="31">
        <f t="shared" si="0"/>
        <v>61.25</v>
      </c>
    </row>
    <row r="58" spans="1:6" x14ac:dyDescent="0.25">
      <c r="A58" s="2" t="s">
        <v>321</v>
      </c>
      <c r="B58" s="8">
        <v>100</v>
      </c>
      <c r="C58" s="8">
        <v>100</v>
      </c>
      <c r="D58" s="2">
        <v>100</v>
      </c>
      <c r="E58" s="2">
        <v>50</v>
      </c>
      <c r="F58" s="31">
        <f t="shared" si="0"/>
        <v>87.5</v>
      </c>
    </row>
    <row r="59" spans="1:6" x14ac:dyDescent="0.25">
      <c r="A59" s="2" t="s">
        <v>408</v>
      </c>
      <c r="B59" s="8">
        <v>60</v>
      </c>
      <c r="C59" s="8">
        <v>75</v>
      </c>
      <c r="D59" s="2">
        <v>80</v>
      </c>
      <c r="E59" s="2">
        <v>50</v>
      </c>
      <c r="F59" s="31">
        <f t="shared" si="0"/>
        <v>66.25</v>
      </c>
    </row>
    <row r="60" spans="1:6" x14ac:dyDescent="0.25">
      <c r="A60" s="2" t="s">
        <v>377</v>
      </c>
      <c r="B60" s="8">
        <v>80</v>
      </c>
      <c r="C60" s="8">
        <v>50</v>
      </c>
      <c r="D60" s="2">
        <v>100</v>
      </c>
      <c r="E60" s="2">
        <v>50</v>
      </c>
      <c r="F60" s="31">
        <f t="shared" si="0"/>
        <v>70</v>
      </c>
    </row>
    <row r="61" spans="1:6" x14ac:dyDescent="0.25">
      <c r="A61" s="2" t="s">
        <v>466</v>
      </c>
      <c r="B61" s="8">
        <v>60</v>
      </c>
      <c r="C61" s="8">
        <v>100</v>
      </c>
      <c r="D61" s="2">
        <v>100</v>
      </c>
      <c r="E61" s="2">
        <v>50</v>
      </c>
      <c r="F61" s="31">
        <f t="shared" si="0"/>
        <v>77.5</v>
      </c>
    </row>
    <row r="62" spans="1:6" x14ac:dyDescent="0.25">
      <c r="A62" s="2" t="s">
        <v>509</v>
      </c>
      <c r="B62" s="8">
        <f>VLOOKUP(A62,[2]纯数值!$A$1:$H$7,2,0)</f>
        <v>80</v>
      </c>
      <c r="C62" s="8">
        <f>VLOOKUP(A62,[2]纯数值!$A$1:$H$7,3,0)</f>
        <v>25</v>
      </c>
      <c r="D62" s="8">
        <f>VLOOKUP(A62,[2]纯数值!$A$1:$H$7,4,0)</f>
        <v>80</v>
      </c>
      <c r="E62" s="8">
        <f>VLOOKUP(A62,[2]纯数值!$A$1:$H$7,5,0)</f>
        <v>50</v>
      </c>
      <c r="F62" s="31">
        <f t="shared" si="0"/>
        <v>58.75</v>
      </c>
    </row>
    <row r="63" spans="1:6" x14ac:dyDescent="0.25">
      <c r="A63" s="2" t="s">
        <v>484</v>
      </c>
      <c r="B63" s="8">
        <v>60</v>
      </c>
      <c r="C63" s="8">
        <v>50</v>
      </c>
      <c r="D63" s="2">
        <v>80</v>
      </c>
      <c r="E63" s="2">
        <v>50</v>
      </c>
      <c r="F63" s="31">
        <f t="shared" si="0"/>
        <v>60</v>
      </c>
    </row>
    <row r="64" spans="1:6" x14ac:dyDescent="0.25">
      <c r="A64" s="2" t="s">
        <v>433</v>
      </c>
      <c r="B64" s="8">
        <v>40</v>
      </c>
      <c r="C64" s="8">
        <v>0</v>
      </c>
      <c r="D64" s="2">
        <v>80</v>
      </c>
      <c r="E64" s="2">
        <v>50</v>
      </c>
      <c r="F64" s="31">
        <f t="shared" si="0"/>
        <v>42.5</v>
      </c>
    </row>
    <row r="65" spans="1:6" x14ac:dyDescent="0.25">
      <c r="A65" s="2" t="s">
        <v>558</v>
      </c>
      <c r="B65" s="8">
        <v>60</v>
      </c>
      <c r="C65" s="8">
        <v>75</v>
      </c>
      <c r="D65" s="2">
        <v>40</v>
      </c>
      <c r="E65" s="2">
        <v>50</v>
      </c>
      <c r="F65" s="31">
        <f t="shared" si="0"/>
        <v>56.25</v>
      </c>
    </row>
    <row r="66" spans="1:6" x14ac:dyDescent="0.25">
      <c r="A66" s="2" t="s">
        <v>369</v>
      </c>
      <c r="B66" s="8">
        <v>40</v>
      </c>
      <c r="C66" s="8">
        <v>25</v>
      </c>
      <c r="D66" s="2">
        <v>80</v>
      </c>
      <c r="E66" s="2">
        <v>75</v>
      </c>
      <c r="F66" s="31">
        <f t="shared" si="0"/>
        <v>55</v>
      </c>
    </row>
    <row r="67" spans="1:6" x14ac:dyDescent="0.25">
      <c r="A67" s="2" t="s">
        <v>452</v>
      </c>
      <c r="B67" s="8">
        <v>80</v>
      </c>
      <c r="C67" s="8">
        <v>75</v>
      </c>
      <c r="D67" s="2">
        <v>80</v>
      </c>
      <c r="E67" s="2">
        <v>75</v>
      </c>
      <c r="F67" s="31">
        <f t="shared" ref="F67:F130" si="1">AVERAGE(B67:E67)</f>
        <v>77.5</v>
      </c>
    </row>
    <row r="68" spans="1:6" x14ac:dyDescent="0.25">
      <c r="A68" s="2" t="s">
        <v>491</v>
      </c>
      <c r="B68" s="8">
        <v>60</v>
      </c>
      <c r="C68" s="8">
        <v>100</v>
      </c>
      <c r="D68" s="2">
        <v>100</v>
      </c>
      <c r="E68" s="2">
        <v>50</v>
      </c>
      <c r="F68" s="31">
        <f t="shared" si="1"/>
        <v>77.5</v>
      </c>
    </row>
    <row r="69" spans="1:6" x14ac:dyDescent="0.25">
      <c r="A69" s="2" t="s">
        <v>366</v>
      </c>
      <c r="B69" s="8">
        <v>60</v>
      </c>
      <c r="C69" s="8">
        <v>75</v>
      </c>
      <c r="D69" s="2">
        <v>100</v>
      </c>
      <c r="E69" s="2">
        <v>75</v>
      </c>
      <c r="F69" s="31">
        <f t="shared" si="1"/>
        <v>77.5</v>
      </c>
    </row>
    <row r="70" spans="1:6" x14ac:dyDescent="0.25">
      <c r="A70" s="2" t="s">
        <v>341</v>
      </c>
      <c r="B70" s="8">
        <v>60</v>
      </c>
      <c r="C70" s="8">
        <v>100</v>
      </c>
      <c r="D70" s="2">
        <v>100</v>
      </c>
      <c r="E70" s="2">
        <v>50</v>
      </c>
      <c r="F70" s="31">
        <f t="shared" si="1"/>
        <v>77.5</v>
      </c>
    </row>
    <row r="71" spans="1:6" x14ac:dyDescent="0.25">
      <c r="A71" s="2" t="s">
        <v>360</v>
      </c>
      <c r="B71" s="8">
        <v>60</v>
      </c>
      <c r="C71" s="8">
        <v>0</v>
      </c>
      <c r="D71" s="2">
        <v>100</v>
      </c>
      <c r="E71" s="2">
        <v>75</v>
      </c>
      <c r="F71" s="31">
        <f t="shared" si="1"/>
        <v>58.75</v>
      </c>
    </row>
    <row r="72" spans="1:6" x14ac:dyDescent="0.25">
      <c r="A72" s="2" t="s">
        <v>374</v>
      </c>
      <c r="B72" s="8">
        <v>80</v>
      </c>
      <c r="C72" s="8">
        <v>100</v>
      </c>
      <c r="D72" s="2">
        <v>100</v>
      </c>
      <c r="E72" s="2">
        <v>50</v>
      </c>
      <c r="F72" s="31">
        <f t="shared" si="1"/>
        <v>82.5</v>
      </c>
    </row>
    <row r="73" spans="1:6" x14ac:dyDescent="0.25">
      <c r="A73" s="2" t="s">
        <v>397</v>
      </c>
      <c r="B73" s="8">
        <v>80</v>
      </c>
      <c r="C73" s="8">
        <v>100</v>
      </c>
      <c r="D73" s="2">
        <v>80</v>
      </c>
      <c r="E73" s="2">
        <v>50</v>
      </c>
      <c r="F73" s="31">
        <f t="shared" si="1"/>
        <v>77.5</v>
      </c>
    </row>
    <row r="74" spans="1:6" x14ac:dyDescent="0.25">
      <c r="A74" s="2" t="s">
        <v>384</v>
      </c>
      <c r="B74" s="8">
        <v>80</v>
      </c>
      <c r="C74" s="8">
        <v>100</v>
      </c>
      <c r="D74" s="2">
        <v>80</v>
      </c>
      <c r="E74" s="2">
        <v>50</v>
      </c>
      <c r="F74" s="31">
        <f t="shared" si="1"/>
        <v>77.5</v>
      </c>
    </row>
    <row r="75" spans="1:6" x14ac:dyDescent="0.25">
      <c r="A75" s="2" t="s">
        <v>378</v>
      </c>
      <c r="B75" s="8">
        <v>60</v>
      </c>
      <c r="C75" s="8">
        <v>75</v>
      </c>
      <c r="D75" s="2">
        <v>80</v>
      </c>
      <c r="E75" s="2">
        <v>50</v>
      </c>
      <c r="F75" s="31">
        <f t="shared" si="1"/>
        <v>66.25</v>
      </c>
    </row>
    <row r="76" spans="1:6" ht="14.4" x14ac:dyDescent="0.25">
      <c r="A76" s="15" t="s">
        <v>641</v>
      </c>
      <c r="B76" s="8">
        <v>80</v>
      </c>
      <c r="C76" s="8">
        <v>100</v>
      </c>
      <c r="D76" s="2">
        <v>100</v>
      </c>
      <c r="E76" s="2">
        <v>50</v>
      </c>
      <c r="F76" s="31">
        <f t="shared" si="1"/>
        <v>82.5</v>
      </c>
    </row>
    <row r="77" spans="1:6" x14ac:dyDescent="0.25">
      <c r="A77" s="2" t="s">
        <v>501</v>
      </c>
      <c r="B77" s="8">
        <v>60</v>
      </c>
      <c r="C77" s="8">
        <v>25</v>
      </c>
      <c r="D77" s="2">
        <v>80</v>
      </c>
      <c r="E77" s="2">
        <v>50</v>
      </c>
      <c r="F77" s="31">
        <f t="shared" si="1"/>
        <v>53.75</v>
      </c>
    </row>
    <row r="78" spans="1:6" x14ac:dyDescent="0.25">
      <c r="A78" s="2" t="s">
        <v>330</v>
      </c>
      <c r="B78" s="8">
        <v>80</v>
      </c>
      <c r="C78" s="8">
        <v>100</v>
      </c>
      <c r="D78" s="2">
        <v>80</v>
      </c>
      <c r="E78" s="2">
        <v>75</v>
      </c>
      <c r="F78" s="31">
        <f t="shared" si="1"/>
        <v>83.75</v>
      </c>
    </row>
    <row r="79" spans="1:6" x14ac:dyDescent="0.25">
      <c r="A79" s="2" t="s">
        <v>435</v>
      </c>
      <c r="B79" s="8">
        <v>80</v>
      </c>
      <c r="C79" s="8">
        <v>100</v>
      </c>
      <c r="D79" s="2">
        <v>100</v>
      </c>
      <c r="E79" s="2">
        <v>50</v>
      </c>
      <c r="F79" s="31">
        <f t="shared" si="1"/>
        <v>82.5</v>
      </c>
    </row>
    <row r="80" spans="1:6" x14ac:dyDescent="0.25">
      <c r="A80" s="2" t="s">
        <v>386</v>
      </c>
      <c r="B80" s="8">
        <v>80</v>
      </c>
      <c r="C80" s="8">
        <v>25</v>
      </c>
      <c r="D80" s="2">
        <v>80</v>
      </c>
      <c r="E80" s="2">
        <v>50</v>
      </c>
      <c r="F80" s="31">
        <f t="shared" si="1"/>
        <v>58.75</v>
      </c>
    </row>
    <row r="81" spans="1:6" x14ac:dyDescent="0.25">
      <c r="A81" s="2" t="s">
        <v>443</v>
      </c>
      <c r="B81" s="8">
        <v>60</v>
      </c>
      <c r="C81" s="8">
        <v>50</v>
      </c>
      <c r="D81" s="2">
        <v>100</v>
      </c>
      <c r="E81" s="2">
        <v>50</v>
      </c>
      <c r="F81" s="31">
        <f t="shared" si="1"/>
        <v>65</v>
      </c>
    </row>
    <row r="82" spans="1:6" x14ac:dyDescent="0.25">
      <c r="A82" s="2" t="s">
        <v>503</v>
      </c>
      <c r="B82" s="8">
        <v>100</v>
      </c>
      <c r="C82" s="8">
        <v>50</v>
      </c>
      <c r="D82" s="2">
        <v>80</v>
      </c>
      <c r="E82" s="2">
        <v>50</v>
      </c>
      <c r="F82" s="31">
        <f t="shared" si="1"/>
        <v>70</v>
      </c>
    </row>
    <row r="83" spans="1:6" x14ac:dyDescent="0.25">
      <c r="A83" s="2" t="s">
        <v>392</v>
      </c>
      <c r="B83" s="8">
        <v>60</v>
      </c>
      <c r="C83" s="8">
        <v>25</v>
      </c>
      <c r="D83" s="2">
        <v>80</v>
      </c>
      <c r="E83" s="2">
        <v>25</v>
      </c>
      <c r="F83" s="31">
        <f t="shared" si="1"/>
        <v>47.5</v>
      </c>
    </row>
    <row r="84" spans="1:6" x14ac:dyDescent="0.25">
      <c r="A84" s="2" t="s">
        <v>379</v>
      </c>
      <c r="B84" s="8">
        <v>80</v>
      </c>
      <c r="C84" s="8">
        <v>0</v>
      </c>
      <c r="D84" s="2">
        <v>0</v>
      </c>
      <c r="E84" s="2">
        <v>50</v>
      </c>
      <c r="F84" s="31">
        <f t="shared" si="1"/>
        <v>32.5</v>
      </c>
    </row>
    <row r="85" spans="1:6" x14ac:dyDescent="0.25">
      <c r="A85" s="2" t="s">
        <v>451</v>
      </c>
      <c r="B85" s="8">
        <v>60</v>
      </c>
      <c r="C85" s="8">
        <v>0</v>
      </c>
      <c r="D85" s="2">
        <v>40</v>
      </c>
      <c r="E85" s="2">
        <v>50</v>
      </c>
      <c r="F85" s="31">
        <f t="shared" si="1"/>
        <v>37.5</v>
      </c>
    </row>
    <row r="86" spans="1:6" x14ac:dyDescent="0.25">
      <c r="A86" s="2" t="s">
        <v>372</v>
      </c>
      <c r="B86" s="8">
        <v>60</v>
      </c>
      <c r="C86" s="8">
        <v>25</v>
      </c>
      <c r="D86" s="2">
        <v>100</v>
      </c>
      <c r="E86" s="2">
        <v>50</v>
      </c>
      <c r="F86" s="31">
        <f t="shared" si="1"/>
        <v>58.75</v>
      </c>
    </row>
    <row r="87" spans="1:6" x14ac:dyDescent="0.25">
      <c r="A87" s="2" t="s">
        <v>428</v>
      </c>
      <c r="B87" s="8">
        <v>80</v>
      </c>
      <c r="C87" s="8">
        <v>100</v>
      </c>
      <c r="D87" s="2">
        <v>60</v>
      </c>
      <c r="E87" s="2">
        <v>50</v>
      </c>
      <c r="F87" s="31">
        <f t="shared" si="1"/>
        <v>72.5</v>
      </c>
    </row>
    <row r="88" spans="1:6" x14ac:dyDescent="0.25">
      <c r="A88" s="2" t="s">
        <v>427</v>
      </c>
      <c r="B88" s="8">
        <v>100</v>
      </c>
      <c r="C88" s="8">
        <v>75</v>
      </c>
      <c r="D88" s="2">
        <v>100</v>
      </c>
      <c r="E88" s="2">
        <v>50</v>
      </c>
      <c r="F88" s="31">
        <f t="shared" si="1"/>
        <v>81.25</v>
      </c>
    </row>
    <row r="89" spans="1:6" ht="14.4" x14ac:dyDescent="0.25">
      <c r="A89" s="15" t="s">
        <v>634</v>
      </c>
      <c r="B89" s="8">
        <v>60</v>
      </c>
      <c r="C89" s="8">
        <v>100</v>
      </c>
      <c r="D89" s="2">
        <v>100</v>
      </c>
      <c r="E89" s="2">
        <v>50</v>
      </c>
      <c r="F89" s="31">
        <f t="shared" si="1"/>
        <v>77.5</v>
      </c>
    </row>
    <row r="90" spans="1:6" x14ac:dyDescent="0.25">
      <c r="A90" s="2" t="s">
        <v>342</v>
      </c>
      <c r="B90" s="8">
        <v>80</v>
      </c>
      <c r="C90" s="8">
        <v>75</v>
      </c>
      <c r="D90" s="2">
        <v>100</v>
      </c>
      <c r="E90" s="2">
        <v>50</v>
      </c>
      <c r="F90" s="31">
        <f t="shared" si="1"/>
        <v>76.25</v>
      </c>
    </row>
    <row r="91" spans="1:6" x14ac:dyDescent="0.25">
      <c r="A91" s="2" t="s">
        <v>455</v>
      </c>
      <c r="B91" s="8">
        <v>60</v>
      </c>
      <c r="C91" s="8">
        <v>75</v>
      </c>
      <c r="D91" s="2">
        <v>80</v>
      </c>
      <c r="E91" s="2">
        <v>50</v>
      </c>
      <c r="F91" s="31">
        <f t="shared" si="1"/>
        <v>66.25</v>
      </c>
    </row>
    <row r="92" spans="1:6" x14ac:dyDescent="0.25">
      <c r="A92" s="2" t="s">
        <v>559</v>
      </c>
      <c r="B92" s="8">
        <v>40</v>
      </c>
      <c r="C92" s="8">
        <v>0</v>
      </c>
      <c r="D92" s="2">
        <v>80</v>
      </c>
      <c r="E92" s="2">
        <v>50</v>
      </c>
      <c r="F92" s="31">
        <f t="shared" si="1"/>
        <v>42.5</v>
      </c>
    </row>
    <row r="93" spans="1:6" x14ac:dyDescent="0.25">
      <c r="A93" s="2" t="s">
        <v>518</v>
      </c>
      <c r="B93" s="8">
        <v>80</v>
      </c>
      <c r="C93" s="8">
        <v>75</v>
      </c>
      <c r="D93" s="2">
        <v>100</v>
      </c>
      <c r="E93" s="2">
        <v>50</v>
      </c>
      <c r="F93" s="31">
        <f t="shared" si="1"/>
        <v>76.25</v>
      </c>
    </row>
    <row r="94" spans="1:6" x14ac:dyDescent="0.25">
      <c r="A94" s="2" t="s">
        <v>483</v>
      </c>
      <c r="B94" s="8">
        <v>80</v>
      </c>
      <c r="C94" s="8">
        <v>75</v>
      </c>
      <c r="D94" s="2">
        <v>100</v>
      </c>
      <c r="E94" s="2">
        <v>50</v>
      </c>
      <c r="F94" s="31">
        <f t="shared" si="1"/>
        <v>76.25</v>
      </c>
    </row>
    <row r="95" spans="1:6" x14ac:dyDescent="0.25">
      <c r="A95" s="2" t="s">
        <v>367</v>
      </c>
      <c r="B95" s="8">
        <v>80</v>
      </c>
      <c r="C95" s="8">
        <v>100</v>
      </c>
      <c r="D95" s="2">
        <v>100</v>
      </c>
      <c r="E95" s="2">
        <v>75</v>
      </c>
      <c r="F95" s="31">
        <f t="shared" si="1"/>
        <v>88.75</v>
      </c>
    </row>
    <row r="96" spans="1:6" x14ac:dyDescent="0.25">
      <c r="A96" s="2" t="s">
        <v>462</v>
      </c>
      <c r="B96" s="8">
        <f>VLOOKUP(A96,[2]纯数值!$A$1:$H$7,2,0)</f>
        <v>0</v>
      </c>
      <c r="C96" s="8">
        <f>VLOOKUP(A96,[2]纯数值!$A$1:$H$7,3,0)</f>
        <v>0</v>
      </c>
      <c r="D96" s="8">
        <f>VLOOKUP(A96,[2]纯数值!$A$1:$H$7,4,0)</f>
        <v>0</v>
      </c>
      <c r="E96" s="8">
        <f>VLOOKUP(A96,[2]纯数值!$A$1:$H$7,5,0)</f>
        <v>0</v>
      </c>
      <c r="F96" s="31">
        <f t="shared" si="1"/>
        <v>0</v>
      </c>
    </row>
    <row r="97" spans="1:6" x14ac:dyDescent="0.25">
      <c r="A97" s="2" t="s">
        <v>319</v>
      </c>
      <c r="B97" s="8">
        <v>80</v>
      </c>
      <c r="C97" s="8">
        <v>75</v>
      </c>
      <c r="D97" s="2">
        <v>100</v>
      </c>
      <c r="E97" s="2">
        <v>100</v>
      </c>
      <c r="F97" s="31">
        <f t="shared" si="1"/>
        <v>88.75</v>
      </c>
    </row>
    <row r="98" spans="1:6" x14ac:dyDescent="0.25">
      <c r="A98" s="2" t="s">
        <v>400</v>
      </c>
      <c r="B98" s="8">
        <v>60</v>
      </c>
      <c r="C98" s="8">
        <v>100</v>
      </c>
      <c r="D98" s="2">
        <v>100</v>
      </c>
      <c r="E98" s="2">
        <v>50</v>
      </c>
      <c r="F98" s="31">
        <f t="shared" si="1"/>
        <v>77.5</v>
      </c>
    </row>
    <row r="99" spans="1:6" x14ac:dyDescent="0.25">
      <c r="A99" s="2" t="s">
        <v>560</v>
      </c>
      <c r="B99" s="8">
        <v>40</v>
      </c>
      <c r="C99" s="8">
        <v>0</v>
      </c>
      <c r="D99" s="2">
        <v>80</v>
      </c>
      <c r="E99" s="2">
        <v>25</v>
      </c>
      <c r="F99" s="31">
        <f t="shared" si="1"/>
        <v>36.25</v>
      </c>
    </row>
    <row r="100" spans="1:6" x14ac:dyDescent="0.25">
      <c r="A100" s="2" t="s">
        <v>410</v>
      </c>
      <c r="B100" s="8">
        <v>60</v>
      </c>
      <c r="C100" s="8">
        <v>25</v>
      </c>
      <c r="D100" s="2">
        <v>80</v>
      </c>
      <c r="E100" s="2">
        <v>50</v>
      </c>
      <c r="F100" s="31">
        <f t="shared" si="1"/>
        <v>53.75</v>
      </c>
    </row>
    <row r="101" spans="1:6" x14ac:dyDescent="0.25">
      <c r="A101" s="2" t="s">
        <v>510</v>
      </c>
      <c r="B101" s="8">
        <v>60</v>
      </c>
      <c r="C101" s="8">
        <v>0</v>
      </c>
      <c r="D101" s="2">
        <v>80</v>
      </c>
      <c r="E101" s="2">
        <v>50</v>
      </c>
      <c r="F101" s="31">
        <f t="shared" si="1"/>
        <v>47.5</v>
      </c>
    </row>
    <row r="102" spans="1:6" x14ac:dyDescent="0.25">
      <c r="A102" s="2" t="s">
        <v>482</v>
      </c>
      <c r="B102" s="8">
        <v>0</v>
      </c>
      <c r="C102" s="8">
        <v>0</v>
      </c>
      <c r="D102" s="2">
        <v>0</v>
      </c>
      <c r="E102" s="2">
        <v>25</v>
      </c>
      <c r="F102" s="31">
        <f t="shared" si="1"/>
        <v>6.25</v>
      </c>
    </row>
    <row r="103" spans="1:6" x14ac:dyDescent="0.25">
      <c r="A103" s="2" t="s">
        <v>502</v>
      </c>
      <c r="B103" s="8">
        <v>60</v>
      </c>
      <c r="C103" s="8">
        <v>75</v>
      </c>
      <c r="D103" s="2">
        <v>80</v>
      </c>
      <c r="E103" s="2">
        <v>50</v>
      </c>
      <c r="F103" s="31">
        <f t="shared" si="1"/>
        <v>66.25</v>
      </c>
    </row>
    <row r="104" spans="1:6" x14ac:dyDescent="0.25">
      <c r="A104" s="2" t="s">
        <v>445</v>
      </c>
      <c r="B104" s="8">
        <v>60</v>
      </c>
      <c r="C104" s="8">
        <v>25</v>
      </c>
      <c r="D104" s="2">
        <v>40</v>
      </c>
      <c r="E104" s="2">
        <v>50</v>
      </c>
      <c r="F104" s="31">
        <f t="shared" si="1"/>
        <v>43.75</v>
      </c>
    </row>
    <row r="105" spans="1:6" x14ac:dyDescent="0.25">
      <c r="A105" s="2" t="s">
        <v>364</v>
      </c>
      <c r="B105" s="8">
        <v>80</v>
      </c>
      <c r="C105" s="8">
        <v>50</v>
      </c>
      <c r="D105" s="2">
        <v>20</v>
      </c>
      <c r="E105" s="2">
        <v>50</v>
      </c>
      <c r="F105" s="31">
        <f t="shared" si="1"/>
        <v>50</v>
      </c>
    </row>
    <row r="106" spans="1:6" x14ac:dyDescent="0.25">
      <c r="A106" s="2" t="s">
        <v>522</v>
      </c>
      <c r="B106" s="8">
        <v>60</v>
      </c>
      <c r="C106" s="8">
        <v>50</v>
      </c>
      <c r="D106" s="2">
        <v>40</v>
      </c>
      <c r="E106" s="2">
        <v>50</v>
      </c>
      <c r="F106" s="31">
        <f t="shared" si="1"/>
        <v>50</v>
      </c>
    </row>
    <row r="107" spans="1:6" x14ac:dyDescent="0.25">
      <c r="A107" s="2" t="s">
        <v>390</v>
      </c>
      <c r="B107" s="8">
        <v>60</v>
      </c>
      <c r="C107" s="8">
        <v>25</v>
      </c>
      <c r="D107" s="2">
        <v>80</v>
      </c>
      <c r="E107" s="2">
        <v>50</v>
      </c>
      <c r="F107" s="31">
        <f t="shared" si="1"/>
        <v>53.75</v>
      </c>
    </row>
    <row r="108" spans="1:6" x14ac:dyDescent="0.25">
      <c r="A108" s="2" t="s">
        <v>444</v>
      </c>
      <c r="B108" s="8">
        <v>60</v>
      </c>
      <c r="C108" s="8">
        <v>0</v>
      </c>
      <c r="D108" s="2">
        <v>80</v>
      </c>
      <c r="E108" s="2">
        <v>50</v>
      </c>
      <c r="F108" s="31">
        <f t="shared" si="1"/>
        <v>47.5</v>
      </c>
    </row>
    <row r="109" spans="1:6" x14ac:dyDescent="0.25">
      <c r="A109" s="2" t="s">
        <v>323</v>
      </c>
      <c r="B109" s="8">
        <v>60</v>
      </c>
      <c r="C109" s="8">
        <v>50</v>
      </c>
      <c r="D109" s="2">
        <v>100</v>
      </c>
      <c r="E109" s="2">
        <v>50</v>
      </c>
      <c r="F109" s="31">
        <f t="shared" si="1"/>
        <v>65</v>
      </c>
    </row>
    <row r="110" spans="1:6" x14ac:dyDescent="0.25">
      <c r="A110" s="2" t="s">
        <v>476</v>
      </c>
      <c r="B110" s="8">
        <v>60</v>
      </c>
      <c r="C110" s="8">
        <v>25</v>
      </c>
      <c r="D110" s="2">
        <v>100</v>
      </c>
      <c r="E110" s="2">
        <v>50</v>
      </c>
      <c r="F110" s="31">
        <f t="shared" si="1"/>
        <v>58.75</v>
      </c>
    </row>
    <row r="111" spans="1:6" x14ac:dyDescent="0.25">
      <c r="A111" s="2" t="s">
        <v>498</v>
      </c>
      <c r="B111" s="8">
        <v>80</v>
      </c>
      <c r="C111" s="8">
        <v>25</v>
      </c>
      <c r="D111" s="2">
        <v>80</v>
      </c>
      <c r="E111" s="2">
        <v>50</v>
      </c>
      <c r="F111" s="31">
        <f t="shared" si="1"/>
        <v>58.75</v>
      </c>
    </row>
    <row r="112" spans="1:6" x14ac:dyDescent="0.25">
      <c r="A112" s="2" t="s">
        <v>393</v>
      </c>
      <c r="B112" s="8">
        <v>80</v>
      </c>
      <c r="C112" s="8">
        <v>100</v>
      </c>
      <c r="D112" s="2">
        <v>80</v>
      </c>
      <c r="E112" s="2">
        <v>75</v>
      </c>
      <c r="F112" s="31">
        <f t="shared" si="1"/>
        <v>83.75</v>
      </c>
    </row>
    <row r="113" spans="1:6" x14ac:dyDescent="0.25">
      <c r="A113" s="2" t="s">
        <v>485</v>
      </c>
      <c r="B113" s="8">
        <v>80</v>
      </c>
      <c r="C113" s="8">
        <v>100</v>
      </c>
      <c r="D113" s="2">
        <v>80</v>
      </c>
      <c r="E113" s="2">
        <v>50</v>
      </c>
      <c r="F113" s="31">
        <f t="shared" si="1"/>
        <v>77.5</v>
      </c>
    </row>
    <row r="114" spans="1:6" x14ac:dyDescent="0.25">
      <c r="A114" s="2" t="s">
        <v>349</v>
      </c>
      <c r="B114" s="8">
        <v>40</v>
      </c>
      <c r="C114" s="8">
        <v>50</v>
      </c>
      <c r="D114" s="2">
        <v>100</v>
      </c>
      <c r="E114" s="2">
        <v>100</v>
      </c>
      <c r="F114" s="31">
        <f t="shared" si="1"/>
        <v>72.5</v>
      </c>
    </row>
    <row r="115" spans="1:6" x14ac:dyDescent="0.25">
      <c r="A115" s="2" t="s">
        <v>506</v>
      </c>
      <c r="B115" s="8">
        <v>60</v>
      </c>
      <c r="C115" s="8">
        <v>75</v>
      </c>
      <c r="D115" s="2">
        <v>0</v>
      </c>
      <c r="E115" s="2">
        <v>50</v>
      </c>
      <c r="F115" s="31">
        <f t="shared" si="1"/>
        <v>46.25</v>
      </c>
    </row>
    <row r="116" spans="1:6" x14ac:dyDescent="0.25">
      <c r="A116" s="2" t="s">
        <v>459</v>
      </c>
      <c r="B116" s="8">
        <v>60</v>
      </c>
      <c r="C116" s="8">
        <v>100</v>
      </c>
      <c r="D116" s="2">
        <v>100</v>
      </c>
      <c r="E116" s="2">
        <v>100</v>
      </c>
      <c r="F116" s="31">
        <f t="shared" si="1"/>
        <v>90</v>
      </c>
    </row>
    <row r="117" spans="1:6" x14ac:dyDescent="0.25">
      <c r="A117" s="2" t="s">
        <v>388</v>
      </c>
      <c r="B117" s="8">
        <v>80</v>
      </c>
      <c r="C117" s="8">
        <v>100</v>
      </c>
      <c r="D117" s="2">
        <v>100</v>
      </c>
      <c r="E117" s="2">
        <v>50</v>
      </c>
      <c r="F117" s="31">
        <f t="shared" si="1"/>
        <v>82.5</v>
      </c>
    </row>
    <row r="118" spans="1:6" x14ac:dyDescent="0.25">
      <c r="A118" s="2" t="s">
        <v>402</v>
      </c>
      <c r="B118" s="8">
        <v>60</v>
      </c>
      <c r="C118" s="8">
        <v>25</v>
      </c>
      <c r="D118" s="2">
        <v>80</v>
      </c>
      <c r="E118" s="2">
        <v>50</v>
      </c>
      <c r="F118" s="31">
        <f t="shared" si="1"/>
        <v>53.75</v>
      </c>
    </row>
    <row r="119" spans="1:6" x14ac:dyDescent="0.25">
      <c r="A119" s="2" t="s">
        <v>453</v>
      </c>
      <c r="B119" s="8">
        <v>60</v>
      </c>
      <c r="C119" s="8">
        <v>50</v>
      </c>
      <c r="D119" s="2">
        <v>100</v>
      </c>
      <c r="E119" s="2">
        <v>50</v>
      </c>
      <c r="F119" s="31">
        <f t="shared" si="1"/>
        <v>65</v>
      </c>
    </row>
    <row r="120" spans="1:6" x14ac:dyDescent="0.25">
      <c r="A120" s="2" t="s">
        <v>526</v>
      </c>
      <c r="B120" s="8">
        <v>40</v>
      </c>
      <c r="C120" s="8">
        <v>25</v>
      </c>
      <c r="D120" s="2">
        <v>100</v>
      </c>
      <c r="E120" s="2">
        <v>50</v>
      </c>
      <c r="F120" s="31">
        <f t="shared" si="1"/>
        <v>53.75</v>
      </c>
    </row>
    <row r="121" spans="1:6" x14ac:dyDescent="0.25">
      <c r="A121" s="2" t="s">
        <v>363</v>
      </c>
      <c r="B121" s="8">
        <v>40</v>
      </c>
      <c r="C121" s="8">
        <v>0</v>
      </c>
      <c r="D121" s="2">
        <v>20</v>
      </c>
      <c r="E121" s="2">
        <v>50</v>
      </c>
      <c r="F121" s="31">
        <f t="shared" si="1"/>
        <v>27.5</v>
      </c>
    </row>
    <row r="122" spans="1:6" x14ac:dyDescent="0.25">
      <c r="A122" s="2" t="s">
        <v>481</v>
      </c>
      <c r="B122" s="8">
        <v>100</v>
      </c>
      <c r="C122" s="8">
        <v>75</v>
      </c>
      <c r="D122" s="2">
        <v>80</v>
      </c>
      <c r="E122" s="2">
        <v>50</v>
      </c>
      <c r="F122" s="31">
        <f t="shared" si="1"/>
        <v>76.25</v>
      </c>
    </row>
    <row r="123" spans="1:6" ht="14.4" x14ac:dyDescent="0.25">
      <c r="A123" s="15" t="s">
        <v>630</v>
      </c>
      <c r="B123" s="8">
        <v>60</v>
      </c>
      <c r="C123" s="8">
        <v>75</v>
      </c>
      <c r="D123" s="2">
        <v>100</v>
      </c>
      <c r="E123" s="2">
        <v>75</v>
      </c>
      <c r="F123" s="31">
        <f t="shared" si="1"/>
        <v>77.5</v>
      </c>
    </row>
    <row r="124" spans="1:6" x14ac:dyDescent="0.25">
      <c r="A124" s="2" t="s">
        <v>465</v>
      </c>
      <c r="B124" s="8">
        <v>40</v>
      </c>
      <c r="C124" s="8">
        <v>0</v>
      </c>
      <c r="D124" s="2">
        <v>20</v>
      </c>
      <c r="E124" s="2">
        <v>25</v>
      </c>
      <c r="F124" s="31">
        <f t="shared" si="1"/>
        <v>21.25</v>
      </c>
    </row>
    <row r="125" spans="1:6" x14ac:dyDescent="0.25">
      <c r="A125" s="2" t="s">
        <v>448</v>
      </c>
      <c r="B125" s="8">
        <v>60</v>
      </c>
      <c r="C125" s="8">
        <v>25</v>
      </c>
      <c r="D125" s="2">
        <v>100</v>
      </c>
      <c r="E125" s="2">
        <v>50</v>
      </c>
      <c r="F125" s="31">
        <f t="shared" si="1"/>
        <v>58.75</v>
      </c>
    </row>
    <row r="126" spans="1:6" x14ac:dyDescent="0.25">
      <c r="A126" s="2" t="s">
        <v>440</v>
      </c>
      <c r="B126" s="8">
        <v>80</v>
      </c>
      <c r="C126" s="8">
        <v>0</v>
      </c>
      <c r="D126" s="2">
        <v>0</v>
      </c>
      <c r="E126" s="2">
        <v>50</v>
      </c>
      <c r="F126" s="31">
        <f t="shared" si="1"/>
        <v>32.5</v>
      </c>
    </row>
    <row r="127" spans="1:6" x14ac:dyDescent="0.25">
      <c r="A127" s="2" t="s">
        <v>404</v>
      </c>
      <c r="B127" s="8">
        <v>80</v>
      </c>
      <c r="C127" s="8">
        <v>100</v>
      </c>
      <c r="D127" s="2">
        <v>100</v>
      </c>
      <c r="E127" s="2">
        <v>75</v>
      </c>
      <c r="F127" s="31">
        <f t="shared" si="1"/>
        <v>88.75</v>
      </c>
    </row>
    <row r="128" spans="1:6" x14ac:dyDescent="0.25">
      <c r="A128" s="2" t="s">
        <v>310</v>
      </c>
      <c r="B128" s="8">
        <v>60</v>
      </c>
      <c r="C128" s="8">
        <v>50</v>
      </c>
      <c r="D128" s="2">
        <v>100</v>
      </c>
      <c r="E128" s="2">
        <v>50</v>
      </c>
      <c r="F128" s="31">
        <f t="shared" si="1"/>
        <v>65</v>
      </c>
    </row>
    <row r="129" spans="1:6" x14ac:dyDescent="0.25">
      <c r="A129" s="2" t="s">
        <v>424</v>
      </c>
      <c r="B129" s="8">
        <v>80</v>
      </c>
      <c r="C129" s="8">
        <v>50</v>
      </c>
      <c r="D129" s="2">
        <v>80</v>
      </c>
      <c r="E129" s="2">
        <v>50</v>
      </c>
      <c r="F129" s="31">
        <f t="shared" si="1"/>
        <v>65</v>
      </c>
    </row>
    <row r="130" spans="1:6" x14ac:dyDescent="0.25">
      <c r="A130" s="2" t="s">
        <v>475</v>
      </c>
      <c r="B130" s="8">
        <v>80</v>
      </c>
      <c r="C130" s="8">
        <v>50</v>
      </c>
      <c r="D130" s="2">
        <v>0</v>
      </c>
      <c r="E130" s="2">
        <v>50</v>
      </c>
      <c r="F130" s="31">
        <f t="shared" si="1"/>
        <v>45</v>
      </c>
    </row>
    <row r="131" spans="1:6" x14ac:dyDescent="0.25">
      <c r="A131" s="2" t="s">
        <v>524</v>
      </c>
      <c r="B131" s="8">
        <v>100</v>
      </c>
      <c r="C131" s="8">
        <v>50</v>
      </c>
      <c r="D131" s="2">
        <v>0</v>
      </c>
      <c r="E131" s="2">
        <v>50</v>
      </c>
      <c r="F131" s="31">
        <f t="shared" ref="F131:F194" si="2">AVERAGE(B131:E131)</f>
        <v>50</v>
      </c>
    </row>
    <row r="132" spans="1:6" x14ac:dyDescent="0.25">
      <c r="A132" s="2" t="s">
        <v>401</v>
      </c>
      <c r="B132" s="8">
        <v>60</v>
      </c>
      <c r="C132" s="8">
        <v>50</v>
      </c>
      <c r="D132" s="2">
        <v>100</v>
      </c>
      <c r="E132" s="2">
        <v>50</v>
      </c>
      <c r="F132" s="31">
        <f t="shared" si="2"/>
        <v>65</v>
      </c>
    </row>
    <row r="133" spans="1:6" x14ac:dyDescent="0.25">
      <c r="A133" s="2" t="s">
        <v>437</v>
      </c>
      <c r="B133" s="8">
        <v>60</v>
      </c>
      <c r="C133" s="8">
        <v>50</v>
      </c>
      <c r="D133" s="2">
        <v>100</v>
      </c>
      <c r="E133" s="2">
        <v>50</v>
      </c>
      <c r="F133" s="31">
        <f t="shared" si="2"/>
        <v>65</v>
      </c>
    </row>
    <row r="134" spans="1:6" x14ac:dyDescent="0.25">
      <c r="A134" s="2" t="s">
        <v>332</v>
      </c>
      <c r="B134" s="8">
        <v>80</v>
      </c>
      <c r="C134" s="8">
        <v>75</v>
      </c>
      <c r="D134" s="2">
        <v>100</v>
      </c>
      <c r="E134" s="2">
        <v>50</v>
      </c>
      <c r="F134" s="31">
        <f t="shared" si="2"/>
        <v>76.25</v>
      </c>
    </row>
    <row r="135" spans="1:6" x14ac:dyDescent="0.25">
      <c r="A135" s="2" t="s">
        <v>343</v>
      </c>
      <c r="B135" s="8">
        <v>80</v>
      </c>
      <c r="C135" s="8">
        <v>100</v>
      </c>
      <c r="D135" s="2">
        <v>100</v>
      </c>
      <c r="E135" s="2">
        <v>75</v>
      </c>
      <c r="F135" s="31">
        <f t="shared" si="2"/>
        <v>88.75</v>
      </c>
    </row>
    <row r="136" spans="1:6" x14ac:dyDescent="0.25">
      <c r="A136" s="2" t="s">
        <v>460</v>
      </c>
      <c r="B136" s="8">
        <v>60</v>
      </c>
      <c r="C136" s="8">
        <v>50</v>
      </c>
      <c r="D136" s="2">
        <v>80</v>
      </c>
      <c r="E136" s="2">
        <v>50</v>
      </c>
      <c r="F136" s="31">
        <f t="shared" si="2"/>
        <v>60</v>
      </c>
    </row>
    <row r="137" spans="1:6" x14ac:dyDescent="0.25">
      <c r="A137" s="2" t="s">
        <v>426</v>
      </c>
      <c r="B137" s="8">
        <v>40</v>
      </c>
      <c r="C137" s="8">
        <v>0</v>
      </c>
      <c r="D137" s="2">
        <v>20</v>
      </c>
      <c r="E137" s="2">
        <v>50</v>
      </c>
      <c r="F137" s="31">
        <f t="shared" si="2"/>
        <v>27.5</v>
      </c>
    </row>
    <row r="138" spans="1:6" x14ac:dyDescent="0.25">
      <c r="A138" s="2" t="s">
        <v>425</v>
      </c>
      <c r="B138" s="8">
        <v>100</v>
      </c>
      <c r="C138" s="8">
        <v>100</v>
      </c>
      <c r="D138" s="2">
        <v>80</v>
      </c>
      <c r="E138" s="2">
        <v>50</v>
      </c>
      <c r="F138" s="31">
        <f t="shared" si="2"/>
        <v>82.5</v>
      </c>
    </row>
    <row r="139" spans="1:6" ht="14.4" x14ac:dyDescent="0.25">
      <c r="A139" s="15" t="s">
        <v>638</v>
      </c>
      <c r="B139" s="8">
        <v>80</v>
      </c>
      <c r="C139" s="8">
        <v>75</v>
      </c>
      <c r="D139" s="2">
        <v>100</v>
      </c>
      <c r="E139" s="2">
        <v>75</v>
      </c>
      <c r="F139" s="31">
        <f t="shared" si="2"/>
        <v>82.5</v>
      </c>
    </row>
    <row r="140" spans="1:6" x14ac:dyDescent="0.25">
      <c r="A140" s="2" t="s">
        <v>344</v>
      </c>
      <c r="B140" s="8">
        <v>60</v>
      </c>
      <c r="C140" s="8">
        <v>50</v>
      </c>
      <c r="D140" s="2">
        <v>0</v>
      </c>
      <c r="E140" s="2">
        <v>50</v>
      </c>
      <c r="F140" s="31">
        <f t="shared" si="2"/>
        <v>40</v>
      </c>
    </row>
    <row r="141" spans="1:6" x14ac:dyDescent="0.25">
      <c r="A141" s="2" t="s">
        <v>450</v>
      </c>
      <c r="B141" s="8">
        <v>100</v>
      </c>
      <c r="C141" s="8">
        <v>50</v>
      </c>
      <c r="D141" s="2">
        <v>100</v>
      </c>
      <c r="E141" s="2">
        <v>50</v>
      </c>
      <c r="F141" s="31">
        <f t="shared" si="2"/>
        <v>75</v>
      </c>
    </row>
    <row r="142" spans="1:6" x14ac:dyDescent="0.25">
      <c r="A142" s="2" t="s">
        <v>383</v>
      </c>
      <c r="B142" s="8">
        <v>80</v>
      </c>
      <c r="C142" s="8">
        <v>0</v>
      </c>
      <c r="D142" s="2">
        <v>0</v>
      </c>
      <c r="E142" s="2">
        <v>50</v>
      </c>
      <c r="F142" s="31">
        <f t="shared" si="2"/>
        <v>32.5</v>
      </c>
    </row>
    <row r="143" spans="1:6" x14ac:dyDescent="0.25">
      <c r="A143" s="2" t="s">
        <v>488</v>
      </c>
      <c r="B143" s="8">
        <v>60</v>
      </c>
      <c r="C143" s="8">
        <v>75</v>
      </c>
      <c r="D143" s="2">
        <v>80</v>
      </c>
      <c r="E143" s="2">
        <v>75</v>
      </c>
      <c r="F143" s="31">
        <f t="shared" si="2"/>
        <v>72.5</v>
      </c>
    </row>
    <row r="144" spans="1:6" x14ac:dyDescent="0.25">
      <c r="A144" s="2" t="s">
        <v>373</v>
      </c>
      <c r="B144" s="8">
        <v>80</v>
      </c>
      <c r="C144" s="8">
        <v>75</v>
      </c>
      <c r="D144" s="2">
        <v>100</v>
      </c>
      <c r="E144" s="2">
        <v>50</v>
      </c>
      <c r="F144" s="31">
        <f t="shared" si="2"/>
        <v>76.25</v>
      </c>
    </row>
    <row r="145" spans="1:6" x14ac:dyDescent="0.25">
      <c r="A145" s="2" t="s">
        <v>497</v>
      </c>
      <c r="B145" s="8">
        <v>60</v>
      </c>
      <c r="C145" s="8">
        <v>100</v>
      </c>
      <c r="D145" s="2">
        <v>100</v>
      </c>
      <c r="E145" s="2">
        <v>50</v>
      </c>
      <c r="F145" s="31">
        <f t="shared" si="2"/>
        <v>77.5</v>
      </c>
    </row>
    <row r="146" spans="1:6" x14ac:dyDescent="0.25">
      <c r="A146" s="2" t="s">
        <v>430</v>
      </c>
      <c r="B146" s="8">
        <v>60</v>
      </c>
      <c r="C146" s="8">
        <v>50</v>
      </c>
      <c r="D146" s="2">
        <v>80</v>
      </c>
      <c r="E146" s="2">
        <v>50</v>
      </c>
      <c r="F146" s="31">
        <f t="shared" si="2"/>
        <v>60</v>
      </c>
    </row>
    <row r="147" spans="1:6" x14ac:dyDescent="0.25">
      <c r="A147" s="2" t="s">
        <v>398</v>
      </c>
      <c r="B147" s="8">
        <v>80</v>
      </c>
      <c r="C147" s="8">
        <v>100</v>
      </c>
      <c r="D147" s="2">
        <v>100</v>
      </c>
      <c r="E147" s="2">
        <v>50</v>
      </c>
      <c r="F147" s="31">
        <f t="shared" si="2"/>
        <v>82.5</v>
      </c>
    </row>
    <row r="148" spans="1:6" x14ac:dyDescent="0.25">
      <c r="A148" s="2" t="s">
        <v>434</v>
      </c>
      <c r="B148" s="8">
        <v>80</v>
      </c>
      <c r="C148" s="8">
        <v>100</v>
      </c>
      <c r="D148" s="2">
        <v>100</v>
      </c>
      <c r="E148" s="2">
        <v>50</v>
      </c>
      <c r="F148" s="31">
        <f t="shared" si="2"/>
        <v>82.5</v>
      </c>
    </row>
    <row r="149" spans="1:6" x14ac:dyDescent="0.25">
      <c r="A149" s="2" t="s">
        <v>403</v>
      </c>
      <c r="B149" s="8">
        <v>60</v>
      </c>
      <c r="C149" s="8">
        <v>50</v>
      </c>
      <c r="D149" s="2">
        <v>100</v>
      </c>
      <c r="E149" s="2">
        <v>50</v>
      </c>
      <c r="F149" s="31">
        <f t="shared" si="2"/>
        <v>65</v>
      </c>
    </row>
    <row r="150" spans="1:6" x14ac:dyDescent="0.25">
      <c r="A150" s="2" t="s">
        <v>375</v>
      </c>
      <c r="B150" s="8">
        <v>80</v>
      </c>
      <c r="C150" s="8">
        <v>100</v>
      </c>
      <c r="D150" s="2">
        <v>100</v>
      </c>
      <c r="E150" s="2">
        <v>75</v>
      </c>
      <c r="F150" s="31">
        <f t="shared" si="2"/>
        <v>88.75</v>
      </c>
    </row>
    <row r="151" spans="1:6" x14ac:dyDescent="0.25">
      <c r="A151" s="2" t="s">
        <v>354</v>
      </c>
      <c r="B151" s="8">
        <v>60</v>
      </c>
      <c r="C151" s="8">
        <v>50</v>
      </c>
      <c r="D151" s="2">
        <v>80</v>
      </c>
      <c r="E151" s="2">
        <v>75</v>
      </c>
      <c r="F151" s="31">
        <f t="shared" si="2"/>
        <v>66.25</v>
      </c>
    </row>
    <row r="152" spans="1:6" x14ac:dyDescent="0.25">
      <c r="A152" s="2" t="s">
        <v>467</v>
      </c>
      <c r="B152" s="8">
        <v>60</v>
      </c>
      <c r="C152" s="8">
        <v>25</v>
      </c>
      <c r="D152" s="2">
        <v>60</v>
      </c>
      <c r="E152" s="2">
        <v>50</v>
      </c>
      <c r="F152" s="31">
        <f t="shared" si="2"/>
        <v>48.75</v>
      </c>
    </row>
    <row r="153" spans="1:6" x14ac:dyDescent="0.25">
      <c r="A153" s="2" t="s">
        <v>441</v>
      </c>
      <c r="B153" s="8">
        <v>60</v>
      </c>
      <c r="C153" s="8">
        <v>100</v>
      </c>
      <c r="D153" s="2">
        <v>80</v>
      </c>
      <c r="E153" s="2">
        <v>50</v>
      </c>
      <c r="F153" s="31">
        <f t="shared" si="2"/>
        <v>72.5</v>
      </c>
    </row>
    <row r="154" spans="1:6" x14ac:dyDescent="0.25">
      <c r="A154" s="2" t="s">
        <v>361</v>
      </c>
      <c r="B154" s="8">
        <v>60</v>
      </c>
      <c r="C154" s="8">
        <v>75</v>
      </c>
      <c r="D154" s="2">
        <v>80</v>
      </c>
      <c r="E154" s="2">
        <v>50</v>
      </c>
      <c r="F154" s="31">
        <f t="shared" si="2"/>
        <v>66.25</v>
      </c>
    </row>
    <row r="155" spans="1:6" x14ac:dyDescent="0.25">
      <c r="A155" s="2" t="s">
        <v>493</v>
      </c>
      <c r="B155" s="8">
        <v>40</v>
      </c>
      <c r="C155" s="8">
        <v>25</v>
      </c>
      <c r="D155" s="2">
        <v>40</v>
      </c>
      <c r="E155" s="2">
        <v>25</v>
      </c>
      <c r="F155" s="31">
        <f t="shared" si="2"/>
        <v>32.5</v>
      </c>
    </row>
    <row r="156" spans="1:6" x14ac:dyDescent="0.25">
      <c r="A156" s="2" t="s">
        <v>381</v>
      </c>
      <c r="B156" s="8">
        <v>80</v>
      </c>
      <c r="C156" s="8">
        <v>100</v>
      </c>
      <c r="D156" s="2">
        <v>100</v>
      </c>
      <c r="E156" s="2">
        <v>75</v>
      </c>
      <c r="F156" s="31">
        <f t="shared" si="2"/>
        <v>88.75</v>
      </c>
    </row>
    <row r="157" spans="1:6" x14ac:dyDescent="0.25">
      <c r="A157" s="2" t="s">
        <v>331</v>
      </c>
      <c r="B157" s="8">
        <v>60</v>
      </c>
      <c r="C157" s="8">
        <v>50</v>
      </c>
      <c r="D157" s="2">
        <v>80</v>
      </c>
      <c r="E157" s="2">
        <v>75</v>
      </c>
      <c r="F157" s="31">
        <f t="shared" si="2"/>
        <v>66.25</v>
      </c>
    </row>
    <row r="158" spans="1:6" x14ac:dyDescent="0.25">
      <c r="A158" s="2" t="s">
        <v>513</v>
      </c>
      <c r="B158" s="8">
        <v>80</v>
      </c>
      <c r="C158" s="8">
        <v>75</v>
      </c>
      <c r="D158" s="2">
        <v>100</v>
      </c>
      <c r="E158" s="2">
        <v>50</v>
      </c>
      <c r="F158" s="31">
        <f t="shared" si="2"/>
        <v>76.25</v>
      </c>
    </row>
    <row r="159" spans="1:6" x14ac:dyDescent="0.25">
      <c r="A159" s="2" t="s">
        <v>365</v>
      </c>
      <c r="B159" s="8">
        <v>20</v>
      </c>
      <c r="C159" s="8">
        <v>0</v>
      </c>
      <c r="D159" s="2">
        <v>0</v>
      </c>
      <c r="E159" s="2">
        <v>25</v>
      </c>
      <c r="F159" s="31">
        <f t="shared" si="2"/>
        <v>11.25</v>
      </c>
    </row>
    <row r="160" spans="1:6" x14ac:dyDescent="0.25">
      <c r="A160" s="2" t="s">
        <v>436</v>
      </c>
      <c r="B160" s="8">
        <v>60</v>
      </c>
      <c r="C160" s="8">
        <v>100</v>
      </c>
      <c r="D160" s="2">
        <v>100</v>
      </c>
      <c r="E160" s="2">
        <v>50</v>
      </c>
      <c r="F160" s="31">
        <f t="shared" si="2"/>
        <v>77.5</v>
      </c>
    </row>
    <row r="161" spans="1:6" x14ac:dyDescent="0.25">
      <c r="A161" s="2" t="s">
        <v>429</v>
      </c>
      <c r="B161" s="8">
        <v>80</v>
      </c>
      <c r="C161" s="8">
        <v>50</v>
      </c>
      <c r="D161" s="2">
        <v>80</v>
      </c>
      <c r="E161" s="2">
        <v>50</v>
      </c>
      <c r="F161" s="31">
        <f t="shared" si="2"/>
        <v>65</v>
      </c>
    </row>
    <row r="162" spans="1:6" x14ac:dyDescent="0.25">
      <c r="A162" s="2" t="s">
        <v>318</v>
      </c>
      <c r="B162" s="8">
        <v>60</v>
      </c>
      <c r="C162" s="8">
        <v>75</v>
      </c>
      <c r="D162" s="2">
        <v>80</v>
      </c>
      <c r="E162" s="2">
        <v>50</v>
      </c>
      <c r="F162" s="31">
        <f t="shared" si="2"/>
        <v>66.25</v>
      </c>
    </row>
    <row r="163" spans="1:6" x14ac:dyDescent="0.25">
      <c r="A163" s="2" t="s">
        <v>561</v>
      </c>
      <c r="B163" s="8">
        <v>60</v>
      </c>
      <c r="C163" s="8">
        <v>100</v>
      </c>
      <c r="D163" s="2">
        <v>100</v>
      </c>
      <c r="E163" s="2">
        <v>50</v>
      </c>
      <c r="F163" s="31">
        <f t="shared" si="2"/>
        <v>77.5</v>
      </c>
    </row>
    <row r="164" spans="1:6" x14ac:dyDescent="0.25">
      <c r="A164" s="2" t="s">
        <v>335</v>
      </c>
      <c r="B164" s="8">
        <v>60</v>
      </c>
      <c r="C164" s="8">
        <v>25</v>
      </c>
      <c r="D164" s="2">
        <v>80</v>
      </c>
      <c r="E164" s="2">
        <v>50</v>
      </c>
      <c r="F164" s="31">
        <f t="shared" si="2"/>
        <v>53.75</v>
      </c>
    </row>
    <row r="165" spans="1:6" x14ac:dyDescent="0.25">
      <c r="A165" s="2" t="s">
        <v>531</v>
      </c>
      <c r="B165" s="8">
        <v>40</v>
      </c>
      <c r="C165" s="8">
        <v>75</v>
      </c>
      <c r="D165" s="2">
        <v>80</v>
      </c>
      <c r="E165" s="2">
        <v>50</v>
      </c>
      <c r="F165" s="31">
        <f t="shared" si="2"/>
        <v>61.25</v>
      </c>
    </row>
    <row r="166" spans="1:6" x14ac:dyDescent="0.25">
      <c r="A166" s="2" t="s">
        <v>541</v>
      </c>
      <c r="B166" s="8">
        <v>80</v>
      </c>
      <c r="C166" s="8">
        <v>100</v>
      </c>
      <c r="D166" s="2">
        <v>80</v>
      </c>
      <c r="E166" s="2">
        <v>50</v>
      </c>
      <c r="F166" s="31">
        <f t="shared" si="2"/>
        <v>77.5</v>
      </c>
    </row>
    <row r="167" spans="1:6" x14ac:dyDescent="0.25">
      <c r="A167" s="2" t="s">
        <v>562</v>
      </c>
      <c r="B167" s="8">
        <v>0</v>
      </c>
      <c r="C167" s="8">
        <v>0</v>
      </c>
      <c r="D167" s="8">
        <v>0</v>
      </c>
      <c r="E167" s="8">
        <v>0</v>
      </c>
      <c r="F167" s="31">
        <f t="shared" si="2"/>
        <v>0</v>
      </c>
    </row>
    <row r="168" spans="1:6" ht="14.4" x14ac:dyDescent="0.25">
      <c r="A168" s="15" t="s">
        <v>629</v>
      </c>
      <c r="B168" s="8">
        <v>80</v>
      </c>
      <c r="C168" s="8">
        <v>25</v>
      </c>
      <c r="D168" s="2">
        <v>100</v>
      </c>
      <c r="E168" s="2">
        <v>50</v>
      </c>
      <c r="F168" s="31">
        <f t="shared" si="2"/>
        <v>63.75</v>
      </c>
    </row>
    <row r="169" spans="1:6" x14ac:dyDescent="0.25">
      <c r="A169" s="2" t="s">
        <v>414</v>
      </c>
      <c r="B169" s="8">
        <v>0</v>
      </c>
      <c r="C169" s="8">
        <v>25</v>
      </c>
      <c r="D169" s="2">
        <v>20</v>
      </c>
      <c r="E169" s="2">
        <v>50</v>
      </c>
      <c r="F169" s="31">
        <f t="shared" si="2"/>
        <v>23.75</v>
      </c>
    </row>
    <row r="170" spans="1:6" x14ac:dyDescent="0.25">
      <c r="A170" s="2" t="s">
        <v>540</v>
      </c>
      <c r="B170" s="8">
        <v>40</v>
      </c>
      <c r="C170" s="8">
        <v>25</v>
      </c>
      <c r="D170" s="2">
        <v>0</v>
      </c>
      <c r="E170" s="2">
        <v>50</v>
      </c>
      <c r="F170" s="31">
        <f t="shared" si="2"/>
        <v>28.75</v>
      </c>
    </row>
    <row r="171" spans="1:6" x14ac:dyDescent="0.25">
      <c r="A171" s="2" t="s">
        <v>419</v>
      </c>
      <c r="B171" s="8">
        <v>80</v>
      </c>
      <c r="C171" s="8">
        <v>75</v>
      </c>
      <c r="D171" s="2">
        <v>100</v>
      </c>
      <c r="E171" s="2">
        <v>50</v>
      </c>
      <c r="F171" s="31">
        <f t="shared" si="2"/>
        <v>76.25</v>
      </c>
    </row>
    <row r="172" spans="1:6" x14ac:dyDescent="0.25">
      <c r="A172" s="2" t="s">
        <v>552</v>
      </c>
      <c r="B172" s="8">
        <v>60</v>
      </c>
      <c r="C172" s="8">
        <v>25</v>
      </c>
      <c r="D172" s="2">
        <v>80</v>
      </c>
      <c r="E172" s="2">
        <v>50</v>
      </c>
      <c r="F172" s="31">
        <f t="shared" si="2"/>
        <v>53.75</v>
      </c>
    </row>
    <row r="173" spans="1:6" x14ac:dyDescent="0.25">
      <c r="A173" s="2" t="s">
        <v>486</v>
      </c>
      <c r="B173" s="8">
        <v>40</v>
      </c>
      <c r="C173" s="8">
        <v>50</v>
      </c>
      <c r="D173" s="2">
        <v>80</v>
      </c>
      <c r="E173" s="2">
        <v>25</v>
      </c>
      <c r="F173" s="31">
        <f t="shared" si="2"/>
        <v>48.75</v>
      </c>
    </row>
    <row r="174" spans="1:6" x14ac:dyDescent="0.25">
      <c r="A174" s="2" t="s">
        <v>358</v>
      </c>
      <c r="B174" s="8">
        <v>60</v>
      </c>
      <c r="C174" s="8">
        <v>75</v>
      </c>
      <c r="D174" s="2">
        <v>100</v>
      </c>
      <c r="E174" s="2">
        <v>50</v>
      </c>
      <c r="F174" s="31">
        <f t="shared" si="2"/>
        <v>71.25</v>
      </c>
    </row>
    <row r="175" spans="1:6" x14ac:dyDescent="0.25">
      <c r="A175" s="2" t="s">
        <v>512</v>
      </c>
      <c r="B175" s="8">
        <v>80</v>
      </c>
      <c r="C175" s="8">
        <v>50</v>
      </c>
      <c r="D175" s="2">
        <v>80</v>
      </c>
      <c r="E175" s="2">
        <v>50</v>
      </c>
      <c r="F175" s="31">
        <f t="shared" si="2"/>
        <v>65</v>
      </c>
    </row>
    <row r="176" spans="1:6" x14ac:dyDescent="0.25">
      <c r="A176" s="2" t="s">
        <v>336</v>
      </c>
      <c r="B176" s="8">
        <v>40</v>
      </c>
      <c r="C176" s="8">
        <v>25</v>
      </c>
      <c r="D176" s="2">
        <v>20</v>
      </c>
      <c r="E176" s="2">
        <v>0</v>
      </c>
      <c r="F176" s="31">
        <f t="shared" si="2"/>
        <v>21.25</v>
      </c>
    </row>
    <row r="177" spans="1:6" x14ac:dyDescent="0.25">
      <c r="A177" s="2" t="s">
        <v>412</v>
      </c>
      <c r="B177" s="8">
        <v>60</v>
      </c>
      <c r="C177" s="8">
        <v>0</v>
      </c>
      <c r="D177" s="2">
        <v>40</v>
      </c>
      <c r="E177" s="2">
        <v>50</v>
      </c>
      <c r="F177" s="31">
        <f t="shared" si="2"/>
        <v>37.5</v>
      </c>
    </row>
    <row r="178" spans="1:6" x14ac:dyDescent="0.25">
      <c r="A178" s="2" t="s">
        <v>370</v>
      </c>
      <c r="B178" s="8">
        <v>60</v>
      </c>
      <c r="C178" s="8">
        <v>50</v>
      </c>
      <c r="D178" s="2">
        <v>100</v>
      </c>
      <c r="E178" s="2">
        <v>50</v>
      </c>
      <c r="F178" s="31">
        <f t="shared" si="2"/>
        <v>65</v>
      </c>
    </row>
    <row r="179" spans="1:6" x14ac:dyDescent="0.25">
      <c r="A179" s="2" t="s">
        <v>399</v>
      </c>
      <c r="B179" s="8">
        <v>40</v>
      </c>
      <c r="C179" s="8">
        <v>25</v>
      </c>
      <c r="D179" s="2">
        <v>40</v>
      </c>
      <c r="E179" s="2">
        <v>50</v>
      </c>
      <c r="F179" s="31">
        <f t="shared" si="2"/>
        <v>38.75</v>
      </c>
    </row>
    <row r="180" spans="1:6" x14ac:dyDescent="0.25">
      <c r="A180" s="2" t="s">
        <v>348</v>
      </c>
      <c r="B180" s="8">
        <v>40</v>
      </c>
      <c r="C180" s="8">
        <v>0</v>
      </c>
      <c r="D180" s="2">
        <v>100</v>
      </c>
      <c r="E180" s="2">
        <v>50</v>
      </c>
      <c r="F180" s="31">
        <f t="shared" si="2"/>
        <v>47.5</v>
      </c>
    </row>
    <row r="181" spans="1:6" x14ac:dyDescent="0.25">
      <c r="A181" s="2" t="s">
        <v>535</v>
      </c>
      <c r="B181" s="8">
        <v>60</v>
      </c>
      <c r="C181" s="8">
        <v>75</v>
      </c>
      <c r="D181" s="2">
        <v>100</v>
      </c>
      <c r="E181" s="2">
        <v>50</v>
      </c>
      <c r="F181" s="31">
        <f t="shared" si="2"/>
        <v>71.25</v>
      </c>
    </row>
    <row r="182" spans="1:6" x14ac:dyDescent="0.25">
      <c r="A182" s="2" t="s">
        <v>371</v>
      </c>
      <c r="B182" s="8">
        <v>60</v>
      </c>
      <c r="C182" s="8">
        <v>0</v>
      </c>
      <c r="D182" s="2">
        <v>80</v>
      </c>
      <c r="E182" s="2">
        <v>50</v>
      </c>
      <c r="F182" s="31">
        <f t="shared" si="2"/>
        <v>47.5</v>
      </c>
    </row>
    <row r="183" spans="1:6" x14ac:dyDescent="0.25">
      <c r="A183" s="2" t="s">
        <v>320</v>
      </c>
      <c r="B183" s="8">
        <f>VLOOKUP(A183,[2]纯数值!$A$1:$H$7,2,0)</f>
        <v>100</v>
      </c>
      <c r="C183" s="8">
        <f>VLOOKUP(A183,[2]纯数值!$A$1:$H$7,3,0)</f>
        <v>25</v>
      </c>
      <c r="D183" s="8">
        <f>VLOOKUP(A183,[2]纯数值!$A$1:$H$7,4,0)</f>
        <v>80</v>
      </c>
      <c r="E183" s="8">
        <f>VLOOKUP(A183,[2]纯数值!$A$1:$H$7,5,0)</f>
        <v>50</v>
      </c>
      <c r="F183" s="31">
        <f t="shared" si="2"/>
        <v>63.75</v>
      </c>
    </row>
    <row r="184" spans="1:6" x14ac:dyDescent="0.25">
      <c r="A184" s="2" t="s">
        <v>368</v>
      </c>
      <c r="B184" s="8">
        <v>60</v>
      </c>
      <c r="C184" s="8">
        <v>100</v>
      </c>
      <c r="D184" s="2">
        <v>100</v>
      </c>
      <c r="E184" s="2">
        <v>100</v>
      </c>
      <c r="F184" s="31">
        <f t="shared" si="2"/>
        <v>90</v>
      </c>
    </row>
    <row r="185" spans="1:6" x14ac:dyDescent="0.25">
      <c r="A185" s="2" t="s">
        <v>480</v>
      </c>
      <c r="B185" s="8">
        <v>60</v>
      </c>
      <c r="C185" s="8">
        <v>75</v>
      </c>
      <c r="D185" s="2">
        <v>100</v>
      </c>
      <c r="E185" s="2">
        <v>50</v>
      </c>
      <c r="F185" s="31">
        <f t="shared" si="2"/>
        <v>71.25</v>
      </c>
    </row>
    <row r="186" spans="1:6" x14ac:dyDescent="0.25">
      <c r="A186" s="2" t="s">
        <v>387</v>
      </c>
      <c r="B186" s="8">
        <v>80</v>
      </c>
      <c r="C186" s="8">
        <v>100</v>
      </c>
      <c r="D186" s="2">
        <v>100</v>
      </c>
      <c r="E186" s="2">
        <v>75</v>
      </c>
      <c r="F186" s="31">
        <f t="shared" si="2"/>
        <v>88.75</v>
      </c>
    </row>
    <row r="187" spans="1:6" x14ac:dyDescent="0.25">
      <c r="A187" s="2" t="s">
        <v>529</v>
      </c>
      <c r="B187" s="8">
        <v>80</v>
      </c>
      <c r="C187" s="8">
        <v>75</v>
      </c>
      <c r="D187" s="2">
        <v>100</v>
      </c>
      <c r="E187" s="2">
        <v>50</v>
      </c>
      <c r="F187" s="31">
        <f t="shared" si="2"/>
        <v>76.25</v>
      </c>
    </row>
    <row r="188" spans="1:6" x14ac:dyDescent="0.25">
      <c r="A188" s="2" t="s">
        <v>303</v>
      </c>
      <c r="B188" s="8">
        <v>40</v>
      </c>
      <c r="C188" s="8">
        <v>50</v>
      </c>
      <c r="D188" s="2">
        <v>100</v>
      </c>
      <c r="E188" s="2">
        <v>75</v>
      </c>
      <c r="F188" s="31">
        <f t="shared" si="2"/>
        <v>66.25</v>
      </c>
    </row>
    <row r="189" spans="1:6" x14ac:dyDescent="0.25">
      <c r="A189" s="2" t="s">
        <v>492</v>
      </c>
      <c r="B189" s="8">
        <v>80</v>
      </c>
      <c r="C189" s="8">
        <v>100</v>
      </c>
      <c r="D189" s="2">
        <v>100</v>
      </c>
      <c r="E189" s="2">
        <v>75</v>
      </c>
      <c r="F189" s="31">
        <f t="shared" si="2"/>
        <v>88.75</v>
      </c>
    </row>
    <row r="190" spans="1:6" x14ac:dyDescent="0.25">
      <c r="A190" s="2" t="s">
        <v>537</v>
      </c>
      <c r="B190" s="8">
        <v>60</v>
      </c>
      <c r="C190" s="8">
        <v>0</v>
      </c>
      <c r="D190" s="2">
        <v>80</v>
      </c>
      <c r="E190" s="2">
        <v>50</v>
      </c>
      <c r="F190" s="31">
        <f t="shared" si="2"/>
        <v>47.5</v>
      </c>
    </row>
    <row r="191" spans="1:6" x14ac:dyDescent="0.25">
      <c r="A191" s="2" t="s">
        <v>525</v>
      </c>
      <c r="B191" s="8">
        <v>80</v>
      </c>
      <c r="C191" s="8">
        <v>50</v>
      </c>
      <c r="D191" s="2">
        <v>40</v>
      </c>
      <c r="E191" s="2">
        <v>50</v>
      </c>
      <c r="F191" s="31">
        <f t="shared" si="2"/>
        <v>55</v>
      </c>
    </row>
    <row r="192" spans="1:6" x14ac:dyDescent="0.25">
      <c r="A192" s="2" t="s">
        <v>339</v>
      </c>
      <c r="B192" s="8">
        <v>40</v>
      </c>
      <c r="C192" s="8">
        <v>25</v>
      </c>
      <c r="D192" s="2">
        <v>40</v>
      </c>
      <c r="E192" s="2">
        <v>50</v>
      </c>
      <c r="F192" s="31">
        <f t="shared" si="2"/>
        <v>38.75</v>
      </c>
    </row>
    <row r="193" spans="1:6" x14ac:dyDescent="0.25">
      <c r="A193" s="2" t="s">
        <v>457</v>
      </c>
      <c r="B193" s="8">
        <v>80</v>
      </c>
      <c r="C193" s="8">
        <v>75</v>
      </c>
      <c r="D193" s="2">
        <v>100</v>
      </c>
      <c r="E193" s="2">
        <v>50</v>
      </c>
      <c r="F193" s="31">
        <f t="shared" si="2"/>
        <v>76.25</v>
      </c>
    </row>
    <row r="194" spans="1:6" x14ac:dyDescent="0.25">
      <c r="A194" s="2" t="s">
        <v>306</v>
      </c>
      <c r="B194" s="8">
        <v>80</v>
      </c>
      <c r="C194" s="8">
        <v>50</v>
      </c>
      <c r="D194" s="2">
        <v>100</v>
      </c>
      <c r="E194" s="2">
        <v>50</v>
      </c>
      <c r="F194" s="31">
        <f t="shared" si="2"/>
        <v>70</v>
      </c>
    </row>
    <row r="195" spans="1:6" x14ac:dyDescent="0.25">
      <c r="A195" s="2" t="s">
        <v>376</v>
      </c>
      <c r="B195" s="8">
        <v>80</v>
      </c>
      <c r="C195" s="8">
        <v>100</v>
      </c>
      <c r="D195" s="2">
        <v>100</v>
      </c>
      <c r="E195" s="2">
        <v>50</v>
      </c>
      <c r="F195" s="31">
        <f t="shared" ref="F195:F258" si="3">AVERAGE(B195:E195)</f>
        <v>82.5</v>
      </c>
    </row>
    <row r="196" spans="1:6" x14ac:dyDescent="0.25">
      <c r="A196" s="2" t="s">
        <v>464</v>
      </c>
      <c r="B196" s="8">
        <v>60</v>
      </c>
      <c r="C196" s="8">
        <v>75</v>
      </c>
      <c r="D196" s="2">
        <v>100</v>
      </c>
      <c r="E196" s="2">
        <v>50</v>
      </c>
      <c r="F196" s="31">
        <f t="shared" si="3"/>
        <v>71.25</v>
      </c>
    </row>
    <row r="197" spans="1:6" x14ac:dyDescent="0.25">
      <c r="A197" s="2" t="s">
        <v>550</v>
      </c>
      <c r="B197" s="8">
        <v>60</v>
      </c>
      <c r="C197" s="8">
        <v>75</v>
      </c>
      <c r="D197" s="2">
        <v>100</v>
      </c>
      <c r="E197" s="2">
        <v>50</v>
      </c>
      <c r="F197" s="31">
        <f t="shared" si="3"/>
        <v>71.25</v>
      </c>
    </row>
    <row r="198" spans="1:6" x14ac:dyDescent="0.25">
      <c r="A198" s="2" t="s">
        <v>422</v>
      </c>
      <c r="B198" s="8">
        <v>40</v>
      </c>
      <c r="C198" s="8">
        <v>0</v>
      </c>
      <c r="D198" s="2">
        <v>20</v>
      </c>
      <c r="E198" s="2">
        <v>50</v>
      </c>
      <c r="F198" s="31">
        <f t="shared" si="3"/>
        <v>27.5</v>
      </c>
    </row>
    <row r="199" spans="1:6" x14ac:dyDescent="0.25">
      <c r="A199" s="2" t="s">
        <v>359</v>
      </c>
      <c r="B199" s="8">
        <v>40</v>
      </c>
      <c r="C199" s="8">
        <v>50</v>
      </c>
      <c r="D199" s="2">
        <v>40</v>
      </c>
      <c r="E199" s="2">
        <v>50</v>
      </c>
      <c r="F199" s="31">
        <f t="shared" si="3"/>
        <v>45</v>
      </c>
    </row>
    <row r="200" spans="1:6" x14ac:dyDescent="0.25">
      <c r="A200" s="2" t="s">
        <v>496</v>
      </c>
      <c r="B200" s="8">
        <v>60</v>
      </c>
      <c r="C200" s="8">
        <v>75</v>
      </c>
      <c r="D200" s="2">
        <v>100</v>
      </c>
      <c r="E200" s="2">
        <v>50</v>
      </c>
      <c r="F200" s="31">
        <f t="shared" si="3"/>
        <v>71.25</v>
      </c>
    </row>
    <row r="201" spans="1:6" x14ac:dyDescent="0.25">
      <c r="A201" s="2" t="s">
        <v>314</v>
      </c>
      <c r="B201" s="8">
        <v>40</v>
      </c>
      <c r="C201" s="8">
        <v>0</v>
      </c>
      <c r="D201" s="2">
        <v>40</v>
      </c>
      <c r="E201" s="2">
        <v>50</v>
      </c>
      <c r="F201" s="31">
        <f t="shared" si="3"/>
        <v>32.5</v>
      </c>
    </row>
    <row r="202" spans="1:6" x14ac:dyDescent="0.25">
      <c r="A202" s="2" t="s">
        <v>389</v>
      </c>
      <c r="B202" s="8">
        <v>40</v>
      </c>
      <c r="C202" s="8">
        <v>25</v>
      </c>
      <c r="D202" s="2">
        <v>0</v>
      </c>
      <c r="E202" s="2">
        <v>50</v>
      </c>
      <c r="F202" s="31">
        <f t="shared" si="3"/>
        <v>28.75</v>
      </c>
    </row>
    <row r="203" spans="1:6" x14ac:dyDescent="0.25">
      <c r="A203" s="2" t="s">
        <v>456</v>
      </c>
      <c r="B203" s="8">
        <v>60</v>
      </c>
      <c r="C203" s="8">
        <v>75</v>
      </c>
      <c r="D203" s="2">
        <v>40</v>
      </c>
      <c r="E203" s="2">
        <v>50</v>
      </c>
      <c r="F203" s="31">
        <f t="shared" si="3"/>
        <v>56.25</v>
      </c>
    </row>
    <row r="204" spans="1:6" x14ac:dyDescent="0.25">
      <c r="A204" s="2" t="s">
        <v>421</v>
      </c>
      <c r="B204" s="8">
        <v>80</v>
      </c>
      <c r="C204" s="8">
        <v>75</v>
      </c>
      <c r="D204" s="2">
        <v>100</v>
      </c>
      <c r="E204" s="2">
        <v>50</v>
      </c>
      <c r="F204" s="31">
        <f t="shared" si="3"/>
        <v>76.25</v>
      </c>
    </row>
    <row r="205" spans="1:6" x14ac:dyDescent="0.25">
      <c r="A205" s="2" t="s">
        <v>530</v>
      </c>
      <c r="B205" s="8">
        <v>80</v>
      </c>
      <c r="C205" s="8">
        <v>75</v>
      </c>
      <c r="D205" s="2">
        <v>80</v>
      </c>
      <c r="E205" s="2">
        <v>50</v>
      </c>
      <c r="F205" s="31">
        <f t="shared" si="3"/>
        <v>71.25</v>
      </c>
    </row>
    <row r="206" spans="1:6" x14ac:dyDescent="0.25">
      <c r="A206" s="2" t="s">
        <v>461</v>
      </c>
      <c r="B206" s="8">
        <v>60</v>
      </c>
      <c r="C206" s="8">
        <v>0</v>
      </c>
      <c r="D206" s="2">
        <v>0</v>
      </c>
      <c r="E206" s="2">
        <v>50</v>
      </c>
      <c r="F206" s="31">
        <f t="shared" si="3"/>
        <v>27.5</v>
      </c>
    </row>
    <row r="207" spans="1:6" x14ac:dyDescent="0.25">
      <c r="A207" s="2" t="s">
        <v>326</v>
      </c>
      <c r="B207" s="8">
        <v>60</v>
      </c>
      <c r="C207" s="8">
        <v>75</v>
      </c>
      <c r="D207" s="2">
        <v>100</v>
      </c>
      <c r="E207" s="2">
        <v>50</v>
      </c>
      <c r="F207" s="31">
        <f t="shared" si="3"/>
        <v>71.25</v>
      </c>
    </row>
    <row r="208" spans="1:6" x14ac:dyDescent="0.25">
      <c r="A208" s="2" t="s">
        <v>316</v>
      </c>
      <c r="B208" s="8">
        <v>80</v>
      </c>
      <c r="C208" s="8">
        <v>50</v>
      </c>
      <c r="D208" s="2">
        <v>80</v>
      </c>
      <c r="E208" s="2">
        <v>50</v>
      </c>
      <c r="F208" s="31">
        <f t="shared" si="3"/>
        <v>65</v>
      </c>
    </row>
    <row r="209" spans="1:6" x14ac:dyDescent="0.25">
      <c r="A209" s="2" t="s">
        <v>500</v>
      </c>
      <c r="B209" s="8">
        <v>60</v>
      </c>
      <c r="C209" s="8">
        <v>100</v>
      </c>
      <c r="D209" s="2">
        <v>80</v>
      </c>
      <c r="E209" s="2">
        <v>75</v>
      </c>
      <c r="F209" s="31">
        <f t="shared" si="3"/>
        <v>78.75</v>
      </c>
    </row>
    <row r="210" spans="1:6" x14ac:dyDescent="0.25">
      <c r="A210" s="2" t="s">
        <v>362</v>
      </c>
      <c r="B210" s="8">
        <v>60</v>
      </c>
      <c r="C210" s="8">
        <v>0</v>
      </c>
      <c r="D210" s="2">
        <v>20</v>
      </c>
      <c r="E210" s="2">
        <v>50</v>
      </c>
      <c r="F210" s="31">
        <f t="shared" si="3"/>
        <v>32.5</v>
      </c>
    </row>
    <row r="211" spans="1:6" ht="14.4" x14ac:dyDescent="0.25">
      <c r="A211" s="15" t="s">
        <v>635</v>
      </c>
      <c r="B211" s="8">
        <v>80</v>
      </c>
      <c r="C211" s="8">
        <v>100</v>
      </c>
      <c r="D211" s="2">
        <v>80</v>
      </c>
      <c r="E211" s="2">
        <v>75</v>
      </c>
      <c r="F211" s="31">
        <f t="shared" si="3"/>
        <v>83.75</v>
      </c>
    </row>
    <row r="212" spans="1:6" x14ac:dyDescent="0.25">
      <c r="A212" s="2" t="s">
        <v>563</v>
      </c>
      <c r="B212" s="8">
        <v>0</v>
      </c>
      <c r="C212" s="8">
        <v>0</v>
      </c>
      <c r="D212" s="8">
        <v>0</v>
      </c>
      <c r="E212" s="8">
        <v>0</v>
      </c>
      <c r="F212" s="31">
        <f t="shared" si="3"/>
        <v>0</v>
      </c>
    </row>
    <row r="213" spans="1:6" x14ac:dyDescent="0.25">
      <c r="A213" s="2" t="s">
        <v>380</v>
      </c>
      <c r="B213" s="8">
        <v>80</v>
      </c>
      <c r="C213" s="8">
        <v>75</v>
      </c>
      <c r="D213" s="2">
        <v>20</v>
      </c>
      <c r="E213" s="2">
        <v>50</v>
      </c>
      <c r="F213" s="31">
        <f t="shared" si="3"/>
        <v>56.25</v>
      </c>
    </row>
    <row r="214" spans="1:6" x14ac:dyDescent="0.25">
      <c r="A214" s="2" t="s">
        <v>347</v>
      </c>
      <c r="B214" s="8">
        <v>80</v>
      </c>
      <c r="C214" s="8">
        <v>75</v>
      </c>
      <c r="D214" s="2">
        <v>100</v>
      </c>
      <c r="E214" s="2">
        <v>50</v>
      </c>
      <c r="F214" s="31">
        <f t="shared" si="3"/>
        <v>76.25</v>
      </c>
    </row>
    <row r="215" spans="1:6" x14ac:dyDescent="0.25">
      <c r="A215" s="2" t="s">
        <v>504</v>
      </c>
      <c r="B215" s="8">
        <v>80</v>
      </c>
      <c r="C215" s="8">
        <v>50</v>
      </c>
      <c r="D215" s="2">
        <v>100</v>
      </c>
      <c r="E215" s="2">
        <v>50</v>
      </c>
      <c r="F215" s="31">
        <f t="shared" si="3"/>
        <v>70</v>
      </c>
    </row>
    <row r="216" spans="1:6" x14ac:dyDescent="0.25">
      <c r="A216" s="2" t="s">
        <v>353</v>
      </c>
      <c r="B216" s="8">
        <v>40</v>
      </c>
      <c r="C216" s="8">
        <v>0</v>
      </c>
      <c r="D216" s="2">
        <v>40</v>
      </c>
      <c r="E216" s="2">
        <v>50</v>
      </c>
      <c r="F216" s="31">
        <f t="shared" si="3"/>
        <v>32.5</v>
      </c>
    </row>
    <row r="217" spans="1:6" x14ac:dyDescent="0.25">
      <c r="A217" s="2" t="s">
        <v>538</v>
      </c>
      <c r="B217" s="8">
        <v>60</v>
      </c>
      <c r="C217" s="8">
        <v>75</v>
      </c>
      <c r="D217" s="2">
        <v>100</v>
      </c>
      <c r="E217" s="2">
        <v>75</v>
      </c>
      <c r="F217" s="31">
        <f t="shared" si="3"/>
        <v>77.5</v>
      </c>
    </row>
    <row r="218" spans="1:6" x14ac:dyDescent="0.25">
      <c r="A218" s="2" t="s">
        <v>468</v>
      </c>
      <c r="B218" s="8">
        <v>60</v>
      </c>
      <c r="C218" s="8">
        <v>50</v>
      </c>
      <c r="D218" s="2">
        <v>40</v>
      </c>
      <c r="E218" s="2">
        <v>50</v>
      </c>
      <c r="F218" s="31">
        <f t="shared" si="3"/>
        <v>50</v>
      </c>
    </row>
    <row r="219" spans="1:6" x14ac:dyDescent="0.25">
      <c r="A219" s="2" t="s">
        <v>312</v>
      </c>
      <c r="B219" s="8">
        <v>40</v>
      </c>
      <c r="C219" s="8">
        <v>0</v>
      </c>
      <c r="D219" s="2">
        <v>20</v>
      </c>
      <c r="E219" s="2">
        <v>25</v>
      </c>
      <c r="F219" s="31">
        <f t="shared" si="3"/>
        <v>21.25</v>
      </c>
    </row>
    <row r="220" spans="1:6" x14ac:dyDescent="0.25">
      <c r="A220" s="2" t="s">
        <v>391</v>
      </c>
      <c r="B220" s="8">
        <v>80</v>
      </c>
      <c r="C220" s="8">
        <v>75</v>
      </c>
      <c r="D220" s="2">
        <v>100</v>
      </c>
      <c r="E220" s="2">
        <v>50</v>
      </c>
      <c r="F220" s="31">
        <f t="shared" si="3"/>
        <v>76.25</v>
      </c>
    </row>
    <row r="221" spans="1:6" x14ac:dyDescent="0.25">
      <c r="A221" s="2" t="s">
        <v>385</v>
      </c>
      <c r="B221" s="8">
        <v>60</v>
      </c>
      <c r="C221" s="8">
        <v>50</v>
      </c>
      <c r="D221" s="2">
        <v>100</v>
      </c>
      <c r="E221" s="2">
        <v>50</v>
      </c>
      <c r="F221" s="31">
        <f t="shared" si="3"/>
        <v>65</v>
      </c>
    </row>
    <row r="222" spans="1:6" x14ac:dyDescent="0.25">
      <c r="A222" s="2" t="s">
        <v>313</v>
      </c>
      <c r="B222" s="8">
        <v>40</v>
      </c>
      <c r="C222" s="8">
        <v>0</v>
      </c>
      <c r="D222" s="2">
        <v>80</v>
      </c>
      <c r="E222" s="2">
        <v>50</v>
      </c>
      <c r="F222" s="31">
        <f t="shared" si="3"/>
        <v>42.5</v>
      </c>
    </row>
    <row r="223" spans="1:6" x14ac:dyDescent="0.25">
      <c r="A223" s="2" t="s">
        <v>495</v>
      </c>
      <c r="B223" s="8">
        <f>VLOOKUP(A223,[2]纯数值!$A$1:$H$7,2,0)</f>
        <v>0</v>
      </c>
      <c r="C223" s="8">
        <f>VLOOKUP(A223,[2]纯数值!$A$1:$H$7,3,0)</f>
        <v>0</v>
      </c>
      <c r="D223" s="8">
        <f>VLOOKUP(A223,[2]纯数值!$A$1:$H$7,4,0)</f>
        <v>0</v>
      </c>
      <c r="E223" s="8">
        <f>VLOOKUP(A223,[2]纯数值!$A$1:$H$7,5,0)</f>
        <v>0</v>
      </c>
      <c r="F223" s="31">
        <f t="shared" si="3"/>
        <v>0</v>
      </c>
    </row>
    <row r="224" spans="1:6" x14ac:dyDescent="0.25">
      <c r="A224" s="2" t="s">
        <v>324</v>
      </c>
      <c r="B224" s="8">
        <v>40</v>
      </c>
      <c r="C224" s="8">
        <v>25</v>
      </c>
      <c r="D224" s="2">
        <v>80</v>
      </c>
      <c r="E224" s="2">
        <v>50</v>
      </c>
      <c r="F224" s="31">
        <f t="shared" si="3"/>
        <v>48.75</v>
      </c>
    </row>
    <row r="225" spans="1:6" x14ac:dyDescent="0.25">
      <c r="A225" s="2" t="s">
        <v>542</v>
      </c>
      <c r="B225" s="8">
        <v>60</v>
      </c>
      <c r="C225" s="8">
        <v>100</v>
      </c>
      <c r="D225" s="2">
        <v>100</v>
      </c>
      <c r="E225" s="2">
        <v>50</v>
      </c>
      <c r="F225" s="31">
        <f t="shared" si="3"/>
        <v>77.5</v>
      </c>
    </row>
    <row r="226" spans="1:6" x14ac:dyDescent="0.25">
      <c r="A226" s="2" t="s">
        <v>304</v>
      </c>
      <c r="B226" s="8">
        <v>80</v>
      </c>
      <c r="C226" s="8">
        <v>50</v>
      </c>
      <c r="D226" s="2">
        <v>100</v>
      </c>
      <c r="E226" s="2">
        <v>50</v>
      </c>
      <c r="F226" s="31">
        <f t="shared" si="3"/>
        <v>70</v>
      </c>
    </row>
    <row r="227" spans="1:6" x14ac:dyDescent="0.25">
      <c r="A227" s="2" t="s">
        <v>333</v>
      </c>
      <c r="B227" s="8">
        <v>100</v>
      </c>
      <c r="C227" s="8">
        <v>100</v>
      </c>
      <c r="D227" s="2">
        <v>100</v>
      </c>
      <c r="E227" s="2">
        <v>75</v>
      </c>
      <c r="F227" s="31">
        <f t="shared" si="3"/>
        <v>93.75</v>
      </c>
    </row>
    <row r="228" spans="1:6" x14ac:dyDescent="0.25">
      <c r="A228" s="2" t="s">
        <v>415</v>
      </c>
      <c r="B228" s="8">
        <v>40</v>
      </c>
      <c r="C228" s="8">
        <v>0</v>
      </c>
      <c r="D228" s="2">
        <v>40</v>
      </c>
      <c r="E228" s="2">
        <v>50</v>
      </c>
      <c r="F228" s="31">
        <f t="shared" si="3"/>
        <v>32.5</v>
      </c>
    </row>
    <row r="229" spans="1:6" x14ac:dyDescent="0.25">
      <c r="A229" s="2" t="s">
        <v>470</v>
      </c>
      <c r="B229" s="8">
        <v>80</v>
      </c>
      <c r="C229" s="8">
        <v>75</v>
      </c>
      <c r="D229" s="2">
        <v>100</v>
      </c>
      <c r="E229" s="2">
        <v>50</v>
      </c>
      <c r="F229" s="31">
        <f t="shared" si="3"/>
        <v>76.25</v>
      </c>
    </row>
    <row r="230" spans="1:6" x14ac:dyDescent="0.25">
      <c r="A230" s="2" t="s">
        <v>449</v>
      </c>
      <c r="B230" s="8">
        <v>80</v>
      </c>
      <c r="C230" s="8">
        <v>25</v>
      </c>
      <c r="D230" s="2">
        <v>60</v>
      </c>
      <c r="E230" s="2">
        <v>75</v>
      </c>
      <c r="F230" s="31">
        <f t="shared" si="3"/>
        <v>60</v>
      </c>
    </row>
    <row r="231" spans="1:6" ht="14.4" x14ac:dyDescent="0.25">
      <c r="A231" s="15" t="s">
        <v>626</v>
      </c>
      <c r="B231" s="8">
        <v>80</v>
      </c>
      <c r="C231" s="8">
        <v>50</v>
      </c>
      <c r="D231" s="2">
        <v>80</v>
      </c>
      <c r="E231" s="2">
        <v>50</v>
      </c>
      <c r="F231" s="31">
        <f t="shared" si="3"/>
        <v>65</v>
      </c>
    </row>
    <row r="232" spans="1:6" ht="14.4" x14ac:dyDescent="0.25">
      <c r="A232" s="15" t="s">
        <v>625</v>
      </c>
      <c r="B232" s="8">
        <v>40</v>
      </c>
      <c r="C232" s="8">
        <v>0</v>
      </c>
      <c r="D232" s="2">
        <v>20</v>
      </c>
      <c r="E232" s="2">
        <v>50</v>
      </c>
      <c r="F232" s="31">
        <f t="shared" si="3"/>
        <v>27.5</v>
      </c>
    </row>
    <row r="233" spans="1:6" x14ac:dyDescent="0.25">
      <c r="A233" s="2" t="s">
        <v>511</v>
      </c>
      <c r="B233" s="8">
        <v>80</v>
      </c>
      <c r="C233" s="8">
        <v>50</v>
      </c>
      <c r="D233" s="2">
        <v>80</v>
      </c>
      <c r="E233" s="2">
        <v>50</v>
      </c>
      <c r="F233" s="31">
        <f t="shared" si="3"/>
        <v>65</v>
      </c>
    </row>
    <row r="234" spans="1:6" ht="14.4" x14ac:dyDescent="0.25">
      <c r="A234" s="15" t="s">
        <v>637</v>
      </c>
      <c r="B234" s="8">
        <v>60</v>
      </c>
      <c r="C234" s="8">
        <v>100</v>
      </c>
      <c r="D234" s="2">
        <v>80</v>
      </c>
      <c r="E234" s="2">
        <v>50</v>
      </c>
      <c r="F234" s="31">
        <f t="shared" si="3"/>
        <v>72.5</v>
      </c>
    </row>
    <row r="235" spans="1:6" x14ac:dyDescent="0.25">
      <c r="A235" s="2" t="s">
        <v>356</v>
      </c>
      <c r="B235" s="8">
        <v>60</v>
      </c>
      <c r="C235" s="8">
        <v>100</v>
      </c>
      <c r="D235" s="2">
        <v>100</v>
      </c>
      <c r="E235" s="2">
        <v>50</v>
      </c>
      <c r="F235" s="31">
        <f t="shared" si="3"/>
        <v>77.5</v>
      </c>
    </row>
    <row r="236" spans="1:6" x14ac:dyDescent="0.25">
      <c r="A236" s="2" t="s">
        <v>405</v>
      </c>
      <c r="B236" s="8">
        <v>40</v>
      </c>
      <c r="C236" s="8">
        <v>75</v>
      </c>
      <c r="D236" s="2">
        <v>100</v>
      </c>
      <c r="E236" s="2">
        <v>50</v>
      </c>
      <c r="F236" s="31">
        <f t="shared" si="3"/>
        <v>66.25</v>
      </c>
    </row>
    <row r="237" spans="1:6" x14ac:dyDescent="0.25">
      <c r="A237" s="2" t="s">
        <v>564</v>
      </c>
      <c r="B237" s="8">
        <v>40</v>
      </c>
      <c r="C237" s="8">
        <v>0</v>
      </c>
      <c r="D237" s="2">
        <v>80</v>
      </c>
      <c r="E237" s="2">
        <v>50</v>
      </c>
      <c r="F237" s="31">
        <f t="shared" si="3"/>
        <v>42.5</v>
      </c>
    </row>
    <row r="238" spans="1:6" x14ac:dyDescent="0.25">
      <c r="A238" s="2" t="s">
        <v>309</v>
      </c>
      <c r="B238" s="8">
        <v>60</v>
      </c>
      <c r="C238" s="8">
        <v>0</v>
      </c>
      <c r="D238" s="2">
        <v>40</v>
      </c>
      <c r="E238" s="2">
        <v>50</v>
      </c>
      <c r="F238" s="31">
        <f t="shared" si="3"/>
        <v>37.5</v>
      </c>
    </row>
    <row r="239" spans="1:6" x14ac:dyDescent="0.25">
      <c r="A239" s="2" t="s">
        <v>307</v>
      </c>
      <c r="B239" s="8">
        <v>80</v>
      </c>
      <c r="C239" s="8">
        <v>75</v>
      </c>
      <c r="D239" s="2">
        <v>80</v>
      </c>
      <c r="E239" s="2">
        <v>50</v>
      </c>
      <c r="F239" s="31">
        <f t="shared" si="3"/>
        <v>71.25</v>
      </c>
    </row>
    <row r="240" spans="1:6" x14ac:dyDescent="0.25">
      <c r="A240" s="2" t="s">
        <v>431</v>
      </c>
      <c r="B240" s="8">
        <v>80</v>
      </c>
      <c r="C240" s="8">
        <v>100</v>
      </c>
      <c r="D240" s="2">
        <v>40</v>
      </c>
      <c r="E240" s="2">
        <v>50</v>
      </c>
      <c r="F240" s="31">
        <f t="shared" si="3"/>
        <v>67.5</v>
      </c>
    </row>
    <row r="241" spans="1:6" x14ac:dyDescent="0.25">
      <c r="A241" s="2" t="s">
        <v>472</v>
      </c>
      <c r="B241" s="8">
        <v>60</v>
      </c>
      <c r="C241" s="8">
        <v>75</v>
      </c>
      <c r="D241" s="2">
        <v>100</v>
      </c>
      <c r="E241" s="2">
        <v>25</v>
      </c>
      <c r="F241" s="31">
        <f t="shared" si="3"/>
        <v>65</v>
      </c>
    </row>
    <row r="242" spans="1:6" x14ac:dyDescent="0.25">
      <c r="A242" s="2" t="s">
        <v>334</v>
      </c>
      <c r="B242" s="8">
        <v>100</v>
      </c>
      <c r="C242" s="8">
        <v>50</v>
      </c>
      <c r="D242" s="2">
        <v>60</v>
      </c>
      <c r="E242" s="2">
        <v>50</v>
      </c>
      <c r="F242" s="31">
        <f t="shared" si="3"/>
        <v>65</v>
      </c>
    </row>
    <row r="243" spans="1:6" x14ac:dyDescent="0.25">
      <c r="A243" s="2" t="s">
        <v>532</v>
      </c>
      <c r="B243" s="8">
        <v>80</v>
      </c>
      <c r="C243" s="8">
        <v>75</v>
      </c>
      <c r="D243" s="2">
        <v>100</v>
      </c>
      <c r="E243" s="2">
        <v>50</v>
      </c>
      <c r="F243" s="31">
        <f t="shared" si="3"/>
        <v>76.25</v>
      </c>
    </row>
    <row r="244" spans="1:6" x14ac:dyDescent="0.25">
      <c r="A244" s="2" t="s">
        <v>474</v>
      </c>
      <c r="B244" s="8">
        <v>80</v>
      </c>
      <c r="C244" s="8">
        <v>75</v>
      </c>
      <c r="D244" s="2">
        <v>80</v>
      </c>
      <c r="E244" s="2">
        <v>50</v>
      </c>
      <c r="F244" s="31">
        <f t="shared" si="3"/>
        <v>71.25</v>
      </c>
    </row>
    <row r="245" spans="1:6" x14ac:dyDescent="0.25">
      <c r="A245" s="2" t="s">
        <v>565</v>
      </c>
      <c r="B245" s="8">
        <v>60</v>
      </c>
      <c r="C245" s="8">
        <v>75</v>
      </c>
      <c r="D245" s="2">
        <v>100</v>
      </c>
      <c r="E245" s="2">
        <v>50</v>
      </c>
      <c r="F245" s="31">
        <f t="shared" si="3"/>
        <v>71.25</v>
      </c>
    </row>
    <row r="246" spans="1:6" x14ac:dyDescent="0.25">
      <c r="A246" s="2" t="s">
        <v>382</v>
      </c>
      <c r="B246" s="8">
        <v>80</v>
      </c>
      <c r="C246" s="8">
        <v>50</v>
      </c>
      <c r="D246" s="2">
        <v>0</v>
      </c>
      <c r="E246" s="2">
        <v>50</v>
      </c>
      <c r="F246" s="31">
        <f t="shared" si="3"/>
        <v>45</v>
      </c>
    </row>
    <row r="247" spans="1:6" x14ac:dyDescent="0.25">
      <c r="A247" s="2" t="s">
        <v>508</v>
      </c>
      <c r="B247" s="8">
        <v>80</v>
      </c>
      <c r="C247" s="8">
        <v>50</v>
      </c>
      <c r="D247" s="2">
        <v>20</v>
      </c>
      <c r="E247" s="2">
        <v>50</v>
      </c>
      <c r="F247" s="31">
        <f t="shared" si="3"/>
        <v>50</v>
      </c>
    </row>
    <row r="248" spans="1:6" x14ac:dyDescent="0.25">
      <c r="A248" s="2" t="s">
        <v>416</v>
      </c>
      <c r="B248" s="8">
        <v>60</v>
      </c>
      <c r="C248" s="8">
        <v>0</v>
      </c>
      <c r="D248" s="2">
        <v>0</v>
      </c>
      <c r="E248" s="2">
        <v>50</v>
      </c>
      <c r="F248" s="31">
        <f t="shared" si="3"/>
        <v>27.5</v>
      </c>
    </row>
    <row r="249" spans="1:6" x14ac:dyDescent="0.25">
      <c r="A249" s="2" t="s">
        <v>545</v>
      </c>
      <c r="B249" s="8">
        <v>40</v>
      </c>
      <c r="C249" s="8">
        <v>25</v>
      </c>
      <c r="D249" s="2">
        <v>80</v>
      </c>
      <c r="E249" s="2">
        <v>50</v>
      </c>
      <c r="F249" s="31">
        <f t="shared" si="3"/>
        <v>48.75</v>
      </c>
    </row>
    <row r="250" spans="1:6" x14ac:dyDescent="0.25">
      <c r="A250" s="2" t="s">
        <v>528</v>
      </c>
      <c r="B250" s="8">
        <v>60</v>
      </c>
      <c r="C250" s="8">
        <v>0</v>
      </c>
      <c r="D250" s="2">
        <v>60</v>
      </c>
      <c r="E250" s="2">
        <v>50</v>
      </c>
      <c r="F250" s="31">
        <f t="shared" si="3"/>
        <v>42.5</v>
      </c>
    </row>
    <row r="251" spans="1:6" x14ac:dyDescent="0.25">
      <c r="A251" s="2" t="s">
        <v>394</v>
      </c>
      <c r="B251" s="8">
        <v>40</v>
      </c>
      <c r="C251" s="8">
        <v>25</v>
      </c>
      <c r="D251" s="2">
        <v>100</v>
      </c>
      <c r="E251" s="2">
        <v>50</v>
      </c>
      <c r="F251" s="31">
        <f t="shared" si="3"/>
        <v>53.75</v>
      </c>
    </row>
    <row r="252" spans="1:6" x14ac:dyDescent="0.25">
      <c r="A252" s="2" t="s">
        <v>519</v>
      </c>
      <c r="B252" s="8">
        <v>60</v>
      </c>
      <c r="C252" s="8">
        <v>50</v>
      </c>
      <c r="D252" s="2">
        <v>80</v>
      </c>
      <c r="E252" s="2">
        <v>50</v>
      </c>
      <c r="F252" s="31">
        <f t="shared" si="3"/>
        <v>60</v>
      </c>
    </row>
    <row r="253" spans="1:6" x14ac:dyDescent="0.25">
      <c r="A253" s="2" t="s">
        <v>544</v>
      </c>
      <c r="B253" s="8">
        <v>40</v>
      </c>
      <c r="C253" s="8">
        <v>0</v>
      </c>
      <c r="D253" s="2">
        <v>40</v>
      </c>
      <c r="E253" s="2">
        <v>50</v>
      </c>
      <c r="F253" s="31">
        <f t="shared" si="3"/>
        <v>32.5</v>
      </c>
    </row>
    <row r="254" spans="1:6" x14ac:dyDescent="0.25">
      <c r="A254" s="2" t="s">
        <v>418</v>
      </c>
      <c r="B254" s="8">
        <v>60</v>
      </c>
      <c r="C254" s="8">
        <v>50</v>
      </c>
      <c r="D254" s="2">
        <v>0</v>
      </c>
      <c r="E254" s="2">
        <v>25</v>
      </c>
      <c r="F254" s="31">
        <f t="shared" si="3"/>
        <v>33.75</v>
      </c>
    </row>
    <row r="255" spans="1:6" x14ac:dyDescent="0.25">
      <c r="A255" s="2" t="s">
        <v>438</v>
      </c>
      <c r="B255" s="8">
        <v>80</v>
      </c>
      <c r="C255" s="8">
        <v>100</v>
      </c>
      <c r="D255" s="2">
        <v>100</v>
      </c>
      <c r="E255" s="2">
        <v>75</v>
      </c>
      <c r="F255" s="31">
        <f t="shared" si="3"/>
        <v>88.75</v>
      </c>
    </row>
    <row r="256" spans="1:6" x14ac:dyDescent="0.25">
      <c r="A256" s="2" t="s">
        <v>551</v>
      </c>
      <c r="B256" s="8">
        <v>0</v>
      </c>
      <c r="C256" s="8">
        <v>0</v>
      </c>
      <c r="D256" s="8">
        <v>0</v>
      </c>
      <c r="E256" s="8">
        <v>0</v>
      </c>
      <c r="F256" s="31">
        <f t="shared" si="3"/>
        <v>0</v>
      </c>
    </row>
    <row r="257" spans="1:6" x14ac:dyDescent="0.25">
      <c r="A257" s="2" t="s">
        <v>539</v>
      </c>
      <c r="B257" s="8">
        <v>80</v>
      </c>
      <c r="C257" s="8">
        <v>100</v>
      </c>
      <c r="D257" s="2">
        <v>100</v>
      </c>
      <c r="E257" s="2">
        <v>75</v>
      </c>
      <c r="F257" s="31">
        <f t="shared" si="3"/>
        <v>88.75</v>
      </c>
    </row>
    <row r="258" spans="1:6" x14ac:dyDescent="0.25">
      <c r="A258" s="2" t="s">
        <v>549</v>
      </c>
      <c r="B258" s="8">
        <v>80</v>
      </c>
      <c r="C258" s="8">
        <v>75</v>
      </c>
      <c r="D258" s="2">
        <v>100</v>
      </c>
      <c r="E258" s="2">
        <v>75</v>
      </c>
      <c r="F258" s="31">
        <f t="shared" si="3"/>
        <v>82.5</v>
      </c>
    </row>
    <row r="259" spans="1:6" x14ac:dyDescent="0.25">
      <c r="A259" s="2" t="s">
        <v>471</v>
      </c>
      <c r="B259" s="8">
        <v>60</v>
      </c>
      <c r="C259" s="8">
        <v>25</v>
      </c>
      <c r="D259" s="2">
        <v>40</v>
      </c>
      <c r="E259" s="2">
        <v>50</v>
      </c>
      <c r="F259" s="31">
        <f t="shared" ref="F259:F298" si="4">AVERAGE(B259:E259)</f>
        <v>43.75</v>
      </c>
    </row>
    <row r="260" spans="1:6" x14ac:dyDescent="0.25">
      <c r="A260" s="2" t="s">
        <v>357</v>
      </c>
      <c r="B260" s="8">
        <v>60</v>
      </c>
      <c r="C260" s="8">
        <v>50</v>
      </c>
      <c r="D260" s="2">
        <v>0</v>
      </c>
      <c r="E260" s="2">
        <v>100</v>
      </c>
      <c r="F260" s="31">
        <f t="shared" si="4"/>
        <v>52.5</v>
      </c>
    </row>
    <row r="261" spans="1:6" x14ac:dyDescent="0.25">
      <c r="A261" s="2" t="s">
        <v>345</v>
      </c>
      <c r="B261" s="8">
        <v>60</v>
      </c>
      <c r="C261" s="8">
        <v>75</v>
      </c>
      <c r="D261" s="2">
        <v>80</v>
      </c>
      <c r="E261" s="2">
        <v>50</v>
      </c>
      <c r="F261" s="31">
        <f t="shared" si="4"/>
        <v>66.25</v>
      </c>
    </row>
    <row r="262" spans="1:6" x14ac:dyDescent="0.25">
      <c r="A262" s="2" t="s">
        <v>420</v>
      </c>
      <c r="B262" s="8">
        <v>80</v>
      </c>
      <c r="C262" s="8">
        <v>100</v>
      </c>
      <c r="D262" s="2">
        <v>100</v>
      </c>
      <c r="E262" s="2">
        <v>50</v>
      </c>
      <c r="F262" s="31">
        <f t="shared" si="4"/>
        <v>82.5</v>
      </c>
    </row>
    <row r="263" spans="1:6" x14ac:dyDescent="0.25">
      <c r="A263" s="2" t="s">
        <v>340</v>
      </c>
      <c r="B263" s="8">
        <v>80</v>
      </c>
      <c r="C263" s="8">
        <v>25</v>
      </c>
      <c r="D263" s="2">
        <v>0</v>
      </c>
      <c r="E263" s="2">
        <v>50</v>
      </c>
      <c r="F263" s="31">
        <f t="shared" si="4"/>
        <v>38.75</v>
      </c>
    </row>
    <row r="264" spans="1:6" x14ac:dyDescent="0.25">
      <c r="A264" s="2" t="s">
        <v>536</v>
      </c>
      <c r="B264" s="8">
        <v>40</v>
      </c>
      <c r="C264" s="8">
        <v>25</v>
      </c>
      <c r="D264" s="2">
        <v>80</v>
      </c>
      <c r="E264" s="2">
        <v>50</v>
      </c>
      <c r="F264" s="31">
        <f t="shared" si="4"/>
        <v>48.75</v>
      </c>
    </row>
    <row r="265" spans="1:6" x14ac:dyDescent="0.25">
      <c r="A265" s="2" t="s">
        <v>395</v>
      </c>
      <c r="B265" s="8">
        <v>60</v>
      </c>
      <c r="C265" s="8">
        <v>50</v>
      </c>
      <c r="D265" s="2">
        <v>80</v>
      </c>
      <c r="E265" s="2">
        <v>75</v>
      </c>
      <c r="F265" s="31">
        <f t="shared" si="4"/>
        <v>66.25</v>
      </c>
    </row>
    <row r="266" spans="1:6" x14ac:dyDescent="0.25">
      <c r="A266" s="2" t="s">
        <v>478</v>
      </c>
      <c r="B266" s="8">
        <v>80</v>
      </c>
      <c r="C266" s="8">
        <v>75</v>
      </c>
      <c r="D266" s="2">
        <v>100</v>
      </c>
      <c r="E266" s="2">
        <v>50</v>
      </c>
      <c r="F266" s="31">
        <f t="shared" si="4"/>
        <v>76.25</v>
      </c>
    </row>
    <row r="267" spans="1:6" x14ac:dyDescent="0.25">
      <c r="A267" s="2" t="s">
        <v>547</v>
      </c>
      <c r="B267" s="8">
        <v>100</v>
      </c>
      <c r="C267" s="8">
        <v>100</v>
      </c>
      <c r="D267" s="2">
        <v>100</v>
      </c>
      <c r="E267" s="2">
        <v>75</v>
      </c>
      <c r="F267" s="31">
        <f t="shared" si="4"/>
        <v>93.75</v>
      </c>
    </row>
    <row r="268" spans="1:6" x14ac:dyDescent="0.25">
      <c r="A268" s="2" t="s">
        <v>409</v>
      </c>
      <c r="B268" s="8">
        <v>100</v>
      </c>
      <c r="C268" s="8">
        <v>75</v>
      </c>
      <c r="D268" s="2">
        <v>100</v>
      </c>
      <c r="E268" s="2">
        <v>50</v>
      </c>
      <c r="F268" s="31">
        <f t="shared" si="4"/>
        <v>81.25</v>
      </c>
    </row>
    <row r="269" spans="1:6" x14ac:dyDescent="0.25">
      <c r="A269" s="2" t="s">
        <v>315</v>
      </c>
      <c r="B269" s="8">
        <v>80</v>
      </c>
      <c r="C269" s="8">
        <v>75</v>
      </c>
      <c r="D269" s="2">
        <v>100</v>
      </c>
      <c r="E269" s="2">
        <v>50</v>
      </c>
      <c r="F269" s="31">
        <f t="shared" si="4"/>
        <v>76.25</v>
      </c>
    </row>
    <row r="270" spans="1:6" x14ac:dyDescent="0.25">
      <c r="A270" s="2" t="s">
        <v>308</v>
      </c>
      <c r="B270" s="8">
        <v>80</v>
      </c>
      <c r="C270" s="8">
        <v>75</v>
      </c>
      <c r="D270" s="2">
        <v>40</v>
      </c>
      <c r="E270" s="2">
        <v>50</v>
      </c>
      <c r="F270" s="31">
        <f t="shared" si="4"/>
        <v>61.25</v>
      </c>
    </row>
    <row r="271" spans="1:6" x14ac:dyDescent="0.25">
      <c r="A271" s="2" t="s">
        <v>507</v>
      </c>
      <c r="B271" s="8">
        <v>60</v>
      </c>
      <c r="C271" s="8">
        <v>75</v>
      </c>
      <c r="D271" s="2">
        <v>80</v>
      </c>
      <c r="E271" s="2">
        <v>50</v>
      </c>
      <c r="F271" s="31">
        <f t="shared" si="4"/>
        <v>66.25</v>
      </c>
    </row>
    <row r="272" spans="1:6" x14ac:dyDescent="0.25">
      <c r="A272" s="2" t="s">
        <v>473</v>
      </c>
      <c r="B272" s="8">
        <v>40</v>
      </c>
      <c r="C272" s="8">
        <v>25</v>
      </c>
      <c r="D272" s="2">
        <v>60</v>
      </c>
      <c r="E272" s="2">
        <v>50</v>
      </c>
      <c r="F272" s="31">
        <f t="shared" si="4"/>
        <v>43.75</v>
      </c>
    </row>
    <row r="273" spans="1:6" x14ac:dyDescent="0.25">
      <c r="A273" s="2" t="s">
        <v>520</v>
      </c>
      <c r="B273" s="8">
        <v>60</v>
      </c>
      <c r="C273" s="8">
        <v>25</v>
      </c>
      <c r="D273" s="2">
        <v>80</v>
      </c>
      <c r="E273" s="2">
        <v>50</v>
      </c>
      <c r="F273" s="31">
        <f t="shared" si="4"/>
        <v>53.75</v>
      </c>
    </row>
    <row r="274" spans="1:6" x14ac:dyDescent="0.25">
      <c r="A274" s="2" t="s">
        <v>322</v>
      </c>
      <c r="B274" s="8">
        <v>80</v>
      </c>
      <c r="C274" s="8">
        <v>50</v>
      </c>
      <c r="D274" s="2">
        <v>60</v>
      </c>
      <c r="E274" s="2">
        <v>50</v>
      </c>
      <c r="F274" s="31">
        <f t="shared" si="4"/>
        <v>60</v>
      </c>
    </row>
    <row r="275" spans="1:6" x14ac:dyDescent="0.25">
      <c r="A275" s="2" t="s">
        <v>407</v>
      </c>
      <c r="B275" s="8">
        <v>60</v>
      </c>
      <c r="C275" s="8">
        <v>100</v>
      </c>
      <c r="D275" s="2">
        <v>80</v>
      </c>
      <c r="E275" s="2">
        <v>75</v>
      </c>
      <c r="F275" s="31">
        <f t="shared" si="4"/>
        <v>78.75</v>
      </c>
    </row>
    <row r="276" spans="1:6" x14ac:dyDescent="0.25">
      <c r="A276" s="2" t="s">
        <v>328</v>
      </c>
      <c r="B276" s="8">
        <v>60</v>
      </c>
      <c r="C276" s="8">
        <v>50</v>
      </c>
      <c r="D276" s="2">
        <v>20</v>
      </c>
      <c r="E276" s="2">
        <v>50</v>
      </c>
      <c r="F276" s="31">
        <f t="shared" si="4"/>
        <v>45</v>
      </c>
    </row>
    <row r="277" spans="1:6" x14ac:dyDescent="0.25">
      <c r="A277" s="2" t="s">
        <v>534</v>
      </c>
      <c r="B277" s="8">
        <v>80</v>
      </c>
      <c r="C277" s="8">
        <v>75</v>
      </c>
      <c r="D277" s="2">
        <v>80</v>
      </c>
      <c r="E277" s="2">
        <v>50</v>
      </c>
      <c r="F277" s="31">
        <f t="shared" si="4"/>
        <v>71.25</v>
      </c>
    </row>
    <row r="278" spans="1:6" x14ac:dyDescent="0.25">
      <c r="A278" s="2" t="s">
        <v>521</v>
      </c>
      <c r="B278" s="8">
        <v>60</v>
      </c>
      <c r="C278" s="8">
        <v>75</v>
      </c>
      <c r="D278" s="2">
        <v>80</v>
      </c>
      <c r="E278" s="2">
        <v>50</v>
      </c>
      <c r="F278" s="31">
        <f t="shared" si="4"/>
        <v>66.25</v>
      </c>
    </row>
    <row r="279" spans="1:6" x14ac:dyDescent="0.25">
      <c r="A279" s="2" t="s">
        <v>546</v>
      </c>
      <c r="B279" s="8">
        <v>40</v>
      </c>
      <c r="C279" s="8">
        <v>0</v>
      </c>
      <c r="D279" s="2">
        <v>0</v>
      </c>
      <c r="E279" s="2">
        <v>50</v>
      </c>
      <c r="F279" s="31">
        <f t="shared" si="4"/>
        <v>22.5</v>
      </c>
    </row>
    <row r="280" spans="1:6" x14ac:dyDescent="0.25">
      <c r="A280" s="2" t="s">
        <v>487</v>
      </c>
      <c r="B280" s="8">
        <v>80</v>
      </c>
      <c r="C280" s="8">
        <v>50</v>
      </c>
      <c r="D280" s="2">
        <v>80</v>
      </c>
      <c r="E280" s="2">
        <v>50</v>
      </c>
      <c r="F280" s="31">
        <f t="shared" si="4"/>
        <v>65</v>
      </c>
    </row>
    <row r="281" spans="1:6" x14ac:dyDescent="0.25">
      <c r="A281" s="2" t="s">
        <v>411</v>
      </c>
      <c r="B281" s="8">
        <v>80</v>
      </c>
      <c r="C281" s="8">
        <v>75</v>
      </c>
      <c r="D281" s="2">
        <v>40</v>
      </c>
      <c r="E281" s="2">
        <v>50</v>
      </c>
      <c r="F281" s="31">
        <f t="shared" si="4"/>
        <v>61.25</v>
      </c>
    </row>
    <row r="282" spans="1:6" x14ac:dyDescent="0.25">
      <c r="A282" s="2" t="s">
        <v>413</v>
      </c>
      <c r="B282" s="8">
        <v>80</v>
      </c>
      <c r="C282" s="8">
        <v>75</v>
      </c>
      <c r="D282" s="2">
        <v>100</v>
      </c>
      <c r="E282" s="2">
        <v>50</v>
      </c>
      <c r="F282" s="31">
        <f t="shared" si="4"/>
        <v>76.25</v>
      </c>
    </row>
    <row r="283" spans="1:6" x14ac:dyDescent="0.25">
      <c r="A283" s="2" t="s">
        <v>527</v>
      </c>
      <c r="B283" s="8">
        <v>80</v>
      </c>
      <c r="C283" s="8">
        <v>75</v>
      </c>
      <c r="D283" s="2">
        <v>100</v>
      </c>
      <c r="E283" s="2">
        <v>50</v>
      </c>
      <c r="F283" s="31">
        <f t="shared" si="4"/>
        <v>76.25</v>
      </c>
    </row>
    <row r="284" spans="1:6" x14ac:dyDescent="0.25">
      <c r="A284" s="2" t="s">
        <v>301</v>
      </c>
      <c r="B284" s="8">
        <v>60</v>
      </c>
      <c r="C284" s="8">
        <v>75</v>
      </c>
      <c r="D284" s="2">
        <v>80</v>
      </c>
      <c r="E284" s="2">
        <v>50</v>
      </c>
      <c r="F284" s="31">
        <f t="shared" si="4"/>
        <v>66.25</v>
      </c>
    </row>
    <row r="285" spans="1:6" x14ac:dyDescent="0.25">
      <c r="A285" s="2" t="s">
        <v>479</v>
      </c>
      <c r="B285" s="8">
        <v>80</v>
      </c>
      <c r="C285" s="8">
        <v>25</v>
      </c>
      <c r="D285" s="2">
        <v>100</v>
      </c>
      <c r="E285" s="2">
        <v>50</v>
      </c>
      <c r="F285" s="31">
        <f t="shared" si="4"/>
        <v>63.75</v>
      </c>
    </row>
    <row r="286" spans="1:6" x14ac:dyDescent="0.25">
      <c r="A286" s="2" t="s">
        <v>302</v>
      </c>
      <c r="B286" s="8">
        <v>60</v>
      </c>
      <c r="C286" s="8">
        <v>50</v>
      </c>
      <c r="D286" s="2">
        <v>80</v>
      </c>
      <c r="E286" s="2">
        <v>50</v>
      </c>
      <c r="F286" s="31">
        <f t="shared" si="4"/>
        <v>60</v>
      </c>
    </row>
    <row r="287" spans="1:6" ht="14.4" x14ac:dyDescent="0.25">
      <c r="A287" s="15" t="s">
        <v>640</v>
      </c>
      <c r="B287" s="8">
        <v>60</v>
      </c>
      <c r="C287" s="8">
        <v>100</v>
      </c>
      <c r="D287" s="2">
        <v>100</v>
      </c>
      <c r="E287" s="2">
        <v>50</v>
      </c>
      <c r="F287" s="31">
        <f t="shared" si="4"/>
        <v>77.5</v>
      </c>
    </row>
    <row r="288" spans="1:6" x14ac:dyDescent="0.25">
      <c r="A288" s="2" t="s">
        <v>523</v>
      </c>
      <c r="B288" s="8">
        <v>80</v>
      </c>
      <c r="C288" s="8">
        <v>100</v>
      </c>
      <c r="D288" s="2">
        <v>80</v>
      </c>
      <c r="E288" s="2">
        <v>50</v>
      </c>
      <c r="F288" s="31">
        <f t="shared" si="4"/>
        <v>77.5</v>
      </c>
    </row>
    <row r="289" spans="1:6" x14ac:dyDescent="0.25">
      <c r="A289" s="2" t="s">
        <v>317</v>
      </c>
      <c r="B289" s="8">
        <v>40</v>
      </c>
      <c r="C289" s="8">
        <v>0</v>
      </c>
      <c r="D289" s="2">
        <v>40</v>
      </c>
      <c r="E289" s="2">
        <v>50</v>
      </c>
      <c r="F289" s="31">
        <f t="shared" si="4"/>
        <v>32.5</v>
      </c>
    </row>
    <row r="290" spans="1:6" x14ac:dyDescent="0.25">
      <c r="A290" s="2" t="s">
        <v>566</v>
      </c>
      <c r="B290" s="8">
        <v>80</v>
      </c>
      <c r="C290" s="8">
        <v>50</v>
      </c>
      <c r="D290" s="2">
        <v>100</v>
      </c>
      <c r="E290" s="2">
        <v>50</v>
      </c>
      <c r="F290" s="31">
        <f t="shared" si="4"/>
        <v>70</v>
      </c>
    </row>
    <row r="291" spans="1:6" x14ac:dyDescent="0.25">
      <c r="A291" s="2" t="s">
        <v>329</v>
      </c>
      <c r="B291" s="8">
        <v>100</v>
      </c>
      <c r="C291" s="8">
        <v>50</v>
      </c>
      <c r="D291" s="2">
        <v>40</v>
      </c>
      <c r="E291" s="2">
        <v>50</v>
      </c>
      <c r="F291" s="31">
        <f t="shared" si="4"/>
        <v>60</v>
      </c>
    </row>
    <row r="292" spans="1:6" x14ac:dyDescent="0.25">
      <c r="A292" s="2" t="s">
        <v>423</v>
      </c>
      <c r="B292" s="8">
        <v>60</v>
      </c>
      <c r="C292" s="8">
        <v>25</v>
      </c>
      <c r="D292" s="2">
        <v>0</v>
      </c>
      <c r="E292" s="2">
        <v>50</v>
      </c>
      <c r="F292" s="31">
        <f t="shared" si="4"/>
        <v>33.75</v>
      </c>
    </row>
    <row r="293" spans="1:6" x14ac:dyDescent="0.25">
      <c r="A293" s="2" t="s">
        <v>355</v>
      </c>
      <c r="B293" s="8">
        <v>80</v>
      </c>
      <c r="C293" s="8">
        <v>100</v>
      </c>
      <c r="D293" s="2">
        <v>80</v>
      </c>
      <c r="E293" s="2">
        <v>75</v>
      </c>
      <c r="F293" s="31">
        <f t="shared" si="4"/>
        <v>83.75</v>
      </c>
    </row>
    <row r="294" spans="1:6" x14ac:dyDescent="0.25">
      <c r="A294" s="2" t="s">
        <v>567</v>
      </c>
      <c r="B294" s="8">
        <v>20</v>
      </c>
      <c r="C294" s="8">
        <v>0</v>
      </c>
      <c r="D294" s="2">
        <v>0</v>
      </c>
      <c r="E294" s="2">
        <v>0</v>
      </c>
      <c r="F294" s="31">
        <f t="shared" si="4"/>
        <v>5</v>
      </c>
    </row>
    <row r="295" spans="1:6" x14ac:dyDescent="0.25">
      <c r="A295" s="2" t="s">
        <v>516</v>
      </c>
      <c r="B295" s="8">
        <v>40</v>
      </c>
      <c r="C295" s="8">
        <v>0</v>
      </c>
      <c r="D295" s="2">
        <v>40</v>
      </c>
      <c r="E295" s="2">
        <v>50</v>
      </c>
      <c r="F295" s="31">
        <f t="shared" si="4"/>
        <v>32.5</v>
      </c>
    </row>
    <row r="296" spans="1:6" ht="14.4" x14ac:dyDescent="0.25">
      <c r="A296" s="15" t="s">
        <v>636</v>
      </c>
      <c r="B296" s="8">
        <v>80</v>
      </c>
      <c r="C296" s="8">
        <v>75</v>
      </c>
      <c r="D296" s="2">
        <v>80</v>
      </c>
      <c r="E296" s="2">
        <v>50</v>
      </c>
      <c r="F296" s="31">
        <f t="shared" si="4"/>
        <v>71.25</v>
      </c>
    </row>
    <row r="297" spans="1:6" x14ac:dyDescent="0.25">
      <c r="A297" s="2" t="s">
        <v>568</v>
      </c>
      <c r="B297" s="8">
        <v>80</v>
      </c>
      <c r="C297" s="8">
        <v>100</v>
      </c>
      <c r="D297" s="2">
        <v>100</v>
      </c>
      <c r="E297" s="2">
        <v>50</v>
      </c>
      <c r="F297" s="31">
        <f t="shared" si="4"/>
        <v>82.5</v>
      </c>
    </row>
    <row r="298" spans="1:6" x14ac:dyDescent="0.25">
      <c r="A298" s="2" t="s">
        <v>350</v>
      </c>
      <c r="B298" s="8">
        <v>80</v>
      </c>
      <c r="C298" s="8">
        <v>50</v>
      </c>
      <c r="D298" s="2">
        <v>100</v>
      </c>
      <c r="E298" s="2">
        <v>50</v>
      </c>
      <c r="F298" s="31">
        <f t="shared" si="4"/>
        <v>70</v>
      </c>
    </row>
    <row r="299" spans="1:6" ht="17.399999999999999" x14ac:dyDescent="0.25">
      <c r="A299" s="6">
        <f>COUNTA(A2:A298)</f>
        <v>297</v>
      </c>
      <c r="B299" s="6">
        <f>COUNT(B2:B298)</f>
        <v>297</v>
      </c>
      <c r="C299" s="6">
        <f>COUNT(C2:C298)</f>
        <v>297</v>
      </c>
      <c r="D299" s="6">
        <f t="shared" ref="D299:E299" si="5">COUNT(D2:D298)</f>
        <v>297</v>
      </c>
      <c r="E299" s="6">
        <f t="shared" si="5"/>
        <v>297</v>
      </c>
    </row>
    <row r="300" spans="1:6" ht="17.399999999999999" x14ac:dyDescent="0.25">
      <c r="B300" s="16">
        <f>B299/296</f>
        <v>1.0033783783783783</v>
      </c>
      <c r="C300" s="16">
        <f t="shared" ref="C300:E300" si="6">C299/296</f>
        <v>1.0033783783783783</v>
      </c>
      <c r="D300" s="16">
        <f t="shared" si="6"/>
        <v>1.0033783783783783</v>
      </c>
      <c r="E300" s="16">
        <f t="shared" si="6"/>
        <v>1.0033783783783783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F67A-7E43-4B40-AC46-7D699C01DE0E}">
  <dimension ref="A1:E300"/>
  <sheetViews>
    <sheetView workbookViewId="0">
      <pane xSplit="27528" ySplit="7332" topLeftCell="B290"/>
      <selection activeCell="E2" sqref="E2:E298"/>
      <selection pane="topRight" activeCell="B1" sqref="B1"/>
      <selection pane="bottomLeft" activeCell="F296" sqref="F296"/>
      <selection pane="bottomRight" activeCell="B13" sqref="B13"/>
    </sheetView>
  </sheetViews>
  <sheetFormatPr defaultRowHeight="14.4" x14ac:dyDescent="0.25"/>
  <cols>
    <col min="1" max="1" width="16.44140625" customWidth="1"/>
    <col min="2" max="4" width="33.77734375" customWidth="1"/>
    <col min="5" max="5" width="26.6640625" customWidth="1"/>
  </cols>
  <sheetData>
    <row r="1" spans="1:5" x14ac:dyDescent="0.25">
      <c r="A1" s="1" t="s">
        <v>0</v>
      </c>
      <c r="B1" s="4" t="s">
        <v>603</v>
      </c>
      <c r="C1" s="4" t="s">
        <v>604</v>
      </c>
      <c r="D1" s="4" t="s">
        <v>605</v>
      </c>
      <c r="E1" s="25" t="s">
        <v>656</v>
      </c>
    </row>
    <row r="2" spans="1:5" x14ac:dyDescent="0.25">
      <c r="A2" s="15" t="s">
        <v>600</v>
      </c>
      <c r="B2" s="30">
        <v>50</v>
      </c>
      <c r="C2" s="30">
        <v>50</v>
      </c>
      <c r="D2" s="30">
        <v>50</v>
      </c>
      <c r="E2" s="31">
        <f>AVERAGE(B2:D2)</f>
        <v>50</v>
      </c>
    </row>
    <row r="3" spans="1:5" x14ac:dyDescent="0.25">
      <c r="A3" s="15" t="s">
        <v>586</v>
      </c>
      <c r="B3" s="30">
        <v>100</v>
      </c>
      <c r="C3" s="30">
        <v>75</v>
      </c>
      <c r="D3" s="30">
        <v>50</v>
      </c>
      <c r="E3" s="31">
        <f t="shared" ref="E3:E66" si="0">AVERAGE(B3:D3)</f>
        <v>75</v>
      </c>
    </row>
    <row r="4" spans="1:5" x14ac:dyDescent="0.25">
      <c r="A4" s="15" t="s">
        <v>573</v>
      </c>
      <c r="B4" s="30">
        <v>50</v>
      </c>
      <c r="C4" s="30">
        <v>75</v>
      </c>
      <c r="D4" s="30">
        <v>75</v>
      </c>
      <c r="E4" s="31">
        <f t="shared" si="0"/>
        <v>66.666666666666671</v>
      </c>
    </row>
    <row r="5" spans="1:5" x14ac:dyDescent="0.25">
      <c r="A5" s="15" t="s">
        <v>576</v>
      </c>
      <c r="B5" s="30">
        <v>100</v>
      </c>
      <c r="C5" s="30">
        <v>100</v>
      </c>
      <c r="D5" s="30">
        <v>75</v>
      </c>
      <c r="E5" s="31">
        <f t="shared" si="0"/>
        <v>91.666666666666671</v>
      </c>
    </row>
    <row r="6" spans="1:5" x14ac:dyDescent="0.25">
      <c r="A6" s="15" t="s">
        <v>346</v>
      </c>
      <c r="B6" s="30">
        <v>75</v>
      </c>
      <c r="C6" s="30">
        <v>100</v>
      </c>
      <c r="D6" s="30">
        <v>75</v>
      </c>
      <c r="E6" s="31">
        <f t="shared" si="0"/>
        <v>83.333333333333329</v>
      </c>
    </row>
    <row r="7" spans="1:5" x14ac:dyDescent="0.25">
      <c r="A7" s="15" t="s">
        <v>338</v>
      </c>
      <c r="B7" s="30">
        <v>75</v>
      </c>
      <c r="C7" s="30">
        <v>0</v>
      </c>
      <c r="D7" s="30">
        <v>50</v>
      </c>
      <c r="E7" s="31">
        <f t="shared" si="0"/>
        <v>41.666666666666664</v>
      </c>
    </row>
    <row r="8" spans="1:5" x14ac:dyDescent="0.25">
      <c r="A8" s="15" t="s">
        <v>325</v>
      </c>
      <c r="B8" s="30">
        <v>75</v>
      </c>
      <c r="C8" s="30">
        <v>0</v>
      </c>
      <c r="D8" s="30">
        <v>50</v>
      </c>
      <c r="E8" s="31">
        <f t="shared" si="0"/>
        <v>41.666666666666664</v>
      </c>
    </row>
    <row r="9" spans="1:5" x14ac:dyDescent="0.25">
      <c r="A9" s="15" t="s">
        <v>311</v>
      </c>
      <c r="B9" s="30">
        <v>75</v>
      </c>
      <c r="C9" s="30">
        <v>75</v>
      </c>
      <c r="D9" s="30">
        <v>75</v>
      </c>
      <c r="E9" s="31">
        <f t="shared" si="0"/>
        <v>75</v>
      </c>
    </row>
    <row r="10" spans="1:5" x14ac:dyDescent="0.25">
      <c r="A10" s="15" t="s">
        <v>583</v>
      </c>
      <c r="B10" s="30">
        <v>100</v>
      </c>
      <c r="C10" s="30">
        <v>50</v>
      </c>
      <c r="D10" s="30">
        <v>50</v>
      </c>
      <c r="E10" s="31">
        <f t="shared" si="0"/>
        <v>66.666666666666671</v>
      </c>
    </row>
    <row r="11" spans="1:5" x14ac:dyDescent="0.25">
      <c r="A11" s="15" t="s">
        <v>533</v>
      </c>
      <c r="B11" s="30">
        <v>75</v>
      </c>
      <c r="C11" s="30">
        <v>100</v>
      </c>
      <c r="D11" s="30">
        <v>50</v>
      </c>
      <c r="E11" s="31">
        <f t="shared" si="0"/>
        <v>75</v>
      </c>
    </row>
    <row r="12" spans="1:5" x14ac:dyDescent="0.25">
      <c r="A12" s="15" t="s">
        <v>556</v>
      </c>
      <c r="B12" s="30">
        <v>100</v>
      </c>
      <c r="C12" s="30">
        <v>50</v>
      </c>
      <c r="D12" s="30">
        <v>50</v>
      </c>
      <c r="E12" s="31">
        <f t="shared" si="0"/>
        <v>66.666666666666671</v>
      </c>
    </row>
    <row r="13" spans="1:5" x14ac:dyDescent="0.25">
      <c r="A13" s="15" t="s">
        <v>594</v>
      </c>
      <c r="B13" s="30">
        <v>100</v>
      </c>
      <c r="C13" s="30">
        <v>25</v>
      </c>
      <c r="D13" s="30">
        <v>75</v>
      </c>
      <c r="E13" s="31">
        <f t="shared" si="0"/>
        <v>66.666666666666671</v>
      </c>
    </row>
    <row r="14" spans="1:5" x14ac:dyDescent="0.25">
      <c r="A14" s="15" t="s">
        <v>396</v>
      </c>
      <c r="B14" s="30">
        <v>50</v>
      </c>
      <c r="C14" s="30">
        <v>0</v>
      </c>
      <c r="D14" s="30">
        <v>50</v>
      </c>
      <c r="E14" s="31">
        <f t="shared" si="0"/>
        <v>33.333333333333336</v>
      </c>
    </row>
    <row r="15" spans="1:5" x14ac:dyDescent="0.25">
      <c r="A15" s="15" t="s">
        <v>494</v>
      </c>
      <c r="B15" s="30">
        <v>25</v>
      </c>
      <c r="C15" s="30">
        <v>25</v>
      </c>
      <c r="D15" s="30">
        <v>50</v>
      </c>
      <c r="E15" s="31">
        <f t="shared" si="0"/>
        <v>33.333333333333336</v>
      </c>
    </row>
    <row r="16" spans="1:5" x14ac:dyDescent="0.25">
      <c r="A16" s="15" t="s">
        <v>352</v>
      </c>
      <c r="B16" s="30">
        <v>25</v>
      </c>
      <c r="C16" s="30">
        <v>0</v>
      </c>
      <c r="D16" s="30">
        <v>25</v>
      </c>
      <c r="E16" s="31">
        <f t="shared" si="0"/>
        <v>16.666666666666668</v>
      </c>
    </row>
    <row r="17" spans="1:5" x14ac:dyDescent="0.25">
      <c r="A17" s="15" t="s">
        <v>585</v>
      </c>
      <c r="B17" s="30">
        <v>100</v>
      </c>
      <c r="C17" s="30">
        <v>100</v>
      </c>
      <c r="D17" s="30">
        <v>75</v>
      </c>
      <c r="E17" s="31">
        <f t="shared" si="0"/>
        <v>91.666666666666671</v>
      </c>
    </row>
    <row r="18" spans="1:5" x14ac:dyDescent="0.25">
      <c r="A18" s="15" t="s">
        <v>597</v>
      </c>
      <c r="B18" s="30">
        <v>75</v>
      </c>
      <c r="C18" s="30">
        <v>50</v>
      </c>
      <c r="D18" s="30">
        <v>50</v>
      </c>
      <c r="E18" s="31">
        <f t="shared" si="0"/>
        <v>58.333333333333336</v>
      </c>
    </row>
    <row r="19" spans="1:5" x14ac:dyDescent="0.25">
      <c r="A19" s="15" t="s">
        <v>505</v>
      </c>
      <c r="B19" s="30">
        <v>100</v>
      </c>
      <c r="C19" s="30">
        <v>100</v>
      </c>
      <c r="D19" s="30">
        <v>50</v>
      </c>
      <c r="E19" s="31">
        <f t="shared" si="0"/>
        <v>83.333333333333329</v>
      </c>
    </row>
    <row r="20" spans="1:5" x14ac:dyDescent="0.25">
      <c r="A20" s="15" t="s">
        <v>543</v>
      </c>
      <c r="B20" s="30">
        <v>75</v>
      </c>
      <c r="C20" s="30">
        <v>25</v>
      </c>
      <c r="D20" s="30">
        <v>50</v>
      </c>
      <c r="E20" s="31">
        <f t="shared" si="0"/>
        <v>50</v>
      </c>
    </row>
    <row r="21" spans="1:5" x14ac:dyDescent="0.25">
      <c r="A21" s="15" t="s">
        <v>432</v>
      </c>
      <c r="B21" s="30">
        <v>100</v>
      </c>
      <c r="C21" s="30">
        <v>100</v>
      </c>
      <c r="D21" s="30">
        <v>50</v>
      </c>
      <c r="E21" s="31">
        <f t="shared" si="0"/>
        <v>83.333333333333329</v>
      </c>
    </row>
    <row r="22" spans="1:5" x14ac:dyDescent="0.25">
      <c r="A22" s="15" t="s">
        <v>582</v>
      </c>
      <c r="B22" s="30">
        <v>75</v>
      </c>
      <c r="C22" s="30">
        <v>100</v>
      </c>
      <c r="D22" s="30">
        <v>50</v>
      </c>
      <c r="E22" s="31">
        <f t="shared" si="0"/>
        <v>75</v>
      </c>
    </row>
    <row r="23" spans="1:5" x14ac:dyDescent="0.25">
      <c r="A23" s="15" t="s">
        <v>590</v>
      </c>
      <c r="B23" s="30">
        <v>50</v>
      </c>
      <c r="C23" s="30">
        <v>25</v>
      </c>
      <c r="D23" s="30">
        <v>75</v>
      </c>
      <c r="E23" s="31">
        <f t="shared" si="0"/>
        <v>50</v>
      </c>
    </row>
    <row r="24" spans="1:5" x14ac:dyDescent="0.25">
      <c r="A24" s="15" t="s">
        <v>463</v>
      </c>
      <c r="B24" s="30">
        <v>100</v>
      </c>
      <c r="C24" s="30">
        <v>25</v>
      </c>
      <c r="D24" s="30">
        <v>25</v>
      </c>
      <c r="E24" s="31">
        <f t="shared" si="0"/>
        <v>50</v>
      </c>
    </row>
    <row r="25" spans="1:5" x14ac:dyDescent="0.25">
      <c r="A25" s="15" t="s">
        <v>599</v>
      </c>
      <c r="B25" s="30">
        <v>75</v>
      </c>
      <c r="C25" s="30">
        <v>50</v>
      </c>
      <c r="D25" s="30">
        <v>75</v>
      </c>
      <c r="E25" s="31">
        <f t="shared" si="0"/>
        <v>66.666666666666671</v>
      </c>
    </row>
    <row r="26" spans="1:5" x14ac:dyDescent="0.25">
      <c r="A26" s="15" t="s">
        <v>327</v>
      </c>
      <c r="B26" s="30">
        <v>50</v>
      </c>
      <c r="C26" s="30">
        <v>50</v>
      </c>
      <c r="D26" s="30">
        <v>50</v>
      </c>
      <c r="E26" s="31">
        <f t="shared" si="0"/>
        <v>50</v>
      </c>
    </row>
    <row r="27" spans="1:5" x14ac:dyDescent="0.25">
      <c r="A27" s="15" t="s">
        <v>447</v>
      </c>
      <c r="B27" s="30">
        <v>75</v>
      </c>
      <c r="C27" s="30">
        <v>75</v>
      </c>
      <c r="D27" s="30">
        <v>75</v>
      </c>
      <c r="E27" s="31">
        <f t="shared" si="0"/>
        <v>75</v>
      </c>
    </row>
    <row r="28" spans="1:5" x14ac:dyDescent="0.25">
      <c r="A28" s="15" t="s">
        <v>458</v>
      </c>
      <c r="B28" s="30">
        <v>75</v>
      </c>
      <c r="C28" s="30">
        <v>25</v>
      </c>
      <c r="D28" s="30">
        <v>50</v>
      </c>
      <c r="E28" s="31">
        <f t="shared" si="0"/>
        <v>50</v>
      </c>
    </row>
    <row r="29" spans="1:5" x14ac:dyDescent="0.25">
      <c r="A29" s="15" t="s">
        <v>602</v>
      </c>
      <c r="B29" s="30">
        <v>75</v>
      </c>
      <c r="C29" s="30">
        <v>50</v>
      </c>
      <c r="D29" s="30">
        <v>50</v>
      </c>
      <c r="E29" s="31">
        <f t="shared" si="0"/>
        <v>58.333333333333336</v>
      </c>
    </row>
    <row r="30" spans="1:5" x14ac:dyDescent="0.25">
      <c r="A30" s="15" t="s">
        <v>650</v>
      </c>
      <c r="B30" s="30">
        <v>75</v>
      </c>
      <c r="C30" s="30">
        <v>50</v>
      </c>
      <c r="D30" s="30">
        <v>75</v>
      </c>
      <c r="E30" s="31">
        <f t="shared" si="0"/>
        <v>66.666666666666671</v>
      </c>
    </row>
    <row r="31" spans="1:5" x14ac:dyDescent="0.25">
      <c r="A31" s="15" t="s">
        <v>589</v>
      </c>
      <c r="B31" s="30">
        <v>75</v>
      </c>
      <c r="C31" s="30">
        <v>50</v>
      </c>
      <c r="D31" s="30">
        <v>50</v>
      </c>
      <c r="E31" s="31">
        <f t="shared" si="0"/>
        <v>58.333333333333336</v>
      </c>
    </row>
    <row r="32" spans="1:5" x14ac:dyDescent="0.25">
      <c r="A32" s="15" t="s">
        <v>454</v>
      </c>
      <c r="B32" s="30">
        <v>75</v>
      </c>
      <c r="C32" s="30">
        <v>75</v>
      </c>
      <c r="D32" s="30">
        <v>75</v>
      </c>
      <c r="E32" s="31">
        <f t="shared" si="0"/>
        <v>75</v>
      </c>
    </row>
    <row r="33" spans="1:5" x14ac:dyDescent="0.25">
      <c r="A33" s="15" t="s">
        <v>490</v>
      </c>
      <c r="B33" s="30">
        <v>75</v>
      </c>
      <c r="C33" s="30">
        <v>100</v>
      </c>
      <c r="D33" s="30">
        <v>50</v>
      </c>
      <c r="E33" s="31">
        <f t="shared" si="0"/>
        <v>75</v>
      </c>
    </row>
    <row r="34" spans="1:5" x14ac:dyDescent="0.25">
      <c r="A34" s="15" t="s">
        <v>514</v>
      </c>
      <c r="B34" s="30">
        <v>75</v>
      </c>
      <c r="C34" s="30">
        <v>100</v>
      </c>
      <c r="D34" s="30">
        <v>50</v>
      </c>
      <c r="E34" s="31">
        <f t="shared" si="0"/>
        <v>75</v>
      </c>
    </row>
    <row r="35" spans="1:5" x14ac:dyDescent="0.25">
      <c r="A35" s="15" t="s">
        <v>592</v>
      </c>
      <c r="B35" s="30">
        <v>100</v>
      </c>
      <c r="C35" s="30">
        <v>100</v>
      </c>
      <c r="D35" s="30">
        <v>50</v>
      </c>
      <c r="E35" s="31">
        <f t="shared" si="0"/>
        <v>83.333333333333329</v>
      </c>
    </row>
    <row r="36" spans="1:5" x14ac:dyDescent="0.25">
      <c r="A36" s="15" t="s">
        <v>517</v>
      </c>
      <c r="B36" s="30">
        <v>100</v>
      </c>
      <c r="C36" s="30">
        <v>50</v>
      </c>
      <c r="D36" s="30">
        <v>50</v>
      </c>
      <c r="E36" s="31">
        <f t="shared" si="0"/>
        <v>66.666666666666671</v>
      </c>
    </row>
    <row r="37" spans="1:5" x14ac:dyDescent="0.25">
      <c r="A37" s="15" t="s">
        <v>477</v>
      </c>
      <c r="B37" s="30">
        <v>25</v>
      </c>
      <c r="C37" s="30">
        <v>25</v>
      </c>
      <c r="D37" s="30">
        <v>50</v>
      </c>
      <c r="E37" s="31">
        <f t="shared" si="0"/>
        <v>33.333333333333336</v>
      </c>
    </row>
    <row r="38" spans="1:5" x14ac:dyDescent="0.25">
      <c r="A38" s="15" t="s">
        <v>578</v>
      </c>
      <c r="B38" s="30">
        <v>75</v>
      </c>
      <c r="C38" s="30">
        <v>75</v>
      </c>
      <c r="D38" s="30">
        <v>75</v>
      </c>
      <c r="E38" s="31">
        <f t="shared" si="0"/>
        <v>75</v>
      </c>
    </row>
    <row r="39" spans="1:5" x14ac:dyDescent="0.25">
      <c r="A39" s="15" t="s">
        <v>515</v>
      </c>
      <c r="B39" s="30">
        <v>25</v>
      </c>
      <c r="C39" s="30">
        <v>25</v>
      </c>
      <c r="D39" s="30">
        <v>50</v>
      </c>
      <c r="E39" s="31">
        <f t="shared" si="0"/>
        <v>33.333333333333336</v>
      </c>
    </row>
    <row r="40" spans="1:5" x14ac:dyDescent="0.25">
      <c r="A40" s="15" t="s">
        <v>580</v>
      </c>
      <c r="B40" s="30">
        <v>75</v>
      </c>
      <c r="C40" s="30">
        <v>50</v>
      </c>
      <c r="D40" s="30">
        <v>50</v>
      </c>
      <c r="E40" s="31">
        <f t="shared" si="0"/>
        <v>58.333333333333336</v>
      </c>
    </row>
    <row r="41" spans="1:5" x14ac:dyDescent="0.25">
      <c r="A41" s="15" t="s">
        <v>305</v>
      </c>
      <c r="B41" s="30">
        <v>75</v>
      </c>
      <c r="C41" s="30">
        <v>100</v>
      </c>
      <c r="D41" s="30">
        <v>50</v>
      </c>
      <c r="E41" s="31">
        <f t="shared" si="0"/>
        <v>75</v>
      </c>
    </row>
    <row r="42" spans="1:5" x14ac:dyDescent="0.25">
      <c r="A42" s="15" t="s">
        <v>499</v>
      </c>
      <c r="B42" s="30">
        <v>100</v>
      </c>
      <c r="C42" s="30">
        <v>25</v>
      </c>
      <c r="D42" s="30">
        <v>50</v>
      </c>
      <c r="E42" s="31">
        <f t="shared" si="0"/>
        <v>58.333333333333336</v>
      </c>
    </row>
    <row r="43" spans="1:5" x14ac:dyDescent="0.25">
      <c r="A43" s="15" t="s">
        <v>439</v>
      </c>
      <c r="B43" s="30">
        <v>50</v>
      </c>
      <c r="C43" s="30">
        <v>25</v>
      </c>
      <c r="D43" s="30">
        <v>50</v>
      </c>
      <c r="E43" s="31">
        <f t="shared" si="0"/>
        <v>41.666666666666664</v>
      </c>
    </row>
    <row r="44" spans="1:5" x14ac:dyDescent="0.25">
      <c r="A44" s="15" t="s">
        <v>442</v>
      </c>
      <c r="B44" s="30">
        <v>25</v>
      </c>
      <c r="C44" s="30">
        <v>25</v>
      </c>
      <c r="D44" s="30">
        <v>50</v>
      </c>
      <c r="E44" s="31">
        <f t="shared" si="0"/>
        <v>33.333333333333336</v>
      </c>
    </row>
    <row r="45" spans="1:5" x14ac:dyDescent="0.25">
      <c r="A45" s="15" t="s">
        <v>591</v>
      </c>
      <c r="B45" s="30">
        <v>100</v>
      </c>
      <c r="C45" s="30">
        <v>100</v>
      </c>
      <c r="D45" s="30">
        <v>50</v>
      </c>
      <c r="E45" s="31">
        <f t="shared" si="0"/>
        <v>83.333333333333329</v>
      </c>
    </row>
    <row r="46" spans="1:5" x14ac:dyDescent="0.25">
      <c r="A46" s="15" t="s">
        <v>489</v>
      </c>
      <c r="B46" s="30">
        <v>75</v>
      </c>
      <c r="C46" s="30">
        <v>25</v>
      </c>
      <c r="D46" s="30">
        <v>75</v>
      </c>
      <c r="E46" s="31">
        <f t="shared" si="0"/>
        <v>58.333333333333336</v>
      </c>
    </row>
    <row r="47" spans="1:5" x14ac:dyDescent="0.25">
      <c r="A47" s="15" t="s">
        <v>643</v>
      </c>
      <c r="B47" s="30">
        <v>50</v>
      </c>
      <c r="C47" s="30">
        <v>25</v>
      </c>
      <c r="D47" s="30">
        <v>50</v>
      </c>
      <c r="E47" s="31">
        <f t="shared" si="0"/>
        <v>41.666666666666664</v>
      </c>
    </row>
    <row r="48" spans="1:5" x14ac:dyDescent="0.25">
      <c r="A48" s="15" t="s">
        <v>337</v>
      </c>
      <c r="B48" s="30">
        <v>25</v>
      </c>
      <c r="C48" s="30">
        <v>25</v>
      </c>
      <c r="D48" s="30">
        <v>25</v>
      </c>
      <c r="E48" s="31">
        <f t="shared" si="0"/>
        <v>25</v>
      </c>
    </row>
    <row r="49" spans="1:5" x14ac:dyDescent="0.25">
      <c r="A49" s="15" t="s">
        <v>446</v>
      </c>
      <c r="B49" s="30">
        <v>100</v>
      </c>
      <c r="C49" s="30">
        <v>75</v>
      </c>
      <c r="D49" s="30">
        <v>50</v>
      </c>
      <c r="E49" s="31">
        <f t="shared" si="0"/>
        <v>75</v>
      </c>
    </row>
    <row r="50" spans="1:5" x14ac:dyDescent="0.25">
      <c r="A50" s="15" t="s">
        <v>351</v>
      </c>
      <c r="B50" s="30">
        <v>75</v>
      </c>
      <c r="C50" s="30">
        <v>25</v>
      </c>
      <c r="D50" s="30">
        <v>50</v>
      </c>
      <c r="E50" s="31">
        <f t="shared" si="0"/>
        <v>50</v>
      </c>
    </row>
    <row r="51" spans="1:5" x14ac:dyDescent="0.25">
      <c r="A51" s="15" t="s">
        <v>469</v>
      </c>
      <c r="B51" s="30">
        <v>100</v>
      </c>
      <c r="C51" s="30">
        <v>100</v>
      </c>
      <c r="D51" s="30">
        <v>50</v>
      </c>
      <c r="E51" s="31">
        <f t="shared" si="0"/>
        <v>83.333333333333329</v>
      </c>
    </row>
    <row r="52" spans="1:5" x14ac:dyDescent="0.25">
      <c r="A52" s="15" t="s">
        <v>577</v>
      </c>
      <c r="B52" s="30">
        <v>75</v>
      </c>
      <c r="C52" s="30">
        <v>75</v>
      </c>
      <c r="D52" s="30">
        <v>75</v>
      </c>
      <c r="E52" s="31">
        <f t="shared" si="0"/>
        <v>75</v>
      </c>
    </row>
    <row r="53" spans="1:5" x14ac:dyDescent="0.25">
      <c r="A53" s="15" t="s">
        <v>548</v>
      </c>
      <c r="B53" s="30">
        <v>100</v>
      </c>
      <c r="C53" s="30">
        <v>100</v>
      </c>
      <c r="D53" s="30">
        <v>50</v>
      </c>
      <c r="E53" s="31">
        <f t="shared" si="0"/>
        <v>83.333333333333329</v>
      </c>
    </row>
    <row r="54" spans="1:5" x14ac:dyDescent="0.25">
      <c r="A54" s="15" t="s">
        <v>595</v>
      </c>
      <c r="B54" s="30">
        <v>75</v>
      </c>
      <c r="C54" s="30">
        <v>50</v>
      </c>
      <c r="D54" s="30">
        <v>50</v>
      </c>
      <c r="E54" s="31">
        <f t="shared" si="0"/>
        <v>58.333333333333336</v>
      </c>
    </row>
    <row r="55" spans="1:5" x14ac:dyDescent="0.25">
      <c r="A55" s="15" t="s">
        <v>557</v>
      </c>
      <c r="B55" s="30">
        <v>50</v>
      </c>
      <c r="C55" s="30">
        <v>25</v>
      </c>
      <c r="D55" s="30">
        <v>50</v>
      </c>
      <c r="E55" s="31">
        <f t="shared" si="0"/>
        <v>41.666666666666664</v>
      </c>
    </row>
    <row r="56" spans="1:5" x14ac:dyDescent="0.25">
      <c r="A56" s="15" t="s">
        <v>406</v>
      </c>
      <c r="B56" s="30">
        <v>100</v>
      </c>
      <c r="C56" s="30">
        <v>100</v>
      </c>
      <c r="D56" s="30">
        <v>75</v>
      </c>
      <c r="E56" s="31">
        <f t="shared" si="0"/>
        <v>91.666666666666671</v>
      </c>
    </row>
    <row r="57" spans="1:5" x14ac:dyDescent="0.25">
      <c r="A57" s="15" t="s">
        <v>417</v>
      </c>
      <c r="B57" s="30">
        <v>50</v>
      </c>
      <c r="C57" s="30">
        <v>75</v>
      </c>
      <c r="D57" s="30">
        <v>50</v>
      </c>
      <c r="E57" s="31">
        <f t="shared" si="0"/>
        <v>58.333333333333336</v>
      </c>
    </row>
    <row r="58" spans="1:5" x14ac:dyDescent="0.25">
      <c r="A58" s="15" t="s">
        <v>321</v>
      </c>
      <c r="B58" s="30">
        <v>100</v>
      </c>
      <c r="C58" s="30">
        <v>75</v>
      </c>
      <c r="D58" s="30">
        <v>75</v>
      </c>
      <c r="E58" s="31">
        <f t="shared" si="0"/>
        <v>83.333333333333329</v>
      </c>
    </row>
    <row r="59" spans="1:5" x14ac:dyDescent="0.25">
      <c r="A59" s="15" t="s">
        <v>408</v>
      </c>
      <c r="B59" s="30">
        <v>25</v>
      </c>
      <c r="C59" s="30">
        <v>75</v>
      </c>
      <c r="D59" s="30">
        <v>50</v>
      </c>
      <c r="E59" s="31">
        <f t="shared" si="0"/>
        <v>50</v>
      </c>
    </row>
    <row r="60" spans="1:5" x14ac:dyDescent="0.25">
      <c r="A60" s="15" t="s">
        <v>377</v>
      </c>
      <c r="B60" s="30">
        <v>100</v>
      </c>
      <c r="C60" s="30">
        <v>50</v>
      </c>
      <c r="D60" s="30">
        <v>75</v>
      </c>
      <c r="E60" s="31">
        <f t="shared" si="0"/>
        <v>75</v>
      </c>
    </row>
    <row r="61" spans="1:5" x14ac:dyDescent="0.25">
      <c r="A61" s="15" t="s">
        <v>466</v>
      </c>
      <c r="B61" s="30">
        <v>100</v>
      </c>
      <c r="C61" s="30">
        <v>100</v>
      </c>
      <c r="D61" s="30">
        <v>75</v>
      </c>
      <c r="E61" s="31">
        <f t="shared" si="0"/>
        <v>91.666666666666671</v>
      </c>
    </row>
    <row r="62" spans="1:5" x14ac:dyDescent="0.25">
      <c r="A62" s="15" t="s">
        <v>509</v>
      </c>
      <c r="B62" s="30">
        <f>VLOOKUP(A62,[2]纯数值!$A$1:$H$7,6,0)</f>
        <v>25</v>
      </c>
      <c r="C62" s="30">
        <f>VLOOKUP(A62,[2]纯数值!$A$1:$H$7,7,0)</f>
        <v>0</v>
      </c>
      <c r="D62" s="30">
        <f>VLOOKUP(A62,[2]纯数值!$A$1:$H$7,8,0)</f>
        <v>75</v>
      </c>
      <c r="E62" s="31">
        <f t="shared" si="0"/>
        <v>33.333333333333336</v>
      </c>
    </row>
    <row r="63" spans="1:5" x14ac:dyDescent="0.25">
      <c r="A63" s="15" t="s">
        <v>484</v>
      </c>
      <c r="B63" s="30">
        <v>50</v>
      </c>
      <c r="C63" s="30">
        <v>50</v>
      </c>
      <c r="D63" s="30">
        <v>75</v>
      </c>
      <c r="E63" s="31">
        <f t="shared" si="0"/>
        <v>58.333333333333336</v>
      </c>
    </row>
    <row r="64" spans="1:5" x14ac:dyDescent="0.25">
      <c r="A64" s="15" t="s">
        <v>433</v>
      </c>
      <c r="B64" s="30">
        <v>75</v>
      </c>
      <c r="C64" s="30">
        <v>25</v>
      </c>
      <c r="D64" s="30">
        <v>50</v>
      </c>
      <c r="E64" s="31">
        <f t="shared" si="0"/>
        <v>50</v>
      </c>
    </row>
    <row r="65" spans="1:5" x14ac:dyDescent="0.25">
      <c r="A65" s="15" t="s">
        <v>558</v>
      </c>
      <c r="B65" s="30">
        <v>100</v>
      </c>
      <c r="C65" s="30">
        <v>75</v>
      </c>
      <c r="D65" s="30">
        <v>50</v>
      </c>
      <c r="E65" s="31">
        <f t="shared" si="0"/>
        <v>75</v>
      </c>
    </row>
    <row r="66" spans="1:5" x14ac:dyDescent="0.25">
      <c r="A66" s="15" t="s">
        <v>369</v>
      </c>
      <c r="B66" s="30">
        <v>100</v>
      </c>
      <c r="C66" s="30">
        <v>100</v>
      </c>
      <c r="D66" s="30">
        <v>50</v>
      </c>
      <c r="E66" s="31">
        <f t="shared" si="0"/>
        <v>83.333333333333329</v>
      </c>
    </row>
    <row r="67" spans="1:5" x14ac:dyDescent="0.25">
      <c r="A67" s="15" t="s">
        <v>452</v>
      </c>
      <c r="B67" s="30">
        <v>100</v>
      </c>
      <c r="C67" s="30">
        <v>50</v>
      </c>
      <c r="D67" s="30">
        <v>75</v>
      </c>
      <c r="E67" s="31">
        <f t="shared" ref="E67:E130" si="1">AVERAGE(B67:D67)</f>
        <v>75</v>
      </c>
    </row>
    <row r="68" spans="1:5" x14ac:dyDescent="0.25">
      <c r="A68" s="15" t="s">
        <v>491</v>
      </c>
      <c r="B68" s="30">
        <v>100</v>
      </c>
      <c r="C68" s="30">
        <v>100</v>
      </c>
      <c r="D68" s="30">
        <v>75</v>
      </c>
      <c r="E68" s="31">
        <f t="shared" si="1"/>
        <v>91.666666666666671</v>
      </c>
    </row>
    <row r="69" spans="1:5" x14ac:dyDescent="0.25">
      <c r="A69" s="15" t="s">
        <v>366</v>
      </c>
      <c r="B69" s="30">
        <v>100</v>
      </c>
      <c r="C69" s="30">
        <v>75</v>
      </c>
      <c r="D69" s="30">
        <v>50</v>
      </c>
      <c r="E69" s="31">
        <f t="shared" si="1"/>
        <v>75</v>
      </c>
    </row>
    <row r="70" spans="1:5" x14ac:dyDescent="0.25">
      <c r="A70" s="15" t="s">
        <v>341</v>
      </c>
      <c r="B70" s="30">
        <v>100</v>
      </c>
      <c r="C70" s="30">
        <v>75</v>
      </c>
      <c r="D70" s="30">
        <v>75</v>
      </c>
      <c r="E70" s="31">
        <f t="shared" si="1"/>
        <v>83.333333333333329</v>
      </c>
    </row>
    <row r="71" spans="1:5" x14ac:dyDescent="0.25">
      <c r="A71" s="15" t="s">
        <v>360</v>
      </c>
      <c r="B71" s="30">
        <v>100</v>
      </c>
      <c r="C71" s="30">
        <v>25</v>
      </c>
      <c r="D71" s="30">
        <v>50</v>
      </c>
      <c r="E71" s="31">
        <f t="shared" si="1"/>
        <v>58.333333333333336</v>
      </c>
    </row>
    <row r="72" spans="1:5" x14ac:dyDescent="0.25">
      <c r="A72" s="15" t="s">
        <v>374</v>
      </c>
      <c r="B72" s="30">
        <v>100</v>
      </c>
      <c r="C72" s="30">
        <v>100</v>
      </c>
      <c r="D72" s="30">
        <v>50</v>
      </c>
      <c r="E72" s="31">
        <f t="shared" si="1"/>
        <v>83.333333333333329</v>
      </c>
    </row>
    <row r="73" spans="1:5" x14ac:dyDescent="0.25">
      <c r="A73" s="15" t="s">
        <v>397</v>
      </c>
      <c r="B73" s="30">
        <v>75</v>
      </c>
      <c r="C73" s="30">
        <v>100</v>
      </c>
      <c r="D73" s="30">
        <v>75</v>
      </c>
      <c r="E73" s="31">
        <f t="shared" si="1"/>
        <v>83.333333333333329</v>
      </c>
    </row>
    <row r="74" spans="1:5" x14ac:dyDescent="0.25">
      <c r="A74" s="15" t="s">
        <v>384</v>
      </c>
      <c r="B74" s="30">
        <v>100</v>
      </c>
      <c r="C74" s="30">
        <v>75</v>
      </c>
      <c r="D74" s="30">
        <v>75</v>
      </c>
      <c r="E74" s="31">
        <f t="shared" si="1"/>
        <v>83.333333333333329</v>
      </c>
    </row>
    <row r="75" spans="1:5" x14ac:dyDescent="0.25">
      <c r="A75" s="15" t="s">
        <v>378</v>
      </c>
      <c r="B75" s="30">
        <v>75</v>
      </c>
      <c r="C75" s="30">
        <v>75</v>
      </c>
      <c r="D75" s="30">
        <v>50</v>
      </c>
      <c r="E75" s="31">
        <f t="shared" si="1"/>
        <v>66.666666666666671</v>
      </c>
    </row>
    <row r="76" spans="1:5" x14ac:dyDescent="0.25">
      <c r="A76" s="15" t="s">
        <v>588</v>
      </c>
      <c r="B76" s="30">
        <v>100</v>
      </c>
      <c r="C76" s="30">
        <v>100</v>
      </c>
      <c r="D76" s="30">
        <v>75</v>
      </c>
      <c r="E76" s="31">
        <f t="shared" si="1"/>
        <v>91.666666666666671</v>
      </c>
    </row>
    <row r="77" spans="1:5" x14ac:dyDescent="0.25">
      <c r="A77" s="15" t="s">
        <v>501</v>
      </c>
      <c r="B77" s="30">
        <v>25</v>
      </c>
      <c r="C77" s="30">
        <v>0</v>
      </c>
      <c r="D77" s="30">
        <v>50</v>
      </c>
      <c r="E77" s="31">
        <f t="shared" si="1"/>
        <v>25</v>
      </c>
    </row>
    <row r="78" spans="1:5" x14ac:dyDescent="0.25">
      <c r="A78" s="15" t="s">
        <v>330</v>
      </c>
      <c r="B78" s="30">
        <v>100</v>
      </c>
      <c r="C78" s="30">
        <v>100</v>
      </c>
      <c r="D78" s="30">
        <v>75</v>
      </c>
      <c r="E78" s="31">
        <f t="shared" si="1"/>
        <v>91.666666666666671</v>
      </c>
    </row>
    <row r="79" spans="1:5" x14ac:dyDescent="0.25">
      <c r="A79" s="15" t="s">
        <v>435</v>
      </c>
      <c r="B79" s="30">
        <v>100</v>
      </c>
      <c r="C79" s="30">
        <v>75</v>
      </c>
      <c r="D79" s="30">
        <v>75</v>
      </c>
      <c r="E79" s="31">
        <f t="shared" si="1"/>
        <v>83.333333333333329</v>
      </c>
    </row>
    <row r="80" spans="1:5" x14ac:dyDescent="0.25">
      <c r="A80" s="15" t="s">
        <v>386</v>
      </c>
      <c r="B80" s="30">
        <v>100</v>
      </c>
      <c r="C80" s="30">
        <v>75</v>
      </c>
      <c r="D80" s="30">
        <v>75</v>
      </c>
      <c r="E80" s="31">
        <f t="shared" si="1"/>
        <v>83.333333333333329</v>
      </c>
    </row>
    <row r="81" spans="1:5" x14ac:dyDescent="0.25">
      <c r="A81" s="15" t="s">
        <v>443</v>
      </c>
      <c r="B81" s="30">
        <v>75</v>
      </c>
      <c r="C81" s="30">
        <v>100</v>
      </c>
      <c r="D81" s="30">
        <v>50</v>
      </c>
      <c r="E81" s="31">
        <f t="shared" si="1"/>
        <v>75</v>
      </c>
    </row>
    <row r="82" spans="1:5" x14ac:dyDescent="0.25">
      <c r="A82" s="15" t="s">
        <v>503</v>
      </c>
      <c r="B82" s="30">
        <v>100</v>
      </c>
      <c r="C82" s="30">
        <v>100</v>
      </c>
      <c r="D82" s="30">
        <v>50</v>
      </c>
      <c r="E82" s="31">
        <f t="shared" si="1"/>
        <v>83.333333333333329</v>
      </c>
    </row>
    <row r="83" spans="1:5" x14ac:dyDescent="0.25">
      <c r="A83" s="15" t="s">
        <v>392</v>
      </c>
      <c r="B83" s="30">
        <v>100</v>
      </c>
      <c r="C83" s="30">
        <v>100</v>
      </c>
      <c r="D83" s="30">
        <v>75</v>
      </c>
      <c r="E83" s="31">
        <f t="shared" si="1"/>
        <v>91.666666666666671</v>
      </c>
    </row>
    <row r="84" spans="1:5" x14ac:dyDescent="0.25">
      <c r="A84" s="15" t="s">
        <v>379</v>
      </c>
      <c r="B84" s="30">
        <v>50</v>
      </c>
      <c r="C84" s="30">
        <v>50</v>
      </c>
      <c r="D84" s="30">
        <v>50</v>
      </c>
      <c r="E84" s="31">
        <f t="shared" si="1"/>
        <v>50</v>
      </c>
    </row>
    <row r="85" spans="1:5" x14ac:dyDescent="0.25">
      <c r="A85" s="15" t="s">
        <v>451</v>
      </c>
      <c r="B85" s="30">
        <v>25</v>
      </c>
      <c r="C85" s="30">
        <v>25</v>
      </c>
      <c r="D85" s="30">
        <v>50</v>
      </c>
      <c r="E85" s="31">
        <f t="shared" si="1"/>
        <v>33.333333333333336</v>
      </c>
    </row>
    <row r="86" spans="1:5" x14ac:dyDescent="0.25">
      <c r="A86" s="15" t="s">
        <v>372</v>
      </c>
      <c r="B86" s="30">
        <v>50</v>
      </c>
      <c r="C86" s="30">
        <v>0</v>
      </c>
      <c r="D86" s="30">
        <v>0</v>
      </c>
      <c r="E86" s="31">
        <f t="shared" si="1"/>
        <v>16.666666666666668</v>
      </c>
    </row>
    <row r="87" spans="1:5" x14ac:dyDescent="0.25">
      <c r="A87" s="15" t="s">
        <v>428</v>
      </c>
      <c r="B87" s="30">
        <v>75</v>
      </c>
      <c r="C87" s="30">
        <v>100</v>
      </c>
      <c r="D87" s="30">
        <v>75</v>
      </c>
      <c r="E87" s="31">
        <f t="shared" si="1"/>
        <v>83.333333333333329</v>
      </c>
    </row>
    <row r="88" spans="1:5" x14ac:dyDescent="0.25">
      <c r="A88" s="15" t="s">
        <v>427</v>
      </c>
      <c r="B88" s="30">
        <v>100</v>
      </c>
      <c r="C88" s="30">
        <v>100</v>
      </c>
      <c r="D88" s="30">
        <v>75</v>
      </c>
      <c r="E88" s="31">
        <f t="shared" si="1"/>
        <v>91.666666666666671</v>
      </c>
    </row>
    <row r="89" spans="1:5" x14ac:dyDescent="0.25">
      <c r="A89" s="15" t="s">
        <v>579</v>
      </c>
      <c r="B89" s="30">
        <v>100</v>
      </c>
      <c r="C89" s="30">
        <v>75</v>
      </c>
      <c r="D89" s="30">
        <v>50</v>
      </c>
      <c r="E89" s="31">
        <f t="shared" si="1"/>
        <v>75</v>
      </c>
    </row>
    <row r="90" spans="1:5" x14ac:dyDescent="0.25">
      <c r="A90" s="15" t="s">
        <v>342</v>
      </c>
      <c r="B90" s="30">
        <v>100</v>
      </c>
      <c r="C90" s="30">
        <v>50</v>
      </c>
      <c r="D90" s="30">
        <v>50</v>
      </c>
      <c r="E90" s="31">
        <f t="shared" si="1"/>
        <v>66.666666666666671</v>
      </c>
    </row>
    <row r="91" spans="1:5" x14ac:dyDescent="0.25">
      <c r="A91" s="17" t="s">
        <v>455</v>
      </c>
      <c r="B91" s="30">
        <v>100</v>
      </c>
      <c r="C91" s="30">
        <v>100</v>
      </c>
      <c r="D91" s="30">
        <v>50</v>
      </c>
      <c r="E91" s="31">
        <f t="shared" si="1"/>
        <v>83.333333333333329</v>
      </c>
    </row>
    <row r="92" spans="1:5" x14ac:dyDescent="0.25">
      <c r="A92" s="15" t="s">
        <v>559</v>
      </c>
      <c r="B92" s="30">
        <v>25</v>
      </c>
      <c r="C92" s="30">
        <v>0</v>
      </c>
      <c r="D92" s="30">
        <v>50</v>
      </c>
      <c r="E92" s="31">
        <f t="shared" si="1"/>
        <v>25</v>
      </c>
    </row>
    <row r="93" spans="1:5" x14ac:dyDescent="0.25">
      <c r="A93" s="15" t="s">
        <v>518</v>
      </c>
      <c r="B93" s="30">
        <v>75</v>
      </c>
      <c r="C93" s="30">
        <v>75</v>
      </c>
      <c r="D93" s="30">
        <v>75</v>
      </c>
      <c r="E93" s="31">
        <f t="shared" si="1"/>
        <v>75</v>
      </c>
    </row>
    <row r="94" spans="1:5" x14ac:dyDescent="0.25">
      <c r="A94" s="15" t="s">
        <v>483</v>
      </c>
      <c r="B94" s="30">
        <v>100</v>
      </c>
      <c r="C94" s="30">
        <v>100</v>
      </c>
      <c r="D94" s="30">
        <v>75</v>
      </c>
      <c r="E94" s="31">
        <f t="shared" si="1"/>
        <v>91.666666666666671</v>
      </c>
    </row>
    <row r="95" spans="1:5" x14ac:dyDescent="0.25">
      <c r="A95" s="15" t="s">
        <v>367</v>
      </c>
      <c r="B95" s="30">
        <v>75</v>
      </c>
      <c r="C95" s="30">
        <v>75</v>
      </c>
      <c r="D95" s="30">
        <v>50</v>
      </c>
      <c r="E95" s="31">
        <f t="shared" si="1"/>
        <v>66.666666666666671</v>
      </c>
    </row>
    <row r="96" spans="1:5" x14ac:dyDescent="0.25">
      <c r="A96" s="15" t="s">
        <v>462</v>
      </c>
      <c r="B96" s="30">
        <f>VLOOKUP(A96,[2]纯数值!$A$1:$H$7,6,0)</f>
        <v>0</v>
      </c>
      <c r="C96" s="30">
        <f>VLOOKUP(A96,[2]纯数值!$A$1:$H$7,7,0)</f>
        <v>0</v>
      </c>
      <c r="D96" s="30">
        <f>VLOOKUP(A96,[2]纯数值!$A$1:$H$7,8,0)</f>
        <v>25</v>
      </c>
      <c r="E96" s="31">
        <f t="shared" si="1"/>
        <v>8.3333333333333339</v>
      </c>
    </row>
    <row r="97" spans="1:5" x14ac:dyDescent="0.25">
      <c r="A97" s="15" t="s">
        <v>319</v>
      </c>
      <c r="B97" s="30">
        <v>100</v>
      </c>
      <c r="C97" s="30">
        <v>100</v>
      </c>
      <c r="D97" s="30">
        <v>75</v>
      </c>
      <c r="E97" s="31">
        <f t="shared" si="1"/>
        <v>91.666666666666671</v>
      </c>
    </row>
    <row r="98" spans="1:5" x14ac:dyDescent="0.25">
      <c r="A98" s="15" t="s">
        <v>400</v>
      </c>
      <c r="B98" s="30">
        <v>100</v>
      </c>
      <c r="C98" s="30">
        <v>75</v>
      </c>
      <c r="D98" s="30">
        <v>75</v>
      </c>
      <c r="E98" s="31">
        <f t="shared" si="1"/>
        <v>83.333333333333329</v>
      </c>
    </row>
    <row r="99" spans="1:5" x14ac:dyDescent="0.25">
      <c r="A99" s="15" t="s">
        <v>560</v>
      </c>
      <c r="B99" s="30">
        <v>50</v>
      </c>
      <c r="C99" s="30">
        <v>75</v>
      </c>
      <c r="D99" s="30">
        <v>50</v>
      </c>
      <c r="E99" s="31">
        <f t="shared" si="1"/>
        <v>58.333333333333336</v>
      </c>
    </row>
    <row r="100" spans="1:5" x14ac:dyDescent="0.25">
      <c r="A100" s="15" t="s">
        <v>410</v>
      </c>
      <c r="B100" s="30">
        <v>50</v>
      </c>
      <c r="C100" s="30">
        <v>50</v>
      </c>
      <c r="D100" s="30">
        <v>25</v>
      </c>
      <c r="E100" s="31">
        <f t="shared" si="1"/>
        <v>41.666666666666664</v>
      </c>
    </row>
    <row r="101" spans="1:5" x14ac:dyDescent="0.25">
      <c r="A101" s="15" t="s">
        <v>510</v>
      </c>
      <c r="B101" s="30">
        <v>75</v>
      </c>
      <c r="C101" s="30">
        <v>50</v>
      </c>
      <c r="D101" s="30">
        <v>0</v>
      </c>
      <c r="E101" s="31">
        <f t="shared" si="1"/>
        <v>41.666666666666664</v>
      </c>
    </row>
    <row r="102" spans="1:5" x14ac:dyDescent="0.25">
      <c r="A102" s="17" t="s">
        <v>482</v>
      </c>
      <c r="B102" s="30">
        <f>VLOOKUP(A102,[2]纯数值!$A$1:$H$7,6,0)</f>
        <v>0</v>
      </c>
      <c r="C102" s="30">
        <f>VLOOKUP(A102,[2]纯数值!$A$1:$H$7,7,0)</f>
        <v>0</v>
      </c>
      <c r="D102" s="30">
        <f>VLOOKUP(A102,[2]纯数值!$A$1:$H$7,8,0)</f>
        <v>25</v>
      </c>
      <c r="E102" s="31">
        <f t="shared" si="1"/>
        <v>8.3333333333333339</v>
      </c>
    </row>
    <row r="103" spans="1:5" x14ac:dyDescent="0.25">
      <c r="A103" s="15" t="s">
        <v>502</v>
      </c>
      <c r="B103" s="30">
        <v>100</v>
      </c>
      <c r="C103" s="30">
        <v>50</v>
      </c>
      <c r="D103" s="30">
        <v>50</v>
      </c>
      <c r="E103" s="31">
        <f t="shared" si="1"/>
        <v>66.666666666666671</v>
      </c>
    </row>
    <row r="104" spans="1:5" x14ac:dyDescent="0.25">
      <c r="A104" s="15" t="s">
        <v>445</v>
      </c>
      <c r="B104" s="30">
        <v>75</v>
      </c>
      <c r="C104" s="30">
        <v>75</v>
      </c>
      <c r="D104" s="30">
        <v>25</v>
      </c>
      <c r="E104" s="31">
        <f t="shared" si="1"/>
        <v>58.333333333333336</v>
      </c>
    </row>
    <row r="105" spans="1:5" x14ac:dyDescent="0.25">
      <c r="A105" s="15" t="s">
        <v>364</v>
      </c>
      <c r="B105" s="30">
        <v>50</v>
      </c>
      <c r="C105" s="30">
        <v>100</v>
      </c>
      <c r="D105" s="30">
        <v>50</v>
      </c>
      <c r="E105" s="31">
        <f t="shared" si="1"/>
        <v>66.666666666666671</v>
      </c>
    </row>
    <row r="106" spans="1:5" x14ac:dyDescent="0.25">
      <c r="A106" s="15" t="s">
        <v>522</v>
      </c>
      <c r="B106" s="30">
        <v>100</v>
      </c>
      <c r="C106" s="30">
        <v>75</v>
      </c>
      <c r="D106" s="30">
        <v>25</v>
      </c>
      <c r="E106" s="31">
        <f t="shared" si="1"/>
        <v>66.666666666666671</v>
      </c>
    </row>
    <row r="107" spans="1:5" x14ac:dyDescent="0.25">
      <c r="A107" s="15" t="s">
        <v>390</v>
      </c>
      <c r="B107" s="30">
        <v>75</v>
      </c>
      <c r="C107" s="30">
        <v>25</v>
      </c>
      <c r="D107" s="30">
        <v>25</v>
      </c>
      <c r="E107" s="31">
        <f t="shared" si="1"/>
        <v>41.666666666666664</v>
      </c>
    </row>
    <row r="108" spans="1:5" x14ac:dyDescent="0.25">
      <c r="A108" s="15" t="s">
        <v>444</v>
      </c>
      <c r="B108" s="30">
        <v>0</v>
      </c>
      <c r="C108" s="30">
        <v>0</v>
      </c>
      <c r="D108" s="30">
        <v>50</v>
      </c>
      <c r="E108" s="31">
        <f t="shared" si="1"/>
        <v>16.666666666666668</v>
      </c>
    </row>
    <row r="109" spans="1:5" x14ac:dyDescent="0.25">
      <c r="A109" s="15" t="s">
        <v>323</v>
      </c>
      <c r="B109" s="30">
        <v>100</v>
      </c>
      <c r="C109" s="30">
        <v>100</v>
      </c>
      <c r="D109" s="30">
        <v>50</v>
      </c>
      <c r="E109" s="31">
        <f t="shared" si="1"/>
        <v>83.333333333333329</v>
      </c>
    </row>
    <row r="110" spans="1:5" x14ac:dyDescent="0.25">
      <c r="A110" s="15" t="s">
        <v>476</v>
      </c>
      <c r="B110" s="30">
        <v>75</v>
      </c>
      <c r="C110" s="30">
        <v>50</v>
      </c>
      <c r="D110" s="30">
        <v>50</v>
      </c>
      <c r="E110" s="31">
        <f t="shared" si="1"/>
        <v>58.333333333333336</v>
      </c>
    </row>
    <row r="111" spans="1:5" x14ac:dyDescent="0.25">
      <c r="A111" s="15" t="s">
        <v>498</v>
      </c>
      <c r="B111" s="30">
        <v>100</v>
      </c>
      <c r="C111" s="30">
        <v>25</v>
      </c>
      <c r="D111" s="30">
        <v>75</v>
      </c>
      <c r="E111" s="31">
        <f t="shared" si="1"/>
        <v>66.666666666666671</v>
      </c>
    </row>
    <row r="112" spans="1:5" x14ac:dyDescent="0.25">
      <c r="A112" s="15" t="s">
        <v>393</v>
      </c>
      <c r="B112" s="30">
        <v>100</v>
      </c>
      <c r="C112" s="30">
        <v>100</v>
      </c>
      <c r="D112" s="30">
        <v>75</v>
      </c>
      <c r="E112" s="31">
        <f t="shared" si="1"/>
        <v>91.666666666666671</v>
      </c>
    </row>
    <row r="113" spans="1:5" x14ac:dyDescent="0.25">
      <c r="A113" s="15" t="s">
        <v>485</v>
      </c>
      <c r="B113" s="30">
        <v>100</v>
      </c>
      <c r="C113" s="30">
        <v>100</v>
      </c>
      <c r="D113" s="30">
        <v>75</v>
      </c>
      <c r="E113" s="31">
        <f t="shared" si="1"/>
        <v>91.666666666666671</v>
      </c>
    </row>
    <row r="114" spans="1:5" x14ac:dyDescent="0.25">
      <c r="A114" s="15" t="s">
        <v>349</v>
      </c>
      <c r="B114" s="30">
        <v>75</v>
      </c>
      <c r="C114" s="30">
        <v>50</v>
      </c>
      <c r="D114" s="30">
        <v>50</v>
      </c>
      <c r="E114" s="31">
        <f t="shared" si="1"/>
        <v>58.333333333333336</v>
      </c>
    </row>
    <row r="115" spans="1:5" x14ac:dyDescent="0.25">
      <c r="A115" s="15" t="s">
        <v>506</v>
      </c>
      <c r="B115" s="30">
        <v>75</v>
      </c>
      <c r="C115" s="30">
        <v>75</v>
      </c>
      <c r="D115" s="30">
        <v>50</v>
      </c>
      <c r="E115" s="31">
        <f t="shared" si="1"/>
        <v>66.666666666666671</v>
      </c>
    </row>
    <row r="116" spans="1:5" x14ac:dyDescent="0.25">
      <c r="A116" s="15" t="s">
        <v>459</v>
      </c>
      <c r="B116" s="30">
        <v>100</v>
      </c>
      <c r="C116" s="30">
        <v>100</v>
      </c>
      <c r="D116" s="30">
        <v>75</v>
      </c>
      <c r="E116" s="31">
        <f t="shared" si="1"/>
        <v>91.666666666666671</v>
      </c>
    </row>
    <row r="117" spans="1:5" x14ac:dyDescent="0.25">
      <c r="A117" s="15" t="s">
        <v>388</v>
      </c>
      <c r="B117" s="30">
        <v>100</v>
      </c>
      <c r="C117" s="30">
        <v>100</v>
      </c>
      <c r="D117" s="30">
        <v>50</v>
      </c>
      <c r="E117" s="31">
        <f t="shared" si="1"/>
        <v>83.333333333333329</v>
      </c>
    </row>
    <row r="118" spans="1:5" x14ac:dyDescent="0.25">
      <c r="A118" s="15" t="s">
        <v>402</v>
      </c>
      <c r="B118" s="30">
        <v>100</v>
      </c>
      <c r="C118" s="30">
        <v>25</v>
      </c>
      <c r="D118" s="30">
        <v>50</v>
      </c>
      <c r="E118" s="31">
        <f t="shared" si="1"/>
        <v>58.333333333333336</v>
      </c>
    </row>
    <row r="119" spans="1:5" x14ac:dyDescent="0.25">
      <c r="A119" s="15" t="s">
        <v>453</v>
      </c>
      <c r="B119" s="30">
        <v>50</v>
      </c>
      <c r="C119" s="30">
        <v>50</v>
      </c>
      <c r="D119" s="30">
        <v>50</v>
      </c>
      <c r="E119" s="31">
        <f t="shared" si="1"/>
        <v>50</v>
      </c>
    </row>
    <row r="120" spans="1:5" x14ac:dyDescent="0.25">
      <c r="A120" s="15" t="s">
        <v>526</v>
      </c>
      <c r="B120" s="30">
        <v>25</v>
      </c>
      <c r="C120" s="30">
        <v>0</v>
      </c>
      <c r="D120" s="30">
        <v>25</v>
      </c>
      <c r="E120" s="31">
        <f t="shared" si="1"/>
        <v>16.666666666666668</v>
      </c>
    </row>
    <row r="121" spans="1:5" x14ac:dyDescent="0.25">
      <c r="A121" s="15" t="s">
        <v>363</v>
      </c>
      <c r="B121" s="30">
        <v>75</v>
      </c>
      <c r="C121" s="30">
        <v>25</v>
      </c>
      <c r="D121" s="30">
        <v>25</v>
      </c>
      <c r="E121" s="31">
        <f t="shared" si="1"/>
        <v>41.666666666666664</v>
      </c>
    </row>
    <row r="122" spans="1:5" x14ac:dyDescent="0.25">
      <c r="A122" s="15" t="s">
        <v>481</v>
      </c>
      <c r="B122" s="30">
        <v>75</v>
      </c>
      <c r="C122" s="30">
        <v>50</v>
      </c>
      <c r="D122" s="30">
        <v>50</v>
      </c>
      <c r="E122" s="31">
        <f t="shared" si="1"/>
        <v>58.333333333333336</v>
      </c>
    </row>
    <row r="123" spans="1:5" x14ac:dyDescent="0.25">
      <c r="A123" s="15" t="s">
        <v>598</v>
      </c>
      <c r="B123" s="30">
        <v>100</v>
      </c>
      <c r="C123" s="30">
        <v>100</v>
      </c>
      <c r="D123" s="30">
        <v>75</v>
      </c>
      <c r="E123" s="31">
        <f t="shared" si="1"/>
        <v>91.666666666666671</v>
      </c>
    </row>
    <row r="124" spans="1:5" x14ac:dyDescent="0.25">
      <c r="A124" s="15" t="s">
        <v>465</v>
      </c>
      <c r="B124" s="30">
        <v>25</v>
      </c>
      <c r="C124" s="30">
        <v>0</v>
      </c>
      <c r="D124" s="30">
        <v>50</v>
      </c>
      <c r="E124" s="31">
        <f t="shared" si="1"/>
        <v>25</v>
      </c>
    </row>
    <row r="125" spans="1:5" x14ac:dyDescent="0.25">
      <c r="A125" s="15" t="s">
        <v>448</v>
      </c>
      <c r="B125" s="30">
        <v>50</v>
      </c>
      <c r="C125" s="30">
        <v>0</v>
      </c>
      <c r="D125" s="30">
        <v>50</v>
      </c>
      <c r="E125" s="31">
        <f t="shared" si="1"/>
        <v>33.333333333333336</v>
      </c>
    </row>
    <row r="126" spans="1:5" x14ac:dyDescent="0.25">
      <c r="A126" s="15" t="s">
        <v>440</v>
      </c>
      <c r="B126" s="30">
        <v>75</v>
      </c>
      <c r="C126" s="30">
        <v>75</v>
      </c>
      <c r="D126" s="30">
        <v>50</v>
      </c>
      <c r="E126" s="31">
        <f t="shared" si="1"/>
        <v>66.666666666666671</v>
      </c>
    </row>
    <row r="127" spans="1:5" x14ac:dyDescent="0.25">
      <c r="A127" s="15" t="s">
        <v>404</v>
      </c>
      <c r="B127" s="30">
        <v>75</v>
      </c>
      <c r="C127" s="30">
        <v>100</v>
      </c>
      <c r="D127" s="30">
        <v>50</v>
      </c>
      <c r="E127" s="31">
        <f t="shared" si="1"/>
        <v>75</v>
      </c>
    </row>
    <row r="128" spans="1:5" x14ac:dyDescent="0.25">
      <c r="A128" s="15" t="s">
        <v>310</v>
      </c>
      <c r="B128" s="30">
        <v>100</v>
      </c>
      <c r="C128" s="30">
        <v>25</v>
      </c>
      <c r="D128" s="30">
        <v>75</v>
      </c>
      <c r="E128" s="31">
        <f t="shared" si="1"/>
        <v>66.666666666666671</v>
      </c>
    </row>
    <row r="129" spans="1:5" x14ac:dyDescent="0.25">
      <c r="A129" s="15" t="s">
        <v>424</v>
      </c>
      <c r="B129" s="30">
        <v>100</v>
      </c>
      <c r="C129" s="30">
        <v>50</v>
      </c>
      <c r="D129" s="30">
        <v>75</v>
      </c>
      <c r="E129" s="31">
        <f t="shared" si="1"/>
        <v>75</v>
      </c>
    </row>
    <row r="130" spans="1:5" x14ac:dyDescent="0.25">
      <c r="A130" s="15" t="s">
        <v>475</v>
      </c>
      <c r="B130" s="30">
        <v>100</v>
      </c>
      <c r="C130" s="30">
        <v>75</v>
      </c>
      <c r="D130" s="30">
        <v>50</v>
      </c>
      <c r="E130" s="31">
        <f t="shared" si="1"/>
        <v>75</v>
      </c>
    </row>
    <row r="131" spans="1:5" x14ac:dyDescent="0.25">
      <c r="A131" s="15" t="s">
        <v>524</v>
      </c>
      <c r="B131" s="30">
        <v>100</v>
      </c>
      <c r="C131" s="30">
        <v>75</v>
      </c>
      <c r="D131" s="30">
        <v>75</v>
      </c>
      <c r="E131" s="31">
        <f t="shared" ref="E131:E194" si="2">AVERAGE(B131:D131)</f>
        <v>83.333333333333329</v>
      </c>
    </row>
    <row r="132" spans="1:5" x14ac:dyDescent="0.25">
      <c r="A132" s="15" t="s">
        <v>401</v>
      </c>
      <c r="B132" s="30">
        <v>100</v>
      </c>
      <c r="C132" s="30">
        <v>100</v>
      </c>
      <c r="D132" s="30">
        <v>50</v>
      </c>
      <c r="E132" s="31">
        <f t="shared" si="2"/>
        <v>83.333333333333329</v>
      </c>
    </row>
    <row r="133" spans="1:5" x14ac:dyDescent="0.25">
      <c r="A133" s="15" t="s">
        <v>437</v>
      </c>
      <c r="B133" s="30">
        <v>100</v>
      </c>
      <c r="C133" s="30">
        <v>75</v>
      </c>
      <c r="D133" s="30">
        <v>25</v>
      </c>
      <c r="E133" s="31">
        <f t="shared" si="2"/>
        <v>66.666666666666671</v>
      </c>
    </row>
    <row r="134" spans="1:5" x14ac:dyDescent="0.25">
      <c r="A134" s="15" t="s">
        <v>332</v>
      </c>
      <c r="B134" s="30">
        <v>75</v>
      </c>
      <c r="C134" s="30">
        <v>50</v>
      </c>
      <c r="D134" s="30">
        <v>75</v>
      </c>
      <c r="E134" s="31">
        <f t="shared" si="2"/>
        <v>66.666666666666671</v>
      </c>
    </row>
    <row r="135" spans="1:5" x14ac:dyDescent="0.25">
      <c r="A135" s="15" t="s">
        <v>343</v>
      </c>
      <c r="B135" s="30">
        <v>100</v>
      </c>
      <c r="C135" s="30">
        <v>100</v>
      </c>
      <c r="D135" s="30">
        <v>75</v>
      </c>
      <c r="E135" s="31">
        <f t="shared" si="2"/>
        <v>91.666666666666671</v>
      </c>
    </row>
    <row r="136" spans="1:5" x14ac:dyDescent="0.25">
      <c r="A136" s="15" t="s">
        <v>460</v>
      </c>
      <c r="B136" s="30">
        <v>75</v>
      </c>
      <c r="C136" s="30">
        <v>75</v>
      </c>
      <c r="D136" s="30">
        <v>25</v>
      </c>
      <c r="E136" s="31">
        <f t="shared" si="2"/>
        <v>58.333333333333336</v>
      </c>
    </row>
    <row r="137" spans="1:5" x14ac:dyDescent="0.25">
      <c r="A137" s="15" t="s">
        <v>426</v>
      </c>
      <c r="B137" s="30">
        <v>0</v>
      </c>
      <c r="C137" s="30">
        <v>0</v>
      </c>
      <c r="D137" s="30">
        <v>50</v>
      </c>
      <c r="E137" s="31">
        <f t="shared" si="2"/>
        <v>16.666666666666668</v>
      </c>
    </row>
    <row r="138" spans="1:5" x14ac:dyDescent="0.25">
      <c r="A138" s="15" t="s">
        <v>425</v>
      </c>
      <c r="B138" s="30">
        <v>100</v>
      </c>
      <c r="C138" s="30">
        <v>75</v>
      </c>
      <c r="D138" s="30">
        <v>50</v>
      </c>
      <c r="E138" s="31">
        <f t="shared" si="2"/>
        <v>75</v>
      </c>
    </row>
    <row r="139" spans="1:5" x14ac:dyDescent="0.25">
      <c r="A139" s="15" t="s">
        <v>584</v>
      </c>
      <c r="B139" s="30">
        <v>75</v>
      </c>
      <c r="C139" s="30">
        <v>75</v>
      </c>
      <c r="D139" s="30">
        <v>75</v>
      </c>
      <c r="E139" s="31">
        <f t="shared" si="2"/>
        <v>75</v>
      </c>
    </row>
    <row r="140" spans="1:5" x14ac:dyDescent="0.25">
      <c r="A140" s="15" t="s">
        <v>344</v>
      </c>
      <c r="B140" s="30">
        <v>50</v>
      </c>
      <c r="C140" s="30">
        <v>0</v>
      </c>
      <c r="D140" s="30">
        <v>25</v>
      </c>
      <c r="E140" s="31">
        <f t="shared" si="2"/>
        <v>25</v>
      </c>
    </row>
    <row r="141" spans="1:5" x14ac:dyDescent="0.25">
      <c r="A141" s="15" t="s">
        <v>450</v>
      </c>
      <c r="B141" s="30">
        <v>75</v>
      </c>
      <c r="C141" s="30">
        <v>75</v>
      </c>
      <c r="D141" s="30">
        <v>50</v>
      </c>
      <c r="E141" s="31">
        <f t="shared" si="2"/>
        <v>66.666666666666671</v>
      </c>
    </row>
    <row r="142" spans="1:5" x14ac:dyDescent="0.25">
      <c r="A142" s="15" t="s">
        <v>383</v>
      </c>
      <c r="B142" s="30">
        <v>25</v>
      </c>
      <c r="C142" s="30">
        <v>0</v>
      </c>
      <c r="D142" s="30">
        <v>50</v>
      </c>
      <c r="E142" s="31">
        <f t="shared" si="2"/>
        <v>25</v>
      </c>
    </row>
    <row r="143" spans="1:5" x14ac:dyDescent="0.25">
      <c r="A143" s="15" t="s">
        <v>488</v>
      </c>
      <c r="B143" s="30">
        <v>100</v>
      </c>
      <c r="C143" s="30">
        <v>75</v>
      </c>
      <c r="D143" s="30">
        <v>75</v>
      </c>
      <c r="E143" s="31">
        <f t="shared" si="2"/>
        <v>83.333333333333329</v>
      </c>
    </row>
    <row r="144" spans="1:5" x14ac:dyDescent="0.25">
      <c r="A144" s="15" t="s">
        <v>373</v>
      </c>
      <c r="B144" s="30">
        <v>100</v>
      </c>
      <c r="C144" s="30">
        <v>100</v>
      </c>
      <c r="D144" s="30">
        <v>75</v>
      </c>
      <c r="E144" s="31">
        <f t="shared" si="2"/>
        <v>91.666666666666671</v>
      </c>
    </row>
    <row r="145" spans="1:5" x14ac:dyDescent="0.25">
      <c r="A145" s="15" t="s">
        <v>497</v>
      </c>
      <c r="B145" s="30">
        <v>100</v>
      </c>
      <c r="C145" s="30">
        <v>75</v>
      </c>
      <c r="D145" s="30">
        <v>75</v>
      </c>
      <c r="E145" s="31">
        <f t="shared" si="2"/>
        <v>83.333333333333329</v>
      </c>
    </row>
    <row r="146" spans="1:5" x14ac:dyDescent="0.25">
      <c r="A146" s="15" t="s">
        <v>430</v>
      </c>
      <c r="B146" s="30">
        <v>50</v>
      </c>
      <c r="C146" s="30">
        <v>50</v>
      </c>
      <c r="D146" s="30">
        <v>50</v>
      </c>
      <c r="E146" s="31">
        <f t="shared" si="2"/>
        <v>50</v>
      </c>
    </row>
    <row r="147" spans="1:5" x14ac:dyDescent="0.25">
      <c r="A147" s="15" t="s">
        <v>398</v>
      </c>
      <c r="B147" s="30">
        <v>100</v>
      </c>
      <c r="C147" s="30">
        <v>75</v>
      </c>
      <c r="D147" s="30">
        <v>50</v>
      </c>
      <c r="E147" s="31">
        <f t="shared" si="2"/>
        <v>75</v>
      </c>
    </row>
    <row r="148" spans="1:5" x14ac:dyDescent="0.25">
      <c r="A148" s="15" t="s">
        <v>434</v>
      </c>
      <c r="B148" s="30">
        <v>50</v>
      </c>
      <c r="C148" s="30">
        <v>75</v>
      </c>
      <c r="D148" s="30">
        <v>75</v>
      </c>
      <c r="E148" s="31">
        <f t="shared" si="2"/>
        <v>66.666666666666671</v>
      </c>
    </row>
    <row r="149" spans="1:5" x14ac:dyDescent="0.25">
      <c r="A149" s="15" t="s">
        <v>403</v>
      </c>
      <c r="B149" s="30">
        <v>100</v>
      </c>
      <c r="C149" s="30">
        <v>75</v>
      </c>
      <c r="D149" s="30">
        <v>75</v>
      </c>
      <c r="E149" s="31">
        <f t="shared" si="2"/>
        <v>83.333333333333329</v>
      </c>
    </row>
    <row r="150" spans="1:5" x14ac:dyDescent="0.25">
      <c r="A150" s="15" t="s">
        <v>375</v>
      </c>
      <c r="B150" s="30">
        <v>100</v>
      </c>
      <c r="C150" s="30">
        <v>100</v>
      </c>
      <c r="D150" s="30">
        <v>75</v>
      </c>
      <c r="E150" s="31">
        <f t="shared" si="2"/>
        <v>91.666666666666671</v>
      </c>
    </row>
    <row r="151" spans="1:5" x14ac:dyDescent="0.25">
      <c r="A151" s="15" t="s">
        <v>354</v>
      </c>
      <c r="B151" s="30">
        <v>25</v>
      </c>
      <c r="C151" s="30">
        <v>0</v>
      </c>
      <c r="D151" s="30">
        <v>50</v>
      </c>
      <c r="E151" s="31">
        <f t="shared" si="2"/>
        <v>25</v>
      </c>
    </row>
    <row r="152" spans="1:5" x14ac:dyDescent="0.25">
      <c r="A152" s="15" t="s">
        <v>467</v>
      </c>
      <c r="B152" s="30">
        <v>75</v>
      </c>
      <c r="C152" s="30">
        <v>50</v>
      </c>
      <c r="D152" s="30">
        <v>50</v>
      </c>
      <c r="E152" s="31">
        <f t="shared" si="2"/>
        <v>58.333333333333336</v>
      </c>
    </row>
    <row r="153" spans="1:5" x14ac:dyDescent="0.25">
      <c r="A153" s="15" t="s">
        <v>441</v>
      </c>
      <c r="B153" s="30">
        <v>75</v>
      </c>
      <c r="C153" s="30">
        <v>50</v>
      </c>
      <c r="D153" s="30">
        <v>50</v>
      </c>
      <c r="E153" s="31">
        <f t="shared" si="2"/>
        <v>58.333333333333336</v>
      </c>
    </row>
    <row r="154" spans="1:5" x14ac:dyDescent="0.25">
      <c r="A154" s="15" t="s">
        <v>361</v>
      </c>
      <c r="B154" s="30">
        <v>50</v>
      </c>
      <c r="C154" s="30">
        <v>50</v>
      </c>
      <c r="D154" s="30">
        <v>50</v>
      </c>
      <c r="E154" s="31">
        <f t="shared" si="2"/>
        <v>50</v>
      </c>
    </row>
    <row r="155" spans="1:5" x14ac:dyDescent="0.25">
      <c r="A155" s="15" t="s">
        <v>493</v>
      </c>
      <c r="B155" s="30">
        <v>50</v>
      </c>
      <c r="C155" s="30">
        <v>25</v>
      </c>
      <c r="D155" s="30">
        <v>25</v>
      </c>
      <c r="E155" s="31">
        <f t="shared" si="2"/>
        <v>33.333333333333336</v>
      </c>
    </row>
    <row r="156" spans="1:5" x14ac:dyDescent="0.25">
      <c r="A156" s="15" t="s">
        <v>381</v>
      </c>
      <c r="B156" s="30">
        <v>50</v>
      </c>
      <c r="C156" s="30">
        <v>100</v>
      </c>
      <c r="D156" s="30">
        <v>50</v>
      </c>
      <c r="E156" s="31">
        <f t="shared" si="2"/>
        <v>66.666666666666671</v>
      </c>
    </row>
    <row r="157" spans="1:5" x14ac:dyDescent="0.25">
      <c r="A157" s="15" t="s">
        <v>331</v>
      </c>
      <c r="B157" s="30">
        <v>100</v>
      </c>
      <c r="C157" s="30">
        <v>100</v>
      </c>
      <c r="D157" s="30">
        <v>50</v>
      </c>
      <c r="E157" s="31">
        <f t="shared" si="2"/>
        <v>83.333333333333329</v>
      </c>
    </row>
    <row r="158" spans="1:5" x14ac:dyDescent="0.25">
      <c r="A158" s="15" t="s">
        <v>513</v>
      </c>
      <c r="B158" s="30">
        <v>100</v>
      </c>
      <c r="C158" s="30">
        <v>75</v>
      </c>
      <c r="D158" s="30">
        <v>75</v>
      </c>
      <c r="E158" s="31">
        <f t="shared" si="2"/>
        <v>83.333333333333329</v>
      </c>
    </row>
    <row r="159" spans="1:5" x14ac:dyDescent="0.25">
      <c r="A159" s="15" t="s">
        <v>365</v>
      </c>
      <c r="B159" s="30">
        <v>0</v>
      </c>
      <c r="C159" s="30">
        <v>0</v>
      </c>
      <c r="D159" s="30">
        <v>25</v>
      </c>
      <c r="E159" s="31">
        <f t="shared" si="2"/>
        <v>8.3333333333333339</v>
      </c>
    </row>
    <row r="160" spans="1:5" x14ac:dyDescent="0.25">
      <c r="A160" s="15" t="s">
        <v>436</v>
      </c>
      <c r="B160" s="30">
        <v>75</v>
      </c>
      <c r="C160" s="30">
        <v>100</v>
      </c>
      <c r="D160" s="30">
        <v>50</v>
      </c>
      <c r="E160" s="31">
        <f t="shared" si="2"/>
        <v>75</v>
      </c>
    </row>
    <row r="161" spans="1:5" x14ac:dyDescent="0.25">
      <c r="A161" s="15" t="s">
        <v>429</v>
      </c>
      <c r="B161" s="30">
        <v>75</v>
      </c>
      <c r="C161" s="30">
        <v>75</v>
      </c>
      <c r="D161" s="30">
        <v>50</v>
      </c>
      <c r="E161" s="31">
        <f t="shared" si="2"/>
        <v>66.666666666666671</v>
      </c>
    </row>
    <row r="162" spans="1:5" x14ac:dyDescent="0.25">
      <c r="A162" s="15" t="s">
        <v>318</v>
      </c>
      <c r="B162" s="30">
        <v>100</v>
      </c>
      <c r="C162" s="30">
        <v>100</v>
      </c>
      <c r="D162" s="30">
        <v>50</v>
      </c>
      <c r="E162" s="31">
        <f t="shared" si="2"/>
        <v>83.333333333333329</v>
      </c>
    </row>
    <row r="163" spans="1:5" x14ac:dyDescent="0.25">
      <c r="A163" s="15" t="s">
        <v>561</v>
      </c>
      <c r="B163" s="30">
        <v>75</v>
      </c>
      <c r="C163" s="30">
        <v>100</v>
      </c>
      <c r="D163" s="30">
        <v>75</v>
      </c>
      <c r="E163" s="31">
        <f t="shared" si="2"/>
        <v>83.333333333333329</v>
      </c>
    </row>
    <row r="164" spans="1:5" x14ac:dyDescent="0.25">
      <c r="A164" s="15" t="s">
        <v>335</v>
      </c>
      <c r="B164" s="30">
        <v>25</v>
      </c>
      <c r="C164" s="30">
        <v>0</v>
      </c>
      <c r="D164" s="30">
        <v>50</v>
      </c>
      <c r="E164" s="31">
        <f t="shared" si="2"/>
        <v>25</v>
      </c>
    </row>
    <row r="165" spans="1:5" x14ac:dyDescent="0.25">
      <c r="A165" s="15" t="s">
        <v>531</v>
      </c>
      <c r="B165" s="30">
        <v>75</v>
      </c>
      <c r="C165" s="30">
        <v>50</v>
      </c>
      <c r="D165" s="30">
        <v>75</v>
      </c>
      <c r="E165" s="31">
        <f t="shared" si="2"/>
        <v>66.666666666666671</v>
      </c>
    </row>
    <row r="166" spans="1:5" x14ac:dyDescent="0.25">
      <c r="A166" s="15" t="s">
        <v>541</v>
      </c>
      <c r="B166" s="30">
        <v>75</v>
      </c>
      <c r="C166" s="30">
        <v>75</v>
      </c>
      <c r="D166" s="30">
        <v>50</v>
      </c>
      <c r="E166" s="31">
        <f t="shared" si="2"/>
        <v>66.666666666666671</v>
      </c>
    </row>
    <row r="167" spans="1:5" x14ac:dyDescent="0.25">
      <c r="A167" s="17" t="s">
        <v>562</v>
      </c>
      <c r="B167" s="30">
        <v>0</v>
      </c>
      <c r="C167" s="30">
        <v>0</v>
      </c>
      <c r="D167" s="30">
        <v>0</v>
      </c>
      <c r="E167" s="31">
        <f t="shared" si="2"/>
        <v>0</v>
      </c>
    </row>
    <row r="168" spans="1:5" x14ac:dyDescent="0.25">
      <c r="A168" s="15" t="s">
        <v>575</v>
      </c>
      <c r="B168" s="30">
        <v>75</v>
      </c>
      <c r="C168" s="30">
        <v>100</v>
      </c>
      <c r="D168" s="30">
        <v>50</v>
      </c>
      <c r="E168" s="31">
        <f t="shared" si="2"/>
        <v>75</v>
      </c>
    </row>
    <row r="169" spans="1:5" x14ac:dyDescent="0.25">
      <c r="A169" s="15" t="s">
        <v>414</v>
      </c>
      <c r="B169" s="30">
        <v>50</v>
      </c>
      <c r="C169" s="30">
        <v>0</v>
      </c>
      <c r="D169" s="30">
        <v>50</v>
      </c>
      <c r="E169" s="31">
        <f t="shared" si="2"/>
        <v>33.333333333333336</v>
      </c>
    </row>
    <row r="170" spans="1:5" x14ac:dyDescent="0.25">
      <c r="A170" s="15" t="s">
        <v>540</v>
      </c>
      <c r="B170" s="30">
        <v>50</v>
      </c>
      <c r="C170" s="30">
        <v>25</v>
      </c>
      <c r="D170" s="30">
        <v>25</v>
      </c>
      <c r="E170" s="31">
        <f t="shared" si="2"/>
        <v>33.333333333333336</v>
      </c>
    </row>
    <row r="171" spans="1:5" x14ac:dyDescent="0.25">
      <c r="A171" s="15" t="s">
        <v>419</v>
      </c>
      <c r="B171" s="30">
        <v>50</v>
      </c>
      <c r="C171" s="30">
        <v>75</v>
      </c>
      <c r="D171" s="30">
        <v>75</v>
      </c>
      <c r="E171" s="31">
        <f t="shared" si="2"/>
        <v>66.666666666666671</v>
      </c>
    </row>
    <row r="172" spans="1:5" x14ac:dyDescent="0.25">
      <c r="A172" s="15" t="s">
        <v>552</v>
      </c>
      <c r="B172" s="30">
        <v>50</v>
      </c>
      <c r="C172" s="30">
        <v>25</v>
      </c>
      <c r="D172" s="30">
        <v>25</v>
      </c>
      <c r="E172" s="31">
        <f t="shared" si="2"/>
        <v>33.333333333333336</v>
      </c>
    </row>
    <row r="173" spans="1:5" x14ac:dyDescent="0.25">
      <c r="A173" s="15" t="s">
        <v>486</v>
      </c>
      <c r="B173" s="30">
        <v>75</v>
      </c>
      <c r="C173" s="30">
        <v>75</v>
      </c>
      <c r="D173" s="30">
        <v>25</v>
      </c>
      <c r="E173" s="31">
        <f t="shared" si="2"/>
        <v>58.333333333333336</v>
      </c>
    </row>
    <row r="174" spans="1:5" x14ac:dyDescent="0.25">
      <c r="A174" s="15" t="s">
        <v>358</v>
      </c>
      <c r="B174" s="30">
        <v>100</v>
      </c>
      <c r="C174" s="30">
        <v>100</v>
      </c>
      <c r="D174" s="30">
        <v>50</v>
      </c>
      <c r="E174" s="31">
        <f t="shared" si="2"/>
        <v>83.333333333333329</v>
      </c>
    </row>
    <row r="175" spans="1:5" x14ac:dyDescent="0.25">
      <c r="A175" s="15" t="s">
        <v>512</v>
      </c>
      <c r="B175" s="30">
        <v>100</v>
      </c>
      <c r="C175" s="30">
        <v>100</v>
      </c>
      <c r="D175" s="30">
        <v>75</v>
      </c>
      <c r="E175" s="31">
        <f t="shared" si="2"/>
        <v>91.666666666666671</v>
      </c>
    </row>
    <row r="176" spans="1:5" x14ac:dyDescent="0.25">
      <c r="A176" s="15" t="s">
        <v>336</v>
      </c>
      <c r="B176" s="30">
        <v>25</v>
      </c>
      <c r="C176" s="30">
        <v>0</v>
      </c>
      <c r="D176" s="30">
        <v>0</v>
      </c>
      <c r="E176" s="31">
        <f t="shared" si="2"/>
        <v>8.3333333333333339</v>
      </c>
    </row>
    <row r="177" spans="1:5" x14ac:dyDescent="0.25">
      <c r="A177" s="15" t="s">
        <v>412</v>
      </c>
      <c r="B177" s="30">
        <v>25</v>
      </c>
      <c r="C177" s="30">
        <v>75</v>
      </c>
      <c r="D177" s="30">
        <v>50</v>
      </c>
      <c r="E177" s="31">
        <f t="shared" si="2"/>
        <v>50</v>
      </c>
    </row>
    <row r="178" spans="1:5" x14ac:dyDescent="0.25">
      <c r="A178" s="15" t="s">
        <v>370</v>
      </c>
      <c r="B178" s="30">
        <v>100</v>
      </c>
      <c r="C178" s="30">
        <v>50</v>
      </c>
      <c r="D178" s="30">
        <v>50</v>
      </c>
      <c r="E178" s="31">
        <f t="shared" si="2"/>
        <v>66.666666666666671</v>
      </c>
    </row>
    <row r="179" spans="1:5" x14ac:dyDescent="0.25">
      <c r="A179" s="15" t="s">
        <v>399</v>
      </c>
      <c r="B179" s="30">
        <v>50</v>
      </c>
      <c r="C179" s="30">
        <v>25</v>
      </c>
      <c r="D179" s="30">
        <v>50</v>
      </c>
      <c r="E179" s="31">
        <f t="shared" si="2"/>
        <v>41.666666666666664</v>
      </c>
    </row>
    <row r="180" spans="1:5" x14ac:dyDescent="0.25">
      <c r="A180" s="15" t="s">
        <v>348</v>
      </c>
      <c r="B180" s="30">
        <v>50</v>
      </c>
      <c r="C180" s="30">
        <v>25</v>
      </c>
      <c r="D180" s="30">
        <v>25</v>
      </c>
      <c r="E180" s="31">
        <f t="shared" si="2"/>
        <v>33.333333333333336</v>
      </c>
    </row>
    <row r="181" spans="1:5" x14ac:dyDescent="0.25">
      <c r="A181" s="15" t="s">
        <v>535</v>
      </c>
      <c r="B181" s="30">
        <v>75</v>
      </c>
      <c r="C181" s="30">
        <v>50</v>
      </c>
      <c r="D181" s="30">
        <v>50</v>
      </c>
      <c r="E181" s="31">
        <f t="shared" si="2"/>
        <v>58.333333333333336</v>
      </c>
    </row>
    <row r="182" spans="1:5" x14ac:dyDescent="0.25">
      <c r="A182" s="15" t="s">
        <v>371</v>
      </c>
      <c r="B182" s="30">
        <v>50</v>
      </c>
      <c r="C182" s="30">
        <v>50</v>
      </c>
      <c r="D182" s="30">
        <v>50</v>
      </c>
      <c r="E182" s="31">
        <f t="shared" si="2"/>
        <v>50</v>
      </c>
    </row>
    <row r="183" spans="1:5" x14ac:dyDescent="0.25">
      <c r="A183" s="15" t="s">
        <v>320</v>
      </c>
      <c r="B183" s="30">
        <f>VLOOKUP(A183,[2]纯数值!$A$1:$H$7,6,0)</f>
        <v>100</v>
      </c>
      <c r="C183" s="30">
        <f>VLOOKUP(A183,[2]纯数值!$A$1:$H$7,7,0)</f>
        <v>100</v>
      </c>
      <c r="D183" s="30">
        <f>VLOOKUP(A183,[2]纯数值!$A$1:$H$7,8,0)</f>
        <v>100</v>
      </c>
      <c r="E183" s="31">
        <f t="shared" si="2"/>
        <v>100</v>
      </c>
    </row>
    <row r="184" spans="1:5" x14ac:dyDescent="0.25">
      <c r="A184" s="15" t="s">
        <v>368</v>
      </c>
      <c r="B184" s="30">
        <v>100</v>
      </c>
      <c r="C184" s="30">
        <v>100</v>
      </c>
      <c r="D184" s="30">
        <v>75</v>
      </c>
      <c r="E184" s="31">
        <f t="shared" si="2"/>
        <v>91.666666666666671</v>
      </c>
    </row>
    <row r="185" spans="1:5" x14ac:dyDescent="0.25">
      <c r="A185" s="15" t="s">
        <v>480</v>
      </c>
      <c r="B185" s="30">
        <v>100</v>
      </c>
      <c r="C185" s="30">
        <v>50</v>
      </c>
      <c r="D185" s="30">
        <v>50</v>
      </c>
      <c r="E185" s="31">
        <f t="shared" si="2"/>
        <v>66.666666666666671</v>
      </c>
    </row>
    <row r="186" spans="1:5" x14ac:dyDescent="0.25">
      <c r="A186" s="15" t="s">
        <v>387</v>
      </c>
      <c r="B186" s="30">
        <v>100</v>
      </c>
      <c r="C186" s="30">
        <v>100</v>
      </c>
      <c r="D186" s="30">
        <v>75</v>
      </c>
      <c r="E186" s="31">
        <f t="shared" si="2"/>
        <v>91.666666666666671</v>
      </c>
    </row>
    <row r="187" spans="1:5" x14ac:dyDescent="0.25">
      <c r="A187" s="15" t="s">
        <v>529</v>
      </c>
      <c r="B187" s="30">
        <v>100</v>
      </c>
      <c r="C187" s="30">
        <v>75</v>
      </c>
      <c r="D187" s="30">
        <v>50</v>
      </c>
      <c r="E187" s="31">
        <f t="shared" si="2"/>
        <v>75</v>
      </c>
    </row>
    <row r="188" spans="1:5" x14ac:dyDescent="0.25">
      <c r="A188" s="15" t="s">
        <v>303</v>
      </c>
      <c r="B188" s="30">
        <v>0</v>
      </c>
      <c r="C188" s="30">
        <v>25</v>
      </c>
      <c r="D188" s="30">
        <v>50</v>
      </c>
      <c r="E188" s="31">
        <f t="shared" si="2"/>
        <v>25</v>
      </c>
    </row>
    <row r="189" spans="1:5" x14ac:dyDescent="0.25">
      <c r="A189" s="15" t="s">
        <v>492</v>
      </c>
      <c r="B189" s="30">
        <v>100</v>
      </c>
      <c r="C189" s="30">
        <v>100</v>
      </c>
      <c r="D189" s="30">
        <v>75</v>
      </c>
      <c r="E189" s="31">
        <f t="shared" si="2"/>
        <v>91.666666666666671</v>
      </c>
    </row>
    <row r="190" spans="1:5" x14ac:dyDescent="0.25">
      <c r="A190" s="15" t="s">
        <v>537</v>
      </c>
      <c r="B190" s="30">
        <v>75</v>
      </c>
      <c r="C190" s="30">
        <v>50</v>
      </c>
      <c r="D190" s="30">
        <v>50</v>
      </c>
      <c r="E190" s="31">
        <f t="shared" si="2"/>
        <v>58.333333333333336</v>
      </c>
    </row>
    <row r="191" spans="1:5" x14ac:dyDescent="0.25">
      <c r="A191" s="15" t="s">
        <v>525</v>
      </c>
      <c r="B191" s="30">
        <v>100</v>
      </c>
      <c r="C191" s="30">
        <v>75</v>
      </c>
      <c r="D191" s="30">
        <v>50</v>
      </c>
      <c r="E191" s="31">
        <f t="shared" si="2"/>
        <v>75</v>
      </c>
    </row>
    <row r="192" spans="1:5" x14ac:dyDescent="0.25">
      <c r="A192" s="15" t="s">
        <v>339</v>
      </c>
      <c r="B192" s="30">
        <v>100</v>
      </c>
      <c r="C192" s="30">
        <v>0</v>
      </c>
      <c r="D192" s="30">
        <v>50</v>
      </c>
      <c r="E192" s="31">
        <f t="shared" si="2"/>
        <v>50</v>
      </c>
    </row>
    <row r="193" spans="1:5" x14ac:dyDescent="0.25">
      <c r="A193" s="15" t="s">
        <v>457</v>
      </c>
      <c r="B193" s="30">
        <v>100</v>
      </c>
      <c r="C193" s="30">
        <v>50</v>
      </c>
      <c r="D193" s="30">
        <v>75</v>
      </c>
      <c r="E193" s="31">
        <f t="shared" si="2"/>
        <v>75</v>
      </c>
    </row>
    <row r="194" spans="1:5" x14ac:dyDescent="0.25">
      <c r="A194" s="15" t="s">
        <v>306</v>
      </c>
      <c r="B194" s="30">
        <v>75</v>
      </c>
      <c r="C194" s="30">
        <v>100</v>
      </c>
      <c r="D194" s="30">
        <v>50</v>
      </c>
      <c r="E194" s="31">
        <f t="shared" si="2"/>
        <v>75</v>
      </c>
    </row>
    <row r="195" spans="1:5" x14ac:dyDescent="0.25">
      <c r="A195" s="15" t="s">
        <v>376</v>
      </c>
      <c r="B195" s="30">
        <v>100</v>
      </c>
      <c r="C195" s="30">
        <v>75</v>
      </c>
      <c r="D195" s="30">
        <v>75</v>
      </c>
      <c r="E195" s="31">
        <f t="shared" ref="E195:E258" si="3">AVERAGE(B195:D195)</f>
        <v>83.333333333333329</v>
      </c>
    </row>
    <row r="196" spans="1:5" x14ac:dyDescent="0.25">
      <c r="A196" s="15" t="s">
        <v>464</v>
      </c>
      <c r="B196" s="30">
        <v>100</v>
      </c>
      <c r="C196" s="30">
        <v>100</v>
      </c>
      <c r="D196" s="30">
        <v>75</v>
      </c>
      <c r="E196" s="31">
        <f t="shared" si="3"/>
        <v>91.666666666666671</v>
      </c>
    </row>
    <row r="197" spans="1:5" x14ac:dyDescent="0.25">
      <c r="A197" s="15" t="s">
        <v>550</v>
      </c>
      <c r="B197" s="30">
        <v>100</v>
      </c>
      <c r="C197" s="30">
        <v>100</v>
      </c>
      <c r="D197" s="30">
        <v>75</v>
      </c>
      <c r="E197" s="31">
        <f t="shared" si="3"/>
        <v>91.666666666666671</v>
      </c>
    </row>
    <row r="198" spans="1:5" x14ac:dyDescent="0.25">
      <c r="A198" s="15" t="s">
        <v>422</v>
      </c>
      <c r="B198" s="30">
        <v>25</v>
      </c>
      <c r="C198" s="30">
        <v>0</v>
      </c>
      <c r="D198" s="30">
        <v>25</v>
      </c>
      <c r="E198" s="31">
        <f t="shared" si="3"/>
        <v>16.666666666666668</v>
      </c>
    </row>
    <row r="199" spans="1:5" x14ac:dyDescent="0.25">
      <c r="A199" s="15" t="s">
        <v>359</v>
      </c>
      <c r="B199" s="30">
        <v>75</v>
      </c>
      <c r="C199" s="30">
        <v>0</v>
      </c>
      <c r="D199" s="30">
        <v>50</v>
      </c>
      <c r="E199" s="31">
        <f t="shared" si="3"/>
        <v>41.666666666666664</v>
      </c>
    </row>
    <row r="200" spans="1:5" x14ac:dyDescent="0.25">
      <c r="A200" s="15" t="s">
        <v>496</v>
      </c>
      <c r="B200" s="30">
        <v>100</v>
      </c>
      <c r="C200" s="30">
        <v>75</v>
      </c>
      <c r="D200" s="30">
        <v>75</v>
      </c>
      <c r="E200" s="31">
        <f t="shared" si="3"/>
        <v>83.333333333333329</v>
      </c>
    </row>
    <row r="201" spans="1:5" x14ac:dyDescent="0.25">
      <c r="A201" s="15" t="s">
        <v>314</v>
      </c>
      <c r="B201" s="30">
        <v>100</v>
      </c>
      <c r="C201" s="30">
        <v>75</v>
      </c>
      <c r="D201" s="30">
        <v>50</v>
      </c>
      <c r="E201" s="31">
        <f t="shared" si="3"/>
        <v>75</v>
      </c>
    </row>
    <row r="202" spans="1:5" x14ac:dyDescent="0.25">
      <c r="A202" s="15" t="s">
        <v>389</v>
      </c>
      <c r="B202" s="30">
        <v>50</v>
      </c>
      <c r="C202" s="30">
        <v>75</v>
      </c>
      <c r="D202" s="30">
        <v>50</v>
      </c>
      <c r="E202" s="31">
        <f t="shared" si="3"/>
        <v>58.333333333333336</v>
      </c>
    </row>
    <row r="203" spans="1:5" x14ac:dyDescent="0.25">
      <c r="A203" s="15" t="s">
        <v>456</v>
      </c>
      <c r="B203" s="30">
        <v>50</v>
      </c>
      <c r="C203" s="30">
        <v>100</v>
      </c>
      <c r="D203" s="30">
        <v>75</v>
      </c>
      <c r="E203" s="31">
        <f t="shared" si="3"/>
        <v>75</v>
      </c>
    </row>
    <row r="204" spans="1:5" x14ac:dyDescent="0.25">
      <c r="A204" s="15" t="s">
        <v>421</v>
      </c>
      <c r="B204" s="30">
        <v>75</v>
      </c>
      <c r="C204" s="30">
        <v>100</v>
      </c>
      <c r="D204" s="30">
        <v>75</v>
      </c>
      <c r="E204" s="31">
        <f t="shared" si="3"/>
        <v>83.333333333333329</v>
      </c>
    </row>
    <row r="205" spans="1:5" x14ac:dyDescent="0.25">
      <c r="A205" s="15" t="s">
        <v>530</v>
      </c>
      <c r="B205" s="30">
        <v>75</v>
      </c>
      <c r="C205" s="30">
        <v>100</v>
      </c>
      <c r="D205" s="30">
        <v>50</v>
      </c>
      <c r="E205" s="31">
        <f t="shared" si="3"/>
        <v>75</v>
      </c>
    </row>
    <row r="206" spans="1:5" x14ac:dyDescent="0.25">
      <c r="A206" s="15" t="s">
        <v>461</v>
      </c>
      <c r="B206" s="30">
        <v>50</v>
      </c>
      <c r="C206" s="30">
        <v>0</v>
      </c>
      <c r="D206" s="30">
        <v>50</v>
      </c>
      <c r="E206" s="31">
        <f t="shared" si="3"/>
        <v>33.333333333333336</v>
      </c>
    </row>
    <row r="207" spans="1:5" x14ac:dyDescent="0.25">
      <c r="A207" s="15" t="s">
        <v>326</v>
      </c>
      <c r="B207" s="30">
        <v>100</v>
      </c>
      <c r="C207" s="30">
        <v>50</v>
      </c>
      <c r="D207" s="30">
        <v>75</v>
      </c>
      <c r="E207" s="31">
        <f t="shared" si="3"/>
        <v>75</v>
      </c>
    </row>
    <row r="208" spans="1:5" x14ac:dyDescent="0.25">
      <c r="A208" s="15" t="s">
        <v>316</v>
      </c>
      <c r="B208" s="30">
        <v>100</v>
      </c>
      <c r="C208" s="30">
        <v>25</v>
      </c>
      <c r="D208" s="30">
        <v>50</v>
      </c>
      <c r="E208" s="31">
        <f t="shared" si="3"/>
        <v>58.333333333333336</v>
      </c>
    </row>
    <row r="209" spans="1:5" x14ac:dyDescent="0.25">
      <c r="A209" s="15" t="s">
        <v>500</v>
      </c>
      <c r="B209" s="30">
        <v>75</v>
      </c>
      <c r="C209" s="30">
        <v>100</v>
      </c>
      <c r="D209" s="30">
        <v>75</v>
      </c>
      <c r="E209" s="31">
        <f t="shared" si="3"/>
        <v>83.333333333333329</v>
      </c>
    </row>
    <row r="210" spans="1:5" x14ac:dyDescent="0.25">
      <c r="A210" s="15" t="s">
        <v>362</v>
      </c>
      <c r="B210" s="30">
        <v>50</v>
      </c>
      <c r="C210" s="30">
        <v>25</v>
      </c>
      <c r="D210" s="30">
        <v>75</v>
      </c>
      <c r="E210" s="31">
        <f t="shared" si="3"/>
        <v>50</v>
      </c>
    </row>
    <row r="211" spans="1:5" x14ac:dyDescent="0.25">
      <c r="A211" s="15" t="s">
        <v>581</v>
      </c>
      <c r="B211" s="30">
        <v>100</v>
      </c>
      <c r="C211" s="30">
        <v>100</v>
      </c>
      <c r="D211" s="30">
        <v>75</v>
      </c>
      <c r="E211" s="31">
        <f t="shared" si="3"/>
        <v>91.666666666666671</v>
      </c>
    </row>
    <row r="212" spans="1:5" x14ac:dyDescent="0.25">
      <c r="A212" s="17" t="s">
        <v>563</v>
      </c>
      <c r="B212" s="30">
        <v>0</v>
      </c>
      <c r="C212" s="30">
        <v>0</v>
      </c>
      <c r="D212" s="30">
        <v>0</v>
      </c>
      <c r="E212" s="31">
        <f t="shared" si="3"/>
        <v>0</v>
      </c>
    </row>
    <row r="213" spans="1:5" x14ac:dyDescent="0.25">
      <c r="A213" s="15" t="s">
        <v>380</v>
      </c>
      <c r="B213" s="30">
        <v>75</v>
      </c>
      <c r="C213" s="30">
        <v>75</v>
      </c>
      <c r="D213" s="30">
        <v>75</v>
      </c>
      <c r="E213" s="31">
        <f t="shared" si="3"/>
        <v>75</v>
      </c>
    </row>
    <row r="214" spans="1:5" x14ac:dyDescent="0.25">
      <c r="A214" s="15" t="s">
        <v>347</v>
      </c>
      <c r="B214" s="30">
        <v>100</v>
      </c>
      <c r="C214" s="30">
        <v>100</v>
      </c>
      <c r="D214" s="30">
        <v>50</v>
      </c>
      <c r="E214" s="31">
        <f t="shared" si="3"/>
        <v>83.333333333333329</v>
      </c>
    </row>
    <row r="215" spans="1:5" x14ac:dyDescent="0.25">
      <c r="A215" s="15" t="s">
        <v>504</v>
      </c>
      <c r="B215" s="30">
        <v>100</v>
      </c>
      <c r="C215" s="30">
        <v>100</v>
      </c>
      <c r="D215" s="30">
        <v>75</v>
      </c>
      <c r="E215" s="31">
        <f t="shared" si="3"/>
        <v>91.666666666666671</v>
      </c>
    </row>
    <row r="216" spans="1:5" x14ac:dyDescent="0.25">
      <c r="A216" s="15" t="s">
        <v>353</v>
      </c>
      <c r="B216" s="30">
        <v>50</v>
      </c>
      <c r="C216" s="30">
        <v>50</v>
      </c>
      <c r="D216" s="30">
        <v>25</v>
      </c>
      <c r="E216" s="31">
        <f t="shared" si="3"/>
        <v>41.666666666666664</v>
      </c>
    </row>
    <row r="217" spans="1:5" x14ac:dyDescent="0.25">
      <c r="A217" s="15" t="s">
        <v>538</v>
      </c>
      <c r="B217" s="30">
        <v>100</v>
      </c>
      <c r="C217" s="30">
        <v>75</v>
      </c>
      <c r="D217" s="30">
        <v>75</v>
      </c>
      <c r="E217" s="31">
        <f t="shared" si="3"/>
        <v>83.333333333333329</v>
      </c>
    </row>
    <row r="218" spans="1:5" x14ac:dyDescent="0.25">
      <c r="A218" s="15" t="s">
        <v>468</v>
      </c>
      <c r="B218" s="30">
        <v>75</v>
      </c>
      <c r="C218" s="30">
        <v>50</v>
      </c>
      <c r="D218" s="30">
        <v>75</v>
      </c>
      <c r="E218" s="31">
        <f t="shared" si="3"/>
        <v>66.666666666666671</v>
      </c>
    </row>
    <row r="219" spans="1:5" x14ac:dyDescent="0.25">
      <c r="A219" s="15" t="s">
        <v>312</v>
      </c>
      <c r="B219" s="30">
        <v>50</v>
      </c>
      <c r="C219" s="30">
        <v>75</v>
      </c>
      <c r="D219" s="30">
        <v>50</v>
      </c>
      <c r="E219" s="31">
        <f t="shared" si="3"/>
        <v>58.333333333333336</v>
      </c>
    </row>
    <row r="220" spans="1:5" x14ac:dyDescent="0.25">
      <c r="A220" s="15" t="s">
        <v>391</v>
      </c>
      <c r="B220" s="30">
        <v>100</v>
      </c>
      <c r="C220" s="30">
        <v>100</v>
      </c>
      <c r="D220" s="30">
        <v>50</v>
      </c>
      <c r="E220" s="31">
        <f t="shared" si="3"/>
        <v>83.333333333333329</v>
      </c>
    </row>
    <row r="221" spans="1:5" x14ac:dyDescent="0.25">
      <c r="A221" s="15" t="s">
        <v>385</v>
      </c>
      <c r="B221" s="30">
        <v>100</v>
      </c>
      <c r="C221" s="30">
        <v>75</v>
      </c>
      <c r="D221" s="30">
        <v>50</v>
      </c>
      <c r="E221" s="31">
        <f t="shared" si="3"/>
        <v>75</v>
      </c>
    </row>
    <row r="222" spans="1:5" x14ac:dyDescent="0.25">
      <c r="A222" s="15" t="s">
        <v>313</v>
      </c>
      <c r="B222" s="30">
        <v>50</v>
      </c>
      <c r="C222" s="30">
        <v>0</v>
      </c>
      <c r="D222" s="30">
        <v>25</v>
      </c>
      <c r="E222" s="31">
        <f t="shared" si="3"/>
        <v>25</v>
      </c>
    </row>
    <row r="223" spans="1:5" x14ac:dyDescent="0.25">
      <c r="A223" s="15" t="s">
        <v>495</v>
      </c>
      <c r="B223" s="30">
        <f>VLOOKUP(A223,[2]纯数值!$A$1:$H$7,6,0)</f>
        <v>0</v>
      </c>
      <c r="C223" s="30">
        <f>VLOOKUP(A223,[2]纯数值!$A$1:$H$7,7,0)</f>
        <v>0</v>
      </c>
      <c r="D223" s="30">
        <f>VLOOKUP(A223,[2]纯数值!$A$1:$H$7,8,0)</f>
        <v>25</v>
      </c>
      <c r="E223" s="31">
        <f t="shared" si="3"/>
        <v>8.3333333333333339</v>
      </c>
    </row>
    <row r="224" spans="1:5" x14ac:dyDescent="0.25">
      <c r="A224" s="15" t="s">
        <v>324</v>
      </c>
      <c r="B224" s="30">
        <v>75</v>
      </c>
      <c r="C224" s="30">
        <v>75</v>
      </c>
      <c r="D224" s="30">
        <v>50</v>
      </c>
      <c r="E224" s="31">
        <f t="shared" si="3"/>
        <v>66.666666666666671</v>
      </c>
    </row>
    <row r="225" spans="1:5" x14ac:dyDescent="0.25">
      <c r="A225" s="15" t="s">
        <v>542</v>
      </c>
      <c r="B225" s="30">
        <v>100</v>
      </c>
      <c r="C225" s="30">
        <v>100</v>
      </c>
      <c r="D225" s="30">
        <v>75</v>
      </c>
      <c r="E225" s="31">
        <f t="shared" si="3"/>
        <v>91.666666666666671</v>
      </c>
    </row>
    <row r="226" spans="1:5" x14ac:dyDescent="0.25">
      <c r="A226" s="15" t="s">
        <v>304</v>
      </c>
      <c r="B226" s="30">
        <v>100</v>
      </c>
      <c r="C226" s="30">
        <v>75</v>
      </c>
      <c r="D226" s="30">
        <v>75</v>
      </c>
      <c r="E226" s="31">
        <f t="shared" si="3"/>
        <v>83.333333333333329</v>
      </c>
    </row>
    <row r="227" spans="1:5" x14ac:dyDescent="0.25">
      <c r="A227" s="15" t="s">
        <v>333</v>
      </c>
      <c r="B227" s="30">
        <v>100</v>
      </c>
      <c r="C227" s="30">
        <v>100</v>
      </c>
      <c r="D227" s="30">
        <v>75</v>
      </c>
      <c r="E227" s="31">
        <f t="shared" si="3"/>
        <v>91.666666666666671</v>
      </c>
    </row>
    <row r="228" spans="1:5" x14ac:dyDescent="0.25">
      <c r="A228" s="15" t="s">
        <v>415</v>
      </c>
      <c r="B228" s="30">
        <v>50</v>
      </c>
      <c r="C228" s="30">
        <v>0</v>
      </c>
      <c r="D228" s="30">
        <v>50</v>
      </c>
      <c r="E228" s="31">
        <f t="shared" si="3"/>
        <v>33.333333333333336</v>
      </c>
    </row>
    <row r="229" spans="1:5" x14ac:dyDescent="0.25">
      <c r="A229" s="15" t="s">
        <v>470</v>
      </c>
      <c r="B229" s="30">
        <v>100</v>
      </c>
      <c r="C229" s="30">
        <v>100</v>
      </c>
      <c r="D229" s="30">
        <v>75</v>
      </c>
      <c r="E229" s="31">
        <f t="shared" si="3"/>
        <v>91.666666666666671</v>
      </c>
    </row>
    <row r="230" spans="1:5" x14ac:dyDescent="0.25">
      <c r="A230" s="15" t="s">
        <v>449</v>
      </c>
      <c r="B230" s="30">
        <v>75</v>
      </c>
      <c r="C230" s="30">
        <v>75</v>
      </c>
      <c r="D230" s="30">
        <v>50</v>
      </c>
      <c r="E230" s="31">
        <f t="shared" si="3"/>
        <v>66.666666666666671</v>
      </c>
    </row>
    <row r="231" spans="1:5" x14ac:dyDescent="0.25">
      <c r="A231" s="15" t="s">
        <v>593</v>
      </c>
      <c r="B231" s="30">
        <v>50</v>
      </c>
      <c r="C231" s="30">
        <v>75</v>
      </c>
      <c r="D231" s="30">
        <v>25</v>
      </c>
      <c r="E231" s="31">
        <f t="shared" si="3"/>
        <v>50</v>
      </c>
    </row>
    <row r="232" spans="1:5" x14ac:dyDescent="0.25">
      <c r="A232" s="15" t="s">
        <v>596</v>
      </c>
      <c r="B232" s="30">
        <v>50</v>
      </c>
      <c r="C232" s="30">
        <v>0</v>
      </c>
      <c r="D232" s="30">
        <v>50</v>
      </c>
      <c r="E232" s="31">
        <f t="shared" si="3"/>
        <v>33.333333333333336</v>
      </c>
    </row>
    <row r="233" spans="1:5" x14ac:dyDescent="0.25">
      <c r="A233" s="15" t="s">
        <v>511</v>
      </c>
      <c r="B233" s="30">
        <v>100</v>
      </c>
      <c r="C233" s="30">
        <v>75</v>
      </c>
      <c r="D233" s="30">
        <v>50</v>
      </c>
      <c r="E233" s="31">
        <f t="shared" si="3"/>
        <v>75</v>
      </c>
    </row>
    <row r="234" spans="1:5" x14ac:dyDescent="0.25">
      <c r="A234" s="15" t="s">
        <v>601</v>
      </c>
      <c r="B234" s="30">
        <v>100</v>
      </c>
      <c r="C234" s="30">
        <v>75</v>
      </c>
      <c r="D234" s="30">
        <v>50</v>
      </c>
      <c r="E234" s="31">
        <f t="shared" si="3"/>
        <v>75</v>
      </c>
    </row>
    <row r="235" spans="1:5" x14ac:dyDescent="0.25">
      <c r="A235" s="15" t="s">
        <v>356</v>
      </c>
      <c r="B235" s="30">
        <v>100</v>
      </c>
      <c r="C235" s="30">
        <v>75</v>
      </c>
      <c r="D235" s="30">
        <v>75</v>
      </c>
      <c r="E235" s="31">
        <f t="shared" si="3"/>
        <v>83.333333333333329</v>
      </c>
    </row>
    <row r="236" spans="1:5" x14ac:dyDescent="0.25">
      <c r="A236" s="15" t="s">
        <v>405</v>
      </c>
      <c r="B236" s="30">
        <v>75</v>
      </c>
      <c r="C236" s="30">
        <v>50</v>
      </c>
      <c r="D236" s="30">
        <v>50</v>
      </c>
      <c r="E236" s="31">
        <f t="shared" si="3"/>
        <v>58.333333333333336</v>
      </c>
    </row>
    <row r="237" spans="1:5" x14ac:dyDescent="0.25">
      <c r="A237" s="15" t="s">
        <v>564</v>
      </c>
      <c r="B237" s="30">
        <v>50</v>
      </c>
      <c r="C237" s="30">
        <v>75</v>
      </c>
      <c r="D237" s="30">
        <v>50</v>
      </c>
      <c r="E237" s="31">
        <f t="shared" si="3"/>
        <v>58.333333333333336</v>
      </c>
    </row>
    <row r="238" spans="1:5" x14ac:dyDescent="0.25">
      <c r="A238" s="15" t="s">
        <v>309</v>
      </c>
      <c r="B238" s="30">
        <f>VLOOKUP(A238,[2]纯数值!$A$1:$H$7,6,0)</f>
        <v>100</v>
      </c>
      <c r="C238" s="30">
        <f>VLOOKUP(A238,[2]纯数值!$A$1:$H$7,7,0)</f>
        <v>75</v>
      </c>
      <c r="D238" s="30">
        <f>VLOOKUP(A238,[2]纯数值!$A$1:$H$7,8,0)</f>
        <v>100</v>
      </c>
      <c r="E238" s="31">
        <f t="shared" si="3"/>
        <v>91.666666666666671</v>
      </c>
    </row>
    <row r="239" spans="1:5" x14ac:dyDescent="0.25">
      <c r="A239" s="15" t="s">
        <v>307</v>
      </c>
      <c r="B239" s="30">
        <v>25</v>
      </c>
      <c r="C239" s="30">
        <v>25</v>
      </c>
      <c r="D239" s="30">
        <v>50</v>
      </c>
      <c r="E239" s="31">
        <f t="shared" si="3"/>
        <v>33.333333333333336</v>
      </c>
    </row>
    <row r="240" spans="1:5" x14ac:dyDescent="0.25">
      <c r="A240" s="15" t="s">
        <v>431</v>
      </c>
      <c r="B240" s="30">
        <v>75</v>
      </c>
      <c r="C240" s="30">
        <v>75</v>
      </c>
      <c r="D240" s="30">
        <v>50</v>
      </c>
      <c r="E240" s="31">
        <f t="shared" si="3"/>
        <v>66.666666666666671</v>
      </c>
    </row>
    <row r="241" spans="1:5" x14ac:dyDescent="0.25">
      <c r="A241" s="15" t="s">
        <v>472</v>
      </c>
      <c r="B241" s="30">
        <v>100</v>
      </c>
      <c r="C241" s="30">
        <v>75</v>
      </c>
      <c r="D241" s="30">
        <v>50</v>
      </c>
      <c r="E241" s="31">
        <f t="shared" si="3"/>
        <v>75</v>
      </c>
    </row>
    <row r="242" spans="1:5" x14ac:dyDescent="0.25">
      <c r="A242" s="15" t="s">
        <v>334</v>
      </c>
      <c r="B242" s="30">
        <v>75</v>
      </c>
      <c r="C242" s="30">
        <v>75</v>
      </c>
      <c r="D242" s="30">
        <v>50</v>
      </c>
      <c r="E242" s="31">
        <f t="shared" si="3"/>
        <v>66.666666666666671</v>
      </c>
    </row>
    <row r="243" spans="1:5" x14ac:dyDescent="0.25">
      <c r="A243" s="15" t="s">
        <v>532</v>
      </c>
      <c r="B243" s="30">
        <v>75</v>
      </c>
      <c r="C243" s="30">
        <v>50</v>
      </c>
      <c r="D243" s="30">
        <v>50</v>
      </c>
      <c r="E243" s="31">
        <f t="shared" si="3"/>
        <v>58.333333333333336</v>
      </c>
    </row>
    <row r="244" spans="1:5" x14ac:dyDescent="0.25">
      <c r="A244" s="15" t="s">
        <v>474</v>
      </c>
      <c r="B244" s="30">
        <v>75</v>
      </c>
      <c r="C244" s="30">
        <v>75</v>
      </c>
      <c r="D244" s="30">
        <v>50</v>
      </c>
      <c r="E244" s="31">
        <f t="shared" si="3"/>
        <v>66.666666666666671</v>
      </c>
    </row>
    <row r="245" spans="1:5" x14ac:dyDescent="0.25">
      <c r="A245" s="15" t="s">
        <v>565</v>
      </c>
      <c r="B245" s="30">
        <v>50</v>
      </c>
      <c r="C245" s="30">
        <v>25</v>
      </c>
      <c r="D245" s="30">
        <v>75</v>
      </c>
      <c r="E245" s="31">
        <f t="shared" si="3"/>
        <v>50</v>
      </c>
    </row>
    <row r="246" spans="1:5" x14ac:dyDescent="0.25">
      <c r="A246" s="15" t="s">
        <v>382</v>
      </c>
      <c r="B246" s="30">
        <v>50</v>
      </c>
      <c r="C246" s="30">
        <v>0</v>
      </c>
      <c r="D246" s="30">
        <v>50</v>
      </c>
      <c r="E246" s="31">
        <f t="shared" si="3"/>
        <v>33.333333333333336</v>
      </c>
    </row>
    <row r="247" spans="1:5" x14ac:dyDescent="0.25">
      <c r="A247" s="15" t="s">
        <v>508</v>
      </c>
      <c r="B247" s="30">
        <v>75</v>
      </c>
      <c r="C247" s="30">
        <v>100</v>
      </c>
      <c r="D247" s="30">
        <v>50</v>
      </c>
      <c r="E247" s="31">
        <f t="shared" si="3"/>
        <v>75</v>
      </c>
    </row>
    <row r="248" spans="1:5" x14ac:dyDescent="0.25">
      <c r="A248" s="15" t="s">
        <v>416</v>
      </c>
      <c r="B248" s="30">
        <v>0</v>
      </c>
      <c r="C248" s="30">
        <v>0</v>
      </c>
      <c r="D248" s="30">
        <v>50</v>
      </c>
      <c r="E248" s="31">
        <f t="shared" si="3"/>
        <v>16.666666666666668</v>
      </c>
    </row>
    <row r="249" spans="1:5" x14ac:dyDescent="0.25">
      <c r="A249" s="15" t="s">
        <v>545</v>
      </c>
      <c r="B249" s="30">
        <v>25</v>
      </c>
      <c r="C249" s="30">
        <v>75</v>
      </c>
      <c r="D249" s="30">
        <v>50</v>
      </c>
      <c r="E249" s="31">
        <f t="shared" si="3"/>
        <v>50</v>
      </c>
    </row>
    <row r="250" spans="1:5" x14ac:dyDescent="0.25">
      <c r="A250" s="15" t="s">
        <v>528</v>
      </c>
      <c r="B250" s="30">
        <v>50</v>
      </c>
      <c r="C250" s="30">
        <v>25</v>
      </c>
      <c r="D250" s="30">
        <v>50</v>
      </c>
      <c r="E250" s="31">
        <f t="shared" si="3"/>
        <v>41.666666666666664</v>
      </c>
    </row>
    <row r="251" spans="1:5" x14ac:dyDescent="0.25">
      <c r="A251" s="15" t="s">
        <v>394</v>
      </c>
      <c r="B251" s="30">
        <v>75</v>
      </c>
      <c r="C251" s="30">
        <v>50</v>
      </c>
      <c r="D251" s="30">
        <v>50</v>
      </c>
      <c r="E251" s="31">
        <f t="shared" si="3"/>
        <v>58.333333333333336</v>
      </c>
    </row>
    <row r="252" spans="1:5" x14ac:dyDescent="0.25">
      <c r="A252" s="15" t="s">
        <v>519</v>
      </c>
      <c r="B252" s="30">
        <v>100</v>
      </c>
      <c r="C252" s="30">
        <v>75</v>
      </c>
      <c r="D252" s="30">
        <v>50</v>
      </c>
      <c r="E252" s="31">
        <f t="shared" si="3"/>
        <v>75</v>
      </c>
    </row>
    <row r="253" spans="1:5" x14ac:dyDescent="0.25">
      <c r="A253" s="15" t="s">
        <v>544</v>
      </c>
      <c r="B253" s="30">
        <v>100</v>
      </c>
      <c r="C253" s="30">
        <v>25</v>
      </c>
      <c r="D253" s="30">
        <v>50</v>
      </c>
      <c r="E253" s="31">
        <f t="shared" si="3"/>
        <v>58.333333333333336</v>
      </c>
    </row>
    <row r="254" spans="1:5" x14ac:dyDescent="0.25">
      <c r="A254" s="15" t="s">
        <v>418</v>
      </c>
      <c r="B254" s="30">
        <v>75</v>
      </c>
      <c r="C254" s="30">
        <v>0</v>
      </c>
      <c r="D254" s="30">
        <v>50</v>
      </c>
      <c r="E254" s="31">
        <f t="shared" si="3"/>
        <v>41.666666666666664</v>
      </c>
    </row>
    <row r="255" spans="1:5" x14ac:dyDescent="0.25">
      <c r="A255" s="15" t="s">
        <v>438</v>
      </c>
      <c r="B255" s="30">
        <v>100</v>
      </c>
      <c r="C255" s="30">
        <v>100</v>
      </c>
      <c r="D255" s="30">
        <v>75</v>
      </c>
      <c r="E255" s="31">
        <f t="shared" si="3"/>
        <v>91.666666666666671</v>
      </c>
    </row>
    <row r="256" spans="1:5" x14ac:dyDescent="0.25">
      <c r="A256" s="15" t="s">
        <v>551</v>
      </c>
      <c r="B256" s="30">
        <v>0</v>
      </c>
      <c r="C256" s="30">
        <v>0</v>
      </c>
      <c r="D256" s="30">
        <v>0</v>
      </c>
      <c r="E256" s="31">
        <f t="shared" si="3"/>
        <v>0</v>
      </c>
    </row>
    <row r="257" spans="1:5" x14ac:dyDescent="0.25">
      <c r="A257" s="15" t="s">
        <v>539</v>
      </c>
      <c r="B257" s="30">
        <v>75</v>
      </c>
      <c r="C257" s="30">
        <v>100</v>
      </c>
      <c r="D257" s="30">
        <v>50</v>
      </c>
      <c r="E257" s="31">
        <f t="shared" si="3"/>
        <v>75</v>
      </c>
    </row>
    <row r="258" spans="1:5" x14ac:dyDescent="0.25">
      <c r="A258" s="15" t="s">
        <v>549</v>
      </c>
      <c r="B258" s="30">
        <v>100</v>
      </c>
      <c r="C258" s="30">
        <v>75</v>
      </c>
      <c r="D258" s="30">
        <v>75</v>
      </c>
      <c r="E258" s="31">
        <f t="shared" si="3"/>
        <v>83.333333333333329</v>
      </c>
    </row>
    <row r="259" spans="1:5" x14ac:dyDescent="0.25">
      <c r="A259" s="15" t="s">
        <v>471</v>
      </c>
      <c r="B259" s="30">
        <v>75</v>
      </c>
      <c r="C259" s="30">
        <v>25</v>
      </c>
      <c r="D259" s="30">
        <v>75</v>
      </c>
      <c r="E259" s="31">
        <f t="shared" ref="E259:E298" si="4">AVERAGE(B259:D259)</f>
        <v>58.333333333333336</v>
      </c>
    </row>
    <row r="260" spans="1:5" x14ac:dyDescent="0.25">
      <c r="A260" s="15" t="s">
        <v>357</v>
      </c>
      <c r="B260" s="30">
        <v>100</v>
      </c>
      <c r="C260" s="30">
        <v>75</v>
      </c>
      <c r="D260" s="30">
        <v>50</v>
      </c>
      <c r="E260" s="31">
        <f t="shared" si="4"/>
        <v>75</v>
      </c>
    </row>
    <row r="261" spans="1:5" x14ac:dyDescent="0.25">
      <c r="A261" s="15" t="s">
        <v>345</v>
      </c>
      <c r="B261" s="30">
        <v>100</v>
      </c>
      <c r="C261" s="30">
        <v>50</v>
      </c>
      <c r="D261" s="30">
        <v>50</v>
      </c>
      <c r="E261" s="31">
        <f t="shared" si="4"/>
        <v>66.666666666666671</v>
      </c>
    </row>
    <row r="262" spans="1:5" x14ac:dyDescent="0.25">
      <c r="A262" s="15" t="s">
        <v>420</v>
      </c>
      <c r="B262" s="30">
        <v>100</v>
      </c>
      <c r="C262" s="30">
        <v>75</v>
      </c>
      <c r="D262" s="30">
        <v>75</v>
      </c>
      <c r="E262" s="31">
        <f t="shared" si="4"/>
        <v>83.333333333333329</v>
      </c>
    </row>
    <row r="263" spans="1:5" x14ac:dyDescent="0.25">
      <c r="A263" s="15" t="s">
        <v>340</v>
      </c>
      <c r="B263" s="30">
        <v>100</v>
      </c>
      <c r="C263" s="30">
        <v>50</v>
      </c>
      <c r="D263" s="30">
        <v>50</v>
      </c>
      <c r="E263" s="31">
        <f t="shared" si="4"/>
        <v>66.666666666666671</v>
      </c>
    </row>
    <row r="264" spans="1:5" x14ac:dyDescent="0.25">
      <c r="A264" s="15" t="s">
        <v>536</v>
      </c>
      <c r="B264" s="30">
        <v>0</v>
      </c>
      <c r="C264" s="30">
        <v>0</v>
      </c>
      <c r="D264" s="30">
        <v>50</v>
      </c>
      <c r="E264" s="31">
        <f t="shared" si="4"/>
        <v>16.666666666666668</v>
      </c>
    </row>
    <row r="265" spans="1:5" x14ac:dyDescent="0.25">
      <c r="A265" s="15" t="s">
        <v>395</v>
      </c>
      <c r="B265" s="30">
        <v>25</v>
      </c>
      <c r="C265" s="30">
        <v>0</v>
      </c>
      <c r="D265" s="30">
        <v>50</v>
      </c>
      <c r="E265" s="31">
        <f t="shared" si="4"/>
        <v>25</v>
      </c>
    </row>
    <row r="266" spans="1:5" x14ac:dyDescent="0.25">
      <c r="A266" s="15" t="s">
        <v>478</v>
      </c>
      <c r="B266" s="30">
        <v>100</v>
      </c>
      <c r="C266" s="30">
        <v>100</v>
      </c>
      <c r="D266" s="30">
        <v>75</v>
      </c>
      <c r="E266" s="31">
        <f t="shared" si="4"/>
        <v>91.666666666666671</v>
      </c>
    </row>
    <row r="267" spans="1:5" x14ac:dyDescent="0.25">
      <c r="A267" s="15" t="s">
        <v>547</v>
      </c>
      <c r="B267" s="30">
        <v>100</v>
      </c>
      <c r="C267" s="30">
        <v>100</v>
      </c>
      <c r="D267" s="30">
        <v>75</v>
      </c>
      <c r="E267" s="31">
        <f t="shared" si="4"/>
        <v>91.666666666666671</v>
      </c>
    </row>
    <row r="268" spans="1:5" x14ac:dyDescent="0.25">
      <c r="A268" s="15" t="s">
        <v>409</v>
      </c>
      <c r="B268" s="30">
        <v>100</v>
      </c>
      <c r="C268" s="30">
        <v>100</v>
      </c>
      <c r="D268" s="30">
        <v>50</v>
      </c>
      <c r="E268" s="31">
        <f t="shared" si="4"/>
        <v>83.333333333333329</v>
      </c>
    </row>
    <row r="269" spans="1:5" x14ac:dyDescent="0.25">
      <c r="A269" s="15" t="s">
        <v>315</v>
      </c>
      <c r="B269" s="30">
        <v>75</v>
      </c>
      <c r="C269" s="30">
        <v>50</v>
      </c>
      <c r="D269" s="30">
        <v>75</v>
      </c>
      <c r="E269" s="31">
        <f t="shared" si="4"/>
        <v>66.666666666666671</v>
      </c>
    </row>
    <row r="270" spans="1:5" x14ac:dyDescent="0.25">
      <c r="A270" s="15" t="s">
        <v>308</v>
      </c>
      <c r="B270" s="30">
        <v>75</v>
      </c>
      <c r="C270" s="30">
        <v>75</v>
      </c>
      <c r="D270" s="30">
        <v>75</v>
      </c>
      <c r="E270" s="31">
        <f t="shared" si="4"/>
        <v>75</v>
      </c>
    </row>
    <row r="271" spans="1:5" x14ac:dyDescent="0.25">
      <c r="A271" s="15" t="s">
        <v>507</v>
      </c>
      <c r="B271" s="30">
        <v>100</v>
      </c>
      <c r="C271" s="30">
        <v>50</v>
      </c>
      <c r="D271" s="30">
        <v>50</v>
      </c>
      <c r="E271" s="31">
        <f t="shared" si="4"/>
        <v>66.666666666666671</v>
      </c>
    </row>
    <row r="272" spans="1:5" x14ac:dyDescent="0.25">
      <c r="A272" s="15" t="s">
        <v>473</v>
      </c>
      <c r="B272" s="30">
        <v>50</v>
      </c>
      <c r="C272" s="30">
        <v>0</v>
      </c>
      <c r="D272" s="30">
        <v>50</v>
      </c>
      <c r="E272" s="31">
        <f t="shared" si="4"/>
        <v>33.333333333333336</v>
      </c>
    </row>
    <row r="273" spans="1:5" x14ac:dyDescent="0.25">
      <c r="A273" s="15" t="s">
        <v>520</v>
      </c>
      <c r="B273" s="30">
        <v>25</v>
      </c>
      <c r="C273" s="30">
        <v>0</v>
      </c>
      <c r="D273" s="30">
        <v>50</v>
      </c>
      <c r="E273" s="31">
        <f t="shared" si="4"/>
        <v>25</v>
      </c>
    </row>
    <row r="274" spans="1:5" x14ac:dyDescent="0.25">
      <c r="A274" s="15" t="s">
        <v>322</v>
      </c>
      <c r="B274" s="30">
        <v>100</v>
      </c>
      <c r="C274" s="30">
        <v>100</v>
      </c>
      <c r="D274" s="30">
        <v>50</v>
      </c>
      <c r="E274" s="31">
        <f t="shared" si="4"/>
        <v>83.333333333333329</v>
      </c>
    </row>
    <row r="275" spans="1:5" x14ac:dyDescent="0.25">
      <c r="A275" s="15" t="s">
        <v>407</v>
      </c>
      <c r="B275" s="30">
        <v>100</v>
      </c>
      <c r="C275" s="30">
        <v>75</v>
      </c>
      <c r="D275" s="30">
        <v>50</v>
      </c>
      <c r="E275" s="31">
        <f t="shared" si="4"/>
        <v>75</v>
      </c>
    </row>
    <row r="276" spans="1:5" x14ac:dyDescent="0.25">
      <c r="A276" s="15" t="s">
        <v>328</v>
      </c>
      <c r="B276" s="30">
        <v>75</v>
      </c>
      <c r="C276" s="30">
        <v>100</v>
      </c>
      <c r="D276" s="30">
        <v>50</v>
      </c>
      <c r="E276" s="31">
        <f t="shared" si="4"/>
        <v>75</v>
      </c>
    </row>
    <row r="277" spans="1:5" x14ac:dyDescent="0.25">
      <c r="A277" s="15" t="s">
        <v>534</v>
      </c>
      <c r="B277" s="30">
        <v>75</v>
      </c>
      <c r="C277" s="30">
        <v>75</v>
      </c>
      <c r="D277" s="30">
        <v>50</v>
      </c>
      <c r="E277" s="31">
        <f t="shared" si="4"/>
        <v>66.666666666666671</v>
      </c>
    </row>
    <row r="278" spans="1:5" x14ac:dyDescent="0.25">
      <c r="A278" s="15" t="s">
        <v>521</v>
      </c>
      <c r="B278" s="30">
        <v>75</v>
      </c>
      <c r="C278" s="30">
        <v>25</v>
      </c>
      <c r="D278" s="30">
        <v>50</v>
      </c>
      <c r="E278" s="31">
        <f t="shared" si="4"/>
        <v>50</v>
      </c>
    </row>
    <row r="279" spans="1:5" x14ac:dyDescent="0.25">
      <c r="A279" s="15" t="s">
        <v>546</v>
      </c>
      <c r="B279" s="30">
        <v>50</v>
      </c>
      <c r="C279" s="30">
        <v>0</v>
      </c>
      <c r="D279" s="30">
        <v>0</v>
      </c>
      <c r="E279" s="31">
        <f t="shared" si="4"/>
        <v>16.666666666666668</v>
      </c>
    </row>
    <row r="280" spans="1:5" x14ac:dyDescent="0.25">
      <c r="A280" s="15" t="s">
        <v>487</v>
      </c>
      <c r="B280" s="30">
        <v>100</v>
      </c>
      <c r="C280" s="30">
        <v>100</v>
      </c>
      <c r="D280" s="30">
        <v>50</v>
      </c>
      <c r="E280" s="31">
        <f t="shared" si="4"/>
        <v>83.333333333333329</v>
      </c>
    </row>
    <row r="281" spans="1:5" x14ac:dyDescent="0.25">
      <c r="A281" s="15" t="s">
        <v>411</v>
      </c>
      <c r="B281" s="30">
        <v>75</v>
      </c>
      <c r="C281" s="30">
        <v>75</v>
      </c>
      <c r="D281" s="30">
        <v>75</v>
      </c>
      <c r="E281" s="31">
        <f t="shared" si="4"/>
        <v>75</v>
      </c>
    </row>
    <row r="282" spans="1:5" x14ac:dyDescent="0.25">
      <c r="A282" s="15" t="s">
        <v>413</v>
      </c>
      <c r="B282" s="30">
        <v>100</v>
      </c>
      <c r="C282" s="30">
        <v>100</v>
      </c>
      <c r="D282" s="30">
        <v>50</v>
      </c>
      <c r="E282" s="31">
        <f t="shared" si="4"/>
        <v>83.333333333333329</v>
      </c>
    </row>
    <row r="283" spans="1:5" x14ac:dyDescent="0.25">
      <c r="A283" s="15" t="s">
        <v>527</v>
      </c>
      <c r="B283" s="30">
        <v>100</v>
      </c>
      <c r="C283" s="30">
        <v>75</v>
      </c>
      <c r="D283" s="30">
        <v>50</v>
      </c>
      <c r="E283" s="31">
        <f t="shared" si="4"/>
        <v>75</v>
      </c>
    </row>
    <row r="284" spans="1:5" x14ac:dyDescent="0.25">
      <c r="A284" s="15" t="s">
        <v>301</v>
      </c>
      <c r="B284" s="30">
        <v>50</v>
      </c>
      <c r="C284" s="30">
        <v>100</v>
      </c>
      <c r="D284" s="30">
        <v>75</v>
      </c>
      <c r="E284" s="31">
        <f t="shared" si="4"/>
        <v>75</v>
      </c>
    </row>
    <row r="285" spans="1:5" x14ac:dyDescent="0.25">
      <c r="A285" s="15" t="s">
        <v>479</v>
      </c>
      <c r="B285" s="30">
        <v>100</v>
      </c>
      <c r="C285" s="30">
        <v>75</v>
      </c>
      <c r="D285" s="30">
        <v>75</v>
      </c>
      <c r="E285" s="31">
        <f t="shared" si="4"/>
        <v>83.333333333333329</v>
      </c>
    </row>
    <row r="286" spans="1:5" x14ac:dyDescent="0.25">
      <c r="A286" s="15" t="s">
        <v>302</v>
      </c>
      <c r="B286" s="30">
        <v>100</v>
      </c>
      <c r="C286" s="30">
        <v>75</v>
      </c>
      <c r="D286" s="30">
        <v>50</v>
      </c>
      <c r="E286" s="31">
        <f t="shared" si="4"/>
        <v>75</v>
      </c>
    </row>
    <row r="287" spans="1:5" x14ac:dyDescent="0.25">
      <c r="A287" s="15" t="s">
        <v>587</v>
      </c>
      <c r="B287" s="30">
        <v>75</v>
      </c>
      <c r="C287" s="30">
        <v>50</v>
      </c>
      <c r="D287" s="30">
        <v>50</v>
      </c>
      <c r="E287" s="31">
        <f t="shared" si="4"/>
        <v>58.333333333333336</v>
      </c>
    </row>
    <row r="288" spans="1:5" x14ac:dyDescent="0.25">
      <c r="A288" s="15" t="s">
        <v>523</v>
      </c>
      <c r="B288" s="30">
        <v>75</v>
      </c>
      <c r="C288" s="30">
        <v>25</v>
      </c>
      <c r="D288" s="30">
        <v>50</v>
      </c>
      <c r="E288" s="31">
        <f t="shared" si="4"/>
        <v>50</v>
      </c>
    </row>
    <row r="289" spans="1:5" x14ac:dyDescent="0.25">
      <c r="A289" s="17" t="s">
        <v>317</v>
      </c>
      <c r="B289" s="30">
        <v>50</v>
      </c>
      <c r="C289" s="30">
        <v>25</v>
      </c>
      <c r="D289" s="30">
        <v>50</v>
      </c>
      <c r="E289" s="31">
        <f t="shared" si="4"/>
        <v>41.666666666666664</v>
      </c>
    </row>
    <row r="290" spans="1:5" x14ac:dyDescent="0.25">
      <c r="A290" s="15" t="s">
        <v>566</v>
      </c>
      <c r="B290" s="30">
        <v>100</v>
      </c>
      <c r="C290" s="30">
        <v>25</v>
      </c>
      <c r="D290" s="30">
        <v>50</v>
      </c>
      <c r="E290" s="31">
        <f t="shared" si="4"/>
        <v>58.333333333333336</v>
      </c>
    </row>
    <row r="291" spans="1:5" x14ac:dyDescent="0.25">
      <c r="A291" s="15" t="s">
        <v>329</v>
      </c>
      <c r="B291" s="30">
        <v>100</v>
      </c>
      <c r="C291" s="30">
        <v>100</v>
      </c>
      <c r="D291" s="30">
        <v>75</v>
      </c>
      <c r="E291" s="31">
        <f t="shared" si="4"/>
        <v>91.666666666666671</v>
      </c>
    </row>
    <row r="292" spans="1:5" x14ac:dyDescent="0.25">
      <c r="A292" s="15" t="s">
        <v>423</v>
      </c>
      <c r="B292" s="30">
        <v>25</v>
      </c>
      <c r="C292" s="30">
        <v>0</v>
      </c>
      <c r="D292" s="30">
        <v>50</v>
      </c>
      <c r="E292" s="31">
        <f t="shared" si="4"/>
        <v>25</v>
      </c>
    </row>
    <row r="293" spans="1:5" x14ac:dyDescent="0.25">
      <c r="A293" s="15" t="s">
        <v>355</v>
      </c>
      <c r="B293" s="30">
        <v>100</v>
      </c>
      <c r="C293" s="30">
        <v>100</v>
      </c>
      <c r="D293" s="30">
        <v>75</v>
      </c>
      <c r="E293" s="31">
        <f t="shared" si="4"/>
        <v>91.666666666666671</v>
      </c>
    </row>
    <row r="294" spans="1:5" x14ac:dyDescent="0.25">
      <c r="A294" s="15" t="s">
        <v>567</v>
      </c>
      <c r="B294" s="30">
        <v>0</v>
      </c>
      <c r="C294" s="30">
        <v>0</v>
      </c>
      <c r="D294" s="30">
        <v>0</v>
      </c>
      <c r="E294" s="31">
        <f t="shared" si="4"/>
        <v>0</v>
      </c>
    </row>
    <row r="295" spans="1:5" x14ac:dyDescent="0.25">
      <c r="A295" s="15" t="s">
        <v>516</v>
      </c>
      <c r="B295" s="30">
        <v>50</v>
      </c>
      <c r="C295" s="30">
        <v>0</v>
      </c>
      <c r="D295" s="30">
        <v>25</v>
      </c>
      <c r="E295" s="31">
        <f t="shared" si="4"/>
        <v>25</v>
      </c>
    </row>
    <row r="296" spans="1:5" x14ac:dyDescent="0.25">
      <c r="A296" s="15" t="s">
        <v>574</v>
      </c>
      <c r="B296" s="30">
        <v>100</v>
      </c>
      <c r="C296" s="30">
        <v>100</v>
      </c>
      <c r="D296" s="30">
        <v>75</v>
      </c>
      <c r="E296" s="31">
        <f t="shared" si="4"/>
        <v>91.666666666666671</v>
      </c>
    </row>
    <row r="297" spans="1:5" x14ac:dyDescent="0.25">
      <c r="A297" s="15" t="s">
        <v>568</v>
      </c>
      <c r="B297" s="30">
        <v>100</v>
      </c>
      <c r="C297" s="30">
        <v>100</v>
      </c>
      <c r="D297" s="30">
        <v>75</v>
      </c>
      <c r="E297" s="31">
        <f t="shared" si="4"/>
        <v>91.666666666666671</v>
      </c>
    </row>
    <row r="298" spans="1:5" x14ac:dyDescent="0.25">
      <c r="A298" s="15" t="s">
        <v>350</v>
      </c>
      <c r="B298" s="30">
        <v>50</v>
      </c>
      <c r="C298" s="30">
        <v>100</v>
      </c>
      <c r="D298" s="30">
        <v>50</v>
      </c>
      <c r="E298" s="31">
        <f t="shared" si="4"/>
        <v>66.666666666666671</v>
      </c>
    </row>
    <row r="299" spans="1:5" ht="15.6" x14ac:dyDescent="0.25">
      <c r="A299" s="10">
        <f>COUNTA(A2:A298)</f>
        <v>297</v>
      </c>
      <c r="B299" s="10">
        <f>COUNT(B2:B298)</f>
        <v>297</v>
      </c>
      <c r="C299" s="10">
        <f t="shared" ref="C299:D299" si="5">COUNT(C2:C298)</f>
        <v>297</v>
      </c>
      <c r="D299" s="10">
        <f t="shared" si="5"/>
        <v>297</v>
      </c>
    </row>
    <row r="300" spans="1:5" ht="17.399999999999999" x14ac:dyDescent="0.3">
      <c r="B300" s="18">
        <f>B299/297</f>
        <v>1</v>
      </c>
      <c r="C300" s="18">
        <f t="shared" ref="C300:D300" si="6">C299/297</f>
        <v>1</v>
      </c>
      <c r="D300" s="18">
        <f t="shared" si="6"/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33F0-5174-4C0E-A17E-1E6CD8907EEE}">
  <dimension ref="A1:J302"/>
  <sheetViews>
    <sheetView workbookViewId="0">
      <pane ySplit="5352" topLeftCell="A286" activePane="bottomLeft"/>
      <selection activeCell="G12" sqref="G12"/>
      <selection pane="bottomLeft" activeCell="D295" sqref="D295"/>
    </sheetView>
  </sheetViews>
  <sheetFormatPr defaultRowHeight="14.4" x14ac:dyDescent="0.25"/>
  <cols>
    <col min="1" max="1" width="5.44140625" customWidth="1"/>
    <col min="2" max="2" width="16.44140625" customWidth="1"/>
    <col min="3" max="3" width="25.6640625" style="12" customWidth="1"/>
    <col min="4" max="4" width="29.6640625" customWidth="1"/>
    <col min="5" max="7" width="26" customWidth="1"/>
    <col min="8" max="8" width="39.77734375" customWidth="1"/>
    <col min="9" max="9" width="27.33203125" customWidth="1"/>
  </cols>
  <sheetData>
    <row r="1" spans="1:10" ht="14.25" customHeight="1" x14ac:dyDescent="0.25">
      <c r="B1" s="1" t="s">
        <v>0</v>
      </c>
      <c r="C1" s="11" t="s">
        <v>553</v>
      </c>
      <c r="D1" s="4" t="s">
        <v>651</v>
      </c>
      <c r="E1" s="4" t="s">
        <v>554</v>
      </c>
      <c r="F1" s="4" t="s">
        <v>555</v>
      </c>
      <c r="G1" s="26" t="s">
        <v>657</v>
      </c>
      <c r="H1" s="62" t="s">
        <v>652</v>
      </c>
      <c r="I1" s="62"/>
      <c r="J1" s="62"/>
    </row>
    <row r="2" spans="1:10" ht="15" customHeight="1" x14ac:dyDescent="0.25">
      <c r="B2" s="2" t="s">
        <v>1</v>
      </c>
      <c r="C2" s="21">
        <v>100</v>
      </c>
      <c r="D2" s="22">
        <v>57.059060101878437</v>
      </c>
      <c r="E2" s="22">
        <v>97.943143822102044</v>
      </c>
      <c r="F2" s="22">
        <v>81.763706005071057</v>
      </c>
      <c r="G2" s="22">
        <f t="shared" ref="G2:G65" si="0">AVERAGE(C2:F2)</f>
        <v>84.191477482262883</v>
      </c>
      <c r="H2" s="62"/>
      <c r="I2" s="62"/>
      <c r="J2" s="62"/>
    </row>
    <row r="3" spans="1:10" ht="15" customHeight="1" x14ac:dyDescent="0.25">
      <c r="B3" s="2" t="s">
        <v>2</v>
      </c>
      <c r="C3" s="21">
        <v>100</v>
      </c>
      <c r="D3" s="22">
        <v>8.7048762914917663</v>
      </c>
      <c r="E3" s="22">
        <v>94.857859555255104</v>
      </c>
      <c r="F3" s="22">
        <v>83.471636862602168</v>
      </c>
      <c r="G3" s="22">
        <f t="shared" si="0"/>
        <v>71.758593177337261</v>
      </c>
      <c r="H3" s="62"/>
      <c r="I3" s="62"/>
      <c r="J3" s="62"/>
    </row>
    <row r="4" spans="1:10" x14ac:dyDescent="0.25">
      <c r="B4" s="2" t="s">
        <v>3</v>
      </c>
      <c r="C4" s="21">
        <v>40</v>
      </c>
      <c r="D4" s="22">
        <v>0.94614053540122645</v>
      </c>
      <c r="E4" s="22">
        <v>53.720735997295897</v>
      </c>
      <c r="F4" s="22">
        <v>53.169637777372827</v>
      </c>
      <c r="G4" s="22">
        <f t="shared" si="0"/>
        <v>36.95912857751749</v>
      </c>
      <c r="H4" s="62"/>
      <c r="I4" s="62"/>
      <c r="J4" s="62"/>
    </row>
    <row r="5" spans="1:10" x14ac:dyDescent="0.25">
      <c r="B5" s="2" t="s">
        <v>4</v>
      </c>
      <c r="C5" s="21">
        <v>100</v>
      </c>
      <c r="D5" s="22">
        <v>5.6814080093655486</v>
      </c>
      <c r="E5" s="22">
        <v>53.720735997295897</v>
      </c>
      <c r="F5" s="22">
        <v>53.169637777372827</v>
      </c>
      <c r="G5" s="22">
        <f t="shared" si="0"/>
        <v>53.142945446008568</v>
      </c>
      <c r="H5" s="24"/>
    </row>
    <row r="6" spans="1:10" x14ac:dyDescent="0.25">
      <c r="B6" s="2" t="s">
        <v>5</v>
      </c>
      <c r="C6" s="21">
        <v>20</v>
      </c>
      <c r="D6" s="22">
        <v>1.8458413554544477</v>
      </c>
      <c r="E6" s="22">
        <v>53.720735997295897</v>
      </c>
      <c r="F6" s="22">
        <v>79.064073359296088</v>
      </c>
      <c r="G6" s="22">
        <f t="shared" si="0"/>
        <v>38.657662678011604</v>
      </c>
      <c r="H6" s="24"/>
    </row>
    <row r="7" spans="1:10" x14ac:dyDescent="0.25">
      <c r="B7" s="2" t="s">
        <v>6</v>
      </c>
      <c r="C7" s="21">
        <v>100</v>
      </c>
      <c r="D7" s="22">
        <v>9.6661355887065223</v>
      </c>
      <c r="E7" s="22">
        <v>53.720735997295897</v>
      </c>
      <c r="F7" s="22">
        <v>79.064073359296088</v>
      </c>
      <c r="G7" s="22">
        <f t="shared" si="0"/>
        <v>60.612736236324629</v>
      </c>
      <c r="H7" s="24"/>
    </row>
    <row r="8" spans="1:10" x14ac:dyDescent="0.25">
      <c r="B8" s="2" t="s">
        <v>7</v>
      </c>
      <c r="C8" s="21">
        <v>80</v>
      </c>
      <c r="D8" s="22">
        <v>8.8358207245918479</v>
      </c>
      <c r="E8" s="22">
        <v>84.573578665765297</v>
      </c>
      <c r="F8" s="22">
        <v>99.283770930712762</v>
      </c>
      <c r="G8" s="22">
        <f t="shared" si="0"/>
        <v>68.173292580267486</v>
      </c>
      <c r="H8" s="24"/>
    </row>
    <row r="9" spans="1:10" x14ac:dyDescent="0.25">
      <c r="B9" s="2" t="s">
        <v>8</v>
      </c>
      <c r="C9" s="21">
        <v>60</v>
      </c>
      <c r="D9" s="22">
        <v>3.7873010197798194</v>
      </c>
      <c r="E9" s="22">
        <v>74.289297776275504</v>
      </c>
      <c r="F9" s="22">
        <v>72.452728104336956</v>
      </c>
      <c r="G9" s="22">
        <f t="shared" si="0"/>
        <v>52.632331725098069</v>
      </c>
      <c r="H9" s="24"/>
    </row>
    <row r="10" spans="1:10" x14ac:dyDescent="0.25">
      <c r="B10" s="2" t="s">
        <v>9</v>
      </c>
      <c r="C10" s="21">
        <v>40</v>
      </c>
      <c r="D10" s="22">
        <v>1.1829039090994427</v>
      </c>
      <c r="E10" s="22">
        <v>53.720735997295897</v>
      </c>
      <c r="F10" s="22">
        <v>53.169637777372827</v>
      </c>
      <c r="G10" s="22">
        <f t="shared" si="0"/>
        <v>37.018319420942042</v>
      </c>
      <c r="H10" s="24"/>
    </row>
    <row r="11" spans="1:10" x14ac:dyDescent="0.25">
      <c r="B11" s="2" t="s">
        <v>10</v>
      </c>
      <c r="C11" s="21">
        <v>60</v>
      </c>
      <c r="D11" s="22">
        <v>3.1006872360549922</v>
      </c>
      <c r="E11" s="22">
        <v>74.289297776275504</v>
      </c>
      <c r="F11" s="22">
        <v>94.435451077076067</v>
      </c>
      <c r="G11" s="22">
        <f t="shared" si="0"/>
        <v>57.956359022351641</v>
      </c>
      <c r="H11" s="24"/>
    </row>
    <row r="12" spans="1:10" x14ac:dyDescent="0.25">
      <c r="B12" s="2" t="s">
        <v>11</v>
      </c>
      <c r="C12" s="21">
        <v>100</v>
      </c>
      <c r="D12" s="22">
        <v>2.447490765570457</v>
      </c>
      <c r="E12" s="22">
        <v>84.573578665765297</v>
      </c>
      <c r="F12" s="22">
        <v>99.283770930712762</v>
      </c>
      <c r="G12" s="22">
        <f t="shared" si="0"/>
        <v>71.57621009051212</v>
      </c>
      <c r="H12" s="24"/>
    </row>
    <row r="13" spans="1:10" x14ac:dyDescent="0.25">
      <c r="B13" s="2" t="s">
        <v>12</v>
      </c>
      <c r="C13" s="21">
        <v>100</v>
      </c>
      <c r="D13" s="22">
        <v>2.9331061201513955</v>
      </c>
      <c r="E13" s="22">
        <v>84.573578665765297</v>
      </c>
      <c r="F13" s="22">
        <v>99.283770930712762</v>
      </c>
      <c r="G13" s="22">
        <f t="shared" si="0"/>
        <v>71.69761392915737</v>
      </c>
      <c r="H13" s="24"/>
    </row>
    <row r="14" spans="1:10" x14ac:dyDescent="0.25">
      <c r="B14" s="2" t="s">
        <v>13</v>
      </c>
      <c r="C14" s="21">
        <v>60</v>
      </c>
      <c r="D14" s="22">
        <v>3.3195072131783991</v>
      </c>
      <c r="E14" s="22">
        <v>84.573578665765297</v>
      </c>
      <c r="F14" s="22">
        <v>88.981091241734774</v>
      </c>
      <c r="G14" s="22">
        <f t="shared" si="0"/>
        <v>59.21854428016961</v>
      </c>
      <c r="H14" s="24"/>
    </row>
    <row r="15" spans="1:10" x14ac:dyDescent="0.25">
      <c r="A15" t="e">
        <f>VLOOKUP(B15,#REF!,2,FALSE)</f>
        <v>#REF!</v>
      </c>
      <c r="B15" s="3" t="s">
        <v>297</v>
      </c>
      <c r="C15" s="21">
        <v>60</v>
      </c>
      <c r="D15" s="22">
        <v>1.8053410862763779</v>
      </c>
      <c r="E15" s="22">
        <v>53.720735997295897</v>
      </c>
      <c r="F15" s="22">
        <v>53.169637777372827</v>
      </c>
      <c r="G15" s="22">
        <f t="shared" si="0"/>
        <v>42.173928715236272</v>
      </c>
      <c r="H15" s="24"/>
    </row>
    <row r="16" spans="1:10" x14ac:dyDescent="0.25">
      <c r="B16" s="2" t="s">
        <v>14</v>
      </c>
      <c r="C16" s="21">
        <v>40</v>
      </c>
      <c r="D16" s="22">
        <v>2.2069528530189664</v>
      </c>
      <c r="E16" s="22">
        <v>53.720735997295897</v>
      </c>
      <c r="F16" s="22">
        <v>79.064073359296088</v>
      </c>
      <c r="G16" s="22">
        <f t="shared" si="0"/>
        <v>43.747940552402738</v>
      </c>
      <c r="H16" s="24"/>
    </row>
    <row r="17" spans="1:8" x14ac:dyDescent="0.25">
      <c r="B17" s="2" t="s">
        <v>15</v>
      </c>
      <c r="C17" s="21">
        <v>100</v>
      </c>
      <c r="D17" s="22">
        <v>4.6275742330347898</v>
      </c>
      <c r="E17" s="22">
        <v>98.971571911051015</v>
      </c>
      <c r="F17" s="22">
        <v>96.969800091477069</v>
      </c>
      <c r="G17" s="22">
        <f t="shared" si="0"/>
        <v>75.142236558890716</v>
      </c>
      <c r="H17" s="24"/>
    </row>
    <row r="18" spans="1:8" x14ac:dyDescent="0.25">
      <c r="B18" s="2" t="s">
        <v>16</v>
      </c>
      <c r="C18" s="21">
        <v>100</v>
      </c>
      <c r="D18" s="22">
        <v>9.9953624730538273</v>
      </c>
      <c r="E18" s="22">
        <v>53.720735997295897</v>
      </c>
      <c r="F18" s="22">
        <v>53.169637777372827</v>
      </c>
      <c r="G18" s="22">
        <f t="shared" si="0"/>
        <v>54.221434061930637</v>
      </c>
      <c r="H18" s="24"/>
    </row>
    <row r="19" spans="1:8" x14ac:dyDescent="0.25">
      <c r="B19" s="2" t="s">
        <v>17</v>
      </c>
      <c r="C19" s="21">
        <v>100</v>
      </c>
      <c r="D19" s="22">
        <v>27.656008630731225</v>
      </c>
      <c r="E19" s="22">
        <v>91.258361243933678</v>
      </c>
      <c r="F19" s="22">
        <v>0</v>
      </c>
      <c r="G19" s="22">
        <f t="shared" si="0"/>
        <v>54.728592468666221</v>
      </c>
      <c r="H19" s="24"/>
    </row>
    <row r="20" spans="1:8" x14ac:dyDescent="0.25">
      <c r="B20" s="2" t="s">
        <v>18</v>
      </c>
      <c r="C20" s="21">
        <v>80</v>
      </c>
      <c r="D20" s="22">
        <v>4.0027556898451957</v>
      </c>
      <c r="E20" s="22">
        <v>100</v>
      </c>
      <c r="F20" s="22">
        <v>99.118487299338781</v>
      </c>
      <c r="G20" s="22">
        <f t="shared" si="0"/>
        <v>70.780310747295999</v>
      </c>
      <c r="H20" s="24"/>
    </row>
    <row r="21" spans="1:8" x14ac:dyDescent="0.25">
      <c r="B21" s="2" t="s">
        <v>19</v>
      </c>
      <c r="C21" s="21">
        <v>100</v>
      </c>
      <c r="D21" s="22">
        <v>14.702092547267579</v>
      </c>
      <c r="E21" s="22">
        <v>99.907441471994602</v>
      </c>
      <c r="F21" s="22">
        <v>98.347163686260203</v>
      </c>
      <c r="G21" s="22">
        <f t="shared" si="0"/>
        <v>78.2391744263806</v>
      </c>
      <c r="H21" s="24"/>
    </row>
    <row r="22" spans="1:8" x14ac:dyDescent="0.25">
      <c r="B22" s="2" t="s">
        <v>20</v>
      </c>
      <c r="C22" s="21">
        <v>100</v>
      </c>
      <c r="D22" s="22">
        <v>25.332768026317481</v>
      </c>
      <c r="E22" s="22">
        <v>53.720735997295897</v>
      </c>
      <c r="F22" s="22">
        <v>85.124473176341965</v>
      </c>
      <c r="G22" s="22">
        <f t="shared" si="0"/>
        <v>66.044494299988841</v>
      </c>
      <c r="H22" s="24"/>
    </row>
    <row r="23" spans="1:8" x14ac:dyDescent="0.25">
      <c r="B23" s="2" t="s">
        <v>21</v>
      </c>
      <c r="C23" s="21">
        <v>40</v>
      </c>
      <c r="D23" s="22">
        <v>1.9319521944684885</v>
      </c>
      <c r="E23" s="22">
        <v>100</v>
      </c>
      <c r="F23" s="22">
        <v>98.071690967303581</v>
      </c>
      <c r="G23" s="22">
        <f t="shared" si="0"/>
        <v>60.000910790443015</v>
      </c>
      <c r="H23" s="24"/>
    </row>
    <row r="24" spans="1:8" x14ac:dyDescent="0.25">
      <c r="B24" s="2" t="s">
        <v>22</v>
      </c>
      <c r="C24" s="21">
        <v>60</v>
      </c>
      <c r="D24" s="22">
        <v>1.6445924878109637</v>
      </c>
      <c r="E24" s="22">
        <v>53.720735997295897</v>
      </c>
      <c r="F24" s="22">
        <v>53.169637777372827</v>
      </c>
      <c r="G24" s="22">
        <f t="shared" si="0"/>
        <v>42.133741565619921</v>
      </c>
      <c r="H24" s="24"/>
    </row>
    <row r="25" spans="1:8" x14ac:dyDescent="0.25">
      <c r="B25" s="2" t="s">
        <v>23</v>
      </c>
      <c r="C25" s="21">
        <v>60</v>
      </c>
      <c r="D25" s="22">
        <v>1.1284483331488528</v>
      </c>
      <c r="E25" s="22">
        <v>53.720735997295897</v>
      </c>
      <c r="F25" s="22">
        <v>79.064073359296088</v>
      </c>
      <c r="G25" s="22">
        <f t="shared" si="0"/>
        <v>48.478314422435211</v>
      </c>
      <c r="H25" s="24"/>
    </row>
    <row r="26" spans="1:8" x14ac:dyDescent="0.25">
      <c r="B26" s="2" t="s">
        <v>24</v>
      </c>
      <c r="C26" s="21">
        <v>100</v>
      </c>
      <c r="D26" s="22">
        <v>8.942255249961601</v>
      </c>
      <c r="E26" s="22">
        <v>84.573578665765297</v>
      </c>
      <c r="F26" s="22">
        <v>79.064073359296088</v>
      </c>
      <c r="G26" s="22">
        <f t="shared" si="0"/>
        <v>68.144976818755737</v>
      </c>
      <c r="H26" s="24"/>
    </row>
    <row r="27" spans="1:8" x14ac:dyDescent="0.25">
      <c r="A27" t="e">
        <f>VLOOKUP(B27,#REF!,2,FALSE)</f>
        <v>#REF!</v>
      </c>
      <c r="B27" s="2" t="s">
        <v>25</v>
      </c>
      <c r="C27" s="21">
        <v>80</v>
      </c>
      <c r="D27" s="22">
        <v>1.4321419802152009</v>
      </c>
      <c r="E27" s="22">
        <v>53.720735997295897</v>
      </c>
      <c r="F27" s="22">
        <v>53.169637777372827</v>
      </c>
      <c r="G27" s="22">
        <f t="shared" si="0"/>
        <v>47.080628938720984</v>
      </c>
      <c r="H27" s="24"/>
    </row>
    <row r="28" spans="1:8" x14ac:dyDescent="0.25">
      <c r="A28" t="e">
        <f>VLOOKUP(B28,#REF!,2,FALSE)</f>
        <v>#REF!</v>
      </c>
      <c r="B28" s="2" t="s">
        <v>26</v>
      </c>
      <c r="C28" s="21">
        <v>60</v>
      </c>
      <c r="D28" s="22">
        <v>7.3918408641917761</v>
      </c>
      <c r="E28" s="22">
        <v>96.914715733153059</v>
      </c>
      <c r="F28" s="22">
        <v>87.32825492799499</v>
      </c>
      <c r="G28" s="22">
        <f t="shared" si="0"/>
        <v>62.90870288133496</v>
      </c>
      <c r="H28" s="24"/>
    </row>
    <row r="29" spans="1:8" x14ac:dyDescent="0.25">
      <c r="B29" s="2" t="s">
        <v>27</v>
      </c>
      <c r="C29" s="21">
        <v>20</v>
      </c>
      <c r="D29" s="22">
        <v>6.2424898523555798</v>
      </c>
      <c r="E29" s="22">
        <v>94.857859555255104</v>
      </c>
      <c r="F29" s="22">
        <v>84.022582300515438</v>
      </c>
      <c r="G29" s="22">
        <f t="shared" si="0"/>
        <v>51.280732927031529</v>
      </c>
      <c r="H29" s="24"/>
    </row>
    <row r="30" spans="1:8" x14ac:dyDescent="0.25">
      <c r="B30" s="2" t="s">
        <v>28</v>
      </c>
      <c r="C30" s="21">
        <v>40</v>
      </c>
      <c r="D30" s="22">
        <v>2.5608667440230599</v>
      </c>
      <c r="E30" s="22">
        <v>74.289297776275504</v>
      </c>
      <c r="F30" s="22">
        <v>53.169637777372827</v>
      </c>
      <c r="G30" s="22">
        <f t="shared" si="0"/>
        <v>42.504950574417848</v>
      </c>
      <c r="H30" s="24"/>
    </row>
    <row r="31" spans="1:8" x14ac:dyDescent="0.25">
      <c r="B31" s="2" t="s">
        <v>29</v>
      </c>
      <c r="C31" s="21">
        <v>100</v>
      </c>
      <c r="D31" s="22">
        <v>16.075320114717233</v>
      </c>
      <c r="E31" s="22">
        <v>99.640050168867873</v>
      </c>
      <c r="F31" s="22">
        <v>53.169637777372827</v>
      </c>
      <c r="G31" s="22">
        <f t="shared" si="0"/>
        <v>67.221252015239486</v>
      </c>
      <c r="H31" s="24"/>
    </row>
    <row r="32" spans="1:8" x14ac:dyDescent="0.25">
      <c r="B32" s="2" t="s">
        <v>30</v>
      </c>
      <c r="C32" s="21">
        <v>100</v>
      </c>
      <c r="D32" s="22">
        <v>9.3749166390577159</v>
      </c>
      <c r="E32" s="22">
        <v>53.720735997295897</v>
      </c>
      <c r="F32" s="22">
        <v>53.169637777372827</v>
      </c>
      <c r="G32" s="22">
        <f t="shared" si="0"/>
        <v>54.066322603431608</v>
      </c>
      <c r="H32" s="24"/>
    </row>
    <row r="33" spans="1:8" x14ac:dyDescent="0.25">
      <c r="B33" s="2" t="s">
        <v>31</v>
      </c>
      <c r="C33" s="21">
        <v>100</v>
      </c>
      <c r="D33" s="22">
        <v>7.101988251554844</v>
      </c>
      <c r="E33" s="22">
        <v>96.914715733153059</v>
      </c>
      <c r="F33" s="22">
        <v>87.32825492799499</v>
      </c>
      <c r="G33" s="22">
        <f t="shared" si="0"/>
        <v>72.836239728175727</v>
      </c>
      <c r="H33" s="24"/>
    </row>
    <row r="34" spans="1:8" x14ac:dyDescent="0.25">
      <c r="B34" s="2" t="s">
        <v>32</v>
      </c>
      <c r="C34" s="21">
        <v>100</v>
      </c>
      <c r="D34" s="22">
        <v>29.243767491088835</v>
      </c>
      <c r="E34" s="22">
        <v>99.696613713760058</v>
      </c>
      <c r="F34" s="22">
        <v>99.079921118684837</v>
      </c>
      <c r="G34" s="22">
        <f t="shared" si="0"/>
        <v>82.005075580883442</v>
      </c>
      <c r="H34" s="24"/>
    </row>
    <row r="35" spans="1:8" x14ac:dyDescent="0.25">
      <c r="B35" s="2" t="s">
        <v>33</v>
      </c>
      <c r="C35" s="21">
        <v>60</v>
      </c>
      <c r="D35" s="22">
        <v>2.488758118781262</v>
      </c>
      <c r="E35" s="22">
        <v>53.720735997295897</v>
      </c>
      <c r="F35" s="22">
        <v>53.169637777372827</v>
      </c>
      <c r="G35" s="22">
        <f t="shared" si="0"/>
        <v>42.344782973362499</v>
      </c>
      <c r="H35" s="24"/>
    </row>
    <row r="36" spans="1:8" x14ac:dyDescent="0.25">
      <c r="B36" s="2" t="s">
        <v>34</v>
      </c>
      <c r="C36" s="21">
        <v>100</v>
      </c>
      <c r="D36" s="22">
        <v>19.887210431258513</v>
      </c>
      <c r="E36" s="22">
        <v>53.720735997295897</v>
      </c>
      <c r="F36" s="22">
        <v>83.471636862602168</v>
      </c>
      <c r="G36" s="22">
        <f t="shared" si="0"/>
        <v>64.269895822789152</v>
      </c>
      <c r="H36" s="24"/>
    </row>
    <row r="37" spans="1:8" x14ac:dyDescent="0.25">
      <c r="B37" s="2" t="s">
        <v>35</v>
      </c>
      <c r="C37" s="21">
        <v>40</v>
      </c>
      <c r="D37" s="22">
        <v>2.6981895007680259</v>
      </c>
      <c r="E37" s="22">
        <v>0</v>
      </c>
      <c r="F37" s="22">
        <v>88.981091241734774</v>
      </c>
      <c r="G37" s="22">
        <f t="shared" si="0"/>
        <v>32.919820185625696</v>
      </c>
      <c r="H37" s="24"/>
    </row>
    <row r="38" spans="1:8" x14ac:dyDescent="0.25">
      <c r="B38" s="2" t="s">
        <v>36</v>
      </c>
      <c r="C38" s="21">
        <v>100</v>
      </c>
      <c r="D38" s="22">
        <v>15.130634253661349</v>
      </c>
      <c r="E38" s="22">
        <v>95.886287644204074</v>
      </c>
      <c r="F38" s="22">
        <v>98.732825492799506</v>
      </c>
      <c r="G38" s="22">
        <f t="shared" si="0"/>
        <v>77.437436847666234</v>
      </c>
      <c r="H38" s="24"/>
    </row>
    <row r="39" spans="1:8" x14ac:dyDescent="0.25">
      <c r="B39" s="2" t="s">
        <v>37</v>
      </c>
      <c r="C39" s="21">
        <v>80</v>
      </c>
      <c r="D39" s="22">
        <v>2.1536337412621283</v>
      </c>
      <c r="E39" s="22">
        <v>84.573578665765297</v>
      </c>
      <c r="F39" s="22">
        <v>88.981091241734774</v>
      </c>
      <c r="G39" s="22">
        <f t="shared" si="0"/>
        <v>63.927075912190546</v>
      </c>
      <c r="H39" s="24"/>
    </row>
    <row r="40" spans="1:8" x14ac:dyDescent="0.25">
      <c r="B40" s="2" t="s">
        <v>38</v>
      </c>
      <c r="C40" s="21">
        <v>60</v>
      </c>
      <c r="D40" s="22">
        <v>2.380926580012416</v>
      </c>
      <c r="E40" s="22">
        <v>74.289297776275504</v>
      </c>
      <c r="F40" s="22">
        <v>70.248946352683902</v>
      </c>
      <c r="G40" s="22">
        <f t="shared" si="0"/>
        <v>51.729792677242955</v>
      </c>
      <c r="H40" s="24"/>
    </row>
    <row r="41" spans="1:8" x14ac:dyDescent="0.25">
      <c r="B41" s="2" t="s">
        <v>39</v>
      </c>
      <c r="C41" s="21">
        <v>100</v>
      </c>
      <c r="D41" s="22">
        <v>18.369557205852946</v>
      </c>
      <c r="E41" s="22">
        <v>75.83193990969896</v>
      </c>
      <c r="F41" s="22">
        <v>75.758400731816522</v>
      </c>
      <c r="G41" s="22">
        <f t="shared" si="0"/>
        <v>67.48997446184211</v>
      </c>
      <c r="H41" s="24"/>
    </row>
    <row r="42" spans="1:8" x14ac:dyDescent="0.25">
      <c r="B42" s="2" t="s">
        <v>40</v>
      </c>
      <c r="C42" s="21">
        <v>100</v>
      </c>
      <c r="D42" s="22">
        <v>4.5750127640737839</v>
      </c>
      <c r="E42" s="22">
        <v>53.720735997295897</v>
      </c>
      <c r="F42" s="22">
        <v>77.962182483469562</v>
      </c>
      <c r="G42" s="22">
        <f t="shared" si="0"/>
        <v>59.064482811209814</v>
      </c>
      <c r="H42" s="24"/>
    </row>
    <row r="43" spans="1:8" x14ac:dyDescent="0.25">
      <c r="B43" s="2" t="s">
        <v>41</v>
      </c>
      <c r="C43" s="21">
        <v>80</v>
      </c>
      <c r="D43" s="22">
        <v>1.0222548573862866</v>
      </c>
      <c r="E43" s="22">
        <v>84.573578665765297</v>
      </c>
      <c r="F43" s="22">
        <v>99.283770930712762</v>
      </c>
      <c r="G43" s="22">
        <f t="shared" si="0"/>
        <v>66.219901113466079</v>
      </c>
      <c r="H43" s="24"/>
    </row>
    <row r="44" spans="1:8" x14ac:dyDescent="0.25">
      <c r="B44" s="2" t="s">
        <v>42</v>
      </c>
      <c r="C44" s="21">
        <v>100</v>
      </c>
      <c r="D44" s="22">
        <v>10.271066008505466</v>
      </c>
      <c r="E44" s="22">
        <v>58.862876442040793</v>
      </c>
      <c r="F44" s="22">
        <v>83.471636862602168</v>
      </c>
      <c r="G44" s="22">
        <f t="shared" si="0"/>
        <v>63.15139482828711</v>
      </c>
      <c r="H44" s="24"/>
    </row>
    <row r="45" spans="1:8" x14ac:dyDescent="0.25">
      <c r="B45" s="2" t="s">
        <v>43</v>
      </c>
      <c r="C45" s="21">
        <v>40</v>
      </c>
      <c r="D45" s="22">
        <v>4.9084852102974752</v>
      </c>
      <c r="E45" s="22">
        <v>53.720735997295897</v>
      </c>
      <c r="F45" s="22">
        <v>75.207455293903251</v>
      </c>
      <c r="G45" s="22">
        <f t="shared" si="0"/>
        <v>43.45916912537416</v>
      </c>
      <c r="H45" s="24"/>
    </row>
    <row r="46" spans="1:8" x14ac:dyDescent="0.25">
      <c r="B46" s="2" t="s">
        <v>44</v>
      </c>
      <c r="C46" s="21">
        <v>80</v>
      </c>
      <c r="D46" s="22">
        <v>0.82547844073549337</v>
      </c>
      <c r="E46" s="22">
        <v>84.573578665765297</v>
      </c>
      <c r="F46" s="22">
        <v>88.981091241734774</v>
      </c>
      <c r="G46" s="22">
        <f t="shared" si="0"/>
        <v>63.595037087058884</v>
      </c>
      <c r="H46" s="24"/>
    </row>
    <row r="47" spans="1:8" x14ac:dyDescent="0.25">
      <c r="B47" s="2" t="s">
        <v>45</v>
      </c>
      <c r="C47" s="21">
        <v>100</v>
      </c>
      <c r="D47" s="22">
        <v>7.0214413518227117</v>
      </c>
      <c r="E47" s="22">
        <v>53.720735997295897</v>
      </c>
      <c r="F47" s="22">
        <v>77.962182483469562</v>
      </c>
      <c r="G47" s="22">
        <f t="shared" si="0"/>
        <v>59.676089958147045</v>
      </c>
      <c r="H47" s="24"/>
    </row>
    <row r="48" spans="1:8" x14ac:dyDescent="0.25">
      <c r="A48" t="e">
        <f>VLOOKUP(B48,#REF!,2,FALSE)</f>
        <v>#REF!</v>
      </c>
      <c r="B48" s="2" t="s">
        <v>46</v>
      </c>
      <c r="C48" s="21">
        <v>60</v>
      </c>
      <c r="D48" s="22">
        <v>2.280583534838601</v>
      </c>
      <c r="E48" s="22">
        <v>84.573578665765297</v>
      </c>
      <c r="F48" s="22">
        <v>88.981091241734774</v>
      </c>
      <c r="G48" s="22">
        <f t="shared" si="0"/>
        <v>58.958813360584671</v>
      </c>
      <c r="H48" s="24"/>
    </row>
    <row r="49" spans="1:8" x14ac:dyDescent="0.25">
      <c r="B49" s="2" t="s">
        <v>47</v>
      </c>
      <c r="C49" s="21">
        <v>100</v>
      </c>
      <c r="D49" s="22">
        <v>10.86652589335648</v>
      </c>
      <c r="E49" s="22">
        <v>53.720735997295897</v>
      </c>
      <c r="F49" s="22">
        <v>79.064073359296088</v>
      </c>
      <c r="G49" s="22">
        <f t="shared" si="0"/>
        <v>60.912833812487115</v>
      </c>
      <c r="H49" s="24"/>
    </row>
    <row r="50" spans="1:8" x14ac:dyDescent="0.25">
      <c r="B50" s="2" t="s">
        <v>48</v>
      </c>
      <c r="C50" s="21">
        <v>100</v>
      </c>
      <c r="D50" s="22">
        <v>1.73801931507228</v>
      </c>
      <c r="E50" s="22">
        <v>84.573578665765297</v>
      </c>
      <c r="F50" s="22">
        <v>99.283770930712762</v>
      </c>
      <c r="G50" s="22">
        <f t="shared" si="0"/>
        <v>71.398842227887584</v>
      </c>
      <c r="H50" s="24"/>
    </row>
    <row r="51" spans="1:8" x14ac:dyDescent="0.25">
      <c r="B51" s="2" t="s">
        <v>49</v>
      </c>
      <c r="C51" s="21">
        <v>100</v>
      </c>
      <c r="D51" s="22">
        <v>11.486845932445805</v>
      </c>
      <c r="E51" s="22">
        <v>53.720735997295897</v>
      </c>
      <c r="F51" s="22">
        <v>53.169637777372827</v>
      </c>
      <c r="G51" s="22">
        <f t="shared" si="0"/>
        <v>54.594304926778634</v>
      </c>
      <c r="H51" s="24"/>
    </row>
    <row r="52" spans="1:8" x14ac:dyDescent="0.25">
      <c r="B52" s="2" t="s">
        <v>50</v>
      </c>
      <c r="C52" s="21">
        <v>80</v>
      </c>
      <c r="D52" s="22">
        <v>1.2946756998555393</v>
      </c>
      <c r="E52" s="22">
        <v>84.573578665765297</v>
      </c>
      <c r="F52" s="22">
        <v>88.981091241734774</v>
      </c>
      <c r="G52" s="22">
        <f t="shared" si="0"/>
        <v>63.712336401838897</v>
      </c>
      <c r="H52" s="24"/>
    </row>
    <row r="53" spans="1:8" x14ac:dyDescent="0.25">
      <c r="B53" s="2" t="s">
        <v>51</v>
      </c>
      <c r="C53" s="21">
        <v>100</v>
      </c>
      <c r="D53" s="22">
        <v>10.288823261532833</v>
      </c>
      <c r="E53" s="22">
        <v>83.030936532341826</v>
      </c>
      <c r="F53" s="22">
        <v>81.267855110949128</v>
      </c>
      <c r="G53" s="22">
        <f t="shared" si="0"/>
        <v>68.646903726205949</v>
      </c>
      <c r="H53" s="24"/>
    </row>
    <row r="54" spans="1:8" x14ac:dyDescent="0.25">
      <c r="B54" s="2" t="s">
        <v>52</v>
      </c>
      <c r="C54" s="21">
        <v>100</v>
      </c>
      <c r="D54" s="22">
        <v>11.65731556150852</v>
      </c>
      <c r="E54" s="22">
        <v>88.430183999323958</v>
      </c>
      <c r="F54" s="22">
        <v>88.981091241734774</v>
      </c>
      <c r="G54" s="22">
        <f t="shared" si="0"/>
        <v>72.267147700641814</v>
      </c>
      <c r="H54" s="24"/>
    </row>
    <row r="55" spans="1:8" x14ac:dyDescent="0.25">
      <c r="B55" s="2" t="s">
        <v>53</v>
      </c>
      <c r="C55" s="21">
        <v>100</v>
      </c>
      <c r="D55" s="22">
        <v>6.3443454557205525</v>
      </c>
      <c r="E55" s="22">
        <v>53.720735997295897</v>
      </c>
      <c r="F55" s="22">
        <v>53.169637777372827</v>
      </c>
      <c r="G55" s="22">
        <f t="shared" si="0"/>
        <v>53.308679807597322</v>
      </c>
      <c r="H55" s="24"/>
    </row>
    <row r="56" spans="1:8" x14ac:dyDescent="0.25">
      <c r="B56" s="2" t="s">
        <v>54</v>
      </c>
      <c r="C56" s="21">
        <v>100</v>
      </c>
      <c r="D56" s="22">
        <v>2.5718762409000271</v>
      </c>
      <c r="E56" s="22">
        <v>96.914715733153059</v>
      </c>
      <c r="F56" s="22">
        <v>87.32825492799499</v>
      </c>
      <c r="G56" s="22">
        <f t="shared" si="0"/>
        <v>71.703711725512022</v>
      </c>
      <c r="H56" s="24"/>
    </row>
    <row r="57" spans="1:8" x14ac:dyDescent="0.25">
      <c r="B57" s="2" t="s">
        <v>55</v>
      </c>
      <c r="C57" s="21">
        <v>100</v>
      </c>
      <c r="D57" s="22">
        <v>16.548846862113663</v>
      </c>
      <c r="E57" s="22">
        <v>98.045986630996936</v>
      </c>
      <c r="F57" s="22">
        <v>97.961501879720927</v>
      </c>
      <c r="G57" s="22">
        <f t="shared" si="0"/>
        <v>78.139083843207885</v>
      </c>
      <c r="H57" s="24"/>
    </row>
    <row r="58" spans="1:8" x14ac:dyDescent="0.25">
      <c r="B58" s="2" t="s">
        <v>56</v>
      </c>
      <c r="C58" s="21">
        <v>60</v>
      </c>
      <c r="D58" s="22">
        <v>2.6389986573434712</v>
      </c>
      <c r="E58" s="22">
        <v>74.289297776275504</v>
      </c>
      <c r="F58" s="22">
        <v>70.248946352683902</v>
      </c>
      <c r="G58" s="22">
        <f t="shared" si="0"/>
        <v>51.794310696575721</v>
      </c>
      <c r="H58" s="24"/>
    </row>
    <row r="59" spans="1:8" x14ac:dyDescent="0.25">
      <c r="B59" s="2" t="s">
        <v>57</v>
      </c>
      <c r="C59" s="21">
        <v>60</v>
      </c>
      <c r="D59" s="22">
        <v>2.4046029173822374</v>
      </c>
      <c r="E59" s="22">
        <v>53.720735997295897</v>
      </c>
      <c r="F59" s="22">
        <v>80.165964235122615</v>
      </c>
      <c r="G59" s="22">
        <f t="shared" si="0"/>
        <v>49.072825787450185</v>
      </c>
      <c r="H59" s="24"/>
    </row>
    <row r="60" spans="1:8" x14ac:dyDescent="0.25">
      <c r="B60" s="2" t="s">
        <v>58</v>
      </c>
      <c r="C60" s="21">
        <v>60</v>
      </c>
      <c r="D60" s="22">
        <v>4.2848829259439905</v>
      </c>
      <c r="E60" s="22">
        <v>74.289297776275504</v>
      </c>
      <c r="F60" s="22">
        <v>70.248946352683902</v>
      </c>
      <c r="G60" s="22">
        <f t="shared" si="0"/>
        <v>52.205781763725852</v>
      </c>
      <c r="H60" s="24"/>
    </row>
    <row r="61" spans="1:8" x14ac:dyDescent="0.25">
      <c r="A61" t="e">
        <f>VLOOKUP(B61,#REF!,2,FALSE)</f>
        <v>#REF!</v>
      </c>
      <c r="B61" s="2" t="s">
        <v>59</v>
      </c>
      <c r="C61" s="21">
        <v>100</v>
      </c>
      <c r="D61" s="22">
        <v>3.7542204765215947</v>
      </c>
      <c r="E61" s="22">
        <v>84.573578665765297</v>
      </c>
      <c r="F61" s="22">
        <v>53.169637777372827</v>
      </c>
      <c r="G61" s="22">
        <f t="shared" si="0"/>
        <v>60.37435922991493</v>
      </c>
      <c r="H61" s="24"/>
    </row>
    <row r="62" spans="1:8" x14ac:dyDescent="0.25">
      <c r="B62" s="2" t="s">
        <v>60</v>
      </c>
      <c r="C62" s="21">
        <v>100</v>
      </c>
      <c r="D62" s="22">
        <v>10.90497626524507</v>
      </c>
      <c r="E62" s="22">
        <v>53.720735997295897</v>
      </c>
      <c r="F62" s="22">
        <v>53.169637777372827</v>
      </c>
      <c r="G62" s="22">
        <f t="shared" si="0"/>
        <v>54.448837509978446</v>
      </c>
      <c r="H62" s="24"/>
    </row>
    <row r="63" spans="1:8" x14ac:dyDescent="0.25">
      <c r="B63" s="2" t="s">
        <v>61</v>
      </c>
      <c r="C63" s="21">
        <v>40</v>
      </c>
      <c r="D63" s="22">
        <v>1.957238522779458</v>
      </c>
      <c r="E63" s="22">
        <v>95.372073599729589</v>
      </c>
      <c r="F63" s="22">
        <v>87.32825492799499</v>
      </c>
      <c r="G63" s="22">
        <f t="shared" si="0"/>
        <v>56.164391762626011</v>
      </c>
      <c r="H63" s="24"/>
    </row>
    <row r="64" spans="1:8" x14ac:dyDescent="0.25">
      <c r="B64" s="2" t="s">
        <v>62</v>
      </c>
      <c r="C64" s="21">
        <v>100</v>
      </c>
      <c r="D64" s="22">
        <v>16.647056309523688</v>
      </c>
      <c r="E64" s="22">
        <v>97.686036799864794</v>
      </c>
      <c r="F64" s="22">
        <v>88.981091241734774</v>
      </c>
      <c r="G64" s="22">
        <f t="shared" si="0"/>
        <v>75.828546087780808</v>
      </c>
      <c r="H64" s="24"/>
    </row>
    <row r="65" spans="2:8" x14ac:dyDescent="0.25">
      <c r="B65" s="2" t="s">
        <v>63</v>
      </c>
      <c r="C65" s="21">
        <v>100</v>
      </c>
      <c r="D65" s="22">
        <v>12.310782472915598</v>
      </c>
      <c r="E65" s="22">
        <v>98.045986630996936</v>
      </c>
      <c r="F65" s="22">
        <v>97.961501879720927</v>
      </c>
      <c r="G65" s="22">
        <f t="shared" si="0"/>
        <v>77.079567745908363</v>
      </c>
      <c r="H65" s="24"/>
    </row>
    <row r="66" spans="2:8" x14ac:dyDescent="0.25">
      <c r="B66" s="2" t="s">
        <v>64</v>
      </c>
      <c r="C66" s="21">
        <v>60</v>
      </c>
      <c r="D66" s="22">
        <v>1.7984886807148042</v>
      </c>
      <c r="E66" s="22">
        <v>53.720735997295897</v>
      </c>
      <c r="F66" s="22">
        <v>79.064073359296088</v>
      </c>
      <c r="G66" s="22">
        <f t="shared" ref="G66:G129" si="1">AVERAGE(C66:F66)</f>
        <v>48.645824509326701</v>
      </c>
      <c r="H66" s="24"/>
    </row>
    <row r="67" spans="2:8" x14ac:dyDescent="0.25">
      <c r="B67" s="2" t="s">
        <v>65</v>
      </c>
      <c r="C67" s="21">
        <v>100</v>
      </c>
      <c r="D67" s="22">
        <v>1.0387860435293386</v>
      </c>
      <c r="E67" s="22">
        <v>96.914715733153059</v>
      </c>
      <c r="F67" s="22">
        <v>87.32825492799499</v>
      </c>
      <c r="G67" s="22">
        <f t="shared" si="1"/>
        <v>71.320439176169344</v>
      </c>
      <c r="H67" s="24"/>
    </row>
    <row r="68" spans="2:8" x14ac:dyDescent="0.25">
      <c r="B68" s="2" t="s">
        <v>66</v>
      </c>
      <c r="C68" s="21">
        <v>60</v>
      </c>
      <c r="D68" s="22">
        <v>2.4652616937237197</v>
      </c>
      <c r="E68" s="22">
        <v>53.720735997295897</v>
      </c>
      <c r="F68" s="22">
        <v>81.267855110949128</v>
      </c>
      <c r="G68" s="22">
        <f t="shared" si="1"/>
        <v>49.363463200492191</v>
      </c>
      <c r="H68" s="24"/>
    </row>
    <row r="69" spans="2:8" x14ac:dyDescent="0.25">
      <c r="B69" s="2" t="s">
        <v>67</v>
      </c>
      <c r="C69" s="21">
        <v>100</v>
      </c>
      <c r="D69" s="22">
        <v>5.3262629488182247</v>
      </c>
      <c r="E69" s="22">
        <v>53.720735997295897</v>
      </c>
      <c r="F69" s="22">
        <v>53.169637777372827</v>
      </c>
      <c r="G69" s="22">
        <f t="shared" si="1"/>
        <v>53.054159180871736</v>
      </c>
      <c r="H69" s="24"/>
    </row>
    <row r="70" spans="2:8" x14ac:dyDescent="0.25">
      <c r="B70" s="2" t="s">
        <v>68</v>
      </c>
      <c r="C70" s="21">
        <v>100</v>
      </c>
      <c r="D70" s="22">
        <v>7.5249186659919687</v>
      </c>
      <c r="E70" s="22">
        <v>53.720735997295897</v>
      </c>
      <c r="F70" s="22">
        <v>53.169637777372827</v>
      </c>
      <c r="G70" s="22">
        <f t="shared" si="1"/>
        <v>53.603823110165173</v>
      </c>
      <c r="H70" s="24"/>
    </row>
    <row r="71" spans="2:8" x14ac:dyDescent="0.25">
      <c r="B71" s="2" t="s">
        <v>69</v>
      </c>
      <c r="C71" s="21">
        <v>100</v>
      </c>
      <c r="D71" s="22">
        <v>3.6925956703005332</v>
      </c>
      <c r="E71" s="22">
        <v>53.720735997295897</v>
      </c>
      <c r="F71" s="22">
        <v>75.207455293903251</v>
      </c>
      <c r="G71" s="22">
        <f t="shared" si="1"/>
        <v>58.155196740374919</v>
      </c>
      <c r="H71" s="24"/>
    </row>
    <row r="72" spans="2:8" x14ac:dyDescent="0.25">
      <c r="B72" s="2" t="s">
        <v>70</v>
      </c>
      <c r="C72" s="21">
        <v>100</v>
      </c>
      <c r="D72" s="22">
        <v>0.9112889667928491</v>
      </c>
      <c r="E72" s="22">
        <v>91.258361243933678</v>
      </c>
      <c r="F72" s="22">
        <v>0</v>
      </c>
      <c r="G72" s="22">
        <f t="shared" si="1"/>
        <v>48.042412552681633</v>
      </c>
      <c r="H72" s="24"/>
    </row>
    <row r="73" spans="2:8" x14ac:dyDescent="0.25">
      <c r="B73" s="2" t="s">
        <v>71</v>
      </c>
      <c r="C73" s="21">
        <v>40</v>
      </c>
      <c r="D73" s="22">
        <v>2.1299574038923068</v>
      </c>
      <c r="E73" s="22">
        <v>53.720735997295897</v>
      </c>
      <c r="F73" s="22">
        <v>53.169637777372827</v>
      </c>
      <c r="G73" s="22">
        <f t="shared" si="1"/>
        <v>37.255082794640259</v>
      </c>
      <c r="H73" s="24"/>
    </row>
    <row r="74" spans="2:8" x14ac:dyDescent="0.25">
      <c r="B74" s="2" t="s">
        <v>72</v>
      </c>
      <c r="C74" s="21">
        <v>100</v>
      </c>
      <c r="D74" s="22">
        <v>10.329617590821034</v>
      </c>
      <c r="E74" s="22">
        <v>53.720735997295897</v>
      </c>
      <c r="F74" s="22">
        <v>77.962182483469562</v>
      </c>
      <c r="G74" s="22">
        <f t="shared" si="1"/>
        <v>60.503134017896627</v>
      </c>
      <c r="H74" s="24"/>
    </row>
    <row r="75" spans="2:8" x14ac:dyDescent="0.25">
      <c r="B75" s="2" t="s">
        <v>73</v>
      </c>
      <c r="C75" s="21">
        <v>60</v>
      </c>
      <c r="D75" s="22">
        <v>3.5429237661132422</v>
      </c>
      <c r="E75" s="22">
        <v>84.573578665765297</v>
      </c>
      <c r="F75" s="22">
        <v>88.981091241734774</v>
      </c>
      <c r="G75" s="22">
        <f t="shared" si="1"/>
        <v>59.274398418403322</v>
      </c>
      <c r="H75" s="24"/>
    </row>
    <row r="76" spans="2:8" x14ac:dyDescent="0.25">
      <c r="B76" s="2" t="s">
        <v>74</v>
      </c>
      <c r="C76" s="21">
        <v>100</v>
      </c>
      <c r="D76" s="22">
        <v>14.33984458550931</v>
      </c>
      <c r="E76" s="22">
        <v>98.045986630996936</v>
      </c>
      <c r="F76" s="22">
        <v>97.961501879720927</v>
      </c>
      <c r="G76" s="22">
        <f t="shared" si="1"/>
        <v>77.586833274056787</v>
      </c>
      <c r="H76" s="24"/>
    </row>
    <row r="77" spans="2:8" x14ac:dyDescent="0.25">
      <c r="B77" s="2" t="s">
        <v>75</v>
      </c>
      <c r="C77" s="21">
        <v>100</v>
      </c>
      <c r="D77" s="22">
        <v>12.196899290166753</v>
      </c>
      <c r="E77" s="22">
        <v>53.720735997295897</v>
      </c>
      <c r="F77" s="22">
        <v>81.267855110949128</v>
      </c>
      <c r="G77" s="22">
        <f t="shared" si="1"/>
        <v>61.796372599602947</v>
      </c>
      <c r="H77" s="24"/>
    </row>
    <row r="78" spans="2:8" x14ac:dyDescent="0.25">
      <c r="B78" s="2" t="s">
        <v>76</v>
      </c>
      <c r="C78" s="21">
        <v>100</v>
      </c>
      <c r="D78" s="22">
        <v>9.2266080617731561</v>
      </c>
      <c r="E78" s="22">
        <v>0</v>
      </c>
      <c r="F78" s="22">
        <v>73.003673542250212</v>
      </c>
      <c r="G78" s="22">
        <f t="shared" si="1"/>
        <v>45.557570401005847</v>
      </c>
      <c r="H78" s="24"/>
    </row>
    <row r="79" spans="2:8" x14ac:dyDescent="0.25">
      <c r="B79" s="2" t="s">
        <v>77</v>
      </c>
      <c r="C79" s="21">
        <v>60</v>
      </c>
      <c r="D79" s="22">
        <v>0.49581659862721955</v>
      </c>
      <c r="E79" s="22">
        <v>96.914715733153059</v>
      </c>
      <c r="F79" s="22">
        <v>87.32825492799499</v>
      </c>
      <c r="G79" s="22">
        <f t="shared" si="1"/>
        <v>61.18469681494382</v>
      </c>
      <c r="H79" s="24"/>
    </row>
    <row r="80" spans="2:8" x14ac:dyDescent="0.25">
      <c r="B80" s="2" t="s">
        <v>78</v>
      </c>
      <c r="C80" s="21">
        <v>100</v>
      </c>
      <c r="D80" s="22">
        <v>2.8520856936718659</v>
      </c>
      <c r="E80" s="22">
        <v>53.720735997295897</v>
      </c>
      <c r="F80" s="22">
        <v>79.064073359296088</v>
      </c>
      <c r="G80" s="22">
        <f t="shared" si="1"/>
        <v>58.909223762565965</v>
      </c>
      <c r="H80" s="24"/>
    </row>
    <row r="81" spans="2:8" x14ac:dyDescent="0.25">
      <c r="B81" s="2" t="s">
        <v>79</v>
      </c>
      <c r="C81" s="21">
        <v>60</v>
      </c>
      <c r="D81" s="22">
        <v>4.2454381478858672</v>
      </c>
      <c r="E81" s="22">
        <v>53.720735997295897</v>
      </c>
      <c r="F81" s="22">
        <v>53.169637777372827</v>
      </c>
      <c r="G81" s="22">
        <f t="shared" si="1"/>
        <v>42.783952980638645</v>
      </c>
      <c r="H81" s="24"/>
    </row>
    <row r="82" spans="2:8" x14ac:dyDescent="0.25">
      <c r="B82" s="2" t="s">
        <v>80</v>
      </c>
      <c r="C82" s="21">
        <v>100</v>
      </c>
      <c r="D82" s="22">
        <v>8.5486124648509456</v>
      </c>
      <c r="E82" s="22">
        <v>53.720735997295897</v>
      </c>
      <c r="F82" s="22">
        <v>53.169637777372827</v>
      </c>
      <c r="G82" s="22">
        <f t="shared" si="1"/>
        <v>53.859746559879916</v>
      </c>
      <c r="H82" s="24"/>
    </row>
    <row r="83" spans="2:8" x14ac:dyDescent="0.25">
      <c r="B83" s="2" t="s">
        <v>81</v>
      </c>
      <c r="C83" s="21">
        <v>80</v>
      </c>
      <c r="D83" s="22">
        <v>2.2332092422961405</v>
      </c>
      <c r="E83" s="22">
        <v>53.720735997295897</v>
      </c>
      <c r="F83" s="22">
        <v>79.064073359296088</v>
      </c>
      <c r="G83" s="22">
        <f t="shared" si="1"/>
        <v>53.75450464972203</v>
      </c>
      <c r="H83" s="24"/>
    </row>
    <row r="84" spans="2:8" x14ac:dyDescent="0.25">
      <c r="B84" s="2" t="s">
        <v>82</v>
      </c>
      <c r="C84" s="21">
        <v>100</v>
      </c>
      <c r="D84" s="22">
        <v>6.2617150382998759</v>
      </c>
      <c r="E84" s="22">
        <v>53.720735997295897</v>
      </c>
      <c r="F84" s="22">
        <v>77.962182483469562</v>
      </c>
      <c r="G84" s="22">
        <f t="shared" si="1"/>
        <v>59.486158379766337</v>
      </c>
      <c r="H84" s="24"/>
    </row>
    <row r="85" spans="2:8" x14ac:dyDescent="0.25">
      <c r="B85" s="2" t="s">
        <v>83</v>
      </c>
      <c r="C85" s="21">
        <v>60</v>
      </c>
      <c r="D85" s="22">
        <v>2.1885372885889209</v>
      </c>
      <c r="E85" s="22">
        <v>84.573578665765297</v>
      </c>
      <c r="F85" s="22">
        <v>95.027717422832822</v>
      </c>
      <c r="G85" s="22">
        <f t="shared" si="1"/>
        <v>60.447458344296763</v>
      </c>
      <c r="H85" s="24"/>
    </row>
    <row r="86" spans="2:8" x14ac:dyDescent="0.25">
      <c r="B86" s="2" t="s">
        <v>84</v>
      </c>
      <c r="C86" s="21">
        <v>100</v>
      </c>
      <c r="D86" s="22">
        <v>5.8305689347954246</v>
      </c>
      <c r="E86" s="22">
        <v>58.862876442040793</v>
      </c>
      <c r="F86" s="22">
        <v>0</v>
      </c>
      <c r="G86" s="22">
        <f t="shared" si="1"/>
        <v>41.173361344209056</v>
      </c>
      <c r="H86" s="24"/>
    </row>
    <row r="87" spans="2:8" x14ac:dyDescent="0.25">
      <c r="B87" s="2" t="s">
        <v>85</v>
      </c>
      <c r="C87" s="21">
        <v>100</v>
      </c>
      <c r="D87" s="22">
        <v>17.089030784867667</v>
      </c>
      <c r="E87" s="22">
        <v>96.914715733153059</v>
      </c>
      <c r="F87" s="22">
        <v>87.32825492799499</v>
      </c>
      <c r="G87" s="22">
        <f t="shared" si="1"/>
        <v>75.333000361503935</v>
      </c>
      <c r="H87" s="24"/>
    </row>
    <row r="88" spans="2:8" x14ac:dyDescent="0.25">
      <c r="B88" s="2" t="s">
        <v>86</v>
      </c>
      <c r="C88" s="21">
        <v>100</v>
      </c>
      <c r="D88" s="22">
        <v>28.88421863179072</v>
      </c>
      <c r="E88" s="22">
        <v>53.720735997295897</v>
      </c>
      <c r="F88" s="22">
        <v>53.169637777372827</v>
      </c>
      <c r="G88" s="22">
        <f t="shared" si="1"/>
        <v>58.943648101614862</v>
      </c>
      <c r="H88" s="24"/>
    </row>
    <row r="89" spans="2:8" x14ac:dyDescent="0.25">
      <c r="B89" s="2" t="s">
        <v>87</v>
      </c>
      <c r="C89" s="21">
        <v>60</v>
      </c>
      <c r="D89" s="22">
        <v>1.7385165181570461</v>
      </c>
      <c r="E89" s="22">
        <v>53.720735997295897</v>
      </c>
      <c r="F89" s="22">
        <v>0</v>
      </c>
      <c r="G89" s="22">
        <f t="shared" si="1"/>
        <v>28.864813128863236</v>
      </c>
      <c r="H89" s="24"/>
    </row>
    <row r="90" spans="2:8" x14ac:dyDescent="0.25">
      <c r="B90" s="2" t="s">
        <v>88</v>
      </c>
      <c r="C90" s="21">
        <v>100</v>
      </c>
      <c r="D90" s="22">
        <v>27.226875015903211</v>
      </c>
      <c r="E90" s="22">
        <v>91.258361243933678</v>
      </c>
      <c r="F90" s="22">
        <v>0</v>
      </c>
      <c r="G90" s="22">
        <f t="shared" si="1"/>
        <v>54.62130906495922</v>
      </c>
      <c r="H90" s="24"/>
    </row>
    <row r="91" spans="2:8" x14ac:dyDescent="0.25">
      <c r="B91" s="2" t="s">
        <v>89</v>
      </c>
      <c r="C91" s="21">
        <v>100</v>
      </c>
      <c r="D91" s="22">
        <v>2.4188087198041304</v>
      </c>
      <c r="E91" s="22">
        <v>53.720735997295897</v>
      </c>
      <c r="F91" s="22">
        <v>75.207455293903251</v>
      </c>
      <c r="G91" s="22">
        <f t="shared" si="1"/>
        <v>57.836750002750819</v>
      </c>
      <c r="H91" s="24"/>
    </row>
    <row r="92" spans="2:8" x14ac:dyDescent="0.25">
      <c r="B92" s="2" t="s">
        <v>90</v>
      </c>
      <c r="C92" s="21">
        <v>60</v>
      </c>
      <c r="D92" s="22">
        <v>2.2720662820017319</v>
      </c>
      <c r="E92" s="22">
        <v>84.573578665765297</v>
      </c>
      <c r="F92" s="22">
        <v>88.981091241734774</v>
      </c>
      <c r="G92" s="22">
        <f t="shared" si="1"/>
        <v>58.956684047375447</v>
      </c>
      <c r="H92" s="24"/>
    </row>
    <row r="93" spans="2:8" x14ac:dyDescent="0.25">
      <c r="B93" s="2" t="s">
        <v>91</v>
      </c>
      <c r="C93" s="21">
        <v>100</v>
      </c>
      <c r="D93" s="22">
        <v>15.497617482893586</v>
      </c>
      <c r="E93" s="22">
        <v>97.994565226549497</v>
      </c>
      <c r="F93" s="22">
        <v>95.867909215650542</v>
      </c>
      <c r="G93" s="22">
        <f t="shared" si="1"/>
        <v>77.340022981273407</v>
      </c>
      <c r="H93" s="24"/>
    </row>
    <row r="94" spans="2:8" x14ac:dyDescent="0.25">
      <c r="B94" s="2" t="s">
        <v>92</v>
      </c>
      <c r="C94" s="21">
        <v>100</v>
      </c>
      <c r="D94" s="22">
        <v>23.192427128085608</v>
      </c>
      <c r="E94" s="22">
        <v>53.720735997295897</v>
      </c>
      <c r="F94" s="22">
        <v>53.169637777372827</v>
      </c>
      <c r="G94" s="22">
        <f t="shared" si="1"/>
        <v>57.520700225688586</v>
      </c>
      <c r="H94" s="24"/>
    </row>
    <row r="95" spans="2:8" x14ac:dyDescent="0.25">
      <c r="B95" s="2" t="s">
        <v>93</v>
      </c>
      <c r="C95" s="21">
        <v>100</v>
      </c>
      <c r="D95" s="22">
        <v>9.7858243139437828</v>
      </c>
      <c r="E95" s="22">
        <v>74.289297776275504</v>
      </c>
      <c r="F95" s="22">
        <v>70.248946352683902</v>
      </c>
      <c r="G95" s="22">
        <f t="shared" si="1"/>
        <v>63.581017110725796</v>
      </c>
      <c r="H95" s="24"/>
    </row>
    <row r="96" spans="2:8" x14ac:dyDescent="0.25">
      <c r="B96" s="2" t="s">
        <v>94</v>
      </c>
      <c r="C96" s="21">
        <v>100</v>
      </c>
      <c r="D96" s="22">
        <v>11.961793260084427</v>
      </c>
      <c r="E96" s="22">
        <v>58.862876442040793</v>
      </c>
      <c r="F96" s="22">
        <v>83.471636862602168</v>
      </c>
      <c r="G96" s="22">
        <f t="shared" si="1"/>
        <v>63.574076641181847</v>
      </c>
      <c r="H96" s="24"/>
    </row>
    <row r="97" spans="1:8" x14ac:dyDescent="0.25">
      <c r="B97" s="2" t="s">
        <v>95</v>
      </c>
      <c r="C97" s="21">
        <v>100</v>
      </c>
      <c r="D97" s="22">
        <v>13.210483292968819</v>
      </c>
      <c r="E97" s="22">
        <v>74.289297776275504</v>
      </c>
      <c r="F97" s="22">
        <v>85.675418614255221</v>
      </c>
      <c r="G97" s="22">
        <f t="shared" si="1"/>
        <v>68.293799920874875</v>
      </c>
      <c r="H97" s="24"/>
    </row>
    <row r="98" spans="1:8" x14ac:dyDescent="0.25">
      <c r="B98" s="2" t="s">
        <v>96</v>
      </c>
      <c r="C98" s="21">
        <v>100</v>
      </c>
      <c r="D98" s="22">
        <v>23.23030926787732</v>
      </c>
      <c r="E98" s="22">
        <v>53.720735997295897</v>
      </c>
      <c r="F98" s="22">
        <v>77.962182483469562</v>
      </c>
      <c r="G98" s="22">
        <f t="shared" si="1"/>
        <v>63.728306937160696</v>
      </c>
      <c r="H98" s="24"/>
    </row>
    <row r="99" spans="1:8" x14ac:dyDescent="0.25">
      <c r="B99" s="2" t="s">
        <v>97</v>
      </c>
      <c r="C99" s="21">
        <v>40</v>
      </c>
      <c r="D99" s="22">
        <v>11.782800149568576</v>
      </c>
      <c r="E99" s="22">
        <v>53.720735997295897</v>
      </c>
      <c r="F99" s="22">
        <v>85.124473176341965</v>
      </c>
      <c r="G99" s="22">
        <f t="shared" si="1"/>
        <v>47.657002330801603</v>
      </c>
      <c r="H99" s="24"/>
    </row>
    <row r="100" spans="1:8" x14ac:dyDescent="0.25">
      <c r="B100" s="2" t="s">
        <v>98</v>
      </c>
      <c r="C100" s="21">
        <v>60</v>
      </c>
      <c r="D100" s="22">
        <v>1.0781458899346361</v>
      </c>
      <c r="E100" s="22">
        <v>84.573578665765297</v>
      </c>
      <c r="F100" s="22">
        <v>88.981091241734774</v>
      </c>
      <c r="G100" s="22">
        <f t="shared" si="1"/>
        <v>58.658203949358679</v>
      </c>
      <c r="H100" s="24"/>
    </row>
    <row r="101" spans="1:8" x14ac:dyDescent="0.25">
      <c r="B101" s="2" t="s">
        <v>99</v>
      </c>
      <c r="C101" s="21">
        <v>60</v>
      </c>
      <c r="D101" s="22">
        <v>3.1196283059508501</v>
      </c>
      <c r="E101" s="22">
        <v>74.289297776275504</v>
      </c>
      <c r="F101" s="22">
        <v>80.716909673035858</v>
      </c>
      <c r="G101" s="22">
        <f t="shared" si="1"/>
        <v>54.531458938815547</v>
      </c>
      <c r="H101" s="24"/>
    </row>
    <row r="102" spans="1:8" x14ac:dyDescent="0.25">
      <c r="B102" s="2" t="s">
        <v>100</v>
      </c>
      <c r="C102" s="21">
        <v>40</v>
      </c>
      <c r="D102" s="22">
        <v>44.809195827660936</v>
      </c>
      <c r="E102" s="22">
        <v>53.720735997295897</v>
      </c>
      <c r="F102" s="22">
        <v>85.124473176341965</v>
      </c>
      <c r="G102" s="22">
        <f t="shared" si="1"/>
        <v>55.913601250324703</v>
      </c>
      <c r="H102" s="24"/>
    </row>
    <row r="103" spans="1:8" x14ac:dyDescent="0.25">
      <c r="A103" t="e">
        <f>VLOOKUP(B103,#REF!,2,FALSE)</f>
        <v>#REF!</v>
      </c>
      <c r="B103" s="2" t="s">
        <v>101</v>
      </c>
      <c r="C103" s="21"/>
      <c r="D103" s="22">
        <v>1.838738454243501</v>
      </c>
      <c r="E103" s="22">
        <v>53.720735997295897</v>
      </c>
      <c r="F103" s="22">
        <v>79.064073359296088</v>
      </c>
      <c r="G103" s="22">
        <f t="shared" si="1"/>
        <v>44.874515936945159</v>
      </c>
      <c r="H103" s="24"/>
    </row>
    <row r="104" spans="1:8" x14ac:dyDescent="0.25">
      <c r="B104" s="2" t="s">
        <v>102</v>
      </c>
      <c r="C104" s="21">
        <v>100</v>
      </c>
      <c r="D104" s="22">
        <v>6.1786110941318029</v>
      </c>
      <c r="E104" s="22">
        <v>53.720735997295897</v>
      </c>
      <c r="F104" s="22">
        <v>53.169637777372827</v>
      </c>
      <c r="G104" s="22">
        <f t="shared" si="1"/>
        <v>53.267246217200132</v>
      </c>
      <c r="H104" s="24"/>
    </row>
    <row r="105" spans="1:8" x14ac:dyDescent="0.25">
      <c r="B105" s="2" t="s">
        <v>103</v>
      </c>
      <c r="C105" s="21">
        <v>40</v>
      </c>
      <c r="D105" s="22">
        <v>1.0685990507820442</v>
      </c>
      <c r="E105" s="22">
        <v>53.720735997295897</v>
      </c>
      <c r="F105" s="22">
        <v>81.267855110949128</v>
      </c>
      <c r="G105" s="22">
        <f t="shared" si="1"/>
        <v>44.014297539756768</v>
      </c>
      <c r="H105" s="24"/>
    </row>
    <row r="106" spans="1:8" x14ac:dyDescent="0.25">
      <c r="B106" s="2" t="s">
        <v>104</v>
      </c>
      <c r="C106" s="21">
        <v>100</v>
      </c>
      <c r="D106" s="22">
        <v>9.6235181814408453</v>
      </c>
      <c r="E106" s="22">
        <v>53.720735997295897</v>
      </c>
      <c r="F106" s="22">
        <v>53.169637777372827</v>
      </c>
      <c r="G106" s="22">
        <f t="shared" si="1"/>
        <v>54.128472989027394</v>
      </c>
      <c r="H106" s="24"/>
    </row>
    <row r="107" spans="1:8" x14ac:dyDescent="0.25">
      <c r="B107" s="2" t="s">
        <v>105</v>
      </c>
      <c r="C107" s="21">
        <v>80</v>
      </c>
      <c r="D107" s="22">
        <v>0.6746300955492297</v>
      </c>
      <c r="E107" s="22">
        <v>84.573578665765297</v>
      </c>
      <c r="F107" s="22">
        <v>99.283770930712762</v>
      </c>
      <c r="G107" s="22">
        <f t="shared" si="1"/>
        <v>66.132994923006819</v>
      </c>
      <c r="H107" s="24"/>
    </row>
    <row r="108" spans="1:8" x14ac:dyDescent="0.25">
      <c r="B108" s="2" t="s">
        <v>106</v>
      </c>
      <c r="C108" s="21">
        <v>60</v>
      </c>
      <c r="D108" s="22">
        <v>1.6656859545982838</v>
      </c>
      <c r="E108" s="22">
        <v>84.573578665765297</v>
      </c>
      <c r="F108" s="22">
        <v>88.981091241734774</v>
      </c>
      <c r="G108" s="22">
        <f t="shared" si="1"/>
        <v>58.80508896552459</v>
      </c>
      <c r="H108" s="24"/>
    </row>
    <row r="109" spans="1:8" x14ac:dyDescent="0.25">
      <c r="B109" s="2" t="s">
        <v>107</v>
      </c>
      <c r="C109" s="21">
        <v>60</v>
      </c>
      <c r="D109" s="22">
        <v>1.2261132247993669</v>
      </c>
      <c r="E109" s="22">
        <v>96.914715733153059</v>
      </c>
      <c r="F109" s="22">
        <v>87.32825492799499</v>
      </c>
      <c r="G109" s="22">
        <f t="shared" si="1"/>
        <v>61.36727097148686</v>
      </c>
      <c r="H109" s="24"/>
    </row>
    <row r="110" spans="1:8" x14ac:dyDescent="0.25">
      <c r="B110" s="2" t="s">
        <v>108</v>
      </c>
      <c r="C110" s="21">
        <v>100</v>
      </c>
      <c r="D110" s="22">
        <v>8.1088718508812487</v>
      </c>
      <c r="E110" s="22">
        <v>53.720735997295897</v>
      </c>
      <c r="F110" s="22">
        <v>77.962182483469562</v>
      </c>
      <c r="G110" s="22">
        <f t="shared" si="1"/>
        <v>59.947947582911681</v>
      </c>
      <c r="H110" s="24"/>
    </row>
    <row r="111" spans="1:8" x14ac:dyDescent="0.25">
      <c r="B111" s="2" t="s">
        <v>109</v>
      </c>
      <c r="C111" s="21">
        <v>80</v>
      </c>
      <c r="D111" s="22">
        <v>1.1518879071449761</v>
      </c>
      <c r="E111" s="22">
        <v>84.573578665765297</v>
      </c>
      <c r="F111" s="22">
        <v>99.283770930712762</v>
      </c>
      <c r="G111" s="22">
        <f t="shared" si="1"/>
        <v>66.252309375905753</v>
      </c>
      <c r="H111" s="24"/>
    </row>
    <row r="112" spans="1:8" x14ac:dyDescent="0.25">
      <c r="B112" s="2" t="s">
        <v>110</v>
      </c>
      <c r="C112" s="21">
        <v>100</v>
      </c>
      <c r="D112" s="22">
        <v>11.274782489495948</v>
      </c>
      <c r="E112" s="22">
        <v>84.573578665765297</v>
      </c>
      <c r="F112" s="22">
        <v>99.283770930712762</v>
      </c>
      <c r="G112" s="22">
        <f t="shared" si="1"/>
        <v>73.783033021493509</v>
      </c>
      <c r="H112" s="24"/>
    </row>
    <row r="113" spans="1:8" x14ac:dyDescent="0.25">
      <c r="B113" s="2" t="s">
        <v>111</v>
      </c>
      <c r="C113" s="21">
        <v>100</v>
      </c>
      <c r="D113" s="22">
        <v>14.374956593828752</v>
      </c>
      <c r="E113" s="22">
        <v>96.914715733153059</v>
      </c>
      <c r="F113" s="22">
        <v>87.32825492799499</v>
      </c>
      <c r="G113" s="22">
        <f t="shared" si="1"/>
        <v>74.654481813744198</v>
      </c>
      <c r="H113" s="24"/>
    </row>
    <row r="114" spans="1:8" x14ac:dyDescent="0.25">
      <c r="B114" s="2" t="s">
        <v>112</v>
      </c>
      <c r="C114" s="21">
        <v>100</v>
      </c>
      <c r="D114" s="22">
        <v>5.535577616509519</v>
      </c>
      <c r="E114" s="22">
        <v>89.715719110510193</v>
      </c>
      <c r="F114" s="22">
        <v>73.554618980163482</v>
      </c>
      <c r="G114" s="22">
        <f t="shared" si="1"/>
        <v>67.201478926795801</v>
      </c>
      <c r="H114" s="24"/>
    </row>
    <row r="115" spans="1:8" x14ac:dyDescent="0.25">
      <c r="B115" s="2" t="s">
        <v>113</v>
      </c>
      <c r="C115" s="21">
        <v>100</v>
      </c>
      <c r="D115" s="22">
        <v>16.520435257269877</v>
      </c>
      <c r="E115" s="22">
        <v>48.578595552550993</v>
      </c>
      <c r="F115" s="22">
        <v>80.716909673035858</v>
      </c>
      <c r="G115" s="22">
        <f t="shared" si="1"/>
        <v>61.453985120714179</v>
      </c>
      <c r="H115" s="24"/>
    </row>
    <row r="116" spans="1:8" x14ac:dyDescent="0.25">
      <c r="B116" s="2" t="s">
        <v>114</v>
      </c>
      <c r="C116" s="21">
        <v>100</v>
      </c>
      <c r="D116" s="22">
        <v>5.1131759124898295</v>
      </c>
      <c r="E116" s="22">
        <v>74.289297776275504</v>
      </c>
      <c r="F116" s="22">
        <v>75.207455293903251</v>
      </c>
      <c r="G116" s="22">
        <f t="shared" si="1"/>
        <v>63.652482245667144</v>
      </c>
      <c r="H116" s="24"/>
    </row>
    <row r="117" spans="1:8" x14ac:dyDescent="0.25">
      <c r="B117" s="2" t="s">
        <v>115</v>
      </c>
      <c r="C117" s="21">
        <v>80</v>
      </c>
      <c r="D117" s="22">
        <v>1.6695473473987557</v>
      </c>
      <c r="E117" s="22">
        <v>53.720735997295897</v>
      </c>
      <c r="F117" s="22">
        <v>53.169637777372827</v>
      </c>
      <c r="G117" s="22">
        <f t="shared" si="1"/>
        <v>47.139980280516873</v>
      </c>
      <c r="H117" s="24"/>
    </row>
    <row r="118" spans="1:8" x14ac:dyDescent="0.25">
      <c r="B118" s="2" t="s">
        <v>116</v>
      </c>
      <c r="C118" s="21">
        <v>40</v>
      </c>
      <c r="D118" s="22">
        <v>1.8588309144878616</v>
      </c>
      <c r="E118" s="22">
        <v>84.573578665765297</v>
      </c>
      <c r="F118" s="22">
        <v>88.981091241734774</v>
      </c>
      <c r="G118" s="22">
        <f t="shared" si="1"/>
        <v>53.853375205496988</v>
      </c>
      <c r="H118" s="24"/>
    </row>
    <row r="119" spans="1:8" x14ac:dyDescent="0.25">
      <c r="B119" s="2" t="s">
        <v>117</v>
      </c>
      <c r="C119" s="21">
        <v>100</v>
      </c>
      <c r="D119" s="22">
        <v>18.853092651345722</v>
      </c>
      <c r="E119" s="22">
        <v>53.720735997295897</v>
      </c>
      <c r="F119" s="22">
        <v>77.962182483469562</v>
      </c>
      <c r="G119" s="22">
        <f t="shared" si="1"/>
        <v>62.634002783027796</v>
      </c>
      <c r="H119" s="24"/>
    </row>
    <row r="120" spans="1:8" x14ac:dyDescent="0.25">
      <c r="B120" s="2" t="s">
        <v>118</v>
      </c>
      <c r="C120" s="21">
        <v>100</v>
      </c>
      <c r="D120" s="22">
        <v>19.387639712755274</v>
      </c>
      <c r="E120" s="22">
        <v>99.696613713760058</v>
      </c>
      <c r="F120" s="22">
        <v>98.016596423512254</v>
      </c>
      <c r="G120" s="22">
        <f t="shared" si="1"/>
        <v>79.275212462506886</v>
      </c>
      <c r="H120" s="24"/>
    </row>
    <row r="121" spans="1:8" x14ac:dyDescent="0.25">
      <c r="B121" s="2" t="s">
        <v>119</v>
      </c>
      <c r="C121" s="21">
        <v>100</v>
      </c>
      <c r="D121" s="22">
        <v>4.0264557035523874</v>
      </c>
      <c r="E121" s="22">
        <v>94.343645510780604</v>
      </c>
      <c r="F121" s="22">
        <v>81.818800548862384</v>
      </c>
      <c r="G121" s="22">
        <f t="shared" si="1"/>
        <v>70.04722544079884</v>
      </c>
      <c r="H121" s="24"/>
    </row>
    <row r="122" spans="1:8" x14ac:dyDescent="0.25">
      <c r="B122" s="2" t="s">
        <v>120</v>
      </c>
      <c r="C122" s="21">
        <v>100</v>
      </c>
      <c r="D122" s="22">
        <v>5.6790403756285652</v>
      </c>
      <c r="E122" s="22">
        <v>53.720735997295897</v>
      </c>
      <c r="F122" s="22">
        <v>53.169637777372827</v>
      </c>
      <c r="G122" s="22">
        <f t="shared" si="1"/>
        <v>53.142353537574323</v>
      </c>
      <c r="H122" s="24"/>
    </row>
    <row r="123" spans="1:8" x14ac:dyDescent="0.25">
      <c r="B123" s="2" t="s">
        <v>121</v>
      </c>
      <c r="C123" s="21">
        <v>100</v>
      </c>
      <c r="D123" s="22">
        <v>5.7841296264861164</v>
      </c>
      <c r="E123" s="22">
        <v>69.147157331530579</v>
      </c>
      <c r="F123" s="22">
        <v>88.981091241734774</v>
      </c>
      <c r="G123" s="22">
        <f t="shared" si="1"/>
        <v>65.978094549937865</v>
      </c>
      <c r="H123" s="24"/>
    </row>
    <row r="124" spans="1:8" x14ac:dyDescent="0.25">
      <c r="A124" t="e">
        <f>VLOOKUP(B124,#REF!,2,FALSE)</f>
        <v>#REF!</v>
      </c>
      <c r="B124" s="2" t="s">
        <v>122</v>
      </c>
      <c r="C124" s="21">
        <v>80</v>
      </c>
      <c r="D124" s="22">
        <v>1.0580491489237411</v>
      </c>
      <c r="E124" s="22">
        <v>53.720735997295897</v>
      </c>
      <c r="F124" s="22">
        <v>79.064073359296088</v>
      </c>
      <c r="G124" s="22">
        <f t="shared" si="1"/>
        <v>53.46071462637893</v>
      </c>
      <c r="H124" s="24"/>
    </row>
    <row r="125" spans="1:8" x14ac:dyDescent="0.25">
      <c r="A125" t="e">
        <f>VLOOKUP(B125,#REF!,2,FALSE)</f>
        <v>#REF!</v>
      </c>
      <c r="B125" s="2" t="s">
        <v>123</v>
      </c>
      <c r="C125" s="21">
        <v>80</v>
      </c>
      <c r="D125" s="22">
        <v>2.3011972930659916</v>
      </c>
      <c r="E125" s="22">
        <v>53.720735997295897</v>
      </c>
      <c r="F125" s="22">
        <v>53.169637777372827</v>
      </c>
      <c r="G125" s="22">
        <f t="shared" si="1"/>
        <v>47.297892766933678</v>
      </c>
      <c r="H125" s="24"/>
    </row>
    <row r="126" spans="1:8" x14ac:dyDescent="0.25">
      <c r="B126" s="2" t="s">
        <v>124</v>
      </c>
      <c r="C126" s="21">
        <v>100</v>
      </c>
      <c r="D126" s="22">
        <v>22.491607541938883</v>
      </c>
      <c r="E126" s="22">
        <v>53.720735997295897</v>
      </c>
      <c r="F126" s="22">
        <v>53.169637777372827</v>
      </c>
      <c r="G126" s="22">
        <f t="shared" si="1"/>
        <v>57.345495329151902</v>
      </c>
      <c r="H126" s="24"/>
    </row>
    <row r="127" spans="1:8" x14ac:dyDescent="0.25">
      <c r="B127" s="2" t="s">
        <v>125</v>
      </c>
      <c r="C127" s="21">
        <v>100</v>
      </c>
      <c r="D127" s="22">
        <v>17.744501899289656</v>
      </c>
      <c r="E127" s="22">
        <v>74.289297776275504</v>
      </c>
      <c r="F127" s="22">
        <v>1.9317120514395589</v>
      </c>
      <c r="G127" s="22">
        <f t="shared" si="1"/>
        <v>48.491377931751174</v>
      </c>
      <c r="H127" s="24"/>
    </row>
    <row r="128" spans="1:8" x14ac:dyDescent="0.25">
      <c r="B128" s="2" t="s">
        <v>126</v>
      </c>
      <c r="C128" s="21">
        <v>60</v>
      </c>
      <c r="D128" s="22">
        <v>10.591950766276392</v>
      </c>
      <c r="E128" s="22">
        <v>74.289297776275504</v>
      </c>
      <c r="F128" s="22">
        <v>80.716909673035858</v>
      </c>
      <c r="G128" s="22">
        <f t="shared" si="1"/>
        <v>56.399539553896943</v>
      </c>
      <c r="H128" s="24"/>
    </row>
    <row r="129" spans="1:9" x14ac:dyDescent="0.25">
      <c r="A129" t="e">
        <f>VLOOKUP(B129,#REF!,2,FALSE)</f>
        <v>#REF!</v>
      </c>
      <c r="B129" s="2" t="s">
        <v>127</v>
      </c>
      <c r="C129" s="21">
        <v>40</v>
      </c>
      <c r="D129" s="22">
        <v>1.090707389156647</v>
      </c>
      <c r="E129" s="22">
        <v>53.720735997295897</v>
      </c>
      <c r="F129" s="22">
        <v>53.169637777372827</v>
      </c>
      <c r="G129" s="22">
        <f t="shared" si="1"/>
        <v>36.995270290956341</v>
      </c>
      <c r="H129" s="24"/>
    </row>
    <row r="130" spans="1:9" x14ac:dyDescent="0.25">
      <c r="B130" s="2" t="s">
        <v>128</v>
      </c>
      <c r="C130" s="21">
        <v>100</v>
      </c>
      <c r="D130" s="22">
        <v>42.76162624256137</v>
      </c>
      <c r="E130" s="22">
        <v>53.720735997295897</v>
      </c>
      <c r="F130" s="22">
        <v>53.169637777372827</v>
      </c>
      <c r="G130" s="22">
        <f t="shared" ref="G130:G193" si="2">AVERAGE(C130:F130)</f>
        <v>62.41300000430752</v>
      </c>
      <c r="H130" s="24"/>
    </row>
    <row r="131" spans="1:9" x14ac:dyDescent="0.25">
      <c r="B131" s="2" t="s">
        <v>129</v>
      </c>
      <c r="C131" s="21">
        <v>100</v>
      </c>
      <c r="D131" s="22">
        <v>13.03985809533518</v>
      </c>
      <c r="E131" s="22">
        <v>53.720735997295897</v>
      </c>
      <c r="F131" s="22">
        <v>53.169637777372827</v>
      </c>
      <c r="G131" s="22">
        <f t="shared" si="2"/>
        <v>54.982557967500973</v>
      </c>
      <c r="H131" s="24"/>
    </row>
    <row r="132" spans="1:9" x14ac:dyDescent="0.25">
      <c r="B132" s="2" t="s">
        <v>130</v>
      </c>
      <c r="C132" s="21">
        <v>100</v>
      </c>
      <c r="D132" s="22">
        <v>10.316240460207084</v>
      </c>
      <c r="E132" s="22">
        <v>96.914715733153059</v>
      </c>
      <c r="F132" s="22">
        <v>87.32825492799499</v>
      </c>
      <c r="G132" s="22">
        <f t="shared" si="2"/>
        <v>73.639802780338783</v>
      </c>
      <c r="H132" s="24"/>
    </row>
    <row r="133" spans="1:9" x14ac:dyDescent="0.25">
      <c r="B133" s="2" t="s">
        <v>131</v>
      </c>
      <c r="C133" s="21">
        <v>100</v>
      </c>
      <c r="D133" s="22">
        <v>5.9809610297685305</v>
      </c>
      <c r="E133" s="22">
        <v>96.914715733153059</v>
      </c>
      <c r="F133" s="22">
        <v>87.32825492799499</v>
      </c>
      <c r="G133" s="22">
        <f t="shared" si="2"/>
        <v>72.555982922729143</v>
      </c>
      <c r="H133" s="24"/>
    </row>
    <row r="134" spans="1:9" x14ac:dyDescent="0.25">
      <c r="B134" s="2" t="s">
        <v>132</v>
      </c>
      <c r="C134" s="21">
        <v>80</v>
      </c>
      <c r="D134" s="22">
        <v>1.7595884584161874</v>
      </c>
      <c r="E134" s="22">
        <v>53.720735997295897</v>
      </c>
      <c r="F134" s="22">
        <v>53.169637777372827</v>
      </c>
      <c r="G134" s="22">
        <f t="shared" si="2"/>
        <v>47.16249055827123</v>
      </c>
      <c r="H134" s="24"/>
    </row>
    <row r="135" spans="1:9" x14ac:dyDescent="0.25">
      <c r="A135" t="e">
        <f>VLOOKUP(B135,#REF!,2,FALSE)</f>
        <v>#REF!</v>
      </c>
      <c r="B135" s="2" t="s">
        <v>133</v>
      </c>
      <c r="C135" s="21">
        <v>100</v>
      </c>
      <c r="D135" s="22">
        <v>71.128287432772808</v>
      </c>
      <c r="E135" s="22">
        <v>94.857859555255104</v>
      </c>
      <c r="F135" s="22">
        <v>84.022582300515438</v>
      </c>
      <c r="G135" s="22">
        <f t="shared" si="2"/>
        <v>87.502182322135837</v>
      </c>
      <c r="H135" s="24"/>
    </row>
    <row r="136" spans="1:9" x14ac:dyDescent="0.25">
      <c r="B136" s="2" t="s">
        <v>134</v>
      </c>
      <c r="C136" s="21">
        <v>40</v>
      </c>
      <c r="D136" s="22">
        <v>1.0290077161956022</v>
      </c>
      <c r="E136" s="22">
        <v>53.720735997295897</v>
      </c>
      <c r="F136" s="22">
        <v>85.675418614255221</v>
      </c>
      <c r="G136" s="22">
        <f t="shared" si="2"/>
        <v>45.106290581936676</v>
      </c>
      <c r="H136" s="24"/>
    </row>
    <row r="137" spans="1:9" x14ac:dyDescent="0.25">
      <c r="B137" s="2" t="s">
        <v>135</v>
      </c>
      <c r="C137" s="21">
        <v>100</v>
      </c>
      <c r="D137" s="22">
        <v>6.3859921331540681</v>
      </c>
      <c r="E137" s="22">
        <v>98.45735786657653</v>
      </c>
      <c r="F137" s="22">
        <v>99.669432737252052</v>
      </c>
      <c r="G137" s="22">
        <f t="shared" si="2"/>
        <v>76.128195684245668</v>
      </c>
      <c r="H137" s="24"/>
    </row>
    <row r="138" spans="1:9" x14ac:dyDescent="0.25">
      <c r="B138" s="2" t="s">
        <v>136</v>
      </c>
      <c r="C138" s="21">
        <v>100</v>
      </c>
      <c r="D138" s="22">
        <v>20.810587588681557</v>
      </c>
      <c r="E138" s="22">
        <v>53.720735997295897</v>
      </c>
      <c r="F138" s="22">
        <v>53.169637777372827</v>
      </c>
      <c r="G138" s="22">
        <f t="shared" si="2"/>
        <v>56.925240340837568</v>
      </c>
      <c r="H138" s="24"/>
    </row>
    <row r="139" spans="1:9" x14ac:dyDescent="0.25">
      <c r="B139" s="2" t="s">
        <v>137</v>
      </c>
      <c r="C139" s="21">
        <v>100</v>
      </c>
      <c r="D139" s="22">
        <v>4.0672475040757865</v>
      </c>
      <c r="E139" s="22">
        <v>74.289297776275504</v>
      </c>
      <c r="F139" s="22">
        <v>80.716909673035858</v>
      </c>
      <c r="G139" s="22">
        <f t="shared" si="2"/>
        <v>64.768363738346778</v>
      </c>
      <c r="H139" s="24"/>
    </row>
    <row r="140" spans="1:9" x14ac:dyDescent="0.25">
      <c r="B140" s="2" t="s">
        <v>138</v>
      </c>
      <c r="C140" s="21">
        <v>60</v>
      </c>
      <c r="D140" s="22">
        <v>6.8652248778566296</v>
      </c>
      <c r="E140" s="22">
        <v>74.289297776275504</v>
      </c>
      <c r="F140" s="22">
        <v>80.716909673035858</v>
      </c>
      <c r="G140" s="22">
        <f t="shared" si="2"/>
        <v>55.467858081792002</v>
      </c>
      <c r="H140" s="24"/>
    </row>
    <row r="141" spans="1:9" x14ac:dyDescent="0.25">
      <c r="B141" s="2" t="s">
        <v>139</v>
      </c>
      <c r="C141" s="21">
        <v>40</v>
      </c>
      <c r="D141" s="22">
        <v>0.52991052443976261</v>
      </c>
      <c r="E141" s="22">
        <v>74.289297776275504</v>
      </c>
      <c r="F141" s="22">
        <v>70.248946352683902</v>
      </c>
      <c r="G141" s="22">
        <f t="shared" si="2"/>
        <v>46.267038663349794</v>
      </c>
      <c r="H141" s="24"/>
      <c r="I141" t="s">
        <v>654</v>
      </c>
    </row>
    <row r="142" spans="1:9" x14ac:dyDescent="0.25">
      <c r="B142" s="2" t="s">
        <v>140</v>
      </c>
      <c r="C142" s="21">
        <v>60</v>
      </c>
      <c r="D142" s="22">
        <v>0.94683952481116351</v>
      </c>
      <c r="E142" s="22">
        <v>84.573578665765297</v>
      </c>
      <c r="F142" s="22">
        <v>88.981091241734774</v>
      </c>
      <c r="G142" s="22">
        <f t="shared" si="2"/>
        <v>58.625377358077813</v>
      </c>
      <c r="H142" s="24"/>
    </row>
    <row r="143" spans="1:9" x14ac:dyDescent="0.25">
      <c r="B143" s="2" t="s">
        <v>141</v>
      </c>
      <c r="C143" s="21">
        <v>80</v>
      </c>
      <c r="D143" s="22">
        <v>1.6824746276026783</v>
      </c>
      <c r="E143" s="22">
        <v>74.289297776275504</v>
      </c>
      <c r="F143" s="22">
        <v>70.248946352683902</v>
      </c>
      <c r="G143" s="22">
        <f t="shared" si="2"/>
        <v>56.555179689140516</v>
      </c>
      <c r="H143" s="24"/>
    </row>
    <row r="144" spans="1:9" x14ac:dyDescent="0.25">
      <c r="B144" s="2" t="s">
        <v>142</v>
      </c>
      <c r="C144" s="21">
        <v>100</v>
      </c>
      <c r="D144" s="22">
        <v>20.666280312412489</v>
      </c>
      <c r="E144" s="22">
        <v>53.720735997295897</v>
      </c>
      <c r="F144" s="22">
        <v>81.267855110949128</v>
      </c>
      <c r="G144" s="22">
        <f t="shared" si="2"/>
        <v>63.913717855164379</v>
      </c>
      <c r="H144" s="24"/>
    </row>
    <row r="145" spans="2:8" x14ac:dyDescent="0.25">
      <c r="B145" s="2" t="s">
        <v>143</v>
      </c>
      <c r="C145" s="21">
        <v>60</v>
      </c>
      <c r="D145" s="22">
        <v>1.9192380013008943</v>
      </c>
      <c r="E145" s="22">
        <v>74.289297776275504</v>
      </c>
      <c r="F145" s="22">
        <v>70.248946352683902</v>
      </c>
      <c r="G145" s="22">
        <f t="shared" si="2"/>
        <v>51.614370532565076</v>
      </c>
      <c r="H145" s="24"/>
    </row>
    <row r="146" spans="2:8" x14ac:dyDescent="0.25">
      <c r="B146" s="2" t="s">
        <v>144</v>
      </c>
      <c r="C146" s="21">
        <v>100</v>
      </c>
      <c r="D146" s="22">
        <v>1.7298273023423214</v>
      </c>
      <c r="E146" s="22">
        <v>98.45735786657653</v>
      </c>
      <c r="F146" s="22">
        <v>74.656509855990009</v>
      </c>
      <c r="G146" s="22">
        <f t="shared" si="2"/>
        <v>68.710923756227217</v>
      </c>
      <c r="H146" s="24"/>
    </row>
    <row r="147" spans="2:8" x14ac:dyDescent="0.25">
      <c r="B147" s="2" t="s">
        <v>145</v>
      </c>
      <c r="C147" s="21">
        <v>60</v>
      </c>
      <c r="D147" s="22">
        <v>3.4984497038679949</v>
      </c>
      <c r="E147" s="22">
        <v>53.720735997295897</v>
      </c>
      <c r="F147" s="22">
        <v>53.169637777372827</v>
      </c>
      <c r="G147" s="22">
        <f t="shared" si="2"/>
        <v>42.59720586963418</v>
      </c>
      <c r="H147" s="24"/>
    </row>
    <row r="148" spans="2:8" x14ac:dyDescent="0.25">
      <c r="B148" s="2" t="s">
        <v>146</v>
      </c>
      <c r="C148" s="21">
        <v>100</v>
      </c>
      <c r="D148" s="22">
        <v>35.513593095340774</v>
      </c>
      <c r="E148" s="22">
        <v>53.720735997295897</v>
      </c>
      <c r="F148" s="22">
        <v>53.169637777372827</v>
      </c>
      <c r="G148" s="22">
        <f t="shared" si="2"/>
        <v>60.600991717502374</v>
      </c>
      <c r="H148" s="24"/>
    </row>
    <row r="149" spans="2:8" x14ac:dyDescent="0.25">
      <c r="B149" s="2" t="s">
        <v>147</v>
      </c>
      <c r="C149" s="21">
        <v>100</v>
      </c>
      <c r="D149" s="22">
        <v>24.148951157826399</v>
      </c>
      <c r="E149" s="22">
        <v>84.573578665765297</v>
      </c>
      <c r="F149" s="22">
        <v>77.962182483469562</v>
      </c>
      <c r="G149" s="22">
        <f t="shared" si="2"/>
        <v>71.671178076765315</v>
      </c>
      <c r="H149" s="24"/>
    </row>
    <row r="150" spans="2:8" x14ac:dyDescent="0.25">
      <c r="B150" s="2" t="s">
        <v>148</v>
      </c>
      <c r="C150" s="21">
        <v>100</v>
      </c>
      <c r="D150" s="22">
        <v>17.75634006797457</v>
      </c>
      <c r="E150" s="22">
        <v>99.4857859555255</v>
      </c>
      <c r="F150" s="22">
        <v>91.019589362013846</v>
      </c>
      <c r="G150" s="22">
        <f t="shared" si="2"/>
        <v>77.065428846378481</v>
      </c>
      <c r="H150" s="24"/>
    </row>
    <row r="151" spans="2:8" x14ac:dyDescent="0.25">
      <c r="B151" s="2" t="s">
        <v>149</v>
      </c>
      <c r="C151" s="21">
        <v>40</v>
      </c>
      <c r="D151" s="22">
        <v>0.77990443044370228</v>
      </c>
      <c r="E151" s="22">
        <v>53.720735997295897</v>
      </c>
      <c r="F151" s="22">
        <v>53.169637777372827</v>
      </c>
      <c r="G151" s="22">
        <f t="shared" si="2"/>
        <v>36.917569551278106</v>
      </c>
      <c r="H151" s="24"/>
    </row>
    <row r="152" spans="2:8" x14ac:dyDescent="0.25">
      <c r="B152" s="2" t="s">
        <v>150</v>
      </c>
      <c r="C152" s="21">
        <v>80</v>
      </c>
      <c r="D152" s="22">
        <v>1.4196672827976586</v>
      </c>
      <c r="E152" s="22">
        <v>53.720735997295897</v>
      </c>
      <c r="F152" s="22">
        <v>79.064073359296088</v>
      </c>
      <c r="G152" s="22">
        <f t="shared" si="2"/>
        <v>53.55111915984741</v>
      </c>
      <c r="H152" s="24"/>
    </row>
    <row r="153" spans="2:8" x14ac:dyDescent="0.25">
      <c r="B153" s="2" t="s">
        <v>151</v>
      </c>
      <c r="C153" s="21">
        <v>100</v>
      </c>
      <c r="D153" s="22">
        <v>16.951344597400634</v>
      </c>
      <c r="E153" s="22">
        <v>96.914715733153059</v>
      </c>
      <c r="F153" s="22">
        <v>87.32825492799499</v>
      </c>
      <c r="G153" s="22">
        <f t="shared" si="2"/>
        <v>75.298578814637168</v>
      </c>
      <c r="H153" s="24"/>
    </row>
    <row r="154" spans="2:8" x14ac:dyDescent="0.25">
      <c r="B154" s="2" t="s">
        <v>152</v>
      </c>
      <c r="C154" s="21">
        <v>100</v>
      </c>
      <c r="D154" s="22">
        <v>19.176792657546539</v>
      </c>
      <c r="E154" s="22">
        <v>53.720735997295897</v>
      </c>
      <c r="F154" s="22">
        <v>75.758400731816522</v>
      </c>
      <c r="G154" s="22">
        <f t="shared" si="2"/>
        <v>62.163982346664739</v>
      </c>
      <c r="H154" s="24"/>
    </row>
    <row r="155" spans="2:8" x14ac:dyDescent="0.25">
      <c r="B155" s="2" t="s">
        <v>153</v>
      </c>
      <c r="C155" s="21">
        <v>100</v>
      </c>
      <c r="D155" s="22">
        <v>3.5339642099227278</v>
      </c>
      <c r="E155" s="22">
        <v>58.862876442040793</v>
      </c>
      <c r="F155" s="22">
        <v>83.471636862602168</v>
      </c>
      <c r="G155" s="22">
        <f t="shared" si="2"/>
        <v>61.467119378641421</v>
      </c>
      <c r="H155" s="24"/>
    </row>
    <row r="156" spans="2:8" x14ac:dyDescent="0.25">
      <c r="B156" s="2" t="s">
        <v>154</v>
      </c>
      <c r="C156" s="21">
        <v>100</v>
      </c>
      <c r="D156" s="22">
        <v>15.379235796044476</v>
      </c>
      <c r="E156" s="22">
        <v>94.857859555255104</v>
      </c>
      <c r="F156" s="22">
        <v>83.471636862602168</v>
      </c>
      <c r="G156" s="22">
        <f t="shared" si="2"/>
        <v>73.427183053475432</v>
      </c>
      <c r="H156" s="24"/>
    </row>
    <row r="157" spans="2:8" x14ac:dyDescent="0.25">
      <c r="B157" s="2" t="s">
        <v>155</v>
      </c>
      <c r="C157" s="21">
        <v>100</v>
      </c>
      <c r="D157" s="22">
        <v>4.4975911408744675</v>
      </c>
      <c r="E157" s="22">
        <v>99.696613713760058</v>
      </c>
      <c r="F157" s="22">
        <v>99.079921118684837</v>
      </c>
      <c r="G157" s="22">
        <f t="shared" si="2"/>
        <v>75.818531493329829</v>
      </c>
      <c r="H157" s="24"/>
    </row>
    <row r="158" spans="2:8" x14ac:dyDescent="0.25">
      <c r="B158" s="2" t="s">
        <v>156</v>
      </c>
      <c r="C158" s="21">
        <v>60</v>
      </c>
      <c r="D158" s="22">
        <v>2.5253522379683275</v>
      </c>
      <c r="E158" s="22">
        <v>53.720735997295897</v>
      </c>
      <c r="F158" s="22">
        <v>53.169637777372827</v>
      </c>
      <c r="G158" s="22">
        <f t="shared" si="2"/>
        <v>42.353931503159259</v>
      </c>
      <c r="H158" s="24"/>
    </row>
    <row r="159" spans="2:8" x14ac:dyDescent="0.25">
      <c r="B159" s="2" t="s">
        <v>157</v>
      </c>
      <c r="C159" s="21">
        <v>100</v>
      </c>
      <c r="D159" s="22">
        <v>13.138317816665602</v>
      </c>
      <c r="E159" s="22">
        <v>58.862876442040793</v>
      </c>
      <c r="F159" s="22">
        <v>83.471636862602168</v>
      </c>
      <c r="G159" s="22">
        <f t="shared" si="2"/>
        <v>63.86820778032714</v>
      </c>
      <c r="H159" s="24"/>
    </row>
    <row r="160" spans="2:8" x14ac:dyDescent="0.25">
      <c r="B160" s="2" t="s">
        <v>158</v>
      </c>
      <c r="C160" s="21">
        <v>100</v>
      </c>
      <c r="D160" s="22">
        <v>1.6397625149875206</v>
      </c>
      <c r="E160" s="22">
        <v>96.914715733153059</v>
      </c>
      <c r="F160" s="22">
        <v>87.32825492799499</v>
      </c>
      <c r="G160" s="22">
        <f t="shared" si="2"/>
        <v>71.47068329403389</v>
      </c>
      <c r="H160" s="24"/>
    </row>
    <row r="161" spans="2:8" x14ac:dyDescent="0.25">
      <c r="B161" s="2" t="s">
        <v>159</v>
      </c>
      <c r="C161" s="21">
        <v>100</v>
      </c>
      <c r="D161" s="22">
        <v>17.474591653273688</v>
      </c>
      <c r="E161" s="22">
        <v>53.720735997295897</v>
      </c>
      <c r="F161" s="22">
        <v>53.169637777372827</v>
      </c>
      <c r="G161" s="22">
        <f t="shared" si="2"/>
        <v>56.091241356985606</v>
      </c>
      <c r="H161" s="24"/>
    </row>
    <row r="162" spans="2:8" x14ac:dyDescent="0.25">
      <c r="B162" s="2" t="s">
        <v>160</v>
      </c>
      <c r="C162" s="21">
        <v>100</v>
      </c>
      <c r="D162" s="22">
        <v>16.060380345836876</v>
      </c>
      <c r="E162" s="22">
        <v>53.720735997295897</v>
      </c>
      <c r="F162" s="22">
        <v>53.169637777372827</v>
      </c>
      <c r="G162" s="22">
        <f t="shared" si="2"/>
        <v>55.737688530126398</v>
      </c>
      <c r="H162" s="24"/>
    </row>
    <row r="163" spans="2:8" x14ac:dyDescent="0.25">
      <c r="B163" s="2" t="s">
        <v>161</v>
      </c>
      <c r="C163" s="21">
        <v>100</v>
      </c>
      <c r="D163" s="22">
        <v>9.0145072066614347</v>
      </c>
      <c r="E163" s="22">
        <v>53.720735997295897</v>
      </c>
      <c r="F163" s="22">
        <v>53.169637777372827</v>
      </c>
      <c r="G163" s="22">
        <f t="shared" si="2"/>
        <v>53.976220245332541</v>
      </c>
      <c r="H163" s="24"/>
    </row>
    <row r="164" spans="2:8" ht="15.75" customHeight="1" x14ac:dyDescent="0.25">
      <c r="B164" s="2" t="s">
        <v>162</v>
      </c>
      <c r="C164" s="21">
        <v>100</v>
      </c>
      <c r="D164" s="22">
        <v>24.835754352250184</v>
      </c>
      <c r="E164" s="22">
        <v>53.720735997295897</v>
      </c>
      <c r="F164" s="22">
        <v>81.267855110949128</v>
      </c>
      <c r="G164" s="22">
        <f t="shared" si="2"/>
        <v>64.956086365123795</v>
      </c>
      <c r="H164" s="24"/>
    </row>
    <row r="165" spans="2:8" x14ac:dyDescent="0.25">
      <c r="B165" s="2" t="s">
        <v>163</v>
      </c>
      <c r="C165" s="21">
        <v>60</v>
      </c>
      <c r="D165" s="22">
        <v>8.1676990519035453</v>
      </c>
      <c r="E165" s="22">
        <v>74.289297776275504</v>
      </c>
      <c r="F165" s="22">
        <v>80.716909673035858</v>
      </c>
      <c r="G165" s="22">
        <f t="shared" si="2"/>
        <v>55.793476625303725</v>
      </c>
      <c r="H165" s="24"/>
    </row>
    <row r="166" spans="2:8" x14ac:dyDescent="0.25">
      <c r="B166" s="2" t="s">
        <v>164</v>
      </c>
      <c r="C166" s="21">
        <v>100</v>
      </c>
      <c r="D166" s="22">
        <v>24.83054555802882</v>
      </c>
      <c r="E166" s="22">
        <v>96.914715733153059</v>
      </c>
      <c r="F166" s="22">
        <v>87.32825492799499</v>
      </c>
      <c r="G166" s="22">
        <f t="shared" si="2"/>
        <v>77.26837905479421</v>
      </c>
      <c r="H166" s="24"/>
    </row>
    <row r="167" spans="2:8" x14ac:dyDescent="0.25">
      <c r="B167" s="2" t="s">
        <v>165</v>
      </c>
      <c r="C167" s="21">
        <v>100</v>
      </c>
      <c r="D167" s="22">
        <v>9.1704188049832194</v>
      </c>
      <c r="E167" s="22">
        <v>53.720735997295897</v>
      </c>
      <c r="F167" s="22">
        <v>53.169637777372827</v>
      </c>
      <c r="G167" s="22">
        <f t="shared" si="2"/>
        <v>54.015198144912986</v>
      </c>
      <c r="H167" s="24"/>
    </row>
    <row r="168" spans="2:8" x14ac:dyDescent="0.25">
      <c r="B168" s="2" t="s">
        <v>166</v>
      </c>
      <c r="C168" s="21">
        <v>20</v>
      </c>
      <c r="D168" s="22">
        <v>2.1300704559763095</v>
      </c>
      <c r="E168" s="22">
        <v>53.720735997295897</v>
      </c>
      <c r="F168" s="22">
        <v>75.758400731816522</v>
      </c>
      <c r="G168" s="22">
        <f t="shared" si="2"/>
        <v>37.902301796272184</v>
      </c>
      <c r="H168" s="24"/>
    </row>
    <row r="169" spans="2:8" x14ac:dyDescent="0.25">
      <c r="B169" s="2" t="s">
        <v>167</v>
      </c>
      <c r="C169" s="21">
        <v>40</v>
      </c>
      <c r="D169" s="22">
        <v>9.0366511143779373</v>
      </c>
      <c r="E169" s="22">
        <v>74.289297776275504</v>
      </c>
      <c r="F169" s="22">
        <v>80.716909673035858</v>
      </c>
      <c r="G169" s="22">
        <f t="shared" si="2"/>
        <v>51.01071464092233</v>
      </c>
      <c r="H169" s="24"/>
    </row>
    <row r="170" spans="2:8" x14ac:dyDescent="0.25">
      <c r="B170" s="2" t="s">
        <v>168</v>
      </c>
      <c r="C170" s="21">
        <v>100</v>
      </c>
      <c r="D170" s="22">
        <v>3.5505376460816027</v>
      </c>
      <c r="E170" s="22">
        <v>53.720735997295897</v>
      </c>
      <c r="F170" s="22">
        <v>96.914705547685742</v>
      </c>
      <c r="G170" s="22">
        <f t="shared" si="2"/>
        <v>63.54649479776581</v>
      </c>
      <c r="H170" s="24"/>
    </row>
    <row r="171" spans="2:8" x14ac:dyDescent="0.25">
      <c r="B171" s="2" t="s">
        <v>169</v>
      </c>
      <c r="C171" s="21">
        <v>100</v>
      </c>
      <c r="D171" s="22">
        <v>9.4154843653816584</v>
      </c>
      <c r="E171" s="22">
        <v>53.720735997295897</v>
      </c>
      <c r="F171" s="22">
        <v>75.207455293903251</v>
      </c>
      <c r="G171" s="22">
        <f t="shared" si="2"/>
        <v>59.585918914145203</v>
      </c>
      <c r="H171" s="24"/>
    </row>
    <row r="172" spans="2:8" x14ac:dyDescent="0.25">
      <c r="B172" s="2" t="s">
        <v>170</v>
      </c>
      <c r="C172" s="21">
        <v>100</v>
      </c>
      <c r="D172" s="22">
        <v>30.139064512391268</v>
      </c>
      <c r="E172" s="22">
        <v>98.971571911051015</v>
      </c>
      <c r="F172" s="22">
        <v>92.286763869214354</v>
      </c>
      <c r="G172" s="22">
        <f t="shared" si="2"/>
        <v>80.349350073164146</v>
      </c>
      <c r="H172" s="24"/>
    </row>
    <row r="173" spans="2:8" x14ac:dyDescent="0.25">
      <c r="B173" s="2" t="s">
        <v>171</v>
      </c>
      <c r="C173" s="21">
        <v>100</v>
      </c>
      <c r="D173" s="22">
        <v>1.4942003928378571</v>
      </c>
      <c r="E173" s="22">
        <v>53.720735997295897</v>
      </c>
      <c r="F173" s="22">
        <v>53.169637777372827</v>
      </c>
      <c r="G173" s="22">
        <f t="shared" si="2"/>
        <v>52.096143541876643</v>
      </c>
      <c r="H173" s="24"/>
    </row>
    <row r="174" spans="2:8" x14ac:dyDescent="0.25">
      <c r="B174" s="2" t="s">
        <v>172</v>
      </c>
      <c r="C174" s="21">
        <v>60</v>
      </c>
      <c r="D174" s="22">
        <v>3.5264018666782517</v>
      </c>
      <c r="E174" s="22">
        <v>74.289297776275504</v>
      </c>
      <c r="F174" s="22">
        <v>80.716909673035858</v>
      </c>
      <c r="G174" s="22">
        <f t="shared" si="2"/>
        <v>54.633152328997397</v>
      </c>
      <c r="H174" s="24"/>
    </row>
    <row r="175" spans="2:8" x14ac:dyDescent="0.25">
      <c r="B175" s="2" t="s">
        <v>173</v>
      </c>
      <c r="C175" s="21">
        <v>60</v>
      </c>
      <c r="D175" s="22">
        <v>9.7679438393967573</v>
      </c>
      <c r="E175" s="22">
        <v>99.809740803544429</v>
      </c>
      <c r="F175" s="22">
        <v>61.433819346071736</v>
      </c>
      <c r="G175" s="22">
        <f t="shared" si="2"/>
        <v>57.752875997253234</v>
      </c>
      <c r="H175" s="24"/>
    </row>
    <row r="176" spans="2:8" x14ac:dyDescent="0.25">
      <c r="B176" s="2" t="s">
        <v>174</v>
      </c>
      <c r="C176" s="21">
        <v>100</v>
      </c>
      <c r="D176" s="22">
        <v>45.694418164364073</v>
      </c>
      <c r="E176" s="22">
        <v>58.862876442040793</v>
      </c>
      <c r="F176" s="22">
        <v>83.471636862602168</v>
      </c>
      <c r="G176" s="22">
        <f t="shared" si="2"/>
        <v>72.007232867251759</v>
      </c>
      <c r="H176" s="24"/>
    </row>
    <row r="177" spans="1:8" x14ac:dyDescent="0.25">
      <c r="B177" s="2" t="s">
        <v>175</v>
      </c>
      <c r="C177" s="21">
        <v>60</v>
      </c>
      <c r="D177" s="22">
        <v>1.2075641353074633</v>
      </c>
      <c r="E177" s="22">
        <v>53.720735997295897</v>
      </c>
      <c r="F177" s="22">
        <v>53.169637777372827</v>
      </c>
      <c r="G177" s="22">
        <f t="shared" si="2"/>
        <v>42.024484477494049</v>
      </c>
      <c r="H177" s="24"/>
    </row>
    <row r="178" spans="1:8" x14ac:dyDescent="0.25">
      <c r="B178" s="2" t="s">
        <v>176</v>
      </c>
      <c r="C178" s="21">
        <v>100</v>
      </c>
      <c r="D178" s="22">
        <v>4.2186838866579688</v>
      </c>
      <c r="E178" s="22">
        <v>58.862876442040793</v>
      </c>
      <c r="F178" s="22">
        <v>99.079921118684837</v>
      </c>
      <c r="G178" s="22">
        <f t="shared" si="2"/>
        <v>65.540370361845902</v>
      </c>
      <c r="H178" s="24"/>
    </row>
    <row r="179" spans="1:8" x14ac:dyDescent="0.25">
      <c r="B179" s="2" t="s">
        <v>177</v>
      </c>
      <c r="C179" s="21">
        <v>40</v>
      </c>
      <c r="D179" s="22">
        <v>10.684420564651955</v>
      </c>
      <c r="E179" s="22">
        <v>74.289297776275504</v>
      </c>
      <c r="F179" s="22">
        <v>80.716909673035858</v>
      </c>
      <c r="G179" s="22">
        <f t="shared" si="2"/>
        <v>51.422657003490826</v>
      </c>
      <c r="H179" s="24"/>
    </row>
    <row r="180" spans="1:8" x14ac:dyDescent="0.25">
      <c r="B180" s="2" t="s">
        <v>178</v>
      </c>
      <c r="C180" s="21">
        <v>100</v>
      </c>
      <c r="D180" s="22">
        <v>4.0548436320588035</v>
      </c>
      <c r="E180" s="22">
        <v>53.720735997295897</v>
      </c>
      <c r="F180" s="22">
        <v>88.815807610360793</v>
      </c>
      <c r="G180" s="22">
        <f t="shared" si="2"/>
        <v>61.647846809928872</v>
      </c>
      <c r="H180" s="24"/>
    </row>
    <row r="181" spans="1:8" x14ac:dyDescent="0.25">
      <c r="B181" s="2" t="s">
        <v>179</v>
      </c>
      <c r="C181" s="21">
        <v>100</v>
      </c>
      <c r="D181" s="22">
        <v>6.5363131991150665</v>
      </c>
      <c r="E181" s="22">
        <v>53.720735997295897</v>
      </c>
      <c r="F181" s="22">
        <v>80.716909673035858</v>
      </c>
      <c r="G181" s="22">
        <f t="shared" si="2"/>
        <v>60.243489717361712</v>
      </c>
      <c r="H181" s="24"/>
    </row>
    <row r="182" spans="1:8" x14ac:dyDescent="0.25">
      <c r="B182" s="2" t="s">
        <v>180</v>
      </c>
      <c r="C182" s="21">
        <v>40</v>
      </c>
      <c r="D182" s="22">
        <v>1.6067103480192493</v>
      </c>
      <c r="E182" s="22">
        <v>53.720735997295897</v>
      </c>
      <c r="F182" s="22">
        <v>75.758400731816522</v>
      </c>
      <c r="G182" s="22">
        <f t="shared" si="2"/>
        <v>42.771461769282915</v>
      </c>
      <c r="H182" s="24"/>
    </row>
    <row r="183" spans="1:8" x14ac:dyDescent="0.25">
      <c r="B183" s="2" t="s">
        <v>181</v>
      </c>
      <c r="C183" s="21">
        <v>100</v>
      </c>
      <c r="D183" s="22">
        <v>7.101988251554844</v>
      </c>
      <c r="E183" s="22">
        <v>96.914715733153059</v>
      </c>
      <c r="F183" s="22">
        <v>87.32825492799499</v>
      </c>
      <c r="G183" s="22">
        <f t="shared" si="2"/>
        <v>72.836239728175727</v>
      </c>
      <c r="H183" s="24"/>
    </row>
    <row r="184" spans="1:8" x14ac:dyDescent="0.25">
      <c r="B184" s="2" t="s">
        <v>182</v>
      </c>
      <c r="C184" s="21">
        <v>100</v>
      </c>
      <c r="D184" s="22">
        <v>18.263013687688748</v>
      </c>
      <c r="E184" s="22">
        <v>53.720735997295897</v>
      </c>
      <c r="F184" s="22">
        <v>53.169637777372827</v>
      </c>
      <c r="G184" s="22">
        <f t="shared" si="2"/>
        <v>56.288346865589368</v>
      </c>
      <c r="H184" s="24"/>
    </row>
    <row r="185" spans="1:8" x14ac:dyDescent="0.25">
      <c r="B185" s="2" t="s">
        <v>183</v>
      </c>
      <c r="C185" s="21">
        <v>100</v>
      </c>
      <c r="D185" s="22">
        <v>3.29959704485143</v>
      </c>
      <c r="E185" s="22">
        <v>84.573578665765297</v>
      </c>
      <c r="F185" s="22">
        <v>99.283770930712762</v>
      </c>
      <c r="G185" s="22">
        <f t="shared" si="2"/>
        <v>71.789236660332364</v>
      </c>
      <c r="H185" s="24"/>
    </row>
    <row r="186" spans="1:8" x14ac:dyDescent="0.25">
      <c r="B186" s="2" t="s">
        <v>184</v>
      </c>
      <c r="C186" s="21">
        <v>100</v>
      </c>
      <c r="D186" s="22">
        <v>14.387197260248952</v>
      </c>
      <c r="E186" s="22">
        <v>98.45735786657653</v>
      </c>
      <c r="F186" s="22">
        <v>99.393960018295417</v>
      </c>
      <c r="G186" s="22">
        <f t="shared" si="2"/>
        <v>78.059628786280228</v>
      </c>
      <c r="H186" s="24"/>
    </row>
    <row r="187" spans="1:8" x14ac:dyDescent="0.25">
      <c r="A187" t="e">
        <f>VLOOKUP(B187,#REF!,2,FALSE)</f>
        <v>#REF!</v>
      </c>
      <c r="B187" s="2" t="s">
        <v>185</v>
      </c>
      <c r="C187" s="21">
        <v>40</v>
      </c>
      <c r="D187" s="22">
        <v>2.411949813920705</v>
      </c>
      <c r="E187" s="22">
        <v>53.720735997295897</v>
      </c>
      <c r="F187" s="22">
        <v>75.207455293903251</v>
      </c>
      <c r="G187" s="22">
        <f t="shared" si="2"/>
        <v>42.835035276279967</v>
      </c>
      <c r="H187" s="24"/>
    </row>
    <row r="188" spans="1:8" x14ac:dyDescent="0.25">
      <c r="B188" s="2" t="s">
        <v>186</v>
      </c>
      <c r="C188" s="21">
        <v>100</v>
      </c>
      <c r="D188" s="22">
        <v>45.220891416967632</v>
      </c>
      <c r="E188" s="22">
        <v>92.286789332882663</v>
      </c>
      <c r="F188" s="22">
        <v>92.892803850918938</v>
      </c>
      <c r="G188" s="22">
        <f t="shared" si="2"/>
        <v>82.600121150192308</v>
      </c>
      <c r="H188" s="24"/>
    </row>
    <row r="189" spans="1:8" x14ac:dyDescent="0.25">
      <c r="B189" s="2" t="s">
        <v>187</v>
      </c>
      <c r="C189" s="21">
        <v>80</v>
      </c>
      <c r="D189" s="22">
        <v>5.9087008481158367</v>
      </c>
      <c r="E189" s="22">
        <v>53.720735997295897</v>
      </c>
      <c r="F189" s="22">
        <v>83.471636862602168</v>
      </c>
      <c r="G189" s="22">
        <f t="shared" si="2"/>
        <v>55.775268427003475</v>
      </c>
      <c r="H189" s="24"/>
    </row>
    <row r="190" spans="1:8" x14ac:dyDescent="0.25">
      <c r="B190" s="2" t="s">
        <v>188</v>
      </c>
      <c r="C190" s="21">
        <v>100</v>
      </c>
      <c r="D190" s="22">
        <v>8.6890604981287272</v>
      </c>
      <c r="E190" s="22">
        <v>99.4857859555255</v>
      </c>
      <c r="F190" s="22">
        <v>75.758400731816522</v>
      </c>
      <c r="G190" s="22">
        <f t="shared" si="2"/>
        <v>70.983311796367687</v>
      </c>
      <c r="H190" s="24"/>
    </row>
    <row r="191" spans="1:8" x14ac:dyDescent="0.25">
      <c r="B191" s="2" t="s">
        <v>189</v>
      </c>
      <c r="C191" s="21">
        <v>80</v>
      </c>
      <c r="D191" s="22">
        <v>11.618762642781233</v>
      </c>
      <c r="E191" s="22">
        <v>53.720735997295897</v>
      </c>
      <c r="F191" s="22">
        <v>75.207455293903251</v>
      </c>
      <c r="G191" s="22">
        <f t="shared" si="2"/>
        <v>55.136738483495094</v>
      </c>
      <c r="H191" s="24"/>
    </row>
    <row r="192" spans="1:8" x14ac:dyDescent="0.25">
      <c r="B192" s="2" t="s">
        <v>190</v>
      </c>
      <c r="C192" s="21">
        <v>100</v>
      </c>
      <c r="D192" s="22">
        <v>0.85143518592194023</v>
      </c>
      <c r="E192" s="22">
        <v>58.862876442040793</v>
      </c>
      <c r="F192" s="22">
        <v>83.471636862602168</v>
      </c>
      <c r="G192" s="22">
        <f t="shared" si="2"/>
        <v>60.796487122641224</v>
      </c>
      <c r="H192" s="24"/>
    </row>
    <row r="193" spans="1:8" x14ac:dyDescent="0.25">
      <c r="B193" s="2" t="s">
        <v>191</v>
      </c>
      <c r="C193" s="21">
        <v>100</v>
      </c>
      <c r="D193" s="22">
        <v>2.7999977514582581</v>
      </c>
      <c r="E193" s="22">
        <v>53.720735997295897</v>
      </c>
      <c r="F193" s="22">
        <v>77.962182483469562</v>
      </c>
      <c r="G193" s="22">
        <f t="shared" si="2"/>
        <v>58.620729058055929</v>
      </c>
      <c r="H193" s="24"/>
    </row>
    <row r="194" spans="1:8" x14ac:dyDescent="0.25">
      <c r="B194" s="2" t="s">
        <v>192</v>
      </c>
      <c r="C194" s="21">
        <v>100</v>
      </c>
      <c r="D194" s="22">
        <v>0.86265776983523546</v>
      </c>
      <c r="E194" s="22">
        <v>96.914715733153059</v>
      </c>
      <c r="F194" s="22">
        <v>87.32825492799499</v>
      </c>
      <c r="G194" s="22">
        <f t="shared" ref="G194:G257" si="3">AVERAGE(C194:F194)</f>
        <v>71.276407107745825</v>
      </c>
      <c r="H194" s="24"/>
    </row>
    <row r="195" spans="1:8" x14ac:dyDescent="0.25">
      <c r="B195" s="2" t="s">
        <v>193</v>
      </c>
      <c r="C195" s="21">
        <v>100</v>
      </c>
      <c r="D195" s="22">
        <v>7.5326845046492705</v>
      </c>
      <c r="E195" s="22">
        <v>74.289297776275504</v>
      </c>
      <c r="F195" s="22">
        <v>70.248946352683902</v>
      </c>
      <c r="G195" s="22">
        <f t="shared" si="3"/>
        <v>63.017732158402168</v>
      </c>
      <c r="H195" s="24"/>
    </row>
    <row r="196" spans="1:8" x14ac:dyDescent="0.25">
      <c r="B196" s="2" t="s">
        <v>194</v>
      </c>
      <c r="C196" s="21">
        <v>100</v>
      </c>
      <c r="D196" s="22">
        <v>1.5969320206855133</v>
      </c>
      <c r="E196" s="22">
        <v>96.914715733153059</v>
      </c>
      <c r="F196" s="22">
        <v>87.32825492799499</v>
      </c>
      <c r="G196" s="22">
        <f t="shared" si="3"/>
        <v>71.459975670458391</v>
      </c>
      <c r="H196" s="24"/>
    </row>
    <row r="197" spans="1:8" x14ac:dyDescent="0.25">
      <c r="B197" s="2" t="s">
        <v>195</v>
      </c>
      <c r="C197" s="21">
        <v>100</v>
      </c>
      <c r="D197" s="22">
        <v>1.5053045950643031</v>
      </c>
      <c r="E197" s="22">
        <v>53.720735997295897</v>
      </c>
      <c r="F197" s="22">
        <v>81.267855110949128</v>
      </c>
      <c r="G197" s="22">
        <f t="shared" si="3"/>
        <v>59.123473925827327</v>
      </c>
      <c r="H197" s="24"/>
    </row>
    <row r="198" spans="1:8" x14ac:dyDescent="0.25">
      <c r="B198" s="2" t="s">
        <v>196</v>
      </c>
      <c r="C198" s="21">
        <v>40</v>
      </c>
      <c r="D198" s="22">
        <v>2.6359989256599188</v>
      </c>
      <c r="E198" s="22">
        <v>94.857859555255104</v>
      </c>
      <c r="F198" s="22">
        <v>84.022582300515438</v>
      </c>
      <c r="G198" s="22">
        <f t="shared" si="3"/>
        <v>55.379110195357619</v>
      </c>
      <c r="H198" s="24"/>
    </row>
    <row r="199" spans="1:8" x14ac:dyDescent="0.25">
      <c r="B199" s="2" t="s">
        <v>197</v>
      </c>
      <c r="C199" s="21">
        <v>40</v>
      </c>
      <c r="D199" s="22">
        <v>6.899502893248961</v>
      </c>
      <c r="E199" s="22">
        <v>53.720735997295897</v>
      </c>
      <c r="F199" s="22">
        <v>85.124473176341965</v>
      </c>
      <c r="G199" s="22">
        <f t="shared" si="3"/>
        <v>46.436178016721712</v>
      </c>
      <c r="H199" s="24"/>
    </row>
    <row r="200" spans="1:8" x14ac:dyDescent="0.25">
      <c r="B200" s="2" t="s">
        <v>198</v>
      </c>
      <c r="C200" s="21">
        <v>80</v>
      </c>
      <c r="D200" s="22">
        <v>2.366720777590523</v>
      </c>
      <c r="E200" s="22">
        <v>53.720735997295897</v>
      </c>
      <c r="F200" s="22">
        <v>75.207455293903251</v>
      </c>
      <c r="G200" s="22">
        <f t="shared" si="3"/>
        <v>52.823728017197418</v>
      </c>
      <c r="H200" s="24"/>
    </row>
    <row r="201" spans="1:8" x14ac:dyDescent="0.25">
      <c r="B201" s="2" t="s">
        <v>199</v>
      </c>
      <c r="C201" s="21">
        <v>100</v>
      </c>
      <c r="D201" s="22">
        <v>26.043058147412129</v>
      </c>
      <c r="E201" s="22">
        <v>53.720735997295897</v>
      </c>
      <c r="F201" s="22">
        <v>53.169637777372827</v>
      </c>
      <c r="G201" s="22">
        <f t="shared" si="3"/>
        <v>58.233357980520211</v>
      </c>
      <c r="H201" s="24"/>
    </row>
    <row r="202" spans="1:8" x14ac:dyDescent="0.25">
      <c r="B202" s="2" t="s">
        <v>200</v>
      </c>
      <c r="C202" s="21">
        <v>60</v>
      </c>
      <c r="D202" s="22">
        <v>5.4489063763939001</v>
      </c>
      <c r="E202" s="22">
        <v>53.720735997295897</v>
      </c>
      <c r="F202" s="22">
        <v>75.758400731816522</v>
      </c>
      <c r="G202" s="22">
        <f t="shared" si="3"/>
        <v>48.732010776376576</v>
      </c>
      <c r="H202" s="24"/>
    </row>
    <row r="203" spans="1:8" x14ac:dyDescent="0.25">
      <c r="B203" s="2" t="s">
        <v>201</v>
      </c>
      <c r="C203" s="21">
        <v>100</v>
      </c>
      <c r="D203" s="22">
        <v>5.0830156014808363</v>
      </c>
      <c r="E203" s="22">
        <v>53.720735997295897</v>
      </c>
      <c r="F203" s="22">
        <v>53.169637777372827</v>
      </c>
      <c r="G203" s="22">
        <f t="shared" si="3"/>
        <v>52.993347344037389</v>
      </c>
      <c r="H203" s="24"/>
    </row>
    <row r="204" spans="1:8" x14ac:dyDescent="0.25">
      <c r="B204" s="2" t="s">
        <v>202</v>
      </c>
      <c r="C204" s="21">
        <v>100</v>
      </c>
      <c r="D204" s="22">
        <v>10.208323714475439</v>
      </c>
      <c r="E204" s="22">
        <v>53.720735997295897</v>
      </c>
      <c r="F204" s="22">
        <v>53.169637777372827</v>
      </c>
      <c r="G204" s="22">
        <f t="shared" si="3"/>
        <v>54.274674372286043</v>
      </c>
      <c r="H204" s="24"/>
    </row>
    <row r="205" spans="1:8" x14ac:dyDescent="0.25">
      <c r="B205" s="2" t="s">
        <v>203</v>
      </c>
      <c r="C205" s="21">
        <v>60</v>
      </c>
      <c r="D205" s="22">
        <v>0.87992941692114546</v>
      </c>
      <c r="E205" s="22">
        <v>84.573578665765297</v>
      </c>
      <c r="F205" s="22">
        <v>88.981091241734774</v>
      </c>
      <c r="G205" s="22">
        <f t="shared" si="3"/>
        <v>58.608649831105296</v>
      </c>
      <c r="H205" s="24"/>
    </row>
    <row r="206" spans="1:8" x14ac:dyDescent="0.25">
      <c r="A206" t="e">
        <f>VLOOKUP(B206,#REF!,2,FALSE)</f>
        <v>#REF!</v>
      </c>
      <c r="B206" s="2" t="s">
        <v>204</v>
      </c>
      <c r="C206" s="21">
        <v>60</v>
      </c>
      <c r="D206" s="22">
        <v>3.0341942558690076</v>
      </c>
      <c r="E206" s="22">
        <v>53.720735997295897</v>
      </c>
      <c r="F206" s="22">
        <v>79.064073359296088</v>
      </c>
      <c r="G206" s="22">
        <f t="shared" si="3"/>
        <v>48.954750903115247</v>
      </c>
      <c r="H206" s="24"/>
    </row>
    <row r="207" spans="1:8" x14ac:dyDescent="0.25">
      <c r="B207" s="2" t="s">
        <v>205</v>
      </c>
      <c r="C207" s="21">
        <v>100</v>
      </c>
      <c r="D207" s="22">
        <v>29.419303856348687</v>
      </c>
      <c r="E207" s="22">
        <v>99.228678933288279</v>
      </c>
      <c r="F207" s="22">
        <v>99.944905456208659</v>
      </c>
      <c r="G207" s="22">
        <f t="shared" si="3"/>
        <v>82.148222061461411</v>
      </c>
      <c r="H207" s="24"/>
    </row>
    <row r="208" spans="1:8" x14ac:dyDescent="0.25">
      <c r="B208" s="2" t="s">
        <v>206</v>
      </c>
      <c r="C208" s="21">
        <v>60</v>
      </c>
      <c r="D208" s="22">
        <v>2.840247524986955</v>
      </c>
      <c r="E208" s="22">
        <v>48.578595552550993</v>
      </c>
      <c r="F208" s="22">
        <v>80.716909673035858</v>
      </c>
      <c r="G208" s="22">
        <f t="shared" si="3"/>
        <v>48.033938187643457</v>
      </c>
      <c r="H208" s="24"/>
    </row>
    <row r="209" spans="2:8" x14ac:dyDescent="0.25">
      <c r="B209" s="2" t="s">
        <v>207</v>
      </c>
      <c r="C209" s="21">
        <v>100</v>
      </c>
      <c r="D209" s="22">
        <v>10.858565095778616</v>
      </c>
      <c r="E209" s="22">
        <v>53.720735997295897</v>
      </c>
      <c r="F209" s="22">
        <v>53.169637777372827</v>
      </c>
      <c r="G209" s="22">
        <f t="shared" si="3"/>
        <v>54.437234717611837</v>
      </c>
      <c r="H209" s="24"/>
    </row>
    <row r="210" spans="2:8" x14ac:dyDescent="0.25">
      <c r="B210" s="2" t="s">
        <v>208</v>
      </c>
      <c r="C210" s="21">
        <v>100</v>
      </c>
      <c r="D210" s="22">
        <v>1.7516338817956174</v>
      </c>
      <c r="E210" s="22">
        <v>53.720735997295897</v>
      </c>
      <c r="F210" s="22">
        <v>53.169637777372827</v>
      </c>
      <c r="G210" s="22">
        <f t="shared" si="3"/>
        <v>52.160501914116082</v>
      </c>
      <c r="H210" s="24"/>
    </row>
    <row r="211" spans="2:8" x14ac:dyDescent="0.25">
      <c r="B211" s="2" t="s">
        <v>209</v>
      </c>
      <c r="C211" s="21">
        <v>60</v>
      </c>
      <c r="D211" s="22">
        <v>1.841106087980483</v>
      </c>
      <c r="E211" s="22">
        <v>85.087792710239782</v>
      </c>
      <c r="F211" s="22">
        <v>75.207455293903251</v>
      </c>
      <c r="G211" s="22">
        <f t="shared" si="3"/>
        <v>55.534088523030881</v>
      </c>
      <c r="H211" s="24"/>
    </row>
    <row r="212" spans="2:8" x14ac:dyDescent="0.25">
      <c r="B212" s="2" t="s">
        <v>210</v>
      </c>
      <c r="C212" s="21">
        <v>100</v>
      </c>
      <c r="D212" s="22">
        <v>71.028099150073189</v>
      </c>
      <c r="E212" s="22">
        <v>98.045986630996936</v>
      </c>
      <c r="F212" s="22">
        <v>97.961501879720927</v>
      </c>
      <c r="G212" s="22">
        <f t="shared" si="3"/>
        <v>91.758896915197766</v>
      </c>
      <c r="H212" s="24"/>
    </row>
    <row r="213" spans="2:8" x14ac:dyDescent="0.25">
      <c r="B213" s="2" t="s">
        <v>211</v>
      </c>
      <c r="C213" s="21">
        <v>100</v>
      </c>
      <c r="D213" s="22">
        <v>10.378319816790757</v>
      </c>
      <c r="E213" s="22">
        <v>58.862876442040793</v>
      </c>
      <c r="F213" s="22">
        <v>80.716909673035858</v>
      </c>
      <c r="G213" s="22">
        <f t="shared" si="3"/>
        <v>62.489526482966852</v>
      </c>
      <c r="H213" s="24"/>
    </row>
    <row r="214" spans="2:8" x14ac:dyDescent="0.25">
      <c r="B214" s="2" t="s">
        <v>212</v>
      </c>
      <c r="C214" s="21">
        <v>100</v>
      </c>
      <c r="D214" s="22">
        <v>100</v>
      </c>
      <c r="E214" s="22">
        <v>48.578595552550993</v>
      </c>
      <c r="F214" s="22">
        <v>83.471636862602168</v>
      </c>
      <c r="G214" s="22">
        <f t="shared" si="3"/>
        <v>83.012558103788294</v>
      </c>
      <c r="H214" s="24"/>
    </row>
    <row r="215" spans="2:8" x14ac:dyDescent="0.25">
      <c r="B215" s="2" t="s">
        <v>213</v>
      </c>
      <c r="C215" s="21">
        <v>100</v>
      </c>
      <c r="D215" s="22">
        <v>11.66796991332494</v>
      </c>
      <c r="E215" s="22">
        <v>99.588628764420406</v>
      </c>
      <c r="F215" s="22">
        <v>89.642225767230698</v>
      </c>
      <c r="G215" s="22">
        <f t="shared" si="3"/>
        <v>75.224706111244004</v>
      </c>
      <c r="H215" s="24"/>
    </row>
    <row r="216" spans="2:8" x14ac:dyDescent="0.25">
      <c r="B216" s="2" t="s">
        <v>214</v>
      </c>
      <c r="C216" s="21">
        <v>100</v>
      </c>
      <c r="D216" s="22">
        <v>30.500952844386774</v>
      </c>
      <c r="E216" s="22">
        <v>53.720735997295897</v>
      </c>
      <c r="F216" s="22">
        <v>53.169637777372827</v>
      </c>
      <c r="G216" s="22">
        <f t="shared" si="3"/>
        <v>59.347831654763873</v>
      </c>
      <c r="H216" s="24"/>
    </row>
    <row r="217" spans="2:8" x14ac:dyDescent="0.25">
      <c r="B217" s="2" t="s">
        <v>215</v>
      </c>
      <c r="C217" s="21">
        <v>100</v>
      </c>
      <c r="D217" s="22">
        <v>7.1143236233245215</v>
      </c>
      <c r="E217" s="22">
        <v>53.720735997295897</v>
      </c>
      <c r="F217" s="22">
        <v>81.267855110949128</v>
      </c>
      <c r="G217" s="22">
        <f t="shared" si="3"/>
        <v>60.525728682892392</v>
      </c>
      <c r="H217" s="24"/>
    </row>
    <row r="218" spans="2:8" x14ac:dyDescent="0.25">
      <c r="B218" s="2" t="s">
        <v>216</v>
      </c>
      <c r="C218" s="21">
        <v>100</v>
      </c>
      <c r="D218" s="22">
        <v>97.299320103803566</v>
      </c>
      <c r="E218" s="22">
        <v>53.720735997295897</v>
      </c>
      <c r="F218" s="22">
        <v>99.88981091241736</v>
      </c>
      <c r="G218" s="22">
        <f t="shared" si="3"/>
        <v>87.727466753379204</v>
      </c>
      <c r="H218" s="24"/>
    </row>
    <row r="219" spans="2:8" x14ac:dyDescent="0.25">
      <c r="B219" s="2" t="s">
        <v>217</v>
      </c>
      <c r="C219" s="21">
        <v>100</v>
      </c>
      <c r="D219" s="22">
        <v>27.700401763299638</v>
      </c>
      <c r="E219" s="22">
        <v>100</v>
      </c>
      <c r="F219" s="22">
        <v>96.694327372520434</v>
      </c>
      <c r="G219" s="22">
        <f t="shared" si="3"/>
        <v>81.098682283955014</v>
      </c>
      <c r="H219" s="24"/>
    </row>
    <row r="220" spans="2:8" x14ac:dyDescent="0.25">
      <c r="B220" s="2" t="s">
        <v>218</v>
      </c>
      <c r="C220" s="21">
        <v>100</v>
      </c>
      <c r="D220" s="22">
        <v>36.774846203498953</v>
      </c>
      <c r="E220" s="22">
        <v>53.720735997295897</v>
      </c>
      <c r="F220" s="22">
        <v>53.169637777372827</v>
      </c>
      <c r="G220" s="22">
        <f t="shared" si="3"/>
        <v>60.916304994541917</v>
      </c>
      <c r="H220" s="24"/>
    </row>
    <row r="221" spans="2:8" x14ac:dyDescent="0.25">
      <c r="B221" s="2" t="s">
        <v>219</v>
      </c>
      <c r="C221" s="21">
        <v>80</v>
      </c>
      <c r="D221" s="22">
        <v>11.8006387595338</v>
      </c>
      <c r="E221" s="22">
        <v>53.720735997295897</v>
      </c>
      <c r="F221" s="22">
        <v>77.962182483469562</v>
      </c>
      <c r="G221" s="22">
        <f t="shared" si="3"/>
        <v>55.870889310074816</v>
      </c>
      <c r="H221" s="24"/>
    </row>
    <row r="222" spans="2:8" x14ac:dyDescent="0.25">
      <c r="B222" s="2" t="s">
        <v>220</v>
      </c>
      <c r="C222" s="21">
        <v>100</v>
      </c>
      <c r="D222" s="22">
        <v>21.736904118271173</v>
      </c>
      <c r="E222" s="22">
        <v>53.720735997295897</v>
      </c>
      <c r="F222" s="22">
        <v>75.207455293903251</v>
      </c>
      <c r="G222" s="22">
        <f t="shared" si="3"/>
        <v>62.666273852367581</v>
      </c>
      <c r="H222" s="24"/>
    </row>
    <row r="223" spans="2:8" x14ac:dyDescent="0.25">
      <c r="B223" s="2" t="s">
        <v>221</v>
      </c>
      <c r="C223" s="21">
        <v>100</v>
      </c>
      <c r="D223" s="22">
        <v>0.73272203034965455</v>
      </c>
      <c r="E223" s="22">
        <v>53.720735997295897</v>
      </c>
      <c r="F223" s="22">
        <v>75.207455293903251</v>
      </c>
      <c r="G223" s="22">
        <f t="shared" si="3"/>
        <v>57.415228330387201</v>
      </c>
      <c r="H223" s="24"/>
    </row>
    <row r="224" spans="2:8" x14ac:dyDescent="0.25">
      <c r="B224" s="2" t="s">
        <v>222</v>
      </c>
      <c r="C224" s="21">
        <v>40</v>
      </c>
      <c r="D224" s="22">
        <v>15.734380856591804</v>
      </c>
      <c r="E224" s="22">
        <v>53.720735997295897</v>
      </c>
      <c r="F224" s="22">
        <v>85.124473176341965</v>
      </c>
      <c r="G224" s="22">
        <f t="shared" si="3"/>
        <v>48.644897507557417</v>
      </c>
      <c r="H224" s="24"/>
    </row>
    <row r="225" spans="1:8" x14ac:dyDescent="0.25">
      <c r="A225" t="e">
        <f>VLOOKUP(B225,#REF!,2,FALSE)</f>
        <v>#REF!</v>
      </c>
      <c r="B225" s="2" t="s">
        <v>223</v>
      </c>
      <c r="C225" s="21">
        <v>40</v>
      </c>
      <c r="D225" s="22">
        <v>1.5083696121344865</v>
      </c>
      <c r="E225" s="22">
        <v>74.289297776275504</v>
      </c>
      <c r="F225" s="22">
        <v>70.248946352683902</v>
      </c>
      <c r="G225" s="22">
        <f t="shared" si="3"/>
        <v>46.511653435273473</v>
      </c>
      <c r="H225" s="24"/>
    </row>
    <row r="226" spans="1:8" x14ac:dyDescent="0.25">
      <c r="B226" s="2" t="s">
        <v>224</v>
      </c>
      <c r="C226" s="21">
        <v>100</v>
      </c>
      <c r="D226" s="22">
        <v>31.909854269745775</v>
      </c>
      <c r="E226" s="22">
        <v>53.720735997295897</v>
      </c>
      <c r="F226" s="22">
        <v>79.064073359296088</v>
      </c>
      <c r="G226" s="22">
        <f t="shared" si="3"/>
        <v>66.173665906584432</v>
      </c>
      <c r="H226" s="24"/>
    </row>
    <row r="227" spans="1:8" x14ac:dyDescent="0.25">
      <c r="B227" s="2" t="s">
        <v>225</v>
      </c>
      <c r="C227" s="21">
        <v>40</v>
      </c>
      <c r="D227" s="22">
        <v>0.87511152329176156</v>
      </c>
      <c r="E227" s="22">
        <v>48.578595552550993</v>
      </c>
      <c r="F227" s="22">
        <v>83.471636862602168</v>
      </c>
      <c r="G227" s="22">
        <f t="shared" si="3"/>
        <v>43.231335984611235</v>
      </c>
      <c r="H227" s="24"/>
    </row>
    <row r="228" spans="1:8" x14ac:dyDescent="0.25">
      <c r="B228" s="2" t="s">
        <v>226</v>
      </c>
      <c r="C228" s="21">
        <v>100</v>
      </c>
      <c r="D228" s="22">
        <v>6.7420927387717624</v>
      </c>
      <c r="E228" s="22">
        <v>74.289297776275504</v>
      </c>
      <c r="F228" s="22">
        <v>80.716909673035858</v>
      </c>
      <c r="G228" s="22">
        <f t="shared" si="3"/>
        <v>65.437075047020784</v>
      </c>
      <c r="H228" s="24"/>
    </row>
    <row r="229" spans="1:8" x14ac:dyDescent="0.25">
      <c r="B229" s="2" t="s">
        <v>227</v>
      </c>
      <c r="C229" s="21">
        <v>100</v>
      </c>
      <c r="D229" s="22">
        <v>14.08653145198959</v>
      </c>
      <c r="E229" s="22">
        <v>90.271070278542638</v>
      </c>
      <c r="F229" s="22">
        <v>96.088287390815836</v>
      </c>
      <c r="G229" s="22">
        <f t="shared" si="3"/>
        <v>75.111472280337011</v>
      </c>
      <c r="H229" s="24"/>
    </row>
    <row r="230" spans="1:8" x14ac:dyDescent="0.25">
      <c r="A230" t="e">
        <f>VLOOKUP(B230,#REF!,2,FALSE)</f>
        <v>#REF!</v>
      </c>
      <c r="B230" s="2" t="s">
        <v>228</v>
      </c>
      <c r="C230" s="21">
        <v>40</v>
      </c>
      <c r="D230" s="22">
        <v>1.8874571299742164</v>
      </c>
      <c r="E230" s="22">
        <v>74.289297776275504</v>
      </c>
      <c r="F230" s="22">
        <v>70.248946352683902</v>
      </c>
      <c r="G230" s="22">
        <f t="shared" si="3"/>
        <v>46.606425314733407</v>
      </c>
      <c r="H230" s="24"/>
    </row>
    <row r="231" spans="1:8" x14ac:dyDescent="0.25">
      <c r="B231" s="2" t="s">
        <v>229</v>
      </c>
      <c r="C231" s="21">
        <v>100</v>
      </c>
      <c r="D231" s="22">
        <v>0.76168766148789435</v>
      </c>
      <c r="E231" s="22">
        <v>84.573578665765297</v>
      </c>
      <c r="F231" s="22">
        <v>84.573527738428695</v>
      </c>
      <c r="G231" s="22">
        <f t="shared" si="3"/>
        <v>67.477198516420472</v>
      </c>
      <c r="H231" s="24"/>
    </row>
    <row r="232" spans="1:8" x14ac:dyDescent="0.25">
      <c r="B232" s="2" t="s">
        <v>230</v>
      </c>
      <c r="C232" s="21">
        <v>100</v>
      </c>
      <c r="D232" s="22">
        <v>4.9064707408432415</v>
      </c>
      <c r="E232" s="22">
        <v>53.720735997295897</v>
      </c>
      <c r="F232" s="22">
        <v>99.504149105878071</v>
      </c>
      <c r="G232" s="22">
        <f t="shared" si="3"/>
        <v>64.532838961004302</v>
      </c>
      <c r="H232" s="24"/>
    </row>
    <row r="233" spans="1:8" x14ac:dyDescent="0.25">
      <c r="B233" s="2" t="s">
        <v>231</v>
      </c>
      <c r="C233" s="21">
        <v>100</v>
      </c>
      <c r="D233" s="22">
        <v>22.491607541938883</v>
      </c>
      <c r="E233" s="22">
        <v>94.857859555255104</v>
      </c>
      <c r="F233" s="22">
        <v>84.022582300515438</v>
      </c>
      <c r="G233" s="22">
        <f t="shared" si="3"/>
        <v>75.343012349427369</v>
      </c>
      <c r="H233" s="24"/>
    </row>
    <row r="234" spans="1:8" x14ac:dyDescent="0.25">
      <c r="B234" s="2" t="s">
        <v>232</v>
      </c>
      <c r="C234" s="21">
        <v>40</v>
      </c>
      <c r="D234" s="22">
        <v>0.15410563190988077</v>
      </c>
      <c r="E234" s="22">
        <v>53.720735997295897</v>
      </c>
      <c r="F234" s="22">
        <v>77.962182483469562</v>
      </c>
      <c r="G234" s="22">
        <f t="shared" si="3"/>
        <v>42.959256028168838</v>
      </c>
      <c r="H234" s="24"/>
    </row>
    <row r="235" spans="1:8" x14ac:dyDescent="0.25">
      <c r="B235" s="2" t="s">
        <v>233</v>
      </c>
      <c r="C235" s="21">
        <v>40</v>
      </c>
      <c r="D235" s="22">
        <v>3.3137742723833874</v>
      </c>
      <c r="E235" s="22">
        <v>99.4857859555255</v>
      </c>
      <c r="F235" s="22">
        <v>100</v>
      </c>
      <c r="G235" s="22">
        <f t="shared" si="3"/>
        <v>60.699890056977225</v>
      </c>
      <c r="H235" s="24"/>
    </row>
    <row r="236" spans="1:8" x14ac:dyDescent="0.25">
      <c r="B236" s="2" t="s">
        <v>234</v>
      </c>
      <c r="C236" s="21">
        <v>100</v>
      </c>
      <c r="D236" s="22">
        <v>16.461244413845325</v>
      </c>
      <c r="E236" s="22">
        <v>96.194816070888763</v>
      </c>
      <c r="F236" s="22">
        <v>75.207455293903251</v>
      </c>
      <c r="G236" s="22">
        <f t="shared" si="3"/>
        <v>71.965878944659337</v>
      </c>
      <c r="H236" s="24"/>
    </row>
    <row r="237" spans="1:8" x14ac:dyDescent="0.25">
      <c r="B237" s="2" t="s">
        <v>235</v>
      </c>
      <c r="C237" s="21">
        <v>100</v>
      </c>
      <c r="D237" s="22">
        <v>4.3445849317440057</v>
      </c>
      <c r="E237" s="22">
        <v>91.258361243933678</v>
      </c>
      <c r="F237" s="22">
        <v>0</v>
      </c>
      <c r="G237" s="22">
        <f t="shared" si="3"/>
        <v>48.900736543919422</v>
      </c>
      <c r="H237" s="24"/>
    </row>
    <row r="238" spans="1:8" x14ac:dyDescent="0.25">
      <c r="A238" t="e">
        <f>VLOOKUP(B238,#REF!,2,FALSE)</f>
        <v>#REF!</v>
      </c>
      <c r="B238" s="2" t="s">
        <v>236</v>
      </c>
      <c r="C238" s="21">
        <v>60</v>
      </c>
      <c r="D238" s="22">
        <v>0.34250349976758071</v>
      </c>
      <c r="E238" s="22">
        <v>96.914715733153059</v>
      </c>
      <c r="F238" s="22">
        <v>87.32825492799499</v>
      </c>
      <c r="G238" s="22">
        <f t="shared" si="3"/>
        <v>61.146368540228906</v>
      </c>
      <c r="H238" s="24"/>
    </row>
    <row r="239" spans="1:8" x14ac:dyDescent="0.25">
      <c r="A239" t="e">
        <f>VLOOKUP(B239,#REF!,2,FALSE)</f>
        <v>#REF!</v>
      </c>
      <c r="B239" s="2" t="s">
        <v>237</v>
      </c>
      <c r="C239" s="21">
        <v>20</v>
      </c>
      <c r="D239" s="22">
        <v>0.68647801012536336</v>
      </c>
      <c r="E239" s="22">
        <v>53.720735997295897</v>
      </c>
      <c r="F239" s="22">
        <v>53.169637777372827</v>
      </c>
      <c r="G239" s="22">
        <f t="shared" si="3"/>
        <v>31.894212946198522</v>
      </c>
      <c r="H239" s="24"/>
    </row>
    <row r="240" spans="1:8" x14ac:dyDescent="0.25">
      <c r="B240" s="2" t="s">
        <v>238</v>
      </c>
      <c r="C240" s="21">
        <v>40</v>
      </c>
      <c r="D240" s="22">
        <v>2.4851024644396311</v>
      </c>
      <c r="E240" s="22">
        <v>53.720735997295897</v>
      </c>
      <c r="F240" s="22">
        <v>77.962182483469562</v>
      </c>
      <c r="G240" s="22">
        <f t="shared" si="3"/>
        <v>43.542005236301279</v>
      </c>
      <c r="H240" s="24"/>
    </row>
    <row r="241" spans="1:8" x14ac:dyDescent="0.25">
      <c r="B241" s="2" t="s">
        <v>239</v>
      </c>
      <c r="C241" s="21">
        <v>40</v>
      </c>
      <c r="D241" s="22">
        <v>3.8275507933085158</v>
      </c>
      <c r="E241" s="22">
        <v>94.857859555255104</v>
      </c>
      <c r="F241" s="22">
        <v>84.022582300515438</v>
      </c>
      <c r="G241" s="22">
        <f t="shared" si="3"/>
        <v>55.676998162269761</v>
      </c>
      <c r="H241" s="24"/>
    </row>
    <row r="242" spans="1:8" x14ac:dyDescent="0.25">
      <c r="B242" s="2" t="s">
        <v>240</v>
      </c>
      <c r="C242" s="21">
        <v>80</v>
      </c>
      <c r="D242" s="22">
        <v>2.8831620674499159</v>
      </c>
      <c r="E242" s="22">
        <v>53.720735997295897</v>
      </c>
      <c r="F242" s="23">
        <v>53.169637777372827</v>
      </c>
      <c r="G242" s="22">
        <f t="shared" si="3"/>
        <v>47.443383960529658</v>
      </c>
      <c r="H242" s="24"/>
    </row>
    <row r="243" spans="1:8" x14ac:dyDescent="0.25">
      <c r="A243" t="e">
        <f>VLOOKUP(B243,#REF!,2,FALSE)</f>
        <v>#REF!</v>
      </c>
      <c r="B243" s="2" t="s">
        <v>241</v>
      </c>
      <c r="C243" s="21">
        <v>60</v>
      </c>
      <c r="D243" s="22">
        <v>2.3150390679606212</v>
      </c>
      <c r="E243" s="22">
        <v>53.720735997295897</v>
      </c>
      <c r="F243" s="22">
        <v>75.207455293903251</v>
      </c>
      <c r="G243" s="22">
        <f t="shared" si="3"/>
        <v>47.810807589789945</v>
      </c>
      <c r="H243" s="24"/>
    </row>
    <row r="244" spans="1:8" x14ac:dyDescent="0.25">
      <c r="A244" t="e">
        <f>VLOOKUP(B244,#REF!,2,FALSE)</f>
        <v>#REF!</v>
      </c>
      <c r="B244" s="2" t="s">
        <v>242</v>
      </c>
      <c r="C244" s="21">
        <v>40</v>
      </c>
      <c r="D244" s="22">
        <v>0.18669833792682863</v>
      </c>
      <c r="E244" s="22">
        <v>53.720735997295897</v>
      </c>
      <c r="F244" s="22">
        <v>75.758400731816522</v>
      </c>
      <c r="G244" s="22">
        <f t="shared" si="3"/>
        <v>42.41645876675981</v>
      </c>
      <c r="H244" s="24"/>
    </row>
    <row r="245" spans="1:8" x14ac:dyDescent="0.25">
      <c r="B245" s="2" t="s">
        <v>243</v>
      </c>
      <c r="C245" s="21">
        <v>100</v>
      </c>
      <c r="D245" s="22">
        <v>8.7729152063468891</v>
      </c>
      <c r="E245" s="22">
        <v>53.720735997295897</v>
      </c>
      <c r="F245" s="22">
        <v>99.504149105878071</v>
      </c>
      <c r="G245" s="22">
        <f t="shared" si="3"/>
        <v>65.499450077380217</v>
      </c>
      <c r="H245" s="24"/>
    </row>
    <row r="246" spans="1:8" x14ac:dyDescent="0.25">
      <c r="B246" s="2" t="s">
        <v>244</v>
      </c>
      <c r="C246" s="21">
        <v>20</v>
      </c>
      <c r="D246" s="22">
        <v>0.63455993561437418</v>
      </c>
      <c r="E246" s="22">
        <v>48.578595552550993</v>
      </c>
      <c r="F246" s="22">
        <v>68.375731863778825</v>
      </c>
      <c r="G246" s="22">
        <f t="shared" si="3"/>
        <v>34.397221837986052</v>
      </c>
      <c r="H246" s="24"/>
    </row>
    <row r="247" spans="1:8" x14ac:dyDescent="0.25">
      <c r="B247" s="2" t="s">
        <v>245</v>
      </c>
      <c r="C247" s="21">
        <v>100</v>
      </c>
      <c r="D247" s="22">
        <v>4.4015218573572916</v>
      </c>
      <c r="E247" s="22">
        <v>53.720735997295897</v>
      </c>
      <c r="F247" s="22">
        <v>75.207455293903251</v>
      </c>
      <c r="G247" s="22">
        <f t="shared" si="3"/>
        <v>58.332428287139109</v>
      </c>
      <c r="H247" s="24"/>
    </row>
    <row r="248" spans="1:8" x14ac:dyDescent="0.25">
      <c r="B248" s="2" t="s">
        <v>246</v>
      </c>
      <c r="C248" s="21">
        <v>100</v>
      </c>
      <c r="D248" s="22">
        <v>6.9304531873104871</v>
      </c>
      <c r="E248" s="22">
        <v>97.840301013207139</v>
      </c>
      <c r="F248" s="22">
        <v>82.920691424688926</v>
      </c>
      <c r="G248" s="22">
        <f t="shared" si="3"/>
        <v>71.922861406301635</v>
      </c>
      <c r="H248" s="24"/>
    </row>
    <row r="249" spans="1:8" x14ac:dyDescent="0.25">
      <c r="A249" t="e">
        <f>VLOOKUP(B249,#REF!,2,FALSE)</f>
        <v>#REF!</v>
      </c>
      <c r="B249" s="2" t="s">
        <v>247</v>
      </c>
      <c r="C249" s="21">
        <v>80</v>
      </c>
      <c r="D249" s="22">
        <v>1.2887873622658688</v>
      </c>
      <c r="E249" s="22">
        <v>53.720735997295897</v>
      </c>
      <c r="F249" s="22">
        <v>98.347163686260203</v>
      </c>
      <c r="G249" s="22">
        <f t="shared" si="3"/>
        <v>58.339171761455489</v>
      </c>
      <c r="H249" s="24"/>
    </row>
    <row r="250" spans="1:8" x14ac:dyDescent="0.25">
      <c r="B250" s="2" t="s">
        <v>248</v>
      </c>
      <c r="C250" s="21">
        <v>60</v>
      </c>
      <c r="D250" s="22">
        <v>0.93058518174925375</v>
      </c>
      <c r="E250" s="22">
        <v>90.744147199459178</v>
      </c>
      <c r="F250" s="22">
        <v>91.735818431301084</v>
      </c>
      <c r="G250" s="22">
        <f t="shared" si="3"/>
        <v>60.852637703127378</v>
      </c>
      <c r="H250" s="24"/>
    </row>
    <row r="251" spans="1:8" x14ac:dyDescent="0.25">
      <c r="B251" s="2" t="s">
        <v>249</v>
      </c>
      <c r="C251" s="21">
        <v>100</v>
      </c>
      <c r="D251" s="22">
        <v>7.707392198101183</v>
      </c>
      <c r="E251" s="22">
        <v>53.720735997295897</v>
      </c>
      <c r="F251" s="22">
        <v>96.308665565981144</v>
      </c>
      <c r="G251" s="22">
        <f t="shared" si="3"/>
        <v>64.434198440344559</v>
      </c>
      <c r="H251" s="24"/>
    </row>
    <row r="252" spans="1:8" x14ac:dyDescent="0.25">
      <c r="B252" s="2" t="s">
        <v>250</v>
      </c>
      <c r="C252" s="21">
        <v>60</v>
      </c>
      <c r="D252" s="22">
        <v>2.4798936702182699</v>
      </c>
      <c r="E252" s="22">
        <v>48.578595552550993</v>
      </c>
      <c r="F252" s="22">
        <v>98.29206914246889</v>
      </c>
      <c r="G252" s="22">
        <f t="shared" si="3"/>
        <v>52.337639591309539</v>
      </c>
      <c r="H252" s="24"/>
    </row>
    <row r="253" spans="1:8" x14ac:dyDescent="0.25">
      <c r="B253" s="2" t="s">
        <v>251</v>
      </c>
      <c r="C253" s="21">
        <v>60</v>
      </c>
      <c r="D253" s="22">
        <v>35.790802507290955</v>
      </c>
      <c r="E253" s="22">
        <v>53.720735997295897</v>
      </c>
      <c r="F253" s="22">
        <v>85.124473176341965</v>
      </c>
      <c r="G253" s="22">
        <f t="shared" si="3"/>
        <v>58.659002920232197</v>
      </c>
      <c r="H253" s="24"/>
    </row>
    <row r="254" spans="1:8" x14ac:dyDescent="0.25">
      <c r="B254" s="2" t="s">
        <v>252</v>
      </c>
      <c r="C254" s="21">
        <v>60</v>
      </c>
      <c r="D254" s="22">
        <v>1.813332382800225</v>
      </c>
      <c r="E254" s="22">
        <v>76.860367998647945</v>
      </c>
      <c r="F254" s="22">
        <v>91.735818431301084</v>
      </c>
      <c r="G254" s="22">
        <f t="shared" si="3"/>
        <v>57.60237970318731</v>
      </c>
      <c r="H254" s="24"/>
    </row>
    <row r="255" spans="1:8" x14ac:dyDescent="0.25">
      <c r="B255" s="2" t="s">
        <v>253</v>
      </c>
      <c r="C255" s="21">
        <v>100</v>
      </c>
      <c r="D255" s="22">
        <v>7.4452951434172574</v>
      </c>
      <c r="E255" s="22">
        <v>74.289297776275504</v>
      </c>
      <c r="F255" s="22">
        <v>88.099578541073569</v>
      </c>
      <c r="G255" s="22">
        <f t="shared" si="3"/>
        <v>67.458542865191589</v>
      </c>
      <c r="H255" s="24"/>
    </row>
    <row r="256" spans="1:8" x14ac:dyDescent="0.25">
      <c r="B256" s="2" t="s">
        <v>254</v>
      </c>
      <c r="C256" s="21">
        <v>100</v>
      </c>
      <c r="D256" s="22">
        <v>56.58553335448201</v>
      </c>
      <c r="E256" s="22">
        <v>53.720735997295897</v>
      </c>
      <c r="F256" s="22">
        <v>85.124473176341965</v>
      </c>
      <c r="G256" s="22">
        <f t="shared" si="3"/>
        <v>73.85768563202997</v>
      </c>
      <c r="H256" s="24"/>
    </row>
    <row r="257" spans="1:9" x14ac:dyDescent="0.25">
      <c r="B257" s="2" t="s">
        <v>255</v>
      </c>
      <c r="C257" s="21">
        <v>100</v>
      </c>
      <c r="D257" s="22">
        <v>24.461952337855443</v>
      </c>
      <c r="E257" s="22">
        <v>53.720735997295897</v>
      </c>
      <c r="F257" s="22">
        <v>53.169637777372827</v>
      </c>
      <c r="G257" s="22">
        <f t="shared" si="3"/>
        <v>57.838081528131042</v>
      </c>
      <c r="H257" s="24"/>
    </row>
    <row r="258" spans="1:9" x14ac:dyDescent="0.25">
      <c r="B258" s="2" t="s">
        <v>256</v>
      </c>
      <c r="C258" s="21">
        <v>100</v>
      </c>
      <c r="D258" s="22">
        <v>1.855311890402376</v>
      </c>
      <c r="E258" s="22">
        <v>99.4857859555255</v>
      </c>
      <c r="F258" s="22">
        <v>99.449054562086729</v>
      </c>
      <c r="G258" s="22">
        <f t="shared" ref="G258:G293" si="4">AVERAGE(C258:F258)</f>
        <v>75.197538102003648</v>
      </c>
      <c r="H258" s="24"/>
      <c r="I258" t="s">
        <v>653</v>
      </c>
    </row>
    <row r="259" spans="1:9" x14ac:dyDescent="0.25">
      <c r="B259" s="2" t="s">
        <v>257</v>
      </c>
      <c r="C259" s="21">
        <v>80</v>
      </c>
      <c r="D259" s="22">
        <v>0.57548747387666921</v>
      </c>
      <c r="E259" s="22">
        <v>96.914715733153059</v>
      </c>
      <c r="F259" s="22">
        <v>87.32825492799499</v>
      </c>
      <c r="G259" s="22">
        <f t="shared" si="4"/>
        <v>66.204614533756171</v>
      </c>
      <c r="H259" s="24"/>
    </row>
    <row r="260" spans="1:9" x14ac:dyDescent="0.25">
      <c r="B260" s="2" t="s">
        <v>258</v>
      </c>
      <c r="C260" s="21">
        <v>80</v>
      </c>
      <c r="D260" s="22">
        <v>1.3770498755319798</v>
      </c>
      <c r="E260" s="22">
        <v>53.720735997295897</v>
      </c>
      <c r="F260" s="22">
        <v>77.962182483469562</v>
      </c>
      <c r="G260" s="22">
        <f t="shared" si="4"/>
        <v>53.264992089074354</v>
      </c>
      <c r="H260" s="24"/>
    </row>
    <row r="261" spans="1:9" x14ac:dyDescent="0.25">
      <c r="B261" s="2" t="s">
        <v>259</v>
      </c>
      <c r="C261" s="21">
        <v>40</v>
      </c>
      <c r="D261" s="22">
        <v>0.13890706555353149</v>
      </c>
      <c r="E261" s="22">
        <v>53.720735997295897</v>
      </c>
      <c r="F261" s="22">
        <v>77.962182483469562</v>
      </c>
      <c r="G261" s="22">
        <f t="shared" si="4"/>
        <v>42.955456386579748</v>
      </c>
      <c r="H261" s="24"/>
    </row>
    <row r="262" spans="1:9" x14ac:dyDescent="0.25">
      <c r="B262" s="2" t="s">
        <v>260</v>
      </c>
      <c r="C262" s="21">
        <v>100</v>
      </c>
      <c r="D262" s="22">
        <v>14.678416209897756</v>
      </c>
      <c r="E262" s="22">
        <v>53.720735997295897</v>
      </c>
      <c r="F262" s="22">
        <v>75.207455293903251</v>
      </c>
      <c r="G262" s="22">
        <f t="shared" si="4"/>
        <v>60.901651875274226</v>
      </c>
      <c r="H262" s="24"/>
    </row>
    <row r="263" spans="1:9" x14ac:dyDescent="0.25">
      <c r="B263" s="2" t="s">
        <v>261</v>
      </c>
      <c r="C263" s="21">
        <v>100</v>
      </c>
      <c r="D263" s="22">
        <v>23.687191550102767</v>
      </c>
      <c r="E263" s="22">
        <v>53.720735997295897</v>
      </c>
      <c r="F263" s="22">
        <v>100</v>
      </c>
      <c r="G263" s="22">
        <f t="shared" si="4"/>
        <v>69.351981886849671</v>
      </c>
      <c r="H263" s="24"/>
    </row>
    <row r="264" spans="1:9" x14ac:dyDescent="0.25">
      <c r="B264" s="2" t="s">
        <v>262</v>
      </c>
      <c r="C264" s="21">
        <v>60</v>
      </c>
      <c r="D264" s="22">
        <v>2.8333945447993001</v>
      </c>
      <c r="E264" s="22">
        <v>74.289297776275504</v>
      </c>
      <c r="F264" s="22">
        <v>80.716909673035858</v>
      </c>
      <c r="G264" s="22">
        <f t="shared" si="4"/>
        <v>54.459900498527659</v>
      </c>
      <c r="H264" s="24"/>
    </row>
    <row r="265" spans="1:9" x14ac:dyDescent="0.25">
      <c r="B265" s="2" t="s">
        <v>263</v>
      </c>
      <c r="C265" s="21">
        <v>60</v>
      </c>
      <c r="D265" s="22">
        <v>5.7371071857307818</v>
      </c>
      <c r="E265" s="22">
        <v>53.720735997295897</v>
      </c>
      <c r="F265" s="22">
        <v>75.758400731816522</v>
      </c>
      <c r="G265" s="22">
        <f t="shared" si="4"/>
        <v>48.804060978710801</v>
      </c>
      <c r="H265" s="24"/>
    </row>
    <row r="266" spans="1:9" x14ac:dyDescent="0.25">
      <c r="A266" t="e">
        <f>VLOOKUP(B266,#REF!,2,FALSE)</f>
        <v>#REF!</v>
      </c>
      <c r="B266" s="2" t="s">
        <v>264</v>
      </c>
      <c r="C266" s="21"/>
      <c r="D266" s="22">
        <v>0.3754934521137861</v>
      </c>
      <c r="E266" s="22">
        <v>53.720735997295897</v>
      </c>
      <c r="F266" s="22">
        <v>75.207455293903251</v>
      </c>
      <c r="G266" s="22">
        <f t="shared" si="4"/>
        <v>43.101228247770983</v>
      </c>
      <c r="H266" s="24"/>
    </row>
    <row r="267" spans="1:9" x14ac:dyDescent="0.25">
      <c r="B267" s="2" t="s">
        <v>265</v>
      </c>
      <c r="C267" s="21">
        <v>100</v>
      </c>
      <c r="D267" s="22">
        <v>2.6176899537106313</v>
      </c>
      <c r="E267" s="22">
        <v>91.258361243933678</v>
      </c>
      <c r="F267" s="22">
        <v>83.471636862602168</v>
      </c>
      <c r="G267" s="22">
        <f t="shared" si="4"/>
        <v>69.336922015061617</v>
      </c>
      <c r="H267" s="24"/>
    </row>
    <row r="268" spans="1:9" x14ac:dyDescent="0.25">
      <c r="B268" s="2" t="s">
        <v>266</v>
      </c>
      <c r="C268" s="21">
        <v>100</v>
      </c>
      <c r="D268" s="22">
        <v>2.5831225011506924</v>
      </c>
      <c r="E268" s="22">
        <v>91.258361243933678</v>
      </c>
      <c r="F268" s="22">
        <v>78.072371571052216</v>
      </c>
      <c r="G268" s="22">
        <f t="shared" si="4"/>
        <v>67.978463829034141</v>
      </c>
      <c r="H268" s="24"/>
    </row>
    <row r="269" spans="1:9" x14ac:dyDescent="0.25">
      <c r="B269" s="2" t="s">
        <v>267</v>
      </c>
      <c r="C269" s="21">
        <v>100</v>
      </c>
      <c r="D269" s="22">
        <v>29.733015326498823</v>
      </c>
      <c r="E269" s="22">
        <v>98.045986630996936</v>
      </c>
      <c r="F269" s="22">
        <v>97.961501879720927</v>
      </c>
      <c r="G269" s="22">
        <f t="shared" si="4"/>
        <v>81.435125959304173</v>
      </c>
      <c r="H269" s="24"/>
    </row>
    <row r="270" spans="1:9" x14ac:dyDescent="0.25">
      <c r="B270" s="2" t="s">
        <v>268</v>
      </c>
      <c r="C270" s="21">
        <v>40</v>
      </c>
      <c r="D270" s="22">
        <v>0.43843386840543813</v>
      </c>
      <c r="E270" s="22">
        <v>53.720735997295897</v>
      </c>
      <c r="F270" s="22">
        <v>77.962182483469562</v>
      </c>
      <c r="G270" s="22">
        <f t="shared" si="4"/>
        <v>43.030338087292719</v>
      </c>
      <c r="H270" s="24"/>
    </row>
    <row r="271" spans="1:9" x14ac:dyDescent="0.25">
      <c r="B271" s="2" t="s">
        <v>269</v>
      </c>
      <c r="C271" s="21">
        <v>80</v>
      </c>
      <c r="D271" s="22">
        <v>3.3200721781237599</v>
      </c>
      <c r="E271" s="22">
        <v>94.857859555255104</v>
      </c>
      <c r="F271" s="22">
        <v>84.022582300515438</v>
      </c>
      <c r="G271" s="22">
        <f t="shared" si="4"/>
        <v>65.550128508473577</v>
      </c>
      <c r="H271" s="24"/>
    </row>
    <row r="272" spans="1:9" x14ac:dyDescent="0.25">
      <c r="B272" s="2" t="s">
        <v>270</v>
      </c>
      <c r="C272" s="21">
        <v>100</v>
      </c>
      <c r="D272" s="22">
        <v>65.351716129347452</v>
      </c>
      <c r="E272" s="22">
        <v>94.857859555255104</v>
      </c>
      <c r="F272" s="22">
        <v>84.022582300515438</v>
      </c>
      <c r="G272" s="22">
        <f t="shared" si="4"/>
        <v>86.058039496279491</v>
      </c>
      <c r="H272" s="24"/>
    </row>
    <row r="273" spans="1:8" x14ac:dyDescent="0.25">
      <c r="A273" t="e">
        <f>VLOOKUP(B273,#REF!,2,FALSE)</f>
        <v>#REF!</v>
      </c>
      <c r="B273" s="2" t="s">
        <v>271</v>
      </c>
      <c r="C273" s="21"/>
      <c r="D273" s="22">
        <v>0.32126605855703949</v>
      </c>
      <c r="E273" s="22">
        <v>53.720735997295897</v>
      </c>
      <c r="F273" s="22">
        <v>81.267855110949128</v>
      </c>
      <c r="G273" s="22">
        <f t="shared" si="4"/>
        <v>45.103285722267351</v>
      </c>
      <c r="H273" s="24"/>
    </row>
    <row r="274" spans="1:8" x14ac:dyDescent="0.25">
      <c r="B274" s="2" t="s">
        <v>272</v>
      </c>
      <c r="C274" s="21">
        <v>100</v>
      </c>
      <c r="D274" s="22">
        <v>100</v>
      </c>
      <c r="E274" s="22">
        <v>53.720735997295897</v>
      </c>
      <c r="F274" s="22">
        <v>85.124473176341965</v>
      </c>
      <c r="G274" s="22">
        <f t="shared" si="4"/>
        <v>84.71130229340946</v>
      </c>
      <c r="H274" s="24"/>
    </row>
    <row r="275" spans="1:8" x14ac:dyDescent="0.25">
      <c r="B275" s="2" t="s">
        <v>273</v>
      </c>
      <c r="C275" s="21">
        <v>100</v>
      </c>
      <c r="D275" s="22">
        <v>8.9108604266092151</v>
      </c>
      <c r="E275" s="22">
        <v>53.720735997295897</v>
      </c>
      <c r="F275" s="22">
        <v>53.169637777372827</v>
      </c>
      <c r="G275" s="22">
        <f t="shared" si="4"/>
        <v>53.950308550319484</v>
      </c>
      <c r="H275" s="24"/>
    </row>
    <row r="276" spans="1:8" x14ac:dyDescent="0.25">
      <c r="B276" s="2" t="s">
        <v>274</v>
      </c>
      <c r="C276" s="21">
        <v>100</v>
      </c>
      <c r="D276" s="22">
        <v>2.5656020114970244</v>
      </c>
      <c r="E276" s="22">
        <v>84.573578665765297</v>
      </c>
      <c r="F276" s="22">
        <v>83.471636862602168</v>
      </c>
      <c r="G276" s="22">
        <f t="shared" si="4"/>
        <v>67.652704384966114</v>
      </c>
      <c r="H276" s="24"/>
    </row>
    <row r="277" spans="1:8" x14ac:dyDescent="0.25">
      <c r="B277" s="2" t="s">
        <v>275</v>
      </c>
      <c r="C277" s="21">
        <v>100</v>
      </c>
      <c r="D277" s="22">
        <v>7.4236798311954013</v>
      </c>
      <c r="E277" s="22">
        <v>53.720735997295897</v>
      </c>
      <c r="F277" s="22">
        <v>53.169637777372827</v>
      </c>
      <c r="G277" s="22">
        <f t="shared" si="4"/>
        <v>53.578513401466033</v>
      </c>
      <c r="H277" s="24"/>
    </row>
    <row r="278" spans="1:8" x14ac:dyDescent="0.25">
      <c r="B278" s="2" t="s">
        <v>276</v>
      </c>
      <c r="C278" s="21">
        <v>20</v>
      </c>
      <c r="D278" s="22">
        <v>0.42168598632230814</v>
      </c>
      <c r="E278" s="22">
        <v>53.720735997295897</v>
      </c>
      <c r="F278" s="22">
        <v>75.758400731816522</v>
      </c>
      <c r="G278" s="22">
        <f t="shared" si="4"/>
        <v>37.475205678858686</v>
      </c>
      <c r="H278" s="24"/>
    </row>
    <row r="279" spans="1:8" x14ac:dyDescent="0.25">
      <c r="A279" t="e">
        <f>VLOOKUP(B279,#REF!,2,FALSE)</f>
        <v>#REF!</v>
      </c>
      <c r="B279" s="2" t="s">
        <v>277</v>
      </c>
      <c r="C279" s="21">
        <v>100</v>
      </c>
      <c r="D279" s="22">
        <v>29.119226987620962</v>
      </c>
      <c r="E279" s="22">
        <v>53.720735997295897</v>
      </c>
      <c r="F279" s="22">
        <v>85.124473176341965</v>
      </c>
      <c r="G279" s="22">
        <f t="shared" si="4"/>
        <v>66.991109040314697</v>
      </c>
      <c r="H279" s="24"/>
    </row>
    <row r="280" spans="1:8" x14ac:dyDescent="0.25">
      <c r="B280" s="2" t="s">
        <v>278</v>
      </c>
      <c r="C280" s="21">
        <v>100</v>
      </c>
      <c r="D280" s="22">
        <v>0.82841325741497096</v>
      </c>
      <c r="E280" s="22">
        <v>53.720735997295897</v>
      </c>
      <c r="F280" s="22">
        <v>53.169637777372827</v>
      </c>
      <c r="G280" s="22">
        <f t="shared" si="4"/>
        <v>51.929696758020924</v>
      </c>
      <c r="H280" s="24"/>
    </row>
    <row r="281" spans="1:8" x14ac:dyDescent="0.25">
      <c r="B281" s="2" t="s">
        <v>279</v>
      </c>
      <c r="C281" s="21">
        <v>20</v>
      </c>
      <c r="D281" s="22">
        <v>14.385487784997473</v>
      </c>
      <c r="E281" s="22">
        <v>53.720735997295897</v>
      </c>
      <c r="F281" s="22">
        <v>53.169637777372827</v>
      </c>
      <c r="G281" s="22">
        <f t="shared" si="4"/>
        <v>35.318965389916549</v>
      </c>
      <c r="H281" s="24"/>
    </row>
    <row r="282" spans="1:8" x14ac:dyDescent="0.25">
      <c r="B282" s="2" t="s">
        <v>280</v>
      </c>
      <c r="C282" s="21">
        <v>80</v>
      </c>
      <c r="D282" s="22">
        <v>61.794327575842765</v>
      </c>
      <c r="E282" s="22">
        <v>53.720735997295897</v>
      </c>
      <c r="F282" s="22">
        <v>53.169637777372827</v>
      </c>
      <c r="G282" s="22">
        <f t="shared" si="4"/>
        <v>62.171175337627872</v>
      </c>
      <c r="H282" s="24"/>
    </row>
    <row r="283" spans="1:8" x14ac:dyDescent="0.25">
      <c r="B283" s="2" t="s">
        <v>281</v>
      </c>
      <c r="C283" s="21">
        <v>100</v>
      </c>
      <c r="D283" s="22">
        <v>3.7853839424768165</v>
      </c>
      <c r="E283" s="22">
        <v>53.720735997295897</v>
      </c>
      <c r="F283" s="22">
        <v>53.169637777372827</v>
      </c>
      <c r="G283" s="22">
        <f t="shared" si="4"/>
        <v>52.668939429286382</v>
      </c>
      <c r="H283" s="24"/>
    </row>
    <row r="284" spans="1:8" x14ac:dyDescent="0.25">
      <c r="B284" s="2" t="s">
        <v>282</v>
      </c>
      <c r="C284" s="21">
        <v>100</v>
      </c>
      <c r="D284" s="22">
        <v>12.656858196804786</v>
      </c>
      <c r="E284" s="22">
        <v>74.289297776275504</v>
      </c>
      <c r="F284" s="22">
        <v>85.124473176341965</v>
      </c>
      <c r="G284" s="22">
        <f t="shared" si="4"/>
        <v>68.017657287355561</v>
      </c>
      <c r="H284" s="24"/>
    </row>
    <row r="285" spans="1:8" x14ac:dyDescent="0.25">
      <c r="B285" s="2" t="s">
        <v>283</v>
      </c>
      <c r="C285" s="21">
        <v>20</v>
      </c>
      <c r="D285" s="22">
        <v>8.2120377186718399E-2</v>
      </c>
      <c r="E285" s="22">
        <v>53.720735997295897</v>
      </c>
      <c r="F285" s="22">
        <v>61.984764783985</v>
      </c>
      <c r="G285" s="22">
        <f t="shared" si="4"/>
        <v>33.946905289616907</v>
      </c>
      <c r="H285" s="24"/>
    </row>
    <row r="286" spans="1:8" x14ac:dyDescent="0.25">
      <c r="B286" s="2" t="s">
        <v>284</v>
      </c>
      <c r="C286" s="21">
        <v>100</v>
      </c>
      <c r="D286" s="22">
        <v>1.8098533226523186</v>
      </c>
      <c r="E286" s="22">
        <v>84.573578665765297</v>
      </c>
      <c r="F286" s="22">
        <v>84.573527738428695</v>
      </c>
      <c r="G286" s="22">
        <f t="shared" si="4"/>
        <v>67.73923993171158</v>
      </c>
      <c r="H286" s="24"/>
    </row>
    <row r="287" spans="1:8" x14ac:dyDescent="0.25">
      <c r="A287" t="e">
        <f>VLOOKUP(B287,#REF!,2,FALSE)</f>
        <v>#REF!</v>
      </c>
      <c r="B287" s="2" t="s">
        <v>285</v>
      </c>
      <c r="C287" s="21">
        <v>40</v>
      </c>
      <c r="D287" s="22">
        <v>5.8542853568563418</v>
      </c>
      <c r="E287" s="22">
        <v>53.720735997295897</v>
      </c>
      <c r="F287" s="22">
        <v>53.169637777372827</v>
      </c>
      <c r="G287" s="22">
        <f t="shared" si="4"/>
        <v>38.186164782881264</v>
      </c>
      <c r="H287" s="24"/>
    </row>
    <row r="288" spans="1:8" x14ac:dyDescent="0.25">
      <c r="A288" t="e">
        <f>VLOOKUP(B288,#REF!,2,FALSE)</f>
        <v>#REF!</v>
      </c>
      <c r="B288" s="2" t="s">
        <v>286</v>
      </c>
      <c r="C288" s="21">
        <v>40</v>
      </c>
      <c r="D288" s="22">
        <v>0.26556064871582208</v>
      </c>
      <c r="E288" s="22">
        <v>53.720735997295897</v>
      </c>
      <c r="F288" s="22">
        <v>75.758400731816522</v>
      </c>
      <c r="G288" s="22">
        <f t="shared" si="4"/>
        <v>42.436174344457058</v>
      </c>
      <c r="H288" s="24"/>
    </row>
    <row r="289" spans="1:8" x14ac:dyDescent="0.25">
      <c r="B289" s="2" t="s">
        <v>287</v>
      </c>
      <c r="C289" s="21">
        <v>20</v>
      </c>
      <c r="D289" s="22">
        <v>1.7416787473330708E-2</v>
      </c>
      <c r="E289" s="22">
        <v>48.578595552550993</v>
      </c>
      <c r="F289" s="22">
        <v>83.471636862602168</v>
      </c>
      <c r="G289" s="22">
        <f t="shared" si="4"/>
        <v>38.016912300656621</v>
      </c>
      <c r="H289" s="24"/>
    </row>
    <row r="290" spans="1:8" x14ac:dyDescent="0.25">
      <c r="A290" t="e">
        <f>VLOOKUP(B290,#REF!,2,FALSE)</f>
        <v>#REF!</v>
      </c>
      <c r="B290" s="2" t="s">
        <v>288</v>
      </c>
      <c r="C290" s="21">
        <v>60</v>
      </c>
      <c r="D290" s="22">
        <v>8.1988892855613109</v>
      </c>
      <c r="E290" s="22">
        <v>53.720735997295897</v>
      </c>
      <c r="F290" s="22">
        <v>53.169637777372827</v>
      </c>
      <c r="G290" s="22">
        <f t="shared" si="4"/>
        <v>43.772315765057506</v>
      </c>
      <c r="H290" s="24"/>
    </row>
    <row r="291" spans="1:8" x14ac:dyDescent="0.25">
      <c r="B291" s="2" t="s">
        <v>289</v>
      </c>
      <c r="C291" s="21">
        <v>40</v>
      </c>
      <c r="D291" s="22">
        <v>0.10160558141968977</v>
      </c>
      <c r="E291" s="22">
        <v>48.578595552550993</v>
      </c>
      <c r="F291" s="22">
        <v>83.471636862602168</v>
      </c>
      <c r="G291" s="22">
        <f t="shared" si="4"/>
        <v>43.037959499143213</v>
      </c>
      <c r="H291" s="24"/>
    </row>
    <row r="292" spans="1:8" x14ac:dyDescent="0.25">
      <c r="B292" s="2" t="s">
        <v>290</v>
      </c>
      <c r="C292" s="21">
        <v>100</v>
      </c>
      <c r="D292" s="22">
        <v>100</v>
      </c>
      <c r="E292" s="22">
        <v>53.720735997295897</v>
      </c>
      <c r="F292" s="22">
        <v>53.169637777372827</v>
      </c>
      <c r="G292" s="22">
        <f t="shared" si="4"/>
        <v>76.722593443667179</v>
      </c>
      <c r="H292" s="24"/>
    </row>
    <row r="293" spans="1:8" x14ac:dyDescent="0.25">
      <c r="B293" s="2" t="s">
        <v>291</v>
      </c>
      <c r="C293" s="21">
        <v>40</v>
      </c>
      <c r="D293" s="22">
        <v>0.3430528448769733</v>
      </c>
      <c r="E293" s="22">
        <v>53.720735997295897</v>
      </c>
      <c r="F293" s="22">
        <v>75.758400731816522</v>
      </c>
      <c r="G293" s="22">
        <f t="shared" si="4"/>
        <v>42.455547393497348</v>
      </c>
      <c r="H293" s="24"/>
    </row>
    <row r="294" spans="1:8" x14ac:dyDescent="0.25">
      <c r="A294" t="e">
        <f>VLOOKUP(B294,#REF!,2,FALSE)</f>
        <v>#REF!</v>
      </c>
      <c r="B294" s="2" t="s">
        <v>292</v>
      </c>
      <c r="C294" s="21" t="s">
        <v>701</v>
      </c>
      <c r="D294" s="22" t="s">
        <v>701</v>
      </c>
      <c r="E294" s="22" t="s">
        <v>701</v>
      </c>
      <c r="F294" s="22" t="s">
        <v>701</v>
      </c>
      <c r="G294" s="22" t="s">
        <v>699</v>
      </c>
      <c r="H294" s="24"/>
    </row>
    <row r="295" spans="1:8" x14ac:dyDescent="0.25">
      <c r="A295" t="e">
        <f>VLOOKUP(B295,#REF!,2,FALSE)</f>
        <v>#REF!</v>
      </c>
      <c r="B295" s="2" t="s">
        <v>293</v>
      </c>
      <c r="C295" s="9">
        <v>20</v>
      </c>
      <c r="D295" s="22">
        <v>19.858575144365023</v>
      </c>
      <c r="E295" s="22">
        <v>53.720735997295897</v>
      </c>
      <c r="F295" s="22">
        <v>53.169637777372827</v>
      </c>
      <c r="G295" s="22">
        <f>AVERAGE(C295:F295)</f>
        <v>36.687237229758438</v>
      </c>
      <c r="H295" s="24"/>
    </row>
    <row r="296" spans="1:8" x14ac:dyDescent="0.25">
      <c r="B296" s="2" t="s">
        <v>294</v>
      </c>
      <c r="C296" s="21">
        <v>40</v>
      </c>
      <c r="D296" s="22">
        <v>4.2864156236630722</v>
      </c>
      <c r="E296" s="22">
        <v>53.720735997295897</v>
      </c>
      <c r="F296" s="22">
        <v>53.169637777372827</v>
      </c>
      <c r="G296" s="22">
        <f>AVERAGE(C296:F296)</f>
        <v>37.794197349582952</v>
      </c>
      <c r="H296" s="24"/>
    </row>
    <row r="297" spans="1:8" x14ac:dyDescent="0.25">
      <c r="B297" s="2" t="s">
        <v>295</v>
      </c>
      <c r="C297" s="21">
        <v>20</v>
      </c>
      <c r="D297" s="22">
        <v>0.76211428863504371</v>
      </c>
      <c r="E297" s="22">
        <v>53.720735997295897</v>
      </c>
      <c r="F297" s="22">
        <v>53.169637777372827</v>
      </c>
      <c r="G297" s="22">
        <f>AVERAGE(C297:F297)</f>
        <v>31.913122015825941</v>
      </c>
      <c r="H297" s="24"/>
    </row>
    <row r="298" spans="1:8" x14ac:dyDescent="0.25">
      <c r="B298" s="2" t="s">
        <v>296</v>
      </c>
      <c r="C298" s="21">
        <v>20</v>
      </c>
      <c r="D298" s="22">
        <v>2.1970523426731332</v>
      </c>
      <c r="E298" s="22">
        <v>53.720735997295897</v>
      </c>
      <c r="F298" s="22">
        <v>53.169637777372827</v>
      </c>
      <c r="G298" s="22">
        <f>AVERAGE(C298:F298)</f>
        <v>32.271856529335466</v>
      </c>
      <c r="H298" s="24"/>
    </row>
    <row r="299" spans="1:8" ht="15.6" x14ac:dyDescent="0.25">
      <c r="A299">
        <f>COUNT(A2:A298)</f>
        <v>0</v>
      </c>
      <c r="B299" s="10">
        <f>COUNTA(B2:B298)</f>
        <v>297</v>
      </c>
      <c r="C299" s="10">
        <f>COUNT(C2:C298)</f>
        <v>293</v>
      </c>
      <c r="D299" s="19">
        <f>COUNT(D2:D298)</f>
        <v>296</v>
      </c>
      <c r="E299" s="10">
        <f t="shared" ref="E299:G299" si="5">COUNT(E2:E298)</f>
        <v>296</v>
      </c>
      <c r="F299" s="10">
        <f t="shared" si="5"/>
        <v>296</v>
      </c>
      <c r="G299" s="10">
        <f t="shared" si="5"/>
        <v>296</v>
      </c>
    </row>
    <row r="300" spans="1:8" ht="20.399999999999999" x14ac:dyDescent="0.25">
      <c r="B300" s="14" t="s">
        <v>609</v>
      </c>
      <c r="C300" s="13">
        <f>C299/$B$299</f>
        <v>0.98653198653198648</v>
      </c>
      <c r="D300" s="13">
        <f t="shared" ref="D300:F300" si="6">D299/$B$299</f>
        <v>0.99663299663299665</v>
      </c>
      <c r="E300" s="13">
        <f t="shared" si="6"/>
        <v>0.99663299663299665</v>
      </c>
      <c r="F300" s="13">
        <f t="shared" si="6"/>
        <v>0.99663299663299665</v>
      </c>
      <c r="G300" s="13"/>
    </row>
    <row r="302" spans="1:8" ht="15.6" x14ac:dyDescent="0.25">
      <c r="D302" s="20"/>
    </row>
  </sheetData>
  <mergeCells count="1">
    <mergeCell ref="H1:J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7F15-18F9-4370-ACF5-CD43A3B1A661}">
  <dimension ref="A1:F300"/>
  <sheetViews>
    <sheetView workbookViewId="0">
      <pane xSplit="23652" ySplit="2592" topLeftCell="B289"/>
      <selection activeCell="E3" sqref="E3"/>
      <selection pane="topRight" activeCell="B1" sqref="B1"/>
      <selection pane="bottomLeft" activeCell="C303" sqref="C303"/>
      <selection pane="bottomRight" activeCell="B13" sqref="B13"/>
    </sheetView>
  </sheetViews>
  <sheetFormatPr defaultRowHeight="14.4" x14ac:dyDescent="0.25"/>
  <cols>
    <col min="1" max="1" width="16.44140625" customWidth="1"/>
    <col min="2" max="4" width="33.77734375" customWidth="1"/>
    <col min="5" max="5" width="20" customWidth="1"/>
    <col min="6" max="6" width="10.21875" customWidth="1"/>
  </cols>
  <sheetData>
    <row r="1" spans="1:5" x14ac:dyDescent="0.25">
      <c r="A1" s="1" t="s">
        <v>0</v>
      </c>
      <c r="B1" s="4" t="s">
        <v>608</v>
      </c>
      <c r="C1" s="4" t="s">
        <v>606</v>
      </c>
      <c r="D1" s="4" t="s">
        <v>607</v>
      </c>
      <c r="E1" s="25" t="s">
        <v>658</v>
      </c>
    </row>
    <row r="2" spans="1:5" x14ac:dyDescent="0.25">
      <c r="A2" s="15" t="s">
        <v>600</v>
      </c>
      <c r="B2" s="29">
        <v>80</v>
      </c>
      <c r="C2" s="29">
        <v>50</v>
      </c>
      <c r="D2" s="29">
        <v>0</v>
      </c>
      <c r="E2" s="31">
        <f>AVERAGE(B2:D2)</f>
        <v>43.333333333333336</v>
      </c>
    </row>
    <row r="3" spans="1:5" x14ac:dyDescent="0.25">
      <c r="A3" s="15" t="s">
        <v>586</v>
      </c>
      <c r="B3" s="29">
        <v>80</v>
      </c>
      <c r="C3" s="29">
        <v>50</v>
      </c>
      <c r="D3" s="29">
        <v>50</v>
      </c>
      <c r="E3" s="31">
        <f t="shared" ref="E3:E66" si="0">AVERAGE(B3:D3)</f>
        <v>60</v>
      </c>
    </row>
    <row r="4" spans="1:5" x14ac:dyDescent="0.25">
      <c r="A4" s="15" t="s">
        <v>573</v>
      </c>
      <c r="B4" s="29">
        <v>80</v>
      </c>
      <c r="C4" s="29">
        <v>50</v>
      </c>
      <c r="D4" s="29">
        <v>50</v>
      </c>
      <c r="E4" s="31">
        <f t="shared" si="0"/>
        <v>60</v>
      </c>
    </row>
    <row r="5" spans="1:5" x14ac:dyDescent="0.25">
      <c r="A5" s="15" t="s">
        <v>576</v>
      </c>
      <c r="B5" s="29">
        <v>100</v>
      </c>
      <c r="C5" s="29">
        <v>50</v>
      </c>
      <c r="D5" s="29">
        <v>50</v>
      </c>
      <c r="E5" s="31">
        <f t="shared" si="0"/>
        <v>66.666666666666671</v>
      </c>
    </row>
    <row r="6" spans="1:5" x14ac:dyDescent="0.25">
      <c r="A6" s="15" t="s">
        <v>346</v>
      </c>
      <c r="B6" s="29">
        <v>80</v>
      </c>
      <c r="C6" s="29">
        <v>50</v>
      </c>
      <c r="D6" s="29">
        <v>0</v>
      </c>
      <c r="E6" s="31">
        <f t="shared" si="0"/>
        <v>43.333333333333336</v>
      </c>
    </row>
    <row r="7" spans="1:5" x14ac:dyDescent="0.25">
      <c r="A7" s="15" t="s">
        <v>338</v>
      </c>
      <c r="B7" s="29">
        <v>80</v>
      </c>
      <c r="C7" s="29">
        <v>50</v>
      </c>
      <c r="D7" s="29">
        <v>50</v>
      </c>
      <c r="E7" s="31">
        <f t="shared" si="0"/>
        <v>60</v>
      </c>
    </row>
    <row r="8" spans="1:5" x14ac:dyDescent="0.25">
      <c r="A8" s="15" t="s">
        <v>325</v>
      </c>
      <c r="B8" s="29">
        <v>80</v>
      </c>
      <c r="C8" s="29">
        <v>0</v>
      </c>
      <c r="D8" s="29">
        <v>0</v>
      </c>
      <c r="E8" s="31">
        <f t="shared" si="0"/>
        <v>26.666666666666668</v>
      </c>
    </row>
    <row r="9" spans="1:5" x14ac:dyDescent="0.25">
      <c r="A9" s="15" t="s">
        <v>311</v>
      </c>
      <c r="B9" s="29">
        <v>80</v>
      </c>
      <c r="C9" s="29">
        <v>50</v>
      </c>
      <c r="D9" s="29">
        <v>50</v>
      </c>
      <c r="E9" s="31">
        <f t="shared" si="0"/>
        <v>60</v>
      </c>
    </row>
    <row r="10" spans="1:5" x14ac:dyDescent="0.25">
      <c r="A10" s="15" t="s">
        <v>583</v>
      </c>
      <c r="B10" s="29">
        <v>100</v>
      </c>
      <c r="C10" s="29">
        <v>50</v>
      </c>
      <c r="D10" s="29">
        <v>50</v>
      </c>
      <c r="E10" s="31">
        <f t="shared" si="0"/>
        <v>66.666666666666671</v>
      </c>
    </row>
    <row r="11" spans="1:5" x14ac:dyDescent="0.25">
      <c r="A11" s="15" t="s">
        <v>533</v>
      </c>
      <c r="B11" s="29">
        <v>80</v>
      </c>
      <c r="C11" s="29">
        <v>0</v>
      </c>
      <c r="D11" s="29">
        <v>50</v>
      </c>
      <c r="E11" s="31">
        <f t="shared" si="0"/>
        <v>43.333333333333336</v>
      </c>
    </row>
    <row r="12" spans="1:5" x14ac:dyDescent="0.25">
      <c r="A12" s="15" t="s">
        <v>556</v>
      </c>
      <c r="B12" s="29">
        <v>100</v>
      </c>
      <c r="C12" s="29">
        <v>50</v>
      </c>
      <c r="D12" s="29">
        <v>50</v>
      </c>
      <c r="E12" s="31">
        <f t="shared" si="0"/>
        <v>66.666666666666671</v>
      </c>
    </row>
    <row r="13" spans="1:5" x14ac:dyDescent="0.25">
      <c r="A13" s="15" t="s">
        <v>594</v>
      </c>
      <c r="B13" s="29">
        <v>80</v>
      </c>
      <c r="C13" s="29">
        <v>50</v>
      </c>
      <c r="D13" s="29">
        <v>0</v>
      </c>
      <c r="E13" s="31">
        <f t="shared" si="0"/>
        <v>43.333333333333336</v>
      </c>
    </row>
    <row r="14" spans="1:5" x14ac:dyDescent="0.25">
      <c r="A14" s="15" t="s">
        <v>396</v>
      </c>
      <c r="B14" s="29">
        <v>80</v>
      </c>
      <c r="C14" s="29">
        <v>0</v>
      </c>
      <c r="D14" s="29">
        <v>0</v>
      </c>
      <c r="E14" s="31">
        <f t="shared" si="0"/>
        <v>26.666666666666668</v>
      </c>
    </row>
    <row r="15" spans="1:5" x14ac:dyDescent="0.25">
      <c r="A15" s="15" t="s">
        <v>494</v>
      </c>
      <c r="B15" s="29">
        <v>80</v>
      </c>
      <c r="C15" s="29">
        <v>0</v>
      </c>
      <c r="D15" s="29">
        <v>0</v>
      </c>
      <c r="E15" s="31">
        <f t="shared" si="0"/>
        <v>26.666666666666668</v>
      </c>
    </row>
    <row r="16" spans="1:5" x14ac:dyDescent="0.25">
      <c r="A16" s="15" t="s">
        <v>352</v>
      </c>
      <c r="B16" s="29">
        <v>80</v>
      </c>
      <c r="C16" s="29">
        <v>0</v>
      </c>
      <c r="D16" s="29">
        <v>0</v>
      </c>
      <c r="E16" s="31">
        <f t="shared" si="0"/>
        <v>26.666666666666668</v>
      </c>
    </row>
    <row r="17" spans="1:5" x14ac:dyDescent="0.25">
      <c r="A17" s="15" t="s">
        <v>585</v>
      </c>
      <c r="B17" s="29">
        <v>100</v>
      </c>
      <c r="C17" s="29">
        <v>0</v>
      </c>
      <c r="D17" s="29">
        <v>50</v>
      </c>
      <c r="E17" s="31">
        <f t="shared" si="0"/>
        <v>50</v>
      </c>
    </row>
    <row r="18" spans="1:5" x14ac:dyDescent="0.25">
      <c r="A18" s="15" t="s">
        <v>597</v>
      </c>
      <c r="B18" s="29">
        <v>80</v>
      </c>
      <c r="C18" s="29">
        <v>50</v>
      </c>
      <c r="D18" s="29">
        <v>0</v>
      </c>
      <c r="E18" s="31">
        <f t="shared" si="0"/>
        <v>43.333333333333336</v>
      </c>
    </row>
    <row r="19" spans="1:5" x14ac:dyDescent="0.25">
      <c r="A19" s="15" t="s">
        <v>505</v>
      </c>
      <c r="B19" s="29">
        <v>100</v>
      </c>
      <c r="C19" s="29">
        <v>50</v>
      </c>
      <c r="D19" s="29">
        <v>0</v>
      </c>
      <c r="E19" s="31">
        <f t="shared" si="0"/>
        <v>50</v>
      </c>
    </row>
    <row r="20" spans="1:5" x14ac:dyDescent="0.25">
      <c r="A20" s="15" t="s">
        <v>543</v>
      </c>
      <c r="B20" s="29">
        <v>100</v>
      </c>
      <c r="C20" s="29">
        <v>50</v>
      </c>
      <c r="D20" s="29">
        <v>0</v>
      </c>
      <c r="E20" s="31">
        <f t="shared" si="0"/>
        <v>50</v>
      </c>
    </row>
    <row r="21" spans="1:5" x14ac:dyDescent="0.25">
      <c r="A21" s="15" t="s">
        <v>432</v>
      </c>
      <c r="B21" s="29">
        <v>80</v>
      </c>
      <c r="C21" s="29">
        <v>50</v>
      </c>
      <c r="D21" s="29">
        <v>50</v>
      </c>
      <c r="E21" s="31">
        <f t="shared" si="0"/>
        <v>60</v>
      </c>
    </row>
    <row r="22" spans="1:5" x14ac:dyDescent="0.25">
      <c r="A22" s="15" t="s">
        <v>582</v>
      </c>
      <c r="B22" s="29">
        <v>80</v>
      </c>
      <c r="C22" s="29">
        <v>0</v>
      </c>
      <c r="D22" s="29">
        <v>0</v>
      </c>
      <c r="E22" s="31">
        <f t="shared" si="0"/>
        <v>26.666666666666668</v>
      </c>
    </row>
    <row r="23" spans="1:5" x14ac:dyDescent="0.25">
      <c r="A23" s="15" t="s">
        <v>590</v>
      </c>
      <c r="B23" s="29">
        <v>40</v>
      </c>
      <c r="C23" s="29">
        <v>50</v>
      </c>
      <c r="D23" s="29">
        <v>0</v>
      </c>
      <c r="E23" s="31">
        <f t="shared" si="0"/>
        <v>30</v>
      </c>
    </row>
    <row r="24" spans="1:5" x14ac:dyDescent="0.25">
      <c r="A24" s="15" t="s">
        <v>463</v>
      </c>
      <c r="B24" s="29">
        <v>80</v>
      </c>
      <c r="C24" s="29">
        <v>0</v>
      </c>
      <c r="D24" s="29">
        <v>0</v>
      </c>
      <c r="E24" s="31">
        <f t="shared" si="0"/>
        <v>26.666666666666668</v>
      </c>
    </row>
    <row r="25" spans="1:5" x14ac:dyDescent="0.25">
      <c r="A25" s="15" t="s">
        <v>599</v>
      </c>
      <c r="B25" s="29">
        <v>100</v>
      </c>
      <c r="C25" s="29">
        <v>50</v>
      </c>
      <c r="D25" s="29">
        <v>0</v>
      </c>
      <c r="E25" s="31">
        <f t="shared" si="0"/>
        <v>50</v>
      </c>
    </row>
    <row r="26" spans="1:5" x14ac:dyDescent="0.25">
      <c r="A26" s="15" t="s">
        <v>327</v>
      </c>
      <c r="B26" s="29">
        <v>80</v>
      </c>
      <c r="C26" s="29">
        <v>0</v>
      </c>
      <c r="D26" s="29">
        <v>0</v>
      </c>
      <c r="E26" s="31">
        <f t="shared" si="0"/>
        <v>26.666666666666668</v>
      </c>
    </row>
    <row r="27" spans="1:5" x14ac:dyDescent="0.25">
      <c r="A27" s="15" t="s">
        <v>447</v>
      </c>
      <c r="B27" s="29">
        <v>80</v>
      </c>
      <c r="C27" s="29">
        <v>50</v>
      </c>
      <c r="D27" s="29">
        <v>0</v>
      </c>
      <c r="E27" s="31">
        <f t="shared" si="0"/>
        <v>43.333333333333336</v>
      </c>
    </row>
    <row r="28" spans="1:5" x14ac:dyDescent="0.25">
      <c r="A28" s="15" t="s">
        <v>458</v>
      </c>
      <c r="B28" s="29">
        <v>80</v>
      </c>
      <c r="C28" s="29">
        <v>0</v>
      </c>
      <c r="D28" s="29">
        <v>0</v>
      </c>
      <c r="E28" s="31">
        <f t="shared" si="0"/>
        <v>26.666666666666668</v>
      </c>
    </row>
    <row r="29" spans="1:5" x14ac:dyDescent="0.25">
      <c r="A29" s="15" t="s">
        <v>602</v>
      </c>
      <c r="B29" s="29">
        <v>80</v>
      </c>
      <c r="C29" s="29">
        <v>0</v>
      </c>
      <c r="D29" s="29">
        <v>50</v>
      </c>
      <c r="E29" s="31">
        <f t="shared" si="0"/>
        <v>43.333333333333336</v>
      </c>
    </row>
    <row r="30" spans="1:5" x14ac:dyDescent="0.25">
      <c r="A30" s="15" t="s">
        <v>650</v>
      </c>
      <c r="B30" s="29">
        <v>100</v>
      </c>
      <c r="C30" s="29">
        <v>50</v>
      </c>
      <c r="D30" s="29">
        <v>50</v>
      </c>
      <c r="E30" s="31">
        <f t="shared" si="0"/>
        <v>66.666666666666671</v>
      </c>
    </row>
    <row r="31" spans="1:5" x14ac:dyDescent="0.25">
      <c r="A31" s="15" t="s">
        <v>589</v>
      </c>
      <c r="B31" s="29">
        <v>80</v>
      </c>
      <c r="C31" s="29">
        <v>0</v>
      </c>
      <c r="D31" s="29">
        <v>50</v>
      </c>
      <c r="E31" s="31">
        <f t="shared" si="0"/>
        <v>43.333333333333336</v>
      </c>
    </row>
    <row r="32" spans="1:5" x14ac:dyDescent="0.25">
      <c r="A32" s="15" t="s">
        <v>454</v>
      </c>
      <c r="B32" s="29">
        <v>100</v>
      </c>
      <c r="C32" s="29">
        <v>0</v>
      </c>
      <c r="D32" s="29">
        <v>0</v>
      </c>
      <c r="E32" s="31">
        <f t="shared" si="0"/>
        <v>33.333333333333336</v>
      </c>
    </row>
    <row r="33" spans="1:5" x14ac:dyDescent="0.25">
      <c r="A33" s="15" t="s">
        <v>490</v>
      </c>
      <c r="B33" s="29">
        <v>80</v>
      </c>
      <c r="C33" s="29">
        <v>0</v>
      </c>
      <c r="D33" s="29">
        <v>0</v>
      </c>
      <c r="E33" s="31">
        <f t="shared" si="0"/>
        <v>26.666666666666668</v>
      </c>
    </row>
    <row r="34" spans="1:5" x14ac:dyDescent="0.25">
      <c r="A34" s="15" t="s">
        <v>514</v>
      </c>
      <c r="B34" s="29">
        <v>80</v>
      </c>
      <c r="C34" s="29">
        <v>50</v>
      </c>
      <c r="D34" s="29">
        <v>0</v>
      </c>
      <c r="E34" s="31">
        <f t="shared" si="0"/>
        <v>43.333333333333336</v>
      </c>
    </row>
    <row r="35" spans="1:5" x14ac:dyDescent="0.25">
      <c r="A35" s="15" t="s">
        <v>592</v>
      </c>
      <c r="B35" s="29">
        <v>100</v>
      </c>
      <c r="C35" s="29">
        <v>50</v>
      </c>
      <c r="D35" s="29">
        <v>50</v>
      </c>
      <c r="E35" s="31">
        <f t="shared" si="0"/>
        <v>66.666666666666671</v>
      </c>
    </row>
    <row r="36" spans="1:5" x14ac:dyDescent="0.25">
      <c r="A36" s="15" t="s">
        <v>517</v>
      </c>
      <c r="B36" s="29">
        <v>100</v>
      </c>
      <c r="C36" s="29">
        <v>0</v>
      </c>
      <c r="D36" s="29">
        <v>0</v>
      </c>
      <c r="E36" s="31">
        <f t="shared" si="0"/>
        <v>33.333333333333336</v>
      </c>
    </row>
    <row r="37" spans="1:5" x14ac:dyDescent="0.25">
      <c r="A37" s="15" t="s">
        <v>477</v>
      </c>
      <c r="B37" s="29">
        <v>80</v>
      </c>
      <c r="C37" s="29">
        <v>0</v>
      </c>
      <c r="D37" s="29">
        <v>0</v>
      </c>
      <c r="E37" s="31">
        <f t="shared" si="0"/>
        <v>26.666666666666668</v>
      </c>
    </row>
    <row r="38" spans="1:5" x14ac:dyDescent="0.25">
      <c r="A38" s="15" t="s">
        <v>578</v>
      </c>
      <c r="B38" s="29">
        <v>80</v>
      </c>
      <c r="C38" s="29">
        <v>0</v>
      </c>
      <c r="D38" s="29">
        <v>50</v>
      </c>
      <c r="E38" s="31">
        <f t="shared" si="0"/>
        <v>43.333333333333336</v>
      </c>
    </row>
    <row r="39" spans="1:5" x14ac:dyDescent="0.25">
      <c r="A39" s="15" t="s">
        <v>515</v>
      </c>
      <c r="B39" s="29">
        <v>100</v>
      </c>
      <c r="C39" s="29">
        <v>50</v>
      </c>
      <c r="D39" s="29">
        <v>0</v>
      </c>
      <c r="E39" s="31">
        <f t="shared" si="0"/>
        <v>50</v>
      </c>
    </row>
    <row r="40" spans="1:5" x14ac:dyDescent="0.25">
      <c r="A40" s="15" t="s">
        <v>580</v>
      </c>
      <c r="B40" s="29">
        <v>100</v>
      </c>
      <c r="C40" s="29">
        <v>50</v>
      </c>
      <c r="D40" s="29">
        <v>50</v>
      </c>
      <c r="E40" s="31">
        <f t="shared" si="0"/>
        <v>66.666666666666671</v>
      </c>
    </row>
    <row r="41" spans="1:5" x14ac:dyDescent="0.25">
      <c r="A41" s="15" t="s">
        <v>305</v>
      </c>
      <c r="B41" s="29">
        <v>80</v>
      </c>
      <c r="C41" s="29">
        <v>50</v>
      </c>
      <c r="D41" s="29">
        <v>0</v>
      </c>
      <c r="E41" s="31">
        <f t="shared" si="0"/>
        <v>43.333333333333336</v>
      </c>
    </row>
    <row r="42" spans="1:5" x14ac:dyDescent="0.25">
      <c r="A42" s="15" t="s">
        <v>499</v>
      </c>
      <c r="B42" s="29">
        <v>80</v>
      </c>
      <c r="C42" s="29">
        <v>0</v>
      </c>
      <c r="D42" s="29">
        <v>50</v>
      </c>
      <c r="E42" s="31">
        <f t="shared" si="0"/>
        <v>43.333333333333336</v>
      </c>
    </row>
    <row r="43" spans="1:5" x14ac:dyDescent="0.25">
      <c r="A43" s="15" t="s">
        <v>439</v>
      </c>
      <c r="B43" s="29">
        <v>100</v>
      </c>
      <c r="C43" s="29">
        <v>0</v>
      </c>
      <c r="D43" s="29">
        <v>0</v>
      </c>
      <c r="E43" s="31">
        <f t="shared" si="0"/>
        <v>33.333333333333336</v>
      </c>
    </row>
    <row r="44" spans="1:5" x14ac:dyDescent="0.25">
      <c r="A44" s="15" t="s">
        <v>442</v>
      </c>
      <c r="B44" s="29">
        <v>80</v>
      </c>
      <c r="C44" s="29">
        <v>50</v>
      </c>
      <c r="D44" s="29">
        <v>0</v>
      </c>
      <c r="E44" s="31">
        <f t="shared" si="0"/>
        <v>43.333333333333336</v>
      </c>
    </row>
    <row r="45" spans="1:5" x14ac:dyDescent="0.25">
      <c r="A45" s="15" t="s">
        <v>591</v>
      </c>
      <c r="B45" s="29">
        <v>80</v>
      </c>
      <c r="C45" s="29">
        <v>0</v>
      </c>
      <c r="D45" s="29">
        <v>0</v>
      </c>
      <c r="E45" s="31">
        <f t="shared" si="0"/>
        <v>26.666666666666668</v>
      </c>
    </row>
    <row r="46" spans="1:5" x14ac:dyDescent="0.25">
      <c r="A46" s="15" t="s">
        <v>489</v>
      </c>
      <c r="B46" s="29">
        <v>80</v>
      </c>
      <c r="C46" s="29">
        <v>50</v>
      </c>
      <c r="D46" s="29">
        <v>50</v>
      </c>
      <c r="E46" s="31">
        <f t="shared" si="0"/>
        <v>60</v>
      </c>
    </row>
    <row r="47" spans="1:5" x14ac:dyDescent="0.25">
      <c r="A47" s="15" t="s">
        <v>643</v>
      </c>
      <c r="B47" s="29">
        <v>80</v>
      </c>
      <c r="C47" s="29">
        <v>0</v>
      </c>
      <c r="D47" s="29">
        <v>0</v>
      </c>
      <c r="E47" s="31">
        <f t="shared" si="0"/>
        <v>26.666666666666668</v>
      </c>
    </row>
    <row r="48" spans="1:5" x14ac:dyDescent="0.25">
      <c r="A48" s="15" t="s">
        <v>337</v>
      </c>
      <c r="B48" s="29">
        <v>80</v>
      </c>
      <c r="C48" s="29">
        <v>0</v>
      </c>
      <c r="D48" s="29">
        <v>0</v>
      </c>
      <c r="E48" s="31">
        <f t="shared" si="0"/>
        <v>26.666666666666668</v>
      </c>
    </row>
    <row r="49" spans="1:5" x14ac:dyDescent="0.25">
      <c r="A49" s="15" t="s">
        <v>446</v>
      </c>
      <c r="B49" s="29">
        <v>100</v>
      </c>
      <c r="C49" s="29">
        <v>50</v>
      </c>
      <c r="D49" s="29">
        <v>50</v>
      </c>
      <c r="E49" s="31">
        <f t="shared" si="0"/>
        <v>66.666666666666671</v>
      </c>
    </row>
    <row r="50" spans="1:5" x14ac:dyDescent="0.25">
      <c r="A50" s="15" t="s">
        <v>351</v>
      </c>
      <c r="B50" s="29">
        <v>80</v>
      </c>
      <c r="C50" s="29">
        <v>0</v>
      </c>
      <c r="D50" s="29">
        <v>0</v>
      </c>
      <c r="E50" s="31">
        <f t="shared" si="0"/>
        <v>26.666666666666668</v>
      </c>
    </row>
    <row r="51" spans="1:5" x14ac:dyDescent="0.25">
      <c r="A51" s="15" t="s">
        <v>469</v>
      </c>
      <c r="B51" s="29">
        <v>80</v>
      </c>
      <c r="C51" s="29">
        <v>0</v>
      </c>
      <c r="D51" s="29">
        <v>50</v>
      </c>
      <c r="E51" s="31">
        <f t="shared" si="0"/>
        <v>43.333333333333336</v>
      </c>
    </row>
    <row r="52" spans="1:5" x14ac:dyDescent="0.25">
      <c r="A52" s="15" t="s">
        <v>577</v>
      </c>
      <c r="B52" s="29">
        <v>80</v>
      </c>
      <c r="C52" s="29">
        <v>0</v>
      </c>
      <c r="D52" s="29">
        <v>0</v>
      </c>
      <c r="E52" s="31">
        <f t="shared" si="0"/>
        <v>26.666666666666668</v>
      </c>
    </row>
    <row r="53" spans="1:5" x14ac:dyDescent="0.25">
      <c r="A53" s="15" t="s">
        <v>548</v>
      </c>
      <c r="B53" s="29">
        <f>VLOOKUP(A53,[3]纯数值!$A$1:$D$11,2,0)</f>
        <v>80</v>
      </c>
      <c r="C53" s="29">
        <f>VLOOKUP(A53,[3]纯数值!$A$1:$D$11,3,0)</f>
        <v>50</v>
      </c>
      <c r="D53" s="29">
        <f>VLOOKUP(A53,[3]纯数值!$A$1:$D$11,4,0)</f>
        <v>50</v>
      </c>
      <c r="E53" s="31">
        <f t="shared" si="0"/>
        <v>60</v>
      </c>
    </row>
    <row r="54" spans="1:5" x14ac:dyDescent="0.25">
      <c r="A54" s="15" t="s">
        <v>595</v>
      </c>
      <c r="B54" s="29">
        <v>80</v>
      </c>
      <c r="C54" s="29">
        <v>0</v>
      </c>
      <c r="D54" s="29">
        <v>0</v>
      </c>
      <c r="E54" s="31">
        <f t="shared" si="0"/>
        <v>26.666666666666668</v>
      </c>
    </row>
    <row r="55" spans="1:5" x14ac:dyDescent="0.25">
      <c r="A55" s="15" t="s">
        <v>557</v>
      </c>
      <c r="B55" s="29">
        <v>80</v>
      </c>
      <c r="C55" s="29">
        <v>0</v>
      </c>
      <c r="D55" s="29">
        <v>50</v>
      </c>
      <c r="E55" s="31">
        <f t="shared" si="0"/>
        <v>43.333333333333336</v>
      </c>
    </row>
    <row r="56" spans="1:5" x14ac:dyDescent="0.25">
      <c r="A56" s="15" t="s">
        <v>406</v>
      </c>
      <c r="B56" s="29">
        <v>100</v>
      </c>
      <c r="C56" s="29">
        <v>50</v>
      </c>
      <c r="D56" s="29">
        <v>50</v>
      </c>
      <c r="E56" s="31">
        <f t="shared" si="0"/>
        <v>66.666666666666671</v>
      </c>
    </row>
    <row r="57" spans="1:5" x14ac:dyDescent="0.25">
      <c r="A57" s="15" t="s">
        <v>417</v>
      </c>
      <c r="B57" s="29">
        <v>80</v>
      </c>
      <c r="C57" s="29">
        <v>0</v>
      </c>
      <c r="D57" s="29">
        <v>0</v>
      </c>
      <c r="E57" s="31">
        <f t="shared" si="0"/>
        <v>26.666666666666668</v>
      </c>
    </row>
    <row r="58" spans="1:5" x14ac:dyDescent="0.25">
      <c r="A58" s="15" t="s">
        <v>321</v>
      </c>
      <c r="B58" s="29">
        <v>80</v>
      </c>
      <c r="C58" s="29">
        <v>50</v>
      </c>
      <c r="D58" s="29">
        <v>50</v>
      </c>
      <c r="E58" s="31">
        <f t="shared" si="0"/>
        <v>60</v>
      </c>
    </row>
    <row r="59" spans="1:5" x14ac:dyDescent="0.25">
      <c r="A59" s="15" t="s">
        <v>408</v>
      </c>
      <c r="B59" s="29">
        <v>80</v>
      </c>
      <c r="C59" s="29">
        <v>50</v>
      </c>
      <c r="D59" s="29">
        <v>50</v>
      </c>
      <c r="E59" s="31">
        <f t="shared" si="0"/>
        <v>60</v>
      </c>
    </row>
    <row r="60" spans="1:5" x14ac:dyDescent="0.25">
      <c r="A60" s="15" t="s">
        <v>377</v>
      </c>
      <c r="B60" s="29">
        <v>80</v>
      </c>
      <c r="C60" s="29">
        <v>50</v>
      </c>
      <c r="D60" s="29">
        <v>50</v>
      </c>
      <c r="E60" s="31">
        <f t="shared" si="0"/>
        <v>60</v>
      </c>
    </row>
    <row r="61" spans="1:5" x14ac:dyDescent="0.25">
      <c r="A61" s="15" t="s">
        <v>466</v>
      </c>
      <c r="B61" s="29">
        <v>100</v>
      </c>
      <c r="C61" s="29">
        <v>50</v>
      </c>
      <c r="D61" s="29">
        <v>50</v>
      </c>
      <c r="E61" s="31">
        <f t="shared" si="0"/>
        <v>66.666666666666671</v>
      </c>
    </row>
    <row r="62" spans="1:5" x14ac:dyDescent="0.25">
      <c r="A62" s="15" t="s">
        <v>509</v>
      </c>
      <c r="B62" s="29">
        <f>VLOOKUP(A62,[3]纯数值!$A$1:$D$11,2,0)</f>
        <v>80</v>
      </c>
      <c r="C62" s="29">
        <f>VLOOKUP(A62,[3]纯数值!$A$1:$D$11,3,0)</f>
        <v>0</v>
      </c>
      <c r="D62" s="29">
        <f>VLOOKUP(A62,[3]纯数值!$A$1:$D$11,4,0)</f>
        <v>0</v>
      </c>
      <c r="E62" s="31">
        <f t="shared" si="0"/>
        <v>26.666666666666668</v>
      </c>
    </row>
    <row r="63" spans="1:5" x14ac:dyDescent="0.25">
      <c r="A63" s="15" t="s">
        <v>484</v>
      </c>
      <c r="B63" s="29">
        <v>80</v>
      </c>
      <c r="C63" s="29">
        <v>50</v>
      </c>
      <c r="D63" s="29">
        <v>0</v>
      </c>
      <c r="E63" s="31">
        <f t="shared" si="0"/>
        <v>43.333333333333336</v>
      </c>
    </row>
    <row r="64" spans="1:5" x14ac:dyDescent="0.25">
      <c r="A64" s="15" t="s">
        <v>433</v>
      </c>
      <c r="B64" s="29">
        <v>80</v>
      </c>
      <c r="C64" s="29">
        <v>0</v>
      </c>
      <c r="D64" s="29">
        <v>0</v>
      </c>
      <c r="E64" s="31">
        <f t="shared" si="0"/>
        <v>26.666666666666668</v>
      </c>
    </row>
    <row r="65" spans="1:5" x14ac:dyDescent="0.25">
      <c r="A65" s="15" t="s">
        <v>558</v>
      </c>
      <c r="B65" s="29">
        <v>80</v>
      </c>
      <c r="C65" s="29">
        <v>50</v>
      </c>
      <c r="D65" s="29">
        <v>50</v>
      </c>
      <c r="E65" s="31">
        <f t="shared" si="0"/>
        <v>60</v>
      </c>
    </row>
    <row r="66" spans="1:5" x14ac:dyDescent="0.25">
      <c r="A66" s="15" t="s">
        <v>369</v>
      </c>
      <c r="B66" s="29">
        <v>80</v>
      </c>
      <c r="C66" s="29">
        <v>50</v>
      </c>
      <c r="D66" s="29">
        <v>0</v>
      </c>
      <c r="E66" s="31">
        <f t="shared" si="0"/>
        <v>43.333333333333336</v>
      </c>
    </row>
    <row r="67" spans="1:5" x14ac:dyDescent="0.25">
      <c r="A67" s="15" t="s">
        <v>452</v>
      </c>
      <c r="B67" s="29">
        <v>100</v>
      </c>
      <c r="C67" s="29">
        <v>0</v>
      </c>
      <c r="D67" s="29">
        <v>0</v>
      </c>
      <c r="E67" s="31">
        <f t="shared" ref="E67:E130" si="1">AVERAGE(B67:D67)</f>
        <v>33.333333333333336</v>
      </c>
    </row>
    <row r="68" spans="1:5" x14ac:dyDescent="0.25">
      <c r="A68" s="15" t="s">
        <v>491</v>
      </c>
      <c r="B68" s="29">
        <v>100</v>
      </c>
      <c r="C68" s="29">
        <v>0</v>
      </c>
      <c r="D68" s="29">
        <v>50</v>
      </c>
      <c r="E68" s="31">
        <f t="shared" si="1"/>
        <v>50</v>
      </c>
    </row>
    <row r="69" spans="1:5" x14ac:dyDescent="0.25">
      <c r="A69" s="15" t="s">
        <v>366</v>
      </c>
      <c r="B69" s="29">
        <v>100</v>
      </c>
      <c r="C69" s="29">
        <v>50</v>
      </c>
      <c r="D69" s="29">
        <v>0</v>
      </c>
      <c r="E69" s="31">
        <f t="shared" si="1"/>
        <v>50</v>
      </c>
    </row>
    <row r="70" spans="1:5" x14ac:dyDescent="0.25">
      <c r="A70" s="15" t="s">
        <v>341</v>
      </c>
      <c r="B70" s="29">
        <v>80</v>
      </c>
      <c r="C70" s="29">
        <v>0</v>
      </c>
      <c r="D70" s="29">
        <v>50</v>
      </c>
      <c r="E70" s="31">
        <f t="shared" si="1"/>
        <v>43.333333333333336</v>
      </c>
    </row>
    <row r="71" spans="1:5" x14ac:dyDescent="0.25">
      <c r="A71" s="15" t="s">
        <v>360</v>
      </c>
      <c r="B71" s="29">
        <v>80</v>
      </c>
      <c r="C71" s="29">
        <v>0</v>
      </c>
      <c r="D71" s="29">
        <v>0</v>
      </c>
      <c r="E71" s="31">
        <f t="shared" si="1"/>
        <v>26.666666666666668</v>
      </c>
    </row>
    <row r="72" spans="1:5" x14ac:dyDescent="0.25">
      <c r="A72" s="15" t="s">
        <v>374</v>
      </c>
      <c r="B72" s="29">
        <v>80</v>
      </c>
      <c r="C72" s="29">
        <v>50</v>
      </c>
      <c r="D72" s="29">
        <v>50</v>
      </c>
      <c r="E72" s="31">
        <f t="shared" si="1"/>
        <v>60</v>
      </c>
    </row>
    <row r="73" spans="1:5" x14ac:dyDescent="0.25">
      <c r="A73" s="15" t="s">
        <v>397</v>
      </c>
      <c r="B73" s="29">
        <v>80</v>
      </c>
      <c r="C73" s="29">
        <v>0</v>
      </c>
      <c r="D73" s="29">
        <v>50</v>
      </c>
      <c r="E73" s="31">
        <f t="shared" si="1"/>
        <v>43.333333333333336</v>
      </c>
    </row>
    <row r="74" spans="1:5" x14ac:dyDescent="0.25">
      <c r="A74" s="15" t="s">
        <v>384</v>
      </c>
      <c r="B74" s="29">
        <v>100</v>
      </c>
      <c r="C74" s="29">
        <v>50</v>
      </c>
      <c r="D74" s="29">
        <v>50</v>
      </c>
      <c r="E74" s="31">
        <f t="shared" si="1"/>
        <v>66.666666666666671</v>
      </c>
    </row>
    <row r="75" spans="1:5" x14ac:dyDescent="0.25">
      <c r="A75" s="15" t="s">
        <v>378</v>
      </c>
      <c r="B75" s="29">
        <v>80</v>
      </c>
      <c r="C75" s="29">
        <v>50</v>
      </c>
      <c r="D75" s="29">
        <v>0</v>
      </c>
      <c r="E75" s="31">
        <f t="shared" si="1"/>
        <v>43.333333333333336</v>
      </c>
    </row>
    <row r="76" spans="1:5" x14ac:dyDescent="0.25">
      <c r="A76" s="15" t="s">
        <v>588</v>
      </c>
      <c r="B76" s="29">
        <v>100</v>
      </c>
      <c r="C76" s="29">
        <v>50</v>
      </c>
      <c r="D76" s="29">
        <v>50</v>
      </c>
      <c r="E76" s="31">
        <f t="shared" si="1"/>
        <v>66.666666666666671</v>
      </c>
    </row>
    <row r="77" spans="1:5" x14ac:dyDescent="0.25">
      <c r="A77" s="15" t="s">
        <v>501</v>
      </c>
      <c r="B77" s="29">
        <v>80</v>
      </c>
      <c r="C77" s="29">
        <v>0</v>
      </c>
      <c r="D77" s="29">
        <v>50</v>
      </c>
      <c r="E77" s="31">
        <f t="shared" si="1"/>
        <v>43.333333333333336</v>
      </c>
    </row>
    <row r="78" spans="1:5" x14ac:dyDescent="0.25">
      <c r="A78" s="15" t="s">
        <v>330</v>
      </c>
      <c r="B78" s="29">
        <v>100</v>
      </c>
      <c r="C78" s="29">
        <v>50</v>
      </c>
      <c r="D78" s="29">
        <v>50</v>
      </c>
      <c r="E78" s="31">
        <f t="shared" si="1"/>
        <v>66.666666666666671</v>
      </c>
    </row>
    <row r="79" spans="1:5" x14ac:dyDescent="0.25">
      <c r="A79" s="15" t="s">
        <v>435</v>
      </c>
      <c r="B79" s="29">
        <v>80</v>
      </c>
      <c r="C79" s="29">
        <v>0</v>
      </c>
      <c r="D79" s="29">
        <v>50</v>
      </c>
      <c r="E79" s="31">
        <f t="shared" si="1"/>
        <v>43.333333333333336</v>
      </c>
    </row>
    <row r="80" spans="1:5" x14ac:dyDescent="0.25">
      <c r="A80" s="15" t="s">
        <v>386</v>
      </c>
      <c r="B80" s="29">
        <v>80</v>
      </c>
      <c r="C80" s="29">
        <v>0</v>
      </c>
      <c r="D80" s="29">
        <v>50</v>
      </c>
      <c r="E80" s="31">
        <f t="shared" si="1"/>
        <v>43.333333333333336</v>
      </c>
    </row>
    <row r="81" spans="1:5" x14ac:dyDescent="0.25">
      <c r="A81" s="15" t="s">
        <v>443</v>
      </c>
      <c r="B81" s="29">
        <v>100</v>
      </c>
      <c r="C81" s="29">
        <v>50</v>
      </c>
      <c r="D81" s="29">
        <v>0</v>
      </c>
      <c r="E81" s="31">
        <f t="shared" si="1"/>
        <v>50</v>
      </c>
    </row>
    <row r="82" spans="1:5" x14ac:dyDescent="0.25">
      <c r="A82" s="15" t="s">
        <v>503</v>
      </c>
      <c r="B82" s="29">
        <v>100</v>
      </c>
      <c r="C82" s="29">
        <v>50</v>
      </c>
      <c r="D82" s="29">
        <v>50</v>
      </c>
      <c r="E82" s="31">
        <f t="shared" si="1"/>
        <v>66.666666666666671</v>
      </c>
    </row>
    <row r="83" spans="1:5" x14ac:dyDescent="0.25">
      <c r="A83" s="15" t="s">
        <v>392</v>
      </c>
      <c r="B83" s="29">
        <v>100</v>
      </c>
      <c r="C83" s="29">
        <v>50</v>
      </c>
      <c r="D83" s="29">
        <v>0</v>
      </c>
      <c r="E83" s="31">
        <f t="shared" si="1"/>
        <v>50</v>
      </c>
    </row>
    <row r="84" spans="1:5" x14ac:dyDescent="0.25">
      <c r="A84" s="15" t="s">
        <v>379</v>
      </c>
      <c r="B84" s="29">
        <v>40</v>
      </c>
      <c r="C84" s="29">
        <v>0</v>
      </c>
      <c r="D84" s="29">
        <v>0</v>
      </c>
      <c r="E84" s="31">
        <f t="shared" si="1"/>
        <v>13.333333333333334</v>
      </c>
    </row>
    <row r="85" spans="1:5" x14ac:dyDescent="0.25">
      <c r="A85" s="15" t="s">
        <v>451</v>
      </c>
      <c r="B85" s="29">
        <v>40</v>
      </c>
      <c r="C85" s="29">
        <v>0</v>
      </c>
      <c r="D85" s="29">
        <v>50</v>
      </c>
      <c r="E85" s="31">
        <f t="shared" si="1"/>
        <v>30</v>
      </c>
    </row>
    <row r="86" spans="1:5" x14ac:dyDescent="0.25">
      <c r="A86" s="15" t="s">
        <v>372</v>
      </c>
      <c r="B86" s="29">
        <v>80</v>
      </c>
      <c r="C86" s="29">
        <v>0</v>
      </c>
      <c r="D86" s="29">
        <v>0</v>
      </c>
      <c r="E86" s="31">
        <f t="shared" si="1"/>
        <v>26.666666666666668</v>
      </c>
    </row>
    <row r="87" spans="1:5" x14ac:dyDescent="0.25">
      <c r="A87" s="15" t="s">
        <v>428</v>
      </c>
      <c r="B87" s="29">
        <v>100</v>
      </c>
      <c r="C87" s="29">
        <v>0</v>
      </c>
      <c r="D87" s="29">
        <v>0</v>
      </c>
      <c r="E87" s="31">
        <f t="shared" si="1"/>
        <v>33.333333333333336</v>
      </c>
    </row>
    <row r="88" spans="1:5" x14ac:dyDescent="0.25">
      <c r="A88" s="15" t="s">
        <v>427</v>
      </c>
      <c r="B88" s="29">
        <v>80</v>
      </c>
      <c r="C88" s="29">
        <v>50</v>
      </c>
      <c r="D88" s="29">
        <v>50</v>
      </c>
      <c r="E88" s="31">
        <f t="shared" si="1"/>
        <v>60</v>
      </c>
    </row>
    <row r="89" spans="1:5" x14ac:dyDescent="0.25">
      <c r="A89" s="15" t="s">
        <v>579</v>
      </c>
      <c r="B89" s="29">
        <v>80</v>
      </c>
      <c r="C89" s="29">
        <v>50</v>
      </c>
      <c r="D89" s="29">
        <v>50</v>
      </c>
      <c r="E89" s="31">
        <f t="shared" si="1"/>
        <v>60</v>
      </c>
    </row>
    <row r="90" spans="1:5" x14ac:dyDescent="0.25">
      <c r="A90" s="15" t="s">
        <v>342</v>
      </c>
      <c r="B90" s="29">
        <v>80</v>
      </c>
      <c r="C90" s="29">
        <v>0</v>
      </c>
      <c r="D90" s="29">
        <v>50</v>
      </c>
      <c r="E90" s="31">
        <f t="shared" si="1"/>
        <v>43.333333333333336</v>
      </c>
    </row>
    <row r="91" spans="1:5" x14ac:dyDescent="0.25">
      <c r="A91" s="17" t="s">
        <v>455</v>
      </c>
      <c r="B91" s="29">
        <v>100</v>
      </c>
      <c r="C91" s="29">
        <v>50</v>
      </c>
      <c r="D91" s="29">
        <v>0</v>
      </c>
      <c r="E91" s="31">
        <f t="shared" si="1"/>
        <v>50</v>
      </c>
    </row>
    <row r="92" spans="1:5" x14ac:dyDescent="0.25">
      <c r="A92" s="15" t="s">
        <v>559</v>
      </c>
      <c r="B92" s="29">
        <v>100</v>
      </c>
      <c r="C92" s="29">
        <v>0</v>
      </c>
      <c r="D92" s="29">
        <v>0</v>
      </c>
      <c r="E92" s="31">
        <f t="shared" si="1"/>
        <v>33.333333333333336</v>
      </c>
    </row>
    <row r="93" spans="1:5" x14ac:dyDescent="0.25">
      <c r="A93" s="15" t="s">
        <v>518</v>
      </c>
      <c r="B93" s="29">
        <v>80</v>
      </c>
      <c r="C93" s="29">
        <v>50</v>
      </c>
      <c r="D93" s="29">
        <v>0</v>
      </c>
      <c r="E93" s="31">
        <f t="shared" si="1"/>
        <v>43.333333333333336</v>
      </c>
    </row>
    <row r="94" spans="1:5" x14ac:dyDescent="0.25">
      <c r="A94" s="15" t="s">
        <v>483</v>
      </c>
      <c r="B94" s="29">
        <v>80</v>
      </c>
      <c r="C94" s="29">
        <v>50</v>
      </c>
      <c r="D94" s="29">
        <v>50</v>
      </c>
      <c r="E94" s="31">
        <f t="shared" si="1"/>
        <v>60</v>
      </c>
    </row>
    <row r="95" spans="1:5" x14ac:dyDescent="0.25">
      <c r="A95" s="15" t="s">
        <v>367</v>
      </c>
      <c r="B95" s="29">
        <v>80</v>
      </c>
      <c r="C95" s="29">
        <v>50</v>
      </c>
      <c r="D95" s="29">
        <v>50</v>
      </c>
      <c r="E95" s="31">
        <f t="shared" si="1"/>
        <v>60</v>
      </c>
    </row>
    <row r="96" spans="1:5" x14ac:dyDescent="0.25">
      <c r="A96" s="15" t="s">
        <v>462</v>
      </c>
      <c r="B96" s="29">
        <v>40</v>
      </c>
      <c r="C96" s="29">
        <v>0</v>
      </c>
      <c r="D96" s="29">
        <v>0</v>
      </c>
      <c r="E96" s="31">
        <f t="shared" si="1"/>
        <v>13.333333333333334</v>
      </c>
    </row>
    <row r="97" spans="1:5" x14ac:dyDescent="0.25">
      <c r="A97" s="15" t="s">
        <v>319</v>
      </c>
      <c r="B97" s="29">
        <v>100</v>
      </c>
      <c r="C97" s="29">
        <v>50</v>
      </c>
      <c r="D97" s="29">
        <v>50</v>
      </c>
      <c r="E97" s="31">
        <f t="shared" si="1"/>
        <v>66.666666666666671</v>
      </c>
    </row>
    <row r="98" spans="1:5" x14ac:dyDescent="0.25">
      <c r="A98" s="15" t="s">
        <v>400</v>
      </c>
      <c r="B98" s="29">
        <v>100</v>
      </c>
      <c r="C98" s="29">
        <v>50</v>
      </c>
      <c r="D98" s="29">
        <v>50</v>
      </c>
      <c r="E98" s="31">
        <f t="shared" si="1"/>
        <v>66.666666666666671</v>
      </c>
    </row>
    <row r="99" spans="1:5" x14ac:dyDescent="0.25">
      <c r="A99" s="15" t="s">
        <v>560</v>
      </c>
      <c r="B99" s="29">
        <f>VLOOKUP(A99,[3]纯数值!$A$1:$D$11,2,0)</f>
        <v>80</v>
      </c>
      <c r="C99" s="29">
        <f>VLOOKUP(A99,[3]纯数值!$A$1:$D$11,3,0)</f>
        <v>0</v>
      </c>
      <c r="D99" s="29">
        <f>VLOOKUP(A99,[3]纯数值!$A$1:$D$11,4,0)</f>
        <v>0</v>
      </c>
      <c r="E99" s="31">
        <f t="shared" si="1"/>
        <v>26.666666666666668</v>
      </c>
    </row>
    <row r="100" spans="1:5" x14ac:dyDescent="0.25">
      <c r="A100" s="15" t="s">
        <v>410</v>
      </c>
      <c r="B100" s="29">
        <v>80</v>
      </c>
      <c r="C100" s="29">
        <v>50</v>
      </c>
      <c r="D100" s="29">
        <v>0</v>
      </c>
      <c r="E100" s="31">
        <f t="shared" si="1"/>
        <v>43.333333333333336</v>
      </c>
    </row>
    <row r="101" spans="1:5" x14ac:dyDescent="0.25">
      <c r="A101" s="15" t="s">
        <v>510</v>
      </c>
      <c r="B101" s="29">
        <v>40</v>
      </c>
      <c r="C101" s="29">
        <v>0</v>
      </c>
      <c r="D101" s="29">
        <v>0</v>
      </c>
      <c r="E101" s="31">
        <f t="shared" si="1"/>
        <v>13.333333333333334</v>
      </c>
    </row>
    <row r="102" spans="1:5" x14ac:dyDescent="0.25">
      <c r="A102" s="17" t="s">
        <v>482</v>
      </c>
      <c r="B102" s="29">
        <v>40</v>
      </c>
      <c r="C102" s="29">
        <v>0</v>
      </c>
      <c r="D102" s="29">
        <v>0</v>
      </c>
      <c r="E102" s="31">
        <f t="shared" si="1"/>
        <v>13.333333333333334</v>
      </c>
    </row>
    <row r="103" spans="1:5" x14ac:dyDescent="0.25">
      <c r="A103" s="15" t="s">
        <v>502</v>
      </c>
      <c r="B103" s="29">
        <v>100</v>
      </c>
      <c r="C103" s="29">
        <v>50</v>
      </c>
      <c r="D103" s="29">
        <v>0</v>
      </c>
      <c r="E103" s="31">
        <f t="shared" si="1"/>
        <v>50</v>
      </c>
    </row>
    <row r="104" spans="1:5" x14ac:dyDescent="0.25">
      <c r="A104" s="15" t="s">
        <v>445</v>
      </c>
      <c r="B104" s="29">
        <v>80</v>
      </c>
      <c r="C104" s="29">
        <v>50</v>
      </c>
      <c r="D104" s="29">
        <v>50</v>
      </c>
      <c r="E104" s="31">
        <f t="shared" si="1"/>
        <v>60</v>
      </c>
    </row>
    <row r="105" spans="1:5" x14ac:dyDescent="0.25">
      <c r="A105" s="15" t="s">
        <v>364</v>
      </c>
      <c r="B105" s="29">
        <v>80</v>
      </c>
      <c r="C105" s="29">
        <v>0</v>
      </c>
      <c r="D105" s="29">
        <v>50</v>
      </c>
      <c r="E105" s="31">
        <f t="shared" si="1"/>
        <v>43.333333333333336</v>
      </c>
    </row>
    <row r="106" spans="1:5" x14ac:dyDescent="0.25">
      <c r="A106" s="15" t="s">
        <v>522</v>
      </c>
      <c r="B106" s="29">
        <v>80</v>
      </c>
      <c r="C106" s="29">
        <v>50</v>
      </c>
      <c r="D106" s="29">
        <v>50</v>
      </c>
      <c r="E106" s="31">
        <f t="shared" si="1"/>
        <v>60</v>
      </c>
    </row>
    <row r="107" spans="1:5" x14ac:dyDescent="0.25">
      <c r="A107" s="15" t="s">
        <v>390</v>
      </c>
      <c r="B107" s="29">
        <v>80</v>
      </c>
      <c r="C107" s="29">
        <v>0</v>
      </c>
      <c r="D107" s="29">
        <v>50</v>
      </c>
      <c r="E107" s="31">
        <f t="shared" si="1"/>
        <v>43.333333333333336</v>
      </c>
    </row>
    <row r="108" spans="1:5" x14ac:dyDescent="0.25">
      <c r="A108" s="15" t="s">
        <v>444</v>
      </c>
      <c r="B108" s="29">
        <v>80</v>
      </c>
      <c r="C108" s="29">
        <v>0</v>
      </c>
      <c r="D108" s="29">
        <v>0</v>
      </c>
      <c r="E108" s="31">
        <f t="shared" si="1"/>
        <v>26.666666666666668</v>
      </c>
    </row>
    <row r="109" spans="1:5" x14ac:dyDescent="0.25">
      <c r="A109" s="15" t="s">
        <v>323</v>
      </c>
      <c r="B109" s="29">
        <v>80</v>
      </c>
      <c r="C109" s="29">
        <v>0</v>
      </c>
      <c r="D109" s="29">
        <v>0</v>
      </c>
      <c r="E109" s="31">
        <f t="shared" si="1"/>
        <v>26.666666666666668</v>
      </c>
    </row>
    <row r="110" spans="1:5" x14ac:dyDescent="0.25">
      <c r="A110" s="15" t="s">
        <v>476</v>
      </c>
      <c r="B110" s="29">
        <v>80</v>
      </c>
      <c r="C110" s="29">
        <v>50</v>
      </c>
      <c r="D110" s="29">
        <v>50</v>
      </c>
      <c r="E110" s="31">
        <f t="shared" si="1"/>
        <v>60</v>
      </c>
    </row>
    <row r="111" spans="1:5" x14ac:dyDescent="0.25">
      <c r="A111" s="15" t="s">
        <v>498</v>
      </c>
      <c r="B111" s="29">
        <v>100</v>
      </c>
      <c r="C111" s="29">
        <v>50</v>
      </c>
      <c r="D111" s="29">
        <v>50</v>
      </c>
      <c r="E111" s="31">
        <f t="shared" si="1"/>
        <v>66.666666666666671</v>
      </c>
    </row>
    <row r="112" spans="1:5" x14ac:dyDescent="0.25">
      <c r="A112" s="15" t="s">
        <v>393</v>
      </c>
      <c r="B112" s="29">
        <v>100</v>
      </c>
      <c r="C112" s="29">
        <v>50</v>
      </c>
      <c r="D112" s="29">
        <v>50</v>
      </c>
      <c r="E112" s="31">
        <f t="shared" si="1"/>
        <v>66.666666666666671</v>
      </c>
    </row>
    <row r="113" spans="1:5" x14ac:dyDescent="0.25">
      <c r="A113" s="15" t="s">
        <v>485</v>
      </c>
      <c r="B113" s="29">
        <v>100</v>
      </c>
      <c r="C113" s="29">
        <v>50</v>
      </c>
      <c r="D113" s="29">
        <v>50</v>
      </c>
      <c r="E113" s="31">
        <f t="shared" si="1"/>
        <v>66.666666666666671</v>
      </c>
    </row>
    <row r="114" spans="1:5" x14ac:dyDescent="0.25">
      <c r="A114" s="15" t="s">
        <v>349</v>
      </c>
      <c r="B114" s="29">
        <v>80</v>
      </c>
      <c r="C114" s="29">
        <v>50</v>
      </c>
      <c r="D114" s="29">
        <v>0</v>
      </c>
      <c r="E114" s="31">
        <f t="shared" si="1"/>
        <v>43.333333333333336</v>
      </c>
    </row>
    <row r="115" spans="1:5" x14ac:dyDescent="0.25">
      <c r="A115" s="15" t="s">
        <v>506</v>
      </c>
      <c r="B115" s="29">
        <v>80</v>
      </c>
      <c r="C115" s="29">
        <v>0</v>
      </c>
      <c r="D115" s="29">
        <v>0</v>
      </c>
      <c r="E115" s="31">
        <f t="shared" si="1"/>
        <v>26.666666666666668</v>
      </c>
    </row>
    <row r="116" spans="1:5" x14ac:dyDescent="0.25">
      <c r="A116" s="15" t="s">
        <v>459</v>
      </c>
      <c r="B116" s="29">
        <v>100</v>
      </c>
      <c r="C116" s="29">
        <v>50</v>
      </c>
      <c r="D116" s="29">
        <v>50</v>
      </c>
      <c r="E116" s="31">
        <f t="shared" si="1"/>
        <v>66.666666666666671</v>
      </c>
    </row>
    <row r="117" spans="1:5" x14ac:dyDescent="0.25">
      <c r="A117" s="15" t="s">
        <v>388</v>
      </c>
      <c r="B117" s="29">
        <v>100</v>
      </c>
      <c r="C117" s="29">
        <v>50</v>
      </c>
      <c r="D117" s="29">
        <v>50</v>
      </c>
      <c r="E117" s="31">
        <f t="shared" si="1"/>
        <v>66.666666666666671</v>
      </c>
    </row>
    <row r="118" spans="1:5" x14ac:dyDescent="0.25">
      <c r="A118" s="15" t="s">
        <v>402</v>
      </c>
      <c r="B118" s="29">
        <v>80</v>
      </c>
      <c r="C118" s="29">
        <v>0</v>
      </c>
      <c r="D118" s="29">
        <v>0</v>
      </c>
      <c r="E118" s="31">
        <f t="shared" si="1"/>
        <v>26.666666666666668</v>
      </c>
    </row>
    <row r="119" spans="1:5" x14ac:dyDescent="0.25">
      <c r="A119" s="15" t="s">
        <v>453</v>
      </c>
      <c r="B119" s="29">
        <v>80</v>
      </c>
      <c r="C119" s="29">
        <v>0</v>
      </c>
      <c r="D119" s="29">
        <v>50</v>
      </c>
      <c r="E119" s="31">
        <f t="shared" si="1"/>
        <v>43.333333333333336</v>
      </c>
    </row>
    <row r="120" spans="1:5" x14ac:dyDescent="0.25">
      <c r="A120" s="15" t="s">
        <v>526</v>
      </c>
      <c r="B120" s="29">
        <v>80</v>
      </c>
      <c r="C120" s="29">
        <v>0</v>
      </c>
      <c r="D120" s="29">
        <v>50</v>
      </c>
      <c r="E120" s="31">
        <f t="shared" si="1"/>
        <v>43.333333333333336</v>
      </c>
    </row>
    <row r="121" spans="1:5" x14ac:dyDescent="0.25">
      <c r="A121" s="15" t="s">
        <v>363</v>
      </c>
      <c r="B121" s="29">
        <v>40</v>
      </c>
      <c r="C121" s="29">
        <v>0</v>
      </c>
      <c r="D121" s="29">
        <v>0</v>
      </c>
      <c r="E121" s="31">
        <f t="shared" si="1"/>
        <v>13.333333333333334</v>
      </c>
    </row>
    <row r="122" spans="1:5" x14ac:dyDescent="0.25">
      <c r="A122" s="15" t="s">
        <v>481</v>
      </c>
      <c r="B122" s="29">
        <v>80</v>
      </c>
      <c r="C122" s="29">
        <v>0</v>
      </c>
      <c r="D122" s="29">
        <v>50</v>
      </c>
      <c r="E122" s="31">
        <f t="shared" si="1"/>
        <v>43.333333333333336</v>
      </c>
    </row>
    <row r="123" spans="1:5" x14ac:dyDescent="0.25">
      <c r="A123" s="15" t="s">
        <v>598</v>
      </c>
      <c r="B123" s="29">
        <v>100</v>
      </c>
      <c r="C123" s="29">
        <v>0</v>
      </c>
      <c r="D123" s="29">
        <v>0</v>
      </c>
      <c r="E123" s="31">
        <f t="shared" si="1"/>
        <v>33.333333333333336</v>
      </c>
    </row>
    <row r="124" spans="1:5" x14ac:dyDescent="0.25">
      <c r="A124" s="15" t="s">
        <v>465</v>
      </c>
      <c r="B124" s="29">
        <v>40</v>
      </c>
      <c r="C124" s="29">
        <v>50</v>
      </c>
      <c r="D124" s="29">
        <v>0</v>
      </c>
      <c r="E124" s="31">
        <f t="shared" si="1"/>
        <v>30</v>
      </c>
    </row>
    <row r="125" spans="1:5" x14ac:dyDescent="0.25">
      <c r="A125" s="15" t="s">
        <v>448</v>
      </c>
      <c r="B125" s="29">
        <v>80</v>
      </c>
      <c r="C125" s="29">
        <v>0</v>
      </c>
      <c r="D125" s="29">
        <v>0</v>
      </c>
      <c r="E125" s="31">
        <f t="shared" si="1"/>
        <v>26.666666666666668</v>
      </c>
    </row>
    <row r="126" spans="1:5" x14ac:dyDescent="0.25">
      <c r="A126" s="15" t="s">
        <v>440</v>
      </c>
      <c r="B126" s="29">
        <v>80</v>
      </c>
      <c r="C126" s="29">
        <v>0</v>
      </c>
      <c r="D126" s="29">
        <v>50</v>
      </c>
      <c r="E126" s="31">
        <f t="shared" si="1"/>
        <v>43.333333333333336</v>
      </c>
    </row>
    <row r="127" spans="1:5" x14ac:dyDescent="0.25">
      <c r="A127" s="15" t="s">
        <v>404</v>
      </c>
      <c r="B127" s="29">
        <v>80</v>
      </c>
      <c r="C127" s="29">
        <v>50</v>
      </c>
      <c r="D127" s="29">
        <v>50</v>
      </c>
      <c r="E127" s="31">
        <f t="shared" si="1"/>
        <v>60</v>
      </c>
    </row>
    <row r="128" spans="1:5" x14ac:dyDescent="0.25">
      <c r="A128" s="15" t="s">
        <v>310</v>
      </c>
      <c r="B128" s="29">
        <v>100</v>
      </c>
      <c r="C128" s="29">
        <v>50</v>
      </c>
      <c r="D128" s="29">
        <v>50</v>
      </c>
      <c r="E128" s="31">
        <f t="shared" si="1"/>
        <v>66.666666666666671</v>
      </c>
    </row>
    <row r="129" spans="1:5" x14ac:dyDescent="0.25">
      <c r="A129" s="15" t="s">
        <v>424</v>
      </c>
      <c r="B129" s="29">
        <v>80</v>
      </c>
      <c r="C129" s="29">
        <v>0</v>
      </c>
      <c r="D129" s="29">
        <v>50</v>
      </c>
      <c r="E129" s="31">
        <f t="shared" si="1"/>
        <v>43.333333333333336</v>
      </c>
    </row>
    <row r="130" spans="1:5" x14ac:dyDescent="0.25">
      <c r="A130" s="15" t="s">
        <v>475</v>
      </c>
      <c r="B130" s="29">
        <v>80</v>
      </c>
      <c r="C130" s="29">
        <v>0</v>
      </c>
      <c r="D130" s="29">
        <v>50</v>
      </c>
      <c r="E130" s="31">
        <f t="shared" si="1"/>
        <v>43.333333333333336</v>
      </c>
    </row>
    <row r="131" spans="1:5" x14ac:dyDescent="0.25">
      <c r="A131" s="15" t="s">
        <v>524</v>
      </c>
      <c r="B131" s="29">
        <v>80</v>
      </c>
      <c r="C131" s="29">
        <v>50</v>
      </c>
      <c r="D131" s="29">
        <v>0</v>
      </c>
      <c r="E131" s="31">
        <f t="shared" ref="E131:E194" si="2">AVERAGE(B131:D131)</f>
        <v>43.333333333333336</v>
      </c>
    </row>
    <row r="132" spans="1:5" x14ac:dyDescent="0.25">
      <c r="A132" s="15" t="s">
        <v>401</v>
      </c>
      <c r="B132" s="29">
        <v>100</v>
      </c>
      <c r="C132" s="29">
        <v>0</v>
      </c>
      <c r="D132" s="29">
        <v>0</v>
      </c>
      <c r="E132" s="31">
        <f t="shared" si="2"/>
        <v>33.333333333333336</v>
      </c>
    </row>
    <row r="133" spans="1:5" x14ac:dyDescent="0.25">
      <c r="A133" s="15" t="s">
        <v>437</v>
      </c>
      <c r="B133" s="29">
        <v>80</v>
      </c>
      <c r="C133" s="29">
        <v>0</v>
      </c>
      <c r="D133" s="29">
        <v>0</v>
      </c>
      <c r="E133" s="31">
        <f t="shared" si="2"/>
        <v>26.666666666666668</v>
      </c>
    </row>
    <row r="134" spans="1:5" x14ac:dyDescent="0.25">
      <c r="A134" s="15" t="s">
        <v>332</v>
      </c>
      <c r="B134" s="29">
        <v>100</v>
      </c>
      <c r="C134" s="29">
        <v>0</v>
      </c>
      <c r="D134" s="29">
        <v>50</v>
      </c>
      <c r="E134" s="31">
        <f t="shared" si="2"/>
        <v>50</v>
      </c>
    </row>
    <row r="135" spans="1:5" x14ac:dyDescent="0.25">
      <c r="A135" s="15" t="s">
        <v>343</v>
      </c>
      <c r="B135" s="29">
        <v>100</v>
      </c>
      <c r="C135" s="29">
        <v>50</v>
      </c>
      <c r="D135" s="29">
        <v>50</v>
      </c>
      <c r="E135" s="31">
        <f t="shared" si="2"/>
        <v>66.666666666666671</v>
      </c>
    </row>
    <row r="136" spans="1:5" x14ac:dyDescent="0.25">
      <c r="A136" s="15" t="s">
        <v>460</v>
      </c>
      <c r="B136" s="29">
        <v>40</v>
      </c>
      <c r="C136" s="29">
        <v>0</v>
      </c>
      <c r="D136" s="29">
        <v>0</v>
      </c>
      <c r="E136" s="31">
        <f t="shared" si="2"/>
        <v>13.333333333333334</v>
      </c>
    </row>
    <row r="137" spans="1:5" x14ac:dyDescent="0.25">
      <c r="A137" s="15" t="s">
        <v>426</v>
      </c>
      <c r="B137" s="29">
        <v>80</v>
      </c>
      <c r="C137" s="29">
        <v>0</v>
      </c>
      <c r="D137" s="29">
        <v>0</v>
      </c>
      <c r="E137" s="31">
        <f t="shared" si="2"/>
        <v>26.666666666666668</v>
      </c>
    </row>
    <row r="138" spans="1:5" x14ac:dyDescent="0.25">
      <c r="A138" s="15" t="s">
        <v>425</v>
      </c>
      <c r="B138" s="29">
        <v>80</v>
      </c>
      <c r="C138" s="29">
        <v>50</v>
      </c>
      <c r="D138" s="29">
        <v>50</v>
      </c>
      <c r="E138" s="31">
        <f t="shared" si="2"/>
        <v>60</v>
      </c>
    </row>
    <row r="139" spans="1:5" x14ac:dyDescent="0.25">
      <c r="A139" s="15" t="s">
        <v>584</v>
      </c>
      <c r="B139" s="29">
        <v>80</v>
      </c>
      <c r="C139" s="29">
        <v>50</v>
      </c>
      <c r="D139" s="29">
        <v>50</v>
      </c>
      <c r="E139" s="31">
        <f t="shared" si="2"/>
        <v>60</v>
      </c>
    </row>
    <row r="140" spans="1:5" x14ac:dyDescent="0.25">
      <c r="A140" s="15" t="s">
        <v>344</v>
      </c>
      <c r="B140" s="29">
        <v>80</v>
      </c>
      <c r="C140" s="29">
        <v>0</v>
      </c>
      <c r="D140" s="29">
        <v>50</v>
      </c>
      <c r="E140" s="31">
        <f t="shared" si="2"/>
        <v>43.333333333333336</v>
      </c>
    </row>
    <row r="141" spans="1:5" x14ac:dyDescent="0.25">
      <c r="A141" s="15" t="s">
        <v>450</v>
      </c>
      <c r="B141" s="29">
        <v>100</v>
      </c>
      <c r="C141" s="29">
        <v>50</v>
      </c>
      <c r="D141" s="29">
        <v>50</v>
      </c>
      <c r="E141" s="31">
        <f t="shared" si="2"/>
        <v>66.666666666666671</v>
      </c>
    </row>
    <row r="142" spans="1:5" x14ac:dyDescent="0.25">
      <c r="A142" s="15" t="s">
        <v>383</v>
      </c>
      <c r="B142" s="29">
        <v>80</v>
      </c>
      <c r="C142" s="29">
        <v>50</v>
      </c>
      <c r="D142" s="29">
        <v>0</v>
      </c>
      <c r="E142" s="31">
        <f t="shared" si="2"/>
        <v>43.333333333333336</v>
      </c>
    </row>
    <row r="143" spans="1:5" x14ac:dyDescent="0.25">
      <c r="A143" s="15" t="s">
        <v>488</v>
      </c>
      <c r="B143" s="29">
        <v>80</v>
      </c>
      <c r="C143" s="29">
        <v>50</v>
      </c>
      <c r="D143" s="29">
        <v>50</v>
      </c>
      <c r="E143" s="31">
        <f t="shared" si="2"/>
        <v>60</v>
      </c>
    </row>
    <row r="144" spans="1:5" x14ac:dyDescent="0.25">
      <c r="A144" s="15" t="s">
        <v>373</v>
      </c>
      <c r="B144" s="29">
        <v>80</v>
      </c>
      <c r="C144" s="29">
        <v>50</v>
      </c>
      <c r="D144" s="29">
        <v>50</v>
      </c>
      <c r="E144" s="31">
        <f t="shared" si="2"/>
        <v>60</v>
      </c>
    </row>
    <row r="145" spans="1:5" x14ac:dyDescent="0.25">
      <c r="A145" s="15" t="s">
        <v>497</v>
      </c>
      <c r="B145" s="29">
        <v>80</v>
      </c>
      <c r="C145" s="29">
        <v>50</v>
      </c>
      <c r="D145" s="29">
        <v>50</v>
      </c>
      <c r="E145" s="31">
        <f t="shared" si="2"/>
        <v>60</v>
      </c>
    </row>
    <row r="146" spans="1:5" x14ac:dyDescent="0.25">
      <c r="A146" s="15" t="s">
        <v>430</v>
      </c>
      <c r="B146" s="29">
        <v>80</v>
      </c>
      <c r="C146" s="29">
        <v>50</v>
      </c>
      <c r="D146" s="29">
        <v>50</v>
      </c>
      <c r="E146" s="31">
        <f t="shared" si="2"/>
        <v>60</v>
      </c>
    </row>
    <row r="147" spans="1:5" x14ac:dyDescent="0.25">
      <c r="A147" s="15" t="s">
        <v>398</v>
      </c>
      <c r="B147" s="29">
        <v>100</v>
      </c>
      <c r="C147" s="29">
        <v>50</v>
      </c>
      <c r="D147" s="29">
        <v>50</v>
      </c>
      <c r="E147" s="31">
        <f t="shared" si="2"/>
        <v>66.666666666666671</v>
      </c>
    </row>
    <row r="148" spans="1:5" x14ac:dyDescent="0.25">
      <c r="A148" s="15" t="s">
        <v>434</v>
      </c>
      <c r="B148" s="29">
        <v>100</v>
      </c>
      <c r="C148" s="29">
        <v>50</v>
      </c>
      <c r="D148" s="29">
        <v>50</v>
      </c>
      <c r="E148" s="31">
        <f t="shared" si="2"/>
        <v>66.666666666666671</v>
      </c>
    </row>
    <row r="149" spans="1:5" x14ac:dyDescent="0.25">
      <c r="A149" s="15" t="s">
        <v>403</v>
      </c>
      <c r="B149" s="29">
        <v>100</v>
      </c>
      <c r="C149" s="29">
        <v>50</v>
      </c>
      <c r="D149" s="29">
        <v>50</v>
      </c>
      <c r="E149" s="31">
        <f t="shared" si="2"/>
        <v>66.666666666666671</v>
      </c>
    </row>
    <row r="150" spans="1:5" x14ac:dyDescent="0.25">
      <c r="A150" s="15" t="s">
        <v>375</v>
      </c>
      <c r="B150" s="29">
        <v>100</v>
      </c>
      <c r="C150" s="29">
        <v>50</v>
      </c>
      <c r="D150" s="29">
        <v>50</v>
      </c>
      <c r="E150" s="31">
        <f t="shared" si="2"/>
        <v>66.666666666666671</v>
      </c>
    </row>
    <row r="151" spans="1:5" x14ac:dyDescent="0.25">
      <c r="A151" s="15" t="s">
        <v>354</v>
      </c>
      <c r="B151" s="29">
        <v>80</v>
      </c>
      <c r="C151" s="29">
        <v>0</v>
      </c>
      <c r="D151" s="29">
        <v>0</v>
      </c>
      <c r="E151" s="31">
        <f t="shared" si="2"/>
        <v>26.666666666666668</v>
      </c>
    </row>
    <row r="152" spans="1:5" x14ac:dyDescent="0.25">
      <c r="A152" s="15" t="s">
        <v>467</v>
      </c>
      <c r="B152" s="29">
        <v>80</v>
      </c>
      <c r="C152" s="29">
        <v>50</v>
      </c>
      <c r="D152" s="29">
        <v>50</v>
      </c>
      <c r="E152" s="31">
        <f t="shared" si="2"/>
        <v>60</v>
      </c>
    </row>
    <row r="153" spans="1:5" x14ac:dyDescent="0.25">
      <c r="A153" s="15" t="s">
        <v>441</v>
      </c>
      <c r="B153" s="29">
        <v>80</v>
      </c>
      <c r="C153" s="29">
        <v>0</v>
      </c>
      <c r="D153" s="29">
        <v>50</v>
      </c>
      <c r="E153" s="31">
        <f t="shared" si="2"/>
        <v>43.333333333333336</v>
      </c>
    </row>
    <row r="154" spans="1:5" x14ac:dyDescent="0.25">
      <c r="A154" s="15" t="s">
        <v>361</v>
      </c>
      <c r="B154" s="29">
        <v>80</v>
      </c>
      <c r="C154" s="29">
        <v>0</v>
      </c>
      <c r="D154" s="29">
        <v>0</v>
      </c>
      <c r="E154" s="31">
        <f t="shared" si="2"/>
        <v>26.666666666666668</v>
      </c>
    </row>
    <row r="155" spans="1:5" x14ac:dyDescent="0.25">
      <c r="A155" s="15" t="s">
        <v>493</v>
      </c>
      <c r="B155" s="29">
        <v>80</v>
      </c>
      <c r="C155" s="29">
        <v>0</v>
      </c>
      <c r="D155" s="29">
        <v>0</v>
      </c>
      <c r="E155" s="31">
        <f t="shared" si="2"/>
        <v>26.666666666666668</v>
      </c>
    </row>
    <row r="156" spans="1:5" x14ac:dyDescent="0.25">
      <c r="A156" s="15" t="s">
        <v>381</v>
      </c>
      <c r="B156" s="29">
        <v>80</v>
      </c>
      <c r="C156" s="29">
        <v>50</v>
      </c>
      <c r="D156" s="29">
        <v>50</v>
      </c>
      <c r="E156" s="31">
        <f t="shared" si="2"/>
        <v>60</v>
      </c>
    </row>
    <row r="157" spans="1:5" x14ac:dyDescent="0.25">
      <c r="A157" s="15" t="s">
        <v>331</v>
      </c>
      <c r="B157" s="29">
        <v>80</v>
      </c>
      <c r="C157" s="29">
        <v>0</v>
      </c>
      <c r="D157" s="29">
        <v>50</v>
      </c>
      <c r="E157" s="31">
        <f t="shared" si="2"/>
        <v>43.333333333333336</v>
      </c>
    </row>
    <row r="158" spans="1:5" x14ac:dyDescent="0.25">
      <c r="A158" s="15" t="s">
        <v>513</v>
      </c>
      <c r="B158" s="29">
        <v>100</v>
      </c>
      <c r="C158" s="29">
        <v>50</v>
      </c>
      <c r="D158" s="29">
        <v>50</v>
      </c>
      <c r="E158" s="31">
        <f t="shared" si="2"/>
        <v>66.666666666666671</v>
      </c>
    </row>
    <row r="159" spans="1:5" x14ac:dyDescent="0.25">
      <c r="A159" s="15" t="s">
        <v>365</v>
      </c>
      <c r="B159" s="29">
        <v>40</v>
      </c>
      <c r="C159" s="29">
        <v>0</v>
      </c>
      <c r="D159" s="29">
        <v>0</v>
      </c>
      <c r="E159" s="31">
        <f t="shared" si="2"/>
        <v>13.333333333333334</v>
      </c>
    </row>
    <row r="160" spans="1:5" x14ac:dyDescent="0.25">
      <c r="A160" s="15" t="s">
        <v>436</v>
      </c>
      <c r="B160" s="29">
        <v>80</v>
      </c>
      <c r="C160" s="29">
        <v>0</v>
      </c>
      <c r="D160" s="29">
        <v>0</v>
      </c>
      <c r="E160" s="31">
        <f t="shared" si="2"/>
        <v>26.666666666666668</v>
      </c>
    </row>
    <row r="161" spans="1:5" x14ac:dyDescent="0.25">
      <c r="A161" s="15" t="s">
        <v>429</v>
      </c>
      <c r="B161" s="29">
        <v>80</v>
      </c>
      <c r="C161" s="29">
        <v>50</v>
      </c>
      <c r="D161" s="29">
        <v>50</v>
      </c>
      <c r="E161" s="31">
        <f t="shared" si="2"/>
        <v>60</v>
      </c>
    </row>
    <row r="162" spans="1:5" x14ac:dyDescent="0.25">
      <c r="A162" s="15" t="s">
        <v>318</v>
      </c>
      <c r="B162" s="29">
        <v>80</v>
      </c>
      <c r="C162" s="29">
        <v>50</v>
      </c>
      <c r="D162" s="29">
        <v>0</v>
      </c>
      <c r="E162" s="31">
        <f t="shared" si="2"/>
        <v>43.333333333333336</v>
      </c>
    </row>
    <row r="163" spans="1:5" x14ac:dyDescent="0.25">
      <c r="A163" s="15" t="s">
        <v>561</v>
      </c>
      <c r="B163" s="29">
        <v>100</v>
      </c>
      <c r="C163" s="29">
        <v>50</v>
      </c>
      <c r="D163" s="29">
        <v>0</v>
      </c>
      <c r="E163" s="31">
        <f t="shared" si="2"/>
        <v>50</v>
      </c>
    </row>
    <row r="164" spans="1:5" x14ac:dyDescent="0.25">
      <c r="A164" s="15" t="s">
        <v>335</v>
      </c>
      <c r="B164" s="29">
        <v>80</v>
      </c>
      <c r="C164" s="29">
        <v>0</v>
      </c>
      <c r="D164" s="29">
        <v>50</v>
      </c>
      <c r="E164" s="31">
        <f t="shared" si="2"/>
        <v>43.333333333333336</v>
      </c>
    </row>
    <row r="165" spans="1:5" x14ac:dyDescent="0.25">
      <c r="A165" s="15" t="s">
        <v>531</v>
      </c>
      <c r="B165" s="29">
        <v>80</v>
      </c>
      <c r="C165" s="29">
        <v>50</v>
      </c>
      <c r="D165" s="29">
        <v>0</v>
      </c>
      <c r="E165" s="31">
        <f t="shared" si="2"/>
        <v>43.333333333333336</v>
      </c>
    </row>
    <row r="166" spans="1:5" x14ac:dyDescent="0.25">
      <c r="A166" s="15" t="s">
        <v>541</v>
      </c>
      <c r="B166" s="29">
        <v>80</v>
      </c>
      <c r="C166" s="29">
        <v>0</v>
      </c>
      <c r="D166" s="29">
        <v>50</v>
      </c>
      <c r="E166" s="31">
        <f t="shared" si="2"/>
        <v>43.333333333333336</v>
      </c>
    </row>
    <row r="167" spans="1:5" x14ac:dyDescent="0.25">
      <c r="A167" s="17" t="s">
        <v>562</v>
      </c>
      <c r="B167" s="29">
        <v>0</v>
      </c>
      <c r="C167" s="29">
        <v>0</v>
      </c>
      <c r="D167" s="29">
        <v>0</v>
      </c>
      <c r="E167" s="31">
        <f t="shared" si="2"/>
        <v>0</v>
      </c>
    </row>
    <row r="168" spans="1:5" x14ac:dyDescent="0.25">
      <c r="A168" s="15" t="s">
        <v>575</v>
      </c>
      <c r="B168" s="29">
        <v>80</v>
      </c>
      <c r="C168" s="29">
        <v>0</v>
      </c>
      <c r="D168" s="29">
        <v>50</v>
      </c>
      <c r="E168" s="31">
        <f t="shared" si="2"/>
        <v>43.333333333333336</v>
      </c>
    </row>
    <row r="169" spans="1:5" x14ac:dyDescent="0.25">
      <c r="A169" s="15" t="s">
        <v>414</v>
      </c>
      <c r="B169" s="29">
        <v>40</v>
      </c>
      <c r="C169" s="29">
        <v>0</v>
      </c>
      <c r="D169" s="29">
        <v>50</v>
      </c>
      <c r="E169" s="31">
        <f t="shared" si="2"/>
        <v>30</v>
      </c>
    </row>
    <row r="170" spans="1:5" x14ac:dyDescent="0.25">
      <c r="A170" s="15" t="s">
        <v>540</v>
      </c>
      <c r="B170" s="29">
        <v>80</v>
      </c>
      <c r="C170" s="29">
        <v>0</v>
      </c>
      <c r="D170" s="29">
        <v>50</v>
      </c>
      <c r="E170" s="31">
        <f t="shared" si="2"/>
        <v>43.333333333333336</v>
      </c>
    </row>
    <row r="171" spans="1:5" x14ac:dyDescent="0.25">
      <c r="A171" s="15" t="s">
        <v>419</v>
      </c>
      <c r="B171" s="29">
        <v>80</v>
      </c>
      <c r="C171" s="29">
        <v>0</v>
      </c>
      <c r="D171" s="29">
        <v>50</v>
      </c>
      <c r="E171" s="31">
        <f t="shared" si="2"/>
        <v>43.333333333333336</v>
      </c>
    </row>
    <row r="172" spans="1:5" x14ac:dyDescent="0.25">
      <c r="A172" s="15" t="s">
        <v>552</v>
      </c>
      <c r="B172" s="29">
        <f>VLOOKUP(A172,[3]纯数值!$A$1:$D$11,2,0)</f>
        <v>80</v>
      </c>
      <c r="C172" s="29">
        <f>VLOOKUP(A172,[3]纯数值!$A$1:$D$11,3,0)</f>
        <v>0</v>
      </c>
      <c r="D172" s="29">
        <f>VLOOKUP(A172,[3]纯数值!$A$1:$D$11,4,0)</f>
        <v>0</v>
      </c>
      <c r="E172" s="31">
        <f t="shared" si="2"/>
        <v>26.666666666666668</v>
      </c>
    </row>
    <row r="173" spans="1:5" x14ac:dyDescent="0.25">
      <c r="A173" s="15" t="s">
        <v>486</v>
      </c>
      <c r="B173" s="29">
        <v>40</v>
      </c>
      <c r="C173" s="29">
        <v>0</v>
      </c>
      <c r="D173" s="29">
        <v>0</v>
      </c>
      <c r="E173" s="31">
        <f t="shared" si="2"/>
        <v>13.333333333333334</v>
      </c>
    </row>
    <row r="174" spans="1:5" x14ac:dyDescent="0.25">
      <c r="A174" s="15" t="s">
        <v>358</v>
      </c>
      <c r="B174" s="29">
        <v>80</v>
      </c>
      <c r="C174" s="29">
        <v>50</v>
      </c>
      <c r="D174" s="29">
        <v>50</v>
      </c>
      <c r="E174" s="31">
        <f t="shared" si="2"/>
        <v>60</v>
      </c>
    </row>
    <row r="175" spans="1:5" x14ac:dyDescent="0.25">
      <c r="A175" s="15" t="s">
        <v>512</v>
      </c>
      <c r="B175" s="29">
        <v>100</v>
      </c>
      <c r="C175" s="29">
        <v>50</v>
      </c>
      <c r="D175" s="29">
        <v>50</v>
      </c>
      <c r="E175" s="31">
        <f t="shared" si="2"/>
        <v>66.666666666666671</v>
      </c>
    </row>
    <row r="176" spans="1:5" x14ac:dyDescent="0.25">
      <c r="A176" s="15" t="s">
        <v>336</v>
      </c>
      <c r="B176" s="29">
        <v>80</v>
      </c>
      <c r="C176" s="29">
        <v>0</v>
      </c>
      <c r="D176" s="29">
        <v>0</v>
      </c>
      <c r="E176" s="31">
        <f t="shared" si="2"/>
        <v>26.666666666666668</v>
      </c>
    </row>
    <row r="177" spans="1:5" x14ac:dyDescent="0.25">
      <c r="A177" s="15" t="s">
        <v>412</v>
      </c>
      <c r="B177" s="29">
        <v>80</v>
      </c>
      <c r="C177" s="29">
        <v>0</v>
      </c>
      <c r="D177" s="29">
        <v>0</v>
      </c>
      <c r="E177" s="31">
        <f t="shared" si="2"/>
        <v>26.666666666666668</v>
      </c>
    </row>
    <row r="178" spans="1:5" x14ac:dyDescent="0.25">
      <c r="A178" s="15" t="s">
        <v>370</v>
      </c>
      <c r="B178" s="29">
        <v>80</v>
      </c>
      <c r="C178" s="29">
        <v>50</v>
      </c>
      <c r="D178" s="29">
        <v>50</v>
      </c>
      <c r="E178" s="31">
        <f t="shared" si="2"/>
        <v>60</v>
      </c>
    </row>
    <row r="179" spans="1:5" x14ac:dyDescent="0.25">
      <c r="A179" s="15" t="s">
        <v>399</v>
      </c>
      <c r="B179" s="29">
        <v>80</v>
      </c>
      <c r="C179" s="29">
        <v>0</v>
      </c>
      <c r="D179" s="29">
        <v>50</v>
      </c>
      <c r="E179" s="31">
        <f t="shared" si="2"/>
        <v>43.333333333333336</v>
      </c>
    </row>
    <row r="180" spans="1:5" x14ac:dyDescent="0.25">
      <c r="A180" s="15" t="s">
        <v>348</v>
      </c>
      <c r="B180" s="29">
        <v>80</v>
      </c>
      <c r="C180" s="29">
        <v>0</v>
      </c>
      <c r="D180" s="29">
        <v>0</v>
      </c>
      <c r="E180" s="31">
        <f t="shared" si="2"/>
        <v>26.666666666666668</v>
      </c>
    </row>
    <row r="181" spans="1:5" x14ac:dyDescent="0.25">
      <c r="A181" s="15" t="s">
        <v>535</v>
      </c>
      <c r="B181" s="29">
        <v>80</v>
      </c>
      <c r="C181" s="29">
        <v>0</v>
      </c>
      <c r="D181" s="29">
        <v>0</v>
      </c>
      <c r="E181" s="31">
        <f t="shared" si="2"/>
        <v>26.666666666666668</v>
      </c>
    </row>
    <row r="182" spans="1:5" x14ac:dyDescent="0.25">
      <c r="A182" s="15" t="s">
        <v>371</v>
      </c>
      <c r="B182" s="29">
        <v>100</v>
      </c>
      <c r="C182" s="29">
        <v>50</v>
      </c>
      <c r="D182" s="29">
        <v>0</v>
      </c>
      <c r="E182" s="31">
        <f t="shared" si="2"/>
        <v>50</v>
      </c>
    </row>
    <row r="183" spans="1:5" x14ac:dyDescent="0.25">
      <c r="A183" s="15" t="s">
        <v>320</v>
      </c>
      <c r="B183" s="29">
        <v>40</v>
      </c>
      <c r="C183" s="29">
        <v>0</v>
      </c>
      <c r="D183" s="29">
        <v>0</v>
      </c>
      <c r="E183" s="31">
        <f t="shared" si="2"/>
        <v>13.333333333333334</v>
      </c>
    </row>
    <row r="184" spans="1:5" x14ac:dyDescent="0.25">
      <c r="A184" s="15" t="s">
        <v>368</v>
      </c>
      <c r="B184" s="29">
        <v>80</v>
      </c>
      <c r="C184" s="29">
        <v>50</v>
      </c>
      <c r="D184" s="29">
        <v>50</v>
      </c>
      <c r="E184" s="31">
        <f t="shared" si="2"/>
        <v>60</v>
      </c>
    </row>
    <row r="185" spans="1:5" x14ac:dyDescent="0.25">
      <c r="A185" s="15" t="s">
        <v>480</v>
      </c>
      <c r="B185" s="29">
        <v>80</v>
      </c>
      <c r="C185" s="29">
        <v>50</v>
      </c>
      <c r="D185" s="29">
        <v>0</v>
      </c>
      <c r="E185" s="31">
        <f t="shared" si="2"/>
        <v>43.333333333333336</v>
      </c>
    </row>
    <row r="186" spans="1:5" x14ac:dyDescent="0.25">
      <c r="A186" s="15" t="s">
        <v>387</v>
      </c>
      <c r="B186" s="29">
        <v>100</v>
      </c>
      <c r="C186" s="29">
        <v>50</v>
      </c>
      <c r="D186" s="29">
        <v>50</v>
      </c>
      <c r="E186" s="31">
        <f t="shared" si="2"/>
        <v>66.666666666666671</v>
      </c>
    </row>
    <row r="187" spans="1:5" x14ac:dyDescent="0.25">
      <c r="A187" s="15" t="s">
        <v>529</v>
      </c>
      <c r="B187" s="29">
        <v>100</v>
      </c>
      <c r="C187" s="29">
        <v>50</v>
      </c>
      <c r="D187" s="29">
        <v>50</v>
      </c>
      <c r="E187" s="31">
        <f t="shared" si="2"/>
        <v>66.666666666666671</v>
      </c>
    </row>
    <row r="188" spans="1:5" x14ac:dyDescent="0.25">
      <c r="A188" s="15" t="s">
        <v>303</v>
      </c>
      <c r="B188" s="29">
        <v>80</v>
      </c>
      <c r="C188" s="29">
        <v>0</v>
      </c>
      <c r="D188" s="29">
        <v>0</v>
      </c>
      <c r="E188" s="31">
        <f t="shared" si="2"/>
        <v>26.666666666666668</v>
      </c>
    </row>
    <row r="189" spans="1:5" x14ac:dyDescent="0.25">
      <c r="A189" s="15" t="s">
        <v>492</v>
      </c>
      <c r="B189" s="29">
        <v>100</v>
      </c>
      <c r="C189" s="29">
        <v>0</v>
      </c>
      <c r="D189" s="29">
        <v>50</v>
      </c>
      <c r="E189" s="31">
        <f t="shared" si="2"/>
        <v>50</v>
      </c>
    </row>
    <row r="190" spans="1:5" x14ac:dyDescent="0.25">
      <c r="A190" s="15" t="s">
        <v>537</v>
      </c>
      <c r="B190" s="29">
        <v>80</v>
      </c>
      <c r="C190" s="29">
        <v>50</v>
      </c>
      <c r="D190" s="29">
        <v>0</v>
      </c>
      <c r="E190" s="31">
        <f t="shared" si="2"/>
        <v>43.333333333333336</v>
      </c>
    </row>
    <row r="191" spans="1:5" x14ac:dyDescent="0.25">
      <c r="A191" s="15" t="s">
        <v>525</v>
      </c>
      <c r="B191" s="29">
        <v>100</v>
      </c>
      <c r="C191" s="29">
        <v>50</v>
      </c>
      <c r="D191" s="29">
        <v>50</v>
      </c>
      <c r="E191" s="31">
        <f t="shared" si="2"/>
        <v>66.666666666666671</v>
      </c>
    </row>
    <row r="192" spans="1:5" x14ac:dyDescent="0.25">
      <c r="A192" s="15" t="s">
        <v>339</v>
      </c>
      <c r="B192" s="29">
        <v>80</v>
      </c>
      <c r="C192" s="29">
        <v>0</v>
      </c>
      <c r="D192" s="29">
        <v>0</v>
      </c>
      <c r="E192" s="31">
        <f t="shared" si="2"/>
        <v>26.666666666666668</v>
      </c>
    </row>
    <row r="193" spans="1:5" x14ac:dyDescent="0.25">
      <c r="A193" s="15" t="s">
        <v>457</v>
      </c>
      <c r="B193" s="29">
        <v>80</v>
      </c>
      <c r="C193" s="29">
        <v>50</v>
      </c>
      <c r="D193" s="29">
        <v>50</v>
      </c>
      <c r="E193" s="31">
        <f t="shared" si="2"/>
        <v>60</v>
      </c>
    </row>
    <row r="194" spans="1:5" x14ac:dyDescent="0.25">
      <c r="A194" s="15" t="s">
        <v>306</v>
      </c>
      <c r="B194" s="29">
        <v>100</v>
      </c>
      <c r="C194" s="29">
        <v>50</v>
      </c>
      <c r="D194" s="29">
        <v>0</v>
      </c>
      <c r="E194" s="31">
        <f t="shared" si="2"/>
        <v>50</v>
      </c>
    </row>
    <row r="195" spans="1:5" x14ac:dyDescent="0.25">
      <c r="A195" s="15" t="s">
        <v>376</v>
      </c>
      <c r="B195" s="29">
        <v>100</v>
      </c>
      <c r="C195" s="29">
        <v>50</v>
      </c>
      <c r="D195" s="29">
        <v>50</v>
      </c>
      <c r="E195" s="31">
        <f t="shared" ref="E195:E258" si="3">AVERAGE(B195:D195)</f>
        <v>66.666666666666671</v>
      </c>
    </row>
    <row r="196" spans="1:5" x14ac:dyDescent="0.25">
      <c r="A196" s="15" t="s">
        <v>464</v>
      </c>
      <c r="B196" s="29">
        <v>100</v>
      </c>
      <c r="C196" s="29">
        <v>0</v>
      </c>
      <c r="D196" s="29">
        <v>50</v>
      </c>
      <c r="E196" s="31">
        <f t="shared" si="3"/>
        <v>50</v>
      </c>
    </row>
    <row r="197" spans="1:5" x14ac:dyDescent="0.25">
      <c r="A197" s="15" t="s">
        <v>550</v>
      </c>
      <c r="B197" s="29">
        <f>VLOOKUP(A197,[3]纯数值!$A$1:$D$11,2,0)</f>
        <v>80</v>
      </c>
      <c r="C197" s="29">
        <f>VLOOKUP(A197,[3]纯数值!$A$1:$D$11,3,0)</f>
        <v>0</v>
      </c>
      <c r="D197" s="29">
        <f>VLOOKUP(A197,[3]纯数值!$A$1:$D$11,4,0)</f>
        <v>50</v>
      </c>
      <c r="E197" s="31">
        <f t="shared" si="3"/>
        <v>43.333333333333336</v>
      </c>
    </row>
    <row r="198" spans="1:5" x14ac:dyDescent="0.25">
      <c r="A198" s="15" t="s">
        <v>422</v>
      </c>
      <c r="B198" s="29">
        <v>40</v>
      </c>
      <c r="C198" s="29">
        <v>0</v>
      </c>
      <c r="D198" s="29">
        <v>0</v>
      </c>
      <c r="E198" s="31">
        <f t="shared" si="3"/>
        <v>13.333333333333334</v>
      </c>
    </row>
    <row r="199" spans="1:5" x14ac:dyDescent="0.25">
      <c r="A199" s="15" t="s">
        <v>359</v>
      </c>
      <c r="B199" s="29">
        <v>80</v>
      </c>
      <c r="C199" s="29">
        <v>50</v>
      </c>
      <c r="D199" s="29">
        <v>0</v>
      </c>
      <c r="E199" s="31">
        <f t="shared" si="3"/>
        <v>43.333333333333336</v>
      </c>
    </row>
    <row r="200" spans="1:5" x14ac:dyDescent="0.25">
      <c r="A200" s="15" t="s">
        <v>496</v>
      </c>
      <c r="B200" s="29">
        <v>80</v>
      </c>
      <c r="C200" s="29">
        <v>50</v>
      </c>
      <c r="D200" s="29">
        <v>50</v>
      </c>
      <c r="E200" s="31">
        <f t="shared" si="3"/>
        <v>60</v>
      </c>
    </row>
    <row r="201" spans="1:5" x14ac:dyDescent="0.25">
      <c r="A201" s="15" t="s">
        <v>314</v>
      </c>
      <c r="B201" s="29">
        <v>80</v>
      </c>
      <c r="C201" s="29">
        <v>50</v>
      </c>
      <c r="D201" s="29">
        <v>0</v>
      </c>
      <c r="E201" s="31">
        <f t="shared" si="3"/>
        <v>43.333333333333336</v>
      </c>
    </row>
    <row r="202" spans="1:5" x14ac:dyDescent="0.25">
      <c r="A202" s="15" t="s">
        <v>389</v>
      </c>
      <c r="B202" s="29">
        <v>80</v>
      </c>
      <c r="C202" s="29">
        <v>0</v>
      </c>
      <c r="D202" s="29">
        <v>0</v>
      </c>
      <c r="E202" s="31">
        <f t="shared" si="3"/>
        <v>26.666666666666668</v>
      </c>
    </row>
    <row r="203" spans="1:5" x14ac:dyDescent="0.25">
      <c r="A203" s="15" t="s">
        <v>456</v>
      </c>
      <c r="B203" s="29">
        <v>80</v>
      </c>
      <c r="C203" s="29">
        <v>50</v>
      </c>
      <c r="D203" s="29">
        <v>50</v>
      </c>
      <c r="E203" s="31">
        <f t="shared" si="3"/>
        <v>60</v>
      </c>
    </row>
    <row r="204" spans="1:5" x14ac:dyDescent="0.25">
      <c r="A204" s="15" t="s">
        <v>421</v>
      </c>
      <c r="B204" s="29">
        <v>80</v>
      </c>
      <c r="C204" s="29">
        <v>50</v>
      </c>
      <c r="D204" s="29">
        <v>50</v>
      </c>
      <c r="E204" s="31">
        <f t="shared" si="3"/>
        <v>60</v>
      </c>
    </row>
    <row r="205" spans="1:5" x14ac:dyDescent="0.25">
      <c r="A205" s="15" t="s">
        <v>530</v>
      </c>
      <c r="B205" s="29">
        <v>80</v>
      </c>
      <c r="C205" s="29">
        <v>0</v>
      </c>
      <c r="D205" s="29">
        <v>0</v>
      </c>
      <c r="E205" s="31">
        <f t="shared" si="3"/>
        <v>26.666666666666668</v>
      </c>
    </row>
    <row r="206" spans="1:5" x14ac:dyDescent="0.25">
      <c r="A206" s="15" t="s">
        <v>461</v>
      </c>
      <c r="B206" s="29">
        <v>80</v>
      </c>
      <c r="C206" s="29">
        <v>0</v>
      </c>
      <c r="D206" s="29">
        <v>0</v>
      </c>
      <c r="E206" s="31">
        <f t="shared" si="3"/>
        <v>26.666666666666668</v>
      </c>
    </row>
    <row r="207" spans="1:5" x14ac:dyDescent="0.25">
      <c r="A207" s="15" t="s">
        <v>326</v>
      </c>
      <c r="B207" s="29">
        <v>100</v>
      </c>
      <c r="C207" s="29">
        <v>50</v>
      </c>
      <c r="D207" s="29">
        <v>50</v>
      </c>
      <c r="E207" s="31">
        <f t="shared" si="3"/>
        <v>66.666666666666671</v>
      </c>
    </row>
    <row r="208" spans="1:5" x14ac:dyDescent="0.25">
      <c r="A208" s="15" t="s">
        <v>316</v>
      </c>
      <c r="B208" s="29">
        <v>80</v>
      </c>
      <c r="C208" s="29">
        <v>50</v>
      </c>
      <c r="D208" s="29">
        <v>0</v>
      </c>
      <c r="E208" s="31">
        <f t="shared" si="3"/>
        <v>43.333333333333336</v>
      </c>
    </row>
    <row r="209" spans="1:5" x14ac:dyDescent="0.25">
      <c r="A209" s="15" t="s">
        <v>500</v>
      </c>
      <c r="B209" s="29">
        <v>100</v>
      </c>
      <c r="C209" s="29">
        <v>50</v>
      </c>
      <c r="D209" s="29">
        <v>50</v>
      </c>
      <c r="E209" s="31">
        <f t="shared" si="3"/>
        <v>66.666666666666671</v>
      </c>
    </row>
    <row r="210" spans="1:5" x14ac:dyDescent="0.25">
      <c r="A210" s="15" t="s">
        <v>362</v>
      </c>
      <c r="B210" s="29">
        <v>40</v>
      </c>
      <c r="C210" s="29">
        <v>0</v>
      </c>
      <c r="D210" s="29">
        <v>0</v>
      </c>
      <c r="E210" s="31">
        <f t="shared" si="3"/>
        <v>13.333333333333334</v>
      </c>
    </row>
    <row r="211" spans="1:5" x14ac:dyDescent="0.25">
      <c r="A211" s="15" t="s">
        <v>581</v>
      </c>
      <c r="B211" s="29">
        <v>100</v>
      </c>
      <c r="C211" s="29">
        <v>50</v>
      </c>
      <c r="D211" s="29">
        <v>50</v>
      </c>
      <c r="E211" s="31">
        <f t="shared" si="3"/>
        <v>66.666666666666671</v>
      </c>
    </row>
    <row r="212" spans="1:5" x14ac:dyDescent="0.25">
      <c r="A212" s="17" t="s">
        <v>563</v>
      </c>
      <c r="B212" s="29">
        <v>0</v>
      </c>
      <c r="C212" s="29">
        <v>0</v>
      </c>
      <c r="D212" s="29">
        <v>0</v>
      </c>
      <c r="E212" s="31">
        <v>0</v>
      </c>
    </row>
    <row r="213" spans="1:5" x14ac:dyDescent="0.25">
      <c r="A213" s="15" t="s">
        <v>380</v>
      </c>
      <c r="B213" s="29">
        <v>100</v>
      </c>
      <c r="C213" s="29">
        <v>50</v>
      </c>
      <c r="D213" s="29">
        <v>50</v>
      </c>
      <c r="E213" s="31">
        <f t="shared" si="3"/>
        <v>66.666666666666671</v>
      </c>
    </row>
    <row r="214" spans="1:5" x14ac:dyDescent="0.25">
      <c r="A214" s="15" t="s">
        <v>347</v>
      </c>
      <c r="B214" s="29">
        <v>100</v>
      </c>
      <c r="C214" s="29">
        <v>50</v>
      </c>
      <c r="D214" s="29">
        <v>0</v>
      </c>
      <c r="E214" s="31">
        <f t="shared" si="3"/>
        <v>50</v>
      </c>
    </row>
    <row r="215" spans="1:5" x14ac:dyDescent="0.25">
      <c r="A215" s="15" t="s">
        <v>504</v>
      </c>
      <c r="B215" s="29">
        <v>80</v>
      </c>
      <c r="C215" s="29">
        <v>50</v>
      </c>
      <c r="D215" s="29">
        <v>50</v>
      </c>
      <c r="E215" s="31">
        <f t="shared" si="3"/>
        <v>60</v>
      </c>
    </row>
    <row r="216" spans="1:5" x14ac:dyDescent="0.25">
      <c r="A216" s="15" t="s">
        <v>353</v>
      </c>
      <c r="B216" s="29">
        <v>80</v>
      </c>
      <c r="C216" s="29">
        <v>50</v>
      </c>
      <c r="D216" s="29">
        <v>50</v>
      </c>
      <c r="E216" s="31">
        <f t="shared" si="3"/>
        <v>60</v>
      </c>
    </row>
    <row r="217" spans="1:5" x14ac:dyDescent="0.25">
      <c r="A217" s="15" t="s">
        <v>538</v>
      </c>
      <c r="B217" s="29">
        <v>100</v>
      </c>
      <c r="C217" s="29">
        <v>50</v>
      </c>
      <c r="D217" s="29">
        <v>50</v>
      </c>
      <c r="E217" s="31">
        <f t="shared" si="3"/>
        <v>66.666666666666671</v>
      </c>
    </row>
    <row r="218" spans="1:5" x14ac:dyDescent="0.25">
      <c r="A218" s="15" t="s">
        <v>468</v>
      </c>
      <c r="B218" s="29">
        <v>80</v>
      </c>
      <c r="C218" s="29">
        <v>50</v>
      </c>
      <c r="D218" s="29">
        <v>50</v>
      </c>
      <c r="E218" s="31">
        <f t="shared" si="3"/>
        <v>60</v>
      </c>
    </row>
    <row r="219" spans="1:5" x14ac:dyDescent="0.25">
      <c r="A219" s="15" t="s">
        <v>312</v>
      </c>
      <c r="B219" s="29">
        <v>80</v>
      </c>
      <c r="C219" s="29">
        <v>0</v>
      </c>
      <c r="D219" s="29">
        <v>50</v>
      </c>
      <c r="E219" s="31">
        <f t="shared" si="3"/>
        <v>43.333333333333336</v>
      </c>
    </row>
    <row r="220" spans="1:5" x14ac:dyDescent="0.25">
      <c r="A220" s="15" t="s">
        <v>391</v>
      </c>
      <c r="B220" s="29">
        <v>80</v>
      </c>
      <c r="C220" s="29">
        <v>50</v>
      </c>
      <c r="D220" s="29">
        <v>50</v>
      </c>
      <c r="E220" s="31">
        <f t="shared" si="3"/>
        <v>60</v>
      </c>
    </row>
    <row r="221" spans="1:5" x14ac:dyDescent="0.25">
      <c r="A221" s="15" t="s">
        <v>385</v>
      </c>
      <c r="B221" s="29">
        <v>80</v>
      </c>
      <c r="C221" s="29">
        <v>50</v>
      </c>
      <c r="D221" s="29">
        <v>0</v>
      </c>
      <c r="E221" s="31">
        <f t="shared" si="3"/>
        <v>43.333333333333336</v>
      </c>
    </row>
    <row r="222" spans="1:5" x14ac:dyDescent="0.25">
      <c r="A222" s="15" t="s">
        <v>313</v>
      </c>
      <c r="B222" s="29">
        <v>40</v>
      </c>
      <c r="C222" s="29">
        <v>50</v>
      </c>
      <c r="D222" s="29">
        <v>0</v>
      </c>
      <c r="E222" s="31">
        <f t="shared" si="3"/>
        <v>30</v>
      </c>
    </row>
    <row r="223" spans="1:5" x14ac:dyDescent="0.25">
      <c r="A223" s="15" t="s">
        <v>495</v>
      </c>
      <c r="B223" s="29">
        <v>80</v>
      </c>
      <c r="C223" s="29">
        <v>0</v>
      </c>
      <c r="D223" s="29">
        <v>0</v>
      </c>
      <c r="E223" s="31">
        <f t="shared" si="3"/>
        <v>26.666666666666668</v>
      </c>
    </row>
    <row r="224" spans="1:5" x14ac:dyDescent="0.25">
      <c r="A224" s="15" t="s">
        <v>324</v>
      </c>
      <c r="B224" s="29">
        <v>80</v>
      </c>
      <c r="C224" s="29">
        <v>50</v>
      </c>
      <c r="D224" s="29">
        <v>50</v>
      </c>
      <c r="E224" s="31">
        <f t="shared" si="3"/>
        <v>60</v>
      </c>
    </row>
    <row r="225" spans="1:5" x14ac:dyDescent="0.25">
      <c r="A225" s="15" t="s">
        <v>542</v>
      </c>
      <c r="B225" s="29">
        <v>100</v>
      </c>
      <c r="C225" s="29">
        <v>50</v>
      </c>
      <c r="D225" s="29">
        <v>50</v>
      </c>
      <c r="E225" s="31">
        <f t="shared" si="3"/>
        <v>66.666666666666671</v>
      </c>
    </row>
    <row r="226" spans="1:5" x14ac:dyDescent="0.25">
      <c r="A226" s="15" t="s">
        <v>304</v>
      </c>
      <c r="B226" s="29">
        <v>100</v>
      </c>
      <c r="C226" s="29">
        <v>50</v>
      </c>
      <c r="D226" s="29">
        <v>50</v>
      </c>
      <c r="E226" s="31">
        <f t="shared" si="3"/>
        <v>66.666666666666671</v>
      </c>
    </row>
    <row r="227" spans="1:5" x14ac:dyDescent="0.25">
      <c r="A227" s="15" t="s">
        <v>333</v>
      </c>
      <c r="B227" s="29">
        <v>100</v>
      </c>
      <c r="C227" s="29">
        <v>50</v>
      </c>
      <c r="D227" s="29">
        <v>0</v>
      </c>
      <c r="E227" s="31">
        <f t="shared" si="3"/>
        <v>50</v>
      </c>
    </row>
    <row r="228" spans="1:5" x14ac:dyDescent="0.25">
      <c r="A228" s="15" t="s">
        <v>415</v>
      </c>
      <c r="B228" s="29">
        <v>40</v>
      </c>
      <c r="C228" s="29">
        <v>0</v>
      </c>
      <c r="D228" s="29">
        <v>50</v>
      </c>
      <c r="E228" s="31">
        <f t="shared" si="3"/>
        <v>30</v>
      </c>
    </row>
    <row r="229" spans="1:5" x14ac:dyDescent="0.25">
      <c r="A229" s="15" t="s">
        <v>470</v>
      </c>
      <c r="B229" s="29">
        <v>100</v>
      </c>
      <c r="C229" s="29">
        <v>50</v>
      </c>
      <c r="D229" s="29">
        <v>50</v>
      </c>
      <c r="E229" s="31">
        <f t="shared" si="3"/>
        <v>66.666666666666671</v>
      </c>
    </row>
    <row r="230" spans="1:5" x14ac:dyDescent="0.25">
      <c r="A230" s="15" t="s">
        <v>449</v>
      </c>
      <c r="B230" s="29">
        <v>100</v>
      </c>
      <c r="C230" s="29">
        <v>50</v>
      </c>
      <c r="D230" s="29">
        <v>50</v>
      </c>
      <c r="E230" s="31">
        <f t="shared" si="3"/>
        <v>66.666666666666671</v>
      </c>
    </row>
    <row r="231" spans="1:5" x14ac:dyDescent="0.25">
      <c r="A231" s="15" t="s">
        <v>593</v>
      </c>
      <c r="B231" s="29">
        <v>80</v>
      </c>
      <c r="C231" s="29">
        <v>50</v>
      </c>
      <c r="D231" s="29">
        <v>0</v>
      </c>
      <c r="E231" s="31">
        <f t="shared" si="3"/>
        <v>43.333333333333336</v>
      </c>
    </row>
    <row r="232" spans="1:5" x14ac:dyDescent="0.25">
      <c r="A232" s="15" t="s">
        <v>596</v>
      </c>
      <c r="B232" s="29">
        <v>80</v>
      </c>
      <c r="C232" s="29">
        <v>0</v>
      </c>
      <c r="D232" s="29">
        <v>50</v>
      </c>
      <c r="E232" s="31">
        <f t="shared" si="3"/>
        <v>43.333333333333336</v>
      </c>
    </row>
    <row r="233" spans="1:5" x14ac:dyDescent="0.25">
      <c r="A233" s="15" t="s">
        <v>511</v>
      </c>
      <c r="B233" s="29">
        <v>100</v>
      </c>
      <c r="C233" s="29">
        <v>0</v>
      </c>
      <c r="D233" s="29">
        <v>50</v>
      </c>
      <c r="E233" s="31">
        <f t="shared" si="3"/>
        <v>50</v>
      </c>
    </row>
    <row r="234" spans="1:5" x14ac:dyDescent="0.25">
      <c r="A234" s="15" t="s">
        <v>601</v>
      </c>
      <c r="B234" s="29">
        <v>80</v>
      </c>
      <c r="C234" s="29">
        <v>50</v>
      </c>
      <c r="D234" s="29">
        <v>50</v>
      </c>
      <c r="E234" s="31">
        <f t="shared" si="3"/>
        <v>60</v>
      </c>
    </row>
    <row r="235" spans="1:5" x14ac:dyDescent="0.25">
      <c r="A235" s="15" t="s">
        <v>356</v>
      </c>
      <c r="B235" s="29">
        <v>100</v>
      </c>
      <c r="C235" s="29">
        <v>50</v>
      </c>
      <c r="D235" s="29">
        <v>50</v>
      </c>
      <c r="E235" s="31">
        <f t="shared" si="3"/>
        <v>66.666666666666671</v>
      </c>
    </row>
    <row r="236" spans="1:5" x14ac:dyDescent="0.25">
      <c r="A236" s="15" t="s">
        <v>405</v>
      </c>
      <c r="B236" s="29">
        <v>80</v>
      </c>
      <c r="C236" s="29">
        <v>50</v>
      </c>
      <c r="D236" s="29">
        <v>50</v>
      </c>
      <c r="E236" s="31">
        <f t="shared" si="3"/>
        <v>60</v>
      </c>
    </row>
    <row r="237" spans="1:5" x14ac:dyDescent="0.25">
      <c r="A237" s="15" t="s">
        <v>564</v>
      </c>
      <c r="B237" s="29">
        <v>80</v>
      </c>
      <c r="C237" s="29">
        <v>0</v>
      </c>
      <c r="D237" s="29">
        <v>0</v>
      </c>
      <c r="E237" s="31">
        <f t="shared" si="3"/>
        <v>26.666666666666668</v>
      </c>
    </row>
    <row r="238" spans="1:5" x14ac:dyDescent="0.25">
      <c r="A238" s="15" t="s">
        <v>309</v>
      </c>
      <c r="B238" s="29">
        <v>40</v>
      </c>
      <c r="C238" s="29">
        <v>0</v>
      </c>
      <c r="D238" s="29">
        <v>0</v>
      </c>
      <c r="E238" s="31">
        <f t="shared" si="3"/>
        <v>13.333333333333334</v>
      </c>
    </row>
    <row r="239" spans="1:5" x14ac:dyDescent="0.25">
      <c r="A239" s="15" t="s">
        <v>307</v>
      </c>
      <c r="B239" s="29">
        <v>80</v>
      </c>
      <c r="C239" s="29">
        <v>0</v>
      </c>
      <c r="D239" s="29">
        <v>0</v>
      </c>
      <c r="E239" s="31">
        <f t="shared" si="3"/>
        <v>26.666666666666668</v>
      </c>
    </row>
    <row r="240" spans="1:5" x14ac:dyDescent="0.25">
      <c r="A240" s="15" t="s">
        <v>431</v>
      </c>
      <c r="B240" s="29">
        <v>80</v>
      </c>
      <c r="C240" s="29">
        <v>0</v>
      </c>
      <c r="D240" s="29">
        <v>0</v>
      </c>
      <c r="E240" s="31">
        <f t="shared" si="3"/>
        <v>26.666666666666668</v>
      </c>
    </row>
    <row r="241" spans="1:6" x14ac:dyDescent="0.25">
      <c r="A241" s="15" t="s">
        <v>472</v>
      </c>
      <c r="B241" s="29">
        <v>80</v>
      </c>
      <c r="C241" s="29">
        <v>50</v>
      </c>
      <c r="D241" s="29">
        <v>50</v>
      </c>
      <c r="E241" s="31">
        <f t="shared" si="3"/>
        <v>60</v>
      </c>
    </row>
    <row r="242" spans="1:6" x14ac:dyDescent="0.25">
      <c r="A242" s="15" t="s">
        <v>334</v>
      </c>
      <c r="B242" s="29">
        <v>80</v>
      </c>
      <c r="C242" s="29">
        <v>50</v>
      </c>
      <c r="D242" s="29">
        <v>50</v>
      </c>
      <c r="E242" s="31">
        <f t="shared" si="3"/>
        <v>60</v>
      </c>
    </row>
    <row r="243" spans="1:6" x14ac:dyDescent="0.25">
      <c r="A243" s="15" t="s">
        <v>532</v>
      </c>
      <c r="B243" s="29">
        <v>80</v>
      </c>
      <c r="C243" s="29">
        <v>0</v>
      </c>
      <c r="D243" s="29">
        <v>0</v>
      </c>
      <c r="E243" s="31">
        <f t="shared" si="3"/>
        <v>26.666666666666668</v>
      </c>
    </row>
    <row r="244" spans="1:6" x14ac:dyDescent="0.25">
      <c r="A244" s="15" t="s">
        <v>474</v>
      </c>
      <c r="B244" s="29">
        <v>80</v>
      </c>
      <c r="C244" s="29">
        <v>50</v>
      </c>
      <c r="D244" s="29">
        <v>0</v>
      </c>
      <c r="E244" s="31">
        <f t="shared" si="3"/>
        <v>43.333333333333336</v>
      </c>
    </row>
    <row r="245" spans="1:6" x14ac:dyDescent="0.25">
      <c r="A245" s="15" t="s">
        <v>565</v>
      </c>
      <c r="B245" s="29">
        <v>100</v>
      </c>
      <c r="C245" s="29">
        <v>0</v>
      </c>
      <c r="D245" s="29">
        <v>0</v>
      </c>
      <c r="E245" s="31">
        <f t="shared" si="3"/>
        <v>33.333333333333336</v>
      </c>
    </row>
    <row r="246" spans="1:6" x14ac:dyDescent="0.25">
      <c r="A246" s="15" t="s">
        <v>382</v>
      </c>
      <c r="B246" s="29">
        <v>80</v>
      </c>
      <c r="C246" s="29">
        <v>0</v>
      </c>
      <c r="D246" s="29">
        <v>50</v>
      </c>
      <c r="E246" s="31">
        <f t="shared" si="3"/>
        <v>43.333333333333336</v>
      </c>
    </row>
    <row r="247" spans="1:6" x14ac:dyDescent="0.25">
      <c r="A247" s="15" t="s">
        <v>508</v>
      </c>
      <c r="B247" s="29">
        <v>80</v>
      </c>
      <c r="C247" s="29">
        <v>50</v>
      </c>
      <c r="D247" s="29">
        <v>0</v>
      </c>
      <c r="E247" s="31">
        <f t="shared" si="3"/>
        <v>43.333333333333336</v>
      </c>
    </row>
    <row r="248" spans="1:6" x14ac:dyDescent="0.25">
      <c r="A248" s="15" t="s">
        <v>416</v>
      </c>
      <c r="B248" s="29">
        <v>80</v>
      </c>
      <c r="C248" s="29">
        <v>50</v>
      </c>
      <c r="D248" s="29">
        <v>0</v>
      </c>
      <c r="E248" s="31">
        <f t="shared" si="3"/>
        <v>43.333333333333336</v>
      </c>
    </row>
    <row r="249" spans="1:6" x14ac:dyDescent="0.25">
      <c r="A249" s="15" t="s">
        <v>545</v>
      </c>
      <c r="B249" s="29">
        <f>VLOOKUP(A249,[3]纯数值!$A$1:$D$11,2,0)</f>
        <v>80</v>
      </c>
      <c r="C249" s="29">
        <f>VLOOKUP(A249,[3]纯数值!$A$1:$D$11,3,0)</f>
        <v>50</v>
      </c>
      <c r="D249" s="29">
        <f>VLOOKUP(A249,[3]纯数值!$A$1:$D$11,4,0)</f>
        <v>0</v>
      </c>
      <c r="E249" s="31">
        <f t="shared" si="3"/>
        <v>43.333333333333336</v>
      </c>
    </row>
    <row r="250" spans="1:6" x14ac:dyDescent="0.25">
      <c r="A250" s="15" t="s">
        <v>528</v>
      </c>
      <c r="B250" s="29">
        <v>80</v>
      </c>
      <c r="C250" s="29">
        <v>50</v>
      </c>
      <c r="D250" s="29">
        <v>0</v>
      </c>
      <c r="E250" s="31">
        <f t="shared" si="3"/>
        <v>43.333333333333336</v>
      </c>
    </row>
    <row r="251" spans="1:6" x14ac:dyDescent="0.25">
      <c r="A251" s="15" t="s">
        <v>394</v>
      </c>
      <c r="B251" s="29">
        <v>80</v>
      </c>
      <c r="C251" s="29">
        <v>0</v>
      </c>
      <c r="D251" s="29">
        <v>50</v>
      </c>
      <c r="E251" s="31">
        <f t="shared" si="3"/>
        <v>43.333333333333336</v>
      </c>
    </row>
    <row r="252" spans="1:6" x14ac:dyDescent="0.25">
      <c r="A252" s="15" t="s">
        <v>519</v>
      </c>
      <c r="B252" s="29">
        <v>80</v>
      </c>
      <c r="C252" s="29">
        <v>50</v>
      </c>
      <c r="D252" s="29">
        <v>50</v>
      </c>
      <c r="E252" s="31">
        <f t="shared" si="3"/>
        <v>60</v>
      </c>
    </row>
    <row r="253" spans="1:6" x14ac:dyDescent="0.25">
      <c r="A253" s="15" t="s">
        <v>544</v>
      </c>
      <c r="B253" s="29">
        <f>VLOOKUP(A253,[3]纯数值!$A$1:$D$11,2,0)</f>
        <v>40</v>
      </c>
      <c r="C253" s="29">
        <f>VLOOKUP(A253,[3]纯数值!$A$1:$D$11,3,0)</f>
        <v>0</v>
      </c>
      <c r="D253" s="29">
        <f>VLOOKUP(A253,[3]纯数值!$A$1:$D$11,4,0)</f>
        <v>0</v>
      </c>
      <c r="E253" s="31">
        <f t="shared" si="3"/>
        <v>13.333333333333334</v>
      </c>
    </row>
    <row r="254" spans="1:6" x14ac:dyDescent="0.25">
      <c r="A254" s="15" t="s">
        <v>418</v>
      </c>
      <c r="B254" s="29">
        <v>80</v>
      </c>
      <c r="C254" s="29">
        <v>0</v>
      </c>
      <c r="D254" s="29">
        <v>50</v>
      </c>
      <c r="E254" s="31">
        <f t="shared" si="3"/>
        <v>43.333333333333336</v>
      </c>
    </row>
    <row r="255" spans="1:6" x14ac:dyDescent="0.25">
      <c r="A255" s="15" t="s">
        <v>438</v>
      </c>
      <c r="B255" s="29">
        <v>100</v>
      </c>
      <c r="C255" s="29">
        <v>50</v>
      </c>
      <c r="D255" s="29">
        <v>50</v>
      </c>
      <c r="E255" s="31">
        <f t="shared" si="3"/>
        <v>66.666666666666671</v>
      </c>
    </row>
    <row r="256" spans="1:6" x14ac:dyDescent="0.25">
      <c r="A256" s="15" t="s">
        <v>551</v>
      </c>
      <c r="B256" s="29">
        <v>0</v>
      </c>
      <c r="C256" s="29">
        <v>0</v>
      </c>
      <c r="D256" s="29">
        <v>0</v>
      </c>
      <c r="E256" s="31">
        <f t="shared" si="3"/>
        <v>0</v>
      </c>
      <c r="F256" t="s">
        <v>716</v>
      </c>
    </row>
    <row r="257" spans="1:5" x14ac:dyDescent="0.25">
      <c r="A257" s="15" t="s">
        <v>539</v>
      </c>
      <c r="B257" s="29">
        <v>80</v>
      </c>
      <c r="C257" s="29">
        <v>50</v>
      </c>
      <c r="D257" s="29">
        <v>50</v>
      </c>
      <c r="E257" s="31">
        <f t="shared" si="3"/>
        <v>60</v>
      </c>
    </row>
    <row r="258" spans="1:5" x14ac:dyDescent="0.25">
      <c r="A258" s="15" t="s">
        <v>549</v>
      </c>
      <c r="B258" s="29">
        <f>VLOOKUP(A258,[3]纯数值!$A$1:$D$11,2,0)</f>
        <v>100</v>
      </c>
      <c r="C258" s="29">
        <f>VLOOKUP(A258,[3]纯数值!$A$1:$D$11,3,0)</f>
        <v>0</v>
      </c>
      <c r="D258" s="29">
        <f>VLOOKUP(A258,[3]纯数值!$A$1:$D$11,4,0)</f>
        <v>50</v>
      </c>
      <c r="E258" s="31">
        <f t="shared" si="3"/>
        <v>50</v>
      </c>
    </row>
    <row r="259" spans="1:5" x14ac:dyDescent="0.25">
      <c r="A259" s="15" t="s">
        <v>471</v>
      </c>
      <c r="B259" s="29">
        <v>80</v>
      </c>
      <c r="C259" s="29">
        <v>0</v>
      </c>
      <c r="D259" s="29">
        <v>0</v>
      </c>
      <c r="E259" s="31">
        <f t="shared" ref="E259:E298" si="4">AVERAGE(B259:D259)</f>
        <v>26.666666666666668</v>
      </c>
    </row>
    <row r="260" spans="1:5" x14ac:dyDescent="0.25">
      <c r="A260" s="15" t="s">
        <v>357</v>
      </c>
      <c r="B260" s="29">
        <v>80</v>
      </c>
      <c r="C260" s="29">
        <v>50</v>
      </c>
      <c r="D260" s="29">
        <v>0</v>
      </c>
      <c r="E260" s="31">
        <f t="shared" si="4"/>
        <v>43.333333333333336</v>
      </c>
    </row>
    <row r="261" spans="1:5" x14ac:dyDescent="0.25">
      <c r="A261" s="15" t="s">
        <v>345</v>
      </c>
      <c r="B261" s="29">
        <v>100</v>
      </c>
      <c r="C261" s="29">
        <v>50</v>
      </c>
      <c r="D261" s="29">
        <v>0</v>
      </c>
      <c r="E261" s="31">
        <f t="shared" si="4"/>
        <v>50</v>
      </c>
    </row>
    <row r="262" spans="1:5" x14ac:dyDescent="0.25">
      <c r="A262" s="15" t="s">
        <v>420</v>
      </c>
      <c r="B262" s="29">
        <v>80</v>
      </c>
      <c r="C262" s="29">
        <v>0</v>
      </c>
      <c r="D262" s="29">
        <v>50</v>
      </c>
      <c r="E262" s="31">
        <f t="shared" si="4"/>
        <v>43.333333333333336</v>
      </c>
    </row>
    <row r="263" spans="1:5" x14ac:dyDescent="0.25">
      <c r="A263" s="15" t="s">
        <v>340</v>
      </c>
      <c r="B263" s="29">
        <v>80</v>
      </c>
      <c r="C263" s="29">
        <v>0</v>
      </c>
      <c r="D263" s="29">
        <v>50</v>
      </c>
      <c r="E263" s="31">
        <f t="shared" si="4"/>
        <v>43.333333333333336</v>
      </c>
    </row>
    <row r="264" spans="1:5" x14ac:dyDescent="0.25">
      <c r="A264" s="15" t="s">
        <v>536</v>
      </c>
      <c r="B264" s="29">
        <v>100</v>
      </c>
      <c r="C264" s="29">
        <v>50</v>
      </c>
      <c r="D264" s="29">
        <v>0</v>
      </c>
      <c r="E264" s="31">
        <f t="shared" si="4"/>
        <v>50</v>
      </c>
    </row>
    <row r="265" spans="1:5" x14ac:dyDescent="0.25">
      <c r="A265" s="15" t="s">
        <v>395</v>
      </c>
      <c r="B265" s="29">
        <v>80</v>
      </c>
      <c r="C265" s="29">
        <v>0</v>
      </c>
      <c r="D265" s="29">
        <v>0</v>
      </c>
      <c r="E265" s="31">
        <f t="shared" si="4"/>
        <v>26.666666666666668</v>
      </c>
    </row>
    <row r="266" spans="1:5" x14ac:dyDescent="0.25">
      <c r="A266" s="15" t="s">
        <v>478</v>
      </c>
      <c r="B266" s="29">
        <v>100</v>
      </c>
      <c r="C266" s="29">
        <v>50</v>
      </c>
      <c r="D266" s="29">
        <v>50</v>
      </c>
      <c r="E266" s="31">
        <f t="shared" si="4"/>
        <v>66.666666666666671</v>
      </c>
    </row>
    <row r="267" spans="1:5" x14ac:dyDescent="0.25">
      <c r="A267" s="15" t="s">
        <v>547</v>
      </c>
      <c r="B267" s="29">
        <f>VLOOKUP(A267,[3]纯数值!$A$1:$D$11,2,0)</f>
        <v>100</v>
      </c>
      <c r="C267" s="29">
        <f>VLOOKUP(A267,[3]纯数值!$A$1:$D$11,3,0)</f>
        <v>50</v>
      </c>
      <c r="D267" s="29">
        <f>VLOOKUP(A267,[3]纯数值!$A$1:$D$11,4,0)</f>
        <v>50</v>
      </c>
      <c r="E267" s="31">
        <f t="shared" si="4"/>
        <v>66.666666666666671</v>
      </c>
    </row>
    <row r="268" spans="1:5" x14ac:dyDescent="0.25">
      <c r="A268" s="15" t="s">
        <v>409</v>
      </c>
      <c r="B268" s="29">
        <v>80</v>
      </c>
      <c r="C268" s="29">
        <v>50</v>
      </c>
      <c r="D268" s="29">
        <v>50</v>
      </c>
      <c r="E268" s="31">
        <f t="shared" si="4"/>
        <v>60</v>
      </c>
    </row>
    <row r="269" spans="1:5" x14ac:dyDescent="0.25">
      <c r="A269" s="15" t="s">
        <v>315</v>
      </c>
      <c r="B269" s="29">
        <v>100</v>
      </c>
      <c r="C269" s="29">
        <v>50</v>
      </c>
      <c r="D269" s="29">
        <v>50</v>
      </c>
      <c r="E269" s="31">
        <f t="shared" si="4"/>
        <v>66.666666666666671</v>
      </c>
    </row>
    <row r="270" spans="1:5" x14ac:dyDescent="0.25">
      <c r="A270" s="15" t="s">
        <v>308</v>
      </c>
      <c r="B270" s="29">
        <v>80</v>
      </c>
      <c r="C270" s="29">
        <v>50</v>
      </c>
      <c r="D270" s="29">
        <v>50</v>
      </c>
      <c r="E270" s="31">
        <f t="shared" si="4"/>
        <v>60</v>
      </c>
    </row>
    <row r="271" spans="1:5" x14ac:dyDescent="0.25">
      <c r="A271" s="15" t="s">
        <v>507</v>
      </c>
      <c r="B271" s="29">
        <v>80</v>
      </c>
      <c r="C271" s="29">
        <v>50</v>
      </c>
      <c r="D271" s="29">
        <v>0</v>
      </c>
      <c r="E271" s="31">
        <f t="shared" si="4"/>
        <v>43.333333333333336</v>
      </c>
    </row>
    <row r="272" spans="1:5" x14ac:dyDescent="0.25">
      <c r="A272" s="15" t="s">
        <v>473</v>
      </c>
      <c r="B272" s="29">
        <v>80</v>
      </c>
      <c r="C272" s="29">
        <v>50</v>
      </c>
      <c r="D272" s="29">
        <v>0</v>
      </c>
      <c r="E272" s="31">
        <f t="shared" si="4"/>
        <v>43.333333333333336</v>
      </c>
    </row>
    <row r="273" spans="1:5" x14ac:dyDescent="0.25">
      <c r="A273" s="15" t="s">
        <v>520</v>
      </c>
      <c r="B273" s="29">
        <v>80</v>
      </c>
      <c r="C273" s="29">
        <v>0</v>
      </c>
      <c r="D273" s="29">
        <v>0</v>
      </c>
      <c r="E273" s="31">
        <f t="shared" si="4"/>
        <v>26.666666666666668</v>
      </c>
    </row>
    <row r="274" spans="1:5" x14ac:dyDescent="0.25">
      <c r="A274" s="15" t="s">
        <v>322</v>
      </c>
      <c r="B274" s="29">
        <v>80</v>
      </c>
      <c r="C274" s="29">
        <v>0</v>
      </c>
      <c r="D274" s="29">
        <v>50</v>
      </c>
      <c r="E274" s="31">
        <f t="shared" si="4"/>
        <v>43.333333333333336</v>
      </c>
    </row>
    <row r="275" spans="1:5" x14ac:dyDescent="0.25">
      <c r="A275" s="15" t="s">
        <v>407</v>
      </c>
      <c r="B275" s="29">
        <v>80</v>
      </c>
      <c r="C275" s="29">
        <v>0</v>
      </c>
      <c r="D275" s="29">
        <v>50</v>
      </c>
      <c r="E275" s="31">
        <f t="shared" si="4"/>
        <v>43.333333333333336</v>
      </c>
    </row>
    <row r="276" spans="1:5" x14ac:dyDescent="0.25">
      <c r="A276" s="15" t="s">
        <v>328</v>
      </c>
      <c r="B276" s="29">
        <v>80</v>
      </c>
      <c r="C276" s="29">
        <v>0</v>
      </c>
      <c r="D276" s="29">
        <v>0</v>
      </c>
      <c r="E276" s="31">
        <f t="shared" si="4"/>
        <v>26.666666666666668</v>
      </c>
    </row>
    <row r="277" spans="1:5" x14ac:dyDescent="0.25">
      <c r="A277" s="15" t="s">
        <v>534</v>
      </c>
      <c r="B277" s="29">
        <v>100</v>
      </c>
      <c r="C277" s="29">
        <v>50</v>
      </c>
      <c r="D277" s="29">
        <v>50</v>
      </c>
      <c r="E277" s="31">
        <f t="shared" si="4"/>
        <v>66.666666666666671</v>
      </c>
    </row>
    <row r="278" spans="1:5" x14ac:dyDescent="0.25">
      <c r="A278" s="15" t="s">
        <v>521</v>
      </c>
      <c r="B278" s="29">
        <v>100</v>
      </c>
      <c r="C278" s="29">
        <v>0</v>
      </c>
      <c r="D278" s="29">
        <v>0</v>
      </c>
      <c r="E278" s="31">
        <f t="shared" si="4"/>
        <v>33.333333333333336</v>
      </c>
    </row>
    <row r="279" spans="1:5" x14ac:dyDescent="0.25">
      <c r="A279" s="15" t="s">
        <v>546</v>
      </c>
      <c r="B279" s="29">
        <f>VLOOKUP(A279,[3]纯数值!$A$1:$D$11,2,0)</f>
        <v>40</v>
      </c>
      <c r="C279" s="29">
        <f>VLOOKUP(A279,[3]纯数值!$A$1:$D$11,3,0)</f>
        <v>0</v>
      </c>
      <c r="D279" s="29">
        <f>VLOOKUP(A279,[3]纯数值!$A$1:$D$11,4,0)</f>
        <v>0</v>
      </c>
      <c r="E279" s="31">
        <f t="shared" si="4"/>
        <v>13.333333333333334</v>
      </c>
    </row>
    <row r="280" spans="1:5" x14ac:dyDescent="0.25">
      <c r="A280" s="15" t="s">
        <v>487</v>
      </c>
      <c r="B280" s="29">
        <v>100</v>
      </c>
      <c r="C280" s="29">
        <v>50</v>
      </c>
      <c r="D280" s="29">
        <v>50</v>
      </c>
      <c r="E280" s="31">
        <f t="shared" si="4"/>
        <v>66.666666666666671</v>
      </c>
    </row>
    <row r="281" spans="1:5" x14ac:dyDescent="0.25">
      <c r="A281" s="15" t="s">
        <v>411</v>
      </c>
      <c r="B281" s="29">
        <v>80</v>
      </c>
      <c r="C281" s="29">
        <v>0</v>
      </c>
      <c r="D281" s="29">
        <v>0</v>
      </c>
      <c r="E281" s="31">
        <f t="shared" si="4"/>
        <v>26.666666666666668</v>
      </c>
    </row>
    <row r="282" spans="1:5" x14ac:dyDescent="0.25">
      <c r="A282" s="15" t="s">
        <v>413</v>
      </c>
      <c r="B282" s="29">
        <v>100</v>
      </c>
      <c r="C282" s="29">
        <v>50</v>
      </c>
      <c r="D282" s="29">
        <v>0</v>
      </c>
      <c r="E282" s="31">
        <f t="shared" si="4"/>
        <v>50</v>
      </c>
    </row>
    <row r="283" spans="1:5" x14ac:dyDescent="0.25">
      <c r="A283" s="15" t="s">
        <v>527</v>
      </c>
      <c r="B283" s="29">
        <v>100</v>
      </c>
      <c r="C283" s="29">
        <v>50</v>
      </c>
      <c r="D283" s="29">
        <v>0</v>
      </c>
      <c r="E283" s="31">
        <f t="shared" si="4"/>
        <v>50</v>
      </c>
    </row>
    <row r="284" spans="1:5" x14ac:dyDescent="0.25">
      <c r="A284" s="15" t="s">
        <v>301</v>
      </c>
      <c r="B284" s="29">
        <v>80</v>
      </c>
      <c r="C284" s="29">
        <v>50</v>
      </c>
      <c r="D284" s="29">
        <v>50</v>
      </c>
      <c r="E284" s="31">
        <f t="shared" si="4"/>
        <v>60</v>
      </c>
    </row>
    <row r="285" spans="1:5" x14ac:dyDescent="0.25">
      <c r="A285" s="15" t="s">
        <v>479</v>
      </c>
      <c r="B285" s="29">
        <v>100</v>
      </c>
      <c r="C285" s="29">
        <v>50</v>
      </c>
      <c r="D285" s="29">
        <v>50</v>
      </c>
      <c r="E285" s="31">
        <f t="shared" si="4"/>
        <v>66.666666666666671</v>
      </c>
    </row>
    <row r="286" spans="1:5" x14ac:dyDescent="0.25">
      <c r="A286" s="15" t="s">
        <v>302</v>
      </c>
      <c r="B286" s="29">
        <v>100</v>
      </c>
      <c r="C286" s="29">
        <v>50</v>
      </c>
      <c r="D286" s="29">
        <v>0</v>
      </c>
      <c r="E286" s="31">
        <f t="shared" si="4"/>
        <v>50</v>
      </c>
    </row>
    <row r="287" spans="1:5" x14ac:dyDescent="0.25">
      <c r="A287" s="15" t="s">
        <v>587</v>
      </c>
      <c r="B287" s="29">
        <v>80</v>
      </c>
      <c r="C287" s="29">
        <v>50</v>
      </c>
      <c r="D287" s="29">
        <v>50</v>
      </c>
      <c r="E287" s="31">
        <f t="shared" si="4"/>
        <v>60</v>
      </c>
    </row>
    <row r="288" spans="1:5" x14ac:dyDescent="0.25">
      <c r="A288" s="15" t="s">
        <v>523</v>
      </c>
      <c r="B288" s="29">
        <v>80</v>
      </c>
      <c r="C288" s="29">
        <v>0</v>
      </c>
      <c r="D288" s="29">
        <v>0</v>
      </c>
      <c r="E288" s="31">
        <f t="shared" si="4"/>
        <v>26.666666666666668</v>
      </c>
    </row>
    <row r="289" spans="1:5" x14ac:dyDescent="0.25">
      <c r="A289" s="17" t="s">
        <v>317</v>
      </c>
      <c r="B289" s="29">
        <v>80</v>
      </c>
      <c r="C289" s="29">
        <v>0</v>
      </c>
      <c r="D289" s="29">
        <v>50</v>
      </c>
      <c r="E289" s="31">
        <f t="shared" si="4"/>
        <v>43.333333333333336</v>
      </c>
    </row>
    <row r="290" spans="1:5" x14ac:dyDescent="0.25">
      <c r="A290" s="15" t="s">
        <v>566</v>
      </c>
      <c r="B290" s="29">
        <v>80</v>
      </c>
      <c r="C290" s="29">
        <v>50</v>
      </c>
      <c r="D290" s="29">
        <v>0</v>
      </c>
      <c r="E290" s="31">
        <f t="shared" si="4"/>
        <v>43.333333333333336</v>
      </c>
    </row>
    <row r="291" spans="1:5" x14ac:dyDescent="0.25">
      <c r="A291" s="15" t="s">
        <v>329</v>
      </c>
      <c r="B291" s="29">
        <v>80</v>
      </c>
      <c r="C291" s="29">
        <v>50</v>
      </c>
      <c r="D291" s="29">
        <v>50</v>
      </c>
      <c r="E291" s="31">
        <f t="shared" si="4"/>
        <v>60</v>
      </c>
    </row>
    <row r="292" spans="1:5" x14ac:dyDescent="0.25">
      <c r="A292" s="15" t="s">
        <v>423</v>
      </c>
      <c r="B292" s="29">
        <v>80</v>
      </c>
      <c r="C292" s="29">
        <v>0</v>
      </c>
      <c r="D292" s="29">
        <v>0</v>
      </c>
      <c r="E292" s="31">
        <f t="shared" si="4"/>
        <v>26.666666666666668</v>
      </c>
    </row>
    <row r="293" spans="1:5" x14ac:dyDescent="0.25">
      <c r="A293" s="15" t="s">
        <v>355</v>
      </c>
      <c r="B293" s="29">
        <v>100</v>
      </c>
      <c r="C293" s="29">
        <v>50</v>
      </c>
      <c r="D293" s="29">
        <v>50</v>
      </c>
      <c r="E293" s="31">
        <f t="shared" si="4"/>
        <v>66.666666666666671</v>
      </c>
    </row>
    <row r="294" spans="1:5" x14ac:dyDescent="0.25">
      <c r="A294" s="15" t="s">
        <v>567</v>
      </c>
      <c r="B294" s="29">
        <v>40</v>
      </c>
      <c r="C294" s="29">
        <v>0</v>
      </c>
      <c r="D294" s="29">
        <v>0</v>
      </c>
      <c r="E294" s="31">
        <f t="shared" si="4"/>
        <v>13.333333333333334</v>
      </c>
    </row>
    <row r="295" spans="1:5" x14ac:dyDescent="0.25">
      <c r="A295" s="15" t="s">
        <v>516</v>
      </c>
      <c r="B295" s="29">
        <v>80</v>
      </c>
      <c r="C295" s="29">
        <v>50</v>
      </c>
      <c r="D295" s="29">
        <v>0</v>
      </c>
      <c r="E295" s="31">
        <f t="shared" si="4"/>
        <v>43.333333333333336</v>
      </c>
    </row>
    <row r="296" spans="1:5" x14ac:dyDescent="0.25">
      <c r="A296" s="15" t="s">
        <v>574</v>
      </c>
      <c r="B296" s="29">
        <v>80</v>
      </c>
      <c r="C296" s="29">
        <v>50</v>
      </c>
      <c r="D296" s="29">
        <v>50</v>
      </c>
      <c r="E296" s="31">
        <f t="shared" si="4"/>
        <v>60</v>
      </c>
    </row>
    <row r="297" spans="1:5" x14ac:dyDescent="0.25">
      <c r="A297" s="15" t="s">
        <v>568</v>
      </c>
      <c r="B297" s="29">
        <v>100</v>
      </c>
      <c r="C297" s="29">
        <v>50</v>
      </c>
      <c r="D297" s="29">
        <v>50</v>
      </c>
      <c r="E297" s="31">
        <f t="shared" si="4"/>
        <v>66.666666666666671</v>
      </c>
    </row>
    <row r="298" spans="1:5" x14ac:dyDescent="0.25">
      <c r="A298" s="15" t="s">
        <v>350</v>
      </c>
      <c r="B298" s="29">
        <v>80</v>
      </c>
      <c r="C298" s="29">
        <v>50</v>
      </c>
      <c r="D298" s="29">
        <v>0</v>
      </c>
      <c r="E298" s="31">
        <f t="shared" si="4"/>
        <v>43.333333333333336</v>
      </c>
    </row>
    <row r="299" spans="1:5" ht="15.6" x14ac:dyDescent="0.25">
      <c r="A299" s="10">
        <f>COUNTA(A2:A298)</f>
        <v>297</v>
      </c>
      <c r="B299" s="10">
        <f>COUNT(B2:B298)</f>
        <v>297</v>
      </c>
      <c r="C299" s="10">
        <f t="shared" ref="C299:D299" si="5">COUNT(C2:C298)</f>
        <v>297</v>
      </c>
      <c r="D299" s="10">
        <f t="shared" si="5"/>
        <v>297</v>
      </c>
    </row>
    <row r="300" spans="1:5" ht="17.399999999999999" x14ac:dyDescent="0.3">
      <c r="B300" s="18">
        <f>B299/297</f>
        <v>1</v>
      </c>
      <c r="C300" s="18">
        <f t="shared" ref="C300:D300" si="6">C299/297</f>
        <v>1</v>
      </c>
      <c r="D300" s="18">
        <f t="shared" si="6"/>
        <v>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F4F1D2-867B-4819-AE1F-C7BB7BBAEF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森林得分</vt:lpstr>
      <vt:lpstr>1.0 排序</vt:lpstr>
      <vt:lpstr>森林排序</vt:lpstr>
      <vt:lpstr>Top 25%</vt:lpstr>
      <vt:lpstr>上下四分之间</vt:lpstr>
      <vt:lpstr>Last 25%</vt:lpstr>
      <vt:lpstr>P</vt:lpstr>
      <vt:lpstr>I</vt:lpstr>
      <vt:lpstr>C</vt:lpstr>
      <vt:lpstr>O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2023-07-04T02:54:30Z</dcterms:created>
  <dcterms:modified xsi:type="dcterms:W3CDTF">2023-09-01T02:19:26Z</dcterms:modified>
</cp:coreProperties>
</file>