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onedrive\OneDrive - zju.edu.cn\工作\浙大城院\文字材料\蓝皮书2.0\可视化图片素材\各维度打分表\"/>
    </mc:Choice>
  </mc:AlternateContent>
  <xr:revisionPtr revIDLastSave="0" documentId="13_ncr:1_{759BA0A8-0FFD-42B4-938D-C61429D3F2B7}" xr6:coauthVersionLast="47" xr6:coauthVersionMax="47" xr10:uidLastSave="{00000000-0000-0000-0000-000000000000}"/>
  <bookViews>
    <workbookView xWindow="-30828" yWindow="-108" windowWidth="30936" windowHeight="16776" xr2:uid="{00000000-000D-0000-FFFF-FFFF00000000}"/>
  </bookViews>
  <sheets>
    <sheet name="得分变量数据" sheetId="1" r:id="rId1"/>
    <sheet name="K值" sheetId="4" r:id="rId2"/>
    <sheet name="城市分组" sheetId="2" r:id="rId3"/>
    <sheet name="Sheet1" sheetId="3" r:id="rId4"/>
    <sheet name="Sheet2" sheetId="5" r:id="rId5"/>
    <sheet name="Sheet3" sheetId="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9" i="1" l="1"/>
  <c r="AC20" i="1"/>
  <c r="AC21" i="1"/>
  <c r="AC15" i="1"/>
  <c r="AC16" i="1"/>
  <c r="AC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3" i="1"/>
  <c r="H3" i="1" s="1"/>
  <c r="AC17" i="1"/>
  <c r="AC18" i="1"/>
  <c r="X18" i="1"/>
  <c r="X17" i="1"/>
  <c r="AI4" i="1"/>
  <c r="AI3" i="1"/>
  <c r="AI9" i="1"/>
  <c r="AI8" i="1"/>
  <c r="AI7" i="1"/>
  <c r="AI6" i="1"/>
  <c r="AI5" i="1"/>
  <c r="AC4" i="1"/>
  <c r="X5" i="1"/>
  <c r="X4" i="1"/>
  <c r="AJ4" i="1" s="1"/>
  <c r="X71" i="1"/>
  <c r="X205" i="1"/>
  <c r="X294" i="1"/>
  <c r="X189" i="1"/>
  <c r="AC6" i="1"/>
  <c r="AC5" i="1"/>
  <c r="X127" i="1"/>
  <c r="X7" i="1"/>
  <c r="X6" i="1"/>
  <c r="AC8" i="1"/>
  <c r="AC9" i="1"/>
  <c r="X8" i="1"/>
  <c r="AJ5" i="1" l="1"/>
  <c r="S2" i="6"/>
  <c r="T2" i="6" s="1"/>
  <c r="T3" i="6" s="1"/>
  <c r="T4" i="6" s="1"/>
  <c r="T5" i="6" s="1"/>
  <c r="AJ301" i="6"/>
  <c r="AJ300" i="6"/>
  <c r="AJ302" i="6" s="1"/>
  <c r="AI301" i="6"/>
  <c r="AI300" i="6"/>
  <c r="AI302" i="6" s="1"/>
  <c r="AH301" i="6"/>
  <c r="AH300" i="6"/>
  <c r="AH302" i="6" s="1"/>
  <c r="AG301" i="6"/>
  <c r="AG300" i="6"/>
  <c r="AG302" i="6" s="1"/>
  <c r="AF301" i="6"/>
  <c r="AF300" i="6"/>
  <c r="AF302" i="6" s="1"/>
  <c r="AE301" i="6"/>
  <c r="AE300" i="6"/>
  <c r="AE302" i="6" s="1"/>
  <c r="AD1048574" i="6"/>
  <c r="D301" i="6"/>
  <c r="E301" i="6"/>
  <c r="E300" i="6"/>
  <c r="E302" i="6" s="1"/>
  <c r="F301" i="6"/>
  <c r="D300" i="6"/>
  <c r="D302" i="6" s="1"/>
  <c r="F300" i="6"/>
  <c r="F302" i="6" s="1"/>
  <c r="H301" i="6"/>
  <c r="H300" i="6"/>
  <c r="H302" i="6" s="1"/>
  <c r="I301" i="6"/>
  <c r="I300" i="6"/>
  <c r="I302" i="6" s="1"/>
  <c r="J301" i="6"/>
  <c r="J300" i="6"/>
  <c r="J302" i="6" s="1"/>
  <c r="Y11" i="6"/>
  <c r="Y12" i="6"/>
  <c r="Y13" i="6"/>
  <c r="Y10" i="6"/>
  <c r="Q1048575" i="6"/>
  <c r="P1048575" i="6"/>
  <c r="AE1048574" i="6" l="1"/>
  <c r="Y14" i="6"/>
  <c r="AF1048574" i="6"/>
  <c r="AH1048574" i="6"/>
  <c r="AG1048574" i="6"/>
  <c r="AI1048574" i="6"/>
  <c r="AJ1048574" i="6"/>
  <c r="J1048572" i="6"/>
  <c r="I1048572" i="6"/>
  <c r="H1048572" i="6"/>
  <c r="G1048572" i="6"/>
  <c r="E1048572" i="6"/>
  <c r="D1048572" i="6"/>
  <c r="C1048572" i="6"/>
  <c r="B1048572" i="6"/>
  <c r="F1048572" i="6" l="1"/>
  <c r="D2" i="5" l="1"/>
  <c r="X5" i="5"/>
  <c r="X4" i="5"/>
  <c r="X3" i="5"/>
  <c r="X2" i="5"/>
  <c r="S5" i="5"/>
  <c r="S4" i="5"/>
  <c r="S3" i="5"/>
  <c r="S2" i="5"/>
  <c r="N5" i="5"/>
  <c r="N4" i="5"/>
  <c r="N3" i="5"/>
  <c r="N2" i="5"/>
  <c r="I5" i="5"/>
  <c r="I4" i="5"/>
  <c r="I3" i="5"/>
  <c r="I2" i="5"/>
  <c r="D5" i="5"/>
  <c r="D4" i="5"/>
  <c r="D3" i="5"/>
  <c r="E2" i="2" a="1"/>
  <c r="E2" i="2" s="1"/>
  <c r="B5" i="4" l="1"/>
  <c r="B6" i="4"/>
  <c r="C6" i="4" s="1"/>
  <c r="B7" i="4"/>
  <c r="B8" i="4"/>
  <c r="B9" i="4"/>
  <c r="B10" i="4"/>
  <c r="B11" i="4"/>
  <c r="B12" i="4"/>
  <c r="B13" i="4"/>
  <c r="B14" i="4"/>
  <c r="C14" i="4" s="1"/>
  <c r="B15" i="4"/>
  <c r="C15" i="4" s="1"/>
  <c r="B16" i="4"/>
  <c r="B17" i="4"/>
  <c r="B18" i="4"/>
  <c r="C18" i="4" s="1"/>
  <c r="B19" i="4"/>
  <c r="C19" i="4" s="1"/>
  <c r="B20" i="4"/>
  <c r="C20" i="4" s="1"/>
  <c r="B21" i="4"/>
  <c r="C21" i="4" s="1"/>
  <c r="B22" i="4"/>
  <c r="C22" i="4" s="1"/>
  <c r="B23" i="4"/>
  <c r="C23" i="4" s="1"/>
  <c r="B24" i="4"/>
  <c r="B25" i="4"/>
  <c r="B26" i="4"/>
  <c r="C26" i="4" s="1"/>
  <c r="B27" i="4"/>
  <c r="B28" i="4"/>
  <c r="B29" i="4"/>
  <c r="B30" i="4"/>
  <c r="C30" i="4" s="1"/>
  <c r="B31" i="4"/>
  <c r="B32" i="4"/>
  <c r="B33" i="4"/>
  <c r="B34" i="4"/>
  <c r="C34" i="4" s="1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4" i="4"/>
  <c r="C4" i="4" s="1"/>
  <c r="C36" i="4"/>
  <c r="C32" i="4"/>
  <c r="C29" i="4"/>
  <c r="C28" i="4"/>
  <c r="C25" i="4"/>
  <c r="C24" i="4"/>
  <c r="C17" i="4"/>
  <c r="C16" i="4"/>
  <c r="C13" i="4"/>
  <c r="C12" i="4"/>
  <c r="C10" i="4"/>
  <c r="C9" i="4"/>
  <c r="C8" i="4"/>
  <c r="C5" i="4"/>
  <c r="C39" i="4"/>
  <c r="C38" i="4"/>
  <c r="C37" i="4"/>
  <c r="C35" i="4"/>
  <c r="C33" i="4"/>
  <c r="C31" i="4"/>
  <c r="C27" i="4"/>
  <c r="C11" i="4"/>
  <c r="C7" i="4"/>
  <c r="J4" i="4" l="1"/>
  <c r="D4" i="4"/>
  <c r="E4" i="4"/>
  <c r="F4" i="4"/>
  <c r="H4" i="4"/>
  <c r="G4" i="4" l="1"/>
  <c r="K4" i="4" s="1"/>
  <c r="I4" i="4"/>
  <c r="L4" i="4" s="1"/>
  <c r="M4" i="4" s="1"/>
  <c r="M33" i="4" l="1"/>
  <c r="M73" i="4"/>
  <c r="M113" i="4"/>
  <c r="M153" i="4"/>
  <c r="M193" i="4"/>
  <c r="M233" i="4"/>
  <c r="M273" i="4"/>
  <c r="M34" i="4"/>
  <c r="M74" i="4"/>
  <c r="M114" i="4"/>
  <c r="M154" i="4"/>
  <c r="M194" i="4"/>
  <c r="M234" i="4"/>
  <c r="M274" i="4"/>
  <c r="M35" i="4"/>
  <c r="M75" i="4"/>
  <c r="M115" i="4"/>
  <c r="M155" i="4"/>
  <c r="M195" i="4"/>
  <c r="M235" i="4"/>
  <c r="M275" i="4"/>
  <c r="M36" i="4"/>
  <c r="M76" i="4"/>
  <c r="M116" i="4"/>
  <c r="M156" i="4"/>
  <c r="M196" i="4"/>
  <c r="M236" i="4"/>
  <c r="M276" i="4"/>
  <c r="M37" i="4"/>
  <c r="M77" i="4"/>
  <c r="M117" i="4"/>
  <c r="M157" i="4"/>
  <c r="M197" i="4"/>
  <c r="M237" i="4"/>
  <c r="M277" i="4"/>
  <c r="M38" i="4"/>
  <c r="M78" i="4"/>
  <c r="M118" i="4"/>
  <c r="M158" i="4"/>
  <c r="M198" i="4"/>
  <c r="M238" i="4"/>
  <c r="M278" i="4"/>
  <c r="M39" i="4"/>
  <c r="M79" i="4"/>
  <c r="M119" i="4"/>
  <c r="M159" i="4"/>
  <c r="M199" i="4"/>
  <c r="M239" i="4"/>
  <c r="M279" i="4"/>
  <c r="M40" i="4"/>
  <c r="M80" i="4"/>
  <c r="M120" i="4"/>
  <c r="M160" i="4"/>
  <c r="M200" i="4"/>
  <c r="M240" i="4"/>
  <c r="M280" i="4"/>
  <c r="M41" i="4"/>
  <c r="M81" i="4"/>
  <c r="M121" i="4"/>
  <c r="M161" i="4"/>
  <c r="M201" i="4"/>
  <c r="M241" i="4"/>
  <c r="M281" i="4"/>
  <c r="M42" i="4"/>
  <c r="M82" i="4"/>
  <c r="M122" i="4"/>
  <c r="M162" i="4"/>
  <c r="M202" i="4"/>
  <c r="M242" i="4"/>
  <c r="M282" i="4"/>
  <c r="M43" i="4"/>
  <c r="M83" i="4"/>
  <c r="M123" i="4"/>
  <c r="M163" i="4"/>
  <c r="M203" i="4"/>
  <c r="M243" i="4"/>
  <c r="M283" i="4"/>
  <c r="M44" i="4"/>
  <c r="M84" i="4"/>
  <c r="M124" i="4"/>
  <c r="M164" i="4"/>
  <c r="M204" i="4"/>
  <c r="M244" i="4"/>
  <c r="M284" i="4"/>
  <c r="M5" i="4"/>
  <c r="M45" i="4"/>
  <c r="M85" i="4"/>
  <c r="M125" i="4"/>
  <c r="M165" i="4"/>
  <c r="M205" i="4"/>
  <c r="M245" i="4"/>
  <c r="M285" i="4"/>
  <c r="M6" i="4"/>
  <c r="M46" i="4"/>
  <c r="M86" i="4"/>
  <c r="M126" i="4"/>
  <c r="M166" i="4"/>
  <c r="M206" i="4"/>
  <c r="M246" i="4"/>
  <c r="M286" i="4"/>
  <c r="M7" i="4"/>
  <c r="M47" i="4"/>
  <c r="M87" i="4"/>
  <c r="M127" i="4"/>
  <c r="M167" i="4"/>
  <c r="M207" i="4"/>
  <c r="M247" i="4"/>
  <c r="M287" i="4"/>
  <c r="M8" i="4"/>
  <c r="M48" i="4"/>
  <c r="M88" i="4"/>
  <c r="M128" i="4"/>
  <c r="M168" i="4"/>
  <c r="M208" i="4"/>
  <c r="M248" i="4"/>
  <c r="M288" i="4"/>
  <c r="M9" i="4"/>
  <c r="M49" i="4"/>
  <c r="M89" i="4"/>
  <c r="M129" i="4"/>
  <c r="M169" i="4"/>
  <c r="M209" i="4"/>
  <c r="M249" i="4"/>
  <c r="M289" i="4"/>
  <c r="M10" i="4"/>
  <c r="M50" i="4"/>
  <c r="M90" i="4"/>
  <c r="M130" i="4"/>
  <c r="M170" i="4"/>
  <c r="M210" i="4"/>
  <c r="M250" i="4"/>
  <c r="M290" i="4"/>
  <c r="M11" i="4"/>
  <c r="M51" i="4"/>
  <c r="M91" i="4"/>
  <c r="M131" i="4"/>
  <c r="M171" i="4"/>
  <c r="M211" i="4"/>
  <c r="M251" i="4"/>
  <c r="M291" i="4"/>
  <c r="M12" i="4"/>
  <c r="M52" i="4"/>
  <c r="M92" i="4"/>
  <c r="M132" i="4"/>
  <c r="M172" i="4"/>
  <c r="M212" i="4"/>
  <c r="M252" i="4"/>
  <c r="M292" i="4"/>
  <c r="M13" i="4"/>
  <c r="M53" i="4"/>
  <c r="M93" i="4"/>
  <c r="M133" i="4"/>
  <c r="M173" i="4"/>
  <c r="M213" i="4"/>
  <c r="M253" i="4"/>
  <c r="M293" i="4"/>
  <c r="M14" i="4"/>
  <c r="H13" i="1" s="1"/>
  <c r="M54" i="4"/>
  <c r="M94" i="4"/>
  <c r="M134" i="4"/>
  <c r="M174" i="4"/>
  <c r="M214" i="4"/>
  <c r="M254" i="4"/>
  <c r="M294" i="4"/>
  <c r="M15" i="4"/>
  <c r="M55" i="4"/>
  <c r="M95" i="4"/>
  <c r="M135" i="4"/>
  <c r="M175" i="4"/>
  <c r="M215" i="4"/>
  <c r="M255" i="4"/>
  <c r="M295" i="4"/>
  <c r="M16" i="4"/>
  <c r="M56" i="4"/>
  <c r="M96" i="4"/>
  <c r="M136" i="4"/>
  <c r="M176" i="4"/>
  <c r="M216" i="4"/>
  <c r="M256" i="4"/>
  <c r="M296" i="4"/>
  <c r="M17" i="4"/>
  <c r="M57" i="4"/>
  <c r="M97" i="4"/>
  <c r="M137" i="4"/>
  <c r="M177" i="4"/>
  <c r="M217" i="4"/>
  <c r="M257" i="4"/>
  <c r="M297" i="4"/>
  <c r="M18" i="4"/>
  <c r="M58" i="4"/>
  <c r="M98" i="4"/>
  <c r="M138" i="4"/>
  <c r="M178" i="4"/>
  <c r="M218" i="4"/>
  <c r="M258" i="4"/>
  <c r="M298" i="4"/>
  <c r="M19" i="4"/>
  <c r="M59" i="4"/>
  <c r="M99" i="4"/>
  <c r="M139" i="4"/>
  <c r="M179" i="4"/>
  <c r="M219" i="4"/>
  <c r="M259" i="4"/>
  <c r="M299" i="4"/>
  <c r="M20" i="4"/>
  <c r="M60" i="4"/>
  <c r="M100" i="4"/>
  <c r="M140" i="4"/>
  <c r="M180" i="4"/>
  <c r="M220" i="4"/>
  <c r="M260" i="4"/>
  <c r="M21" i="4"/>
  <c r="M61" i="4"/>
  <c r="M101" i="4"/>
  <c r="M141" i="4"/>
  <c r="M181" i="4"/>
  <c r="M221" i="4"/>
  <c r="M261" i="4"/>
  <c r="M22" i="4"/>
  <c r="M62" i="4"/>
  <c r="M102" i="4"/>
  <c r="M142" i="4"/>
  <c r="M182" i="4"/>
  <c r="M222" i="4"/>
  <c r="M262" i="4"/>
  <c r="M23" i="4"/>
  <c r="M63" i="4"/>
  <c r="M103" i="4"/>
  <c r="M143" i="4"/>
  <c r="M183" i="4"/>
  <c r="M223" i="4"/>
  <c r="M263" i="4"/>
  <c r="M24" i="4"/>
  <c r="M64" i="4"/>
  <c r="M104" i="4"/>
  <c r="M144" i="4"/>
  <c r="M184" i="4"/>
  <c r="M224" i="4"/>
  <c r="M264" i="4"/>
  <c r="M25" i="4"/>
  <c r="M65" i="4"/>
  <c r="M105" i="4"/>
  <c r="M145" i="4"/>
  <c r="M185" i="4"/>
  <c r="M225" i="4"/>
  <c r="M265" i="4"/>
  <c r="M26" i="4"/>
  <c r="M66" i="4"/>
  <c r="M106" i="4"/>
  <c r="M146" i="4"/>
  <c r="M186" i="4"/>
  <c r="M226" i="4"/>
  <c r="M266" i="4"/>
  <c r="M27" i="4"/>
  <c r="M67" i="4"/>
  <c r="M107" i="4"/>
  <c r="M147" i="4"/>
  <c r="M187" i="4"/>
  <c r="M227" i="4"/>
  <c r="M267" i="4"/>
  <c r="M28" i="4"/>
  <c r="M68" i="4"/>
  <c r="M108" i="4"/>
  <c r="M148" i="4"/>
  <c r="M188" i="4"/>
  <c r="M228" i="4"/>
  <c r="M268" i="4"/>
  <c r="M71" i="4"/>
  <c r="M231" i="4"/>
  <c r="M271" i="4"/>
  <c r="M29" i="4"/>
  <c r="M69" i="4"/>
  <c r="M109" i="4"/>
  <c r="M149" i="4"/>
  <c r="M189" i="4"/>
  <c r="M229" i="4"/>
  <c r="M269" i="4"/>
  <c r="M151" i="4"/>
  <c r="M30" i="4"/>
  <c r="M70" i="4"/>
  <c r="M110" i="4"/>
  <c r="M150" i="4"/>
  <c r="M190" i="4"/>
  <c r="M230" i="4"/>
  <c r="M270" i="4"/>
  <c r="M31" i="4"/>
  <c r="M111" i="4"/>
  <c r="M191" i="4"/>
  <c r="M32" i="4"/>
  <c r="M72" i="4"/>
  <c r="M112" i="4"/>
  <c r="M152" i="4"/>
  <c r="M192" i="4"/>
  <c r="M232" i="4"/>
  <c r="M272" i="4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K5" i="1"/>
  <c r="AC7" i="1"/>
  <c r="AC10" i="1"/>
  <c r="AC11" i="1"/>
  <c r="AC12" i="1"/>
  <c r="AC13" i="1"/>
  <c r="AC14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J294" i="1" s="1"/>
  <c r="AC295" i="1"/>
  <c r="AC296" i="1"/>
  <c r="AC297" i="1"/>
  <c r="AC298" i="1"/>
  <c r="X9" i="1"/>
  <c r="X10" i="1"/>
  <c r="X11" i="1"/>
  <c r="X12" i="1"/>
  <c r="X13" i="1"/>
  <c r="X14" i="1"/>
  <c r="X15" i="1"/>
  <c r="X16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AJ286" i="1" s="1"/>
  <c r="X287" i="1"/>
  <c r="X288" i="1"/>
  <c r="X289" i="1"/>
  <c r="X290" i="1"/>
  <c r="X291" i="1"/>
  <c r="X292" i="1"/>
  <c r="X293" i="1"/>
  <c r="X295" i="1"/>
  <c r="X296" i="1"/>
  <c r="X297" i="1"/>
  <c r="X298" i="1"/>
  <c r="T6" i="1"/>
  <c r="AJ6" i="1" s="1"/>
  <c r="T7" i="1"/>
  <c r="T8" i="1"/>
  <c r="AJ8" i="1" s="1"/>
  <c r="T9" i="1"/>
  <c r="T10" i="1"/>
  <c r="T11" i="1"/>
  <c r="AJ11" i="1" s="1"/>
  <c r="T12" i="1"/>
  <c r="T13" i="1"/>
  <c r="AJ13" i="1" s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AJ35" i="1" s="1"/>
  <c r="T36" i="1"/>
  <c r="T37" i="1"/>
  <c r="AJ37" i="1" s="1"/>
  <c r="T38" i="1"/>
  <c r="AJ38" i="1" s="1"/>
  <c r="T39" i="1"/>
  <c r="AJ39" i="1" s="1"/>
  <c r="T40" i="1"/>
  <c r="AJ40" i="1" s="1"/>
  <c r="T41" i="1"/>
  <c r="AJ41" i="1" s="1"/>
  <c r="T42" i="1"/>
  <c r="AJ42" i="1" s="1"/>
  <c r="T43" i="1"/>
  <c r="AJ43" i="1" s="1"/>
  <c r="T44" i="1"/>
  <c r="T45" i="1"/>
  <c r="AJ45" i="1" s="1"/>
  <c r="T46" i="1"/>
  <c r="AJ46" i="1" s="1"/>
  <c r="T47" i="1"/>
  <c r="AJ47" i="1" s="1"/>
  <c r="T48" i="1"/>
  <c r="AJ48" i="1" s="1"/>
  <c r="T49" i="1"/>
  <c r="AJ49" i="1" s="1"/>
  <c r="T50" i="1"/>
  <c r="T51" i="1"/>
  <c r="AJ51" i="1" s="1"/>
  <c r="T52" i="1"/>
  <c r="T53" i="1"/>
  <c r="AJ53" i="1" s="1"/>
  <c r="T54" i="1"/>
  <c r="AJ54" i="1" s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AJ75" i="1" s="1"/>
  <c r="T76" i="1"/>
  <c r="T77" i="1"/>
  <c r="AJ77" i="1" s="1"/>
  <c r="T78" i="1"/>
  <c r="AJ78" i="1" s="1"/>
  <c r="T79" i="1"/>
  <c r="AJ79" i="1" s="1"/>
  <c r="T80" i="1"/>
  <c r="AJ80" i="1" s="1"/>
  <c r="T81" i="1"/>
  <c r="AJ81" i="1" s="1"/>
  <c r="T82" i="1"/>
  <c r="T83" i="1"/>
  <c r="AJ83" i="1" s="1"/>
  <c r="T84" i="1"/>
  <c r="T85" i="1"/>
  <c r="AJ85" i="1" s="1"/>
  <c r="T86" i="1"/>
  <c r="AJ86" i="1" s="1"/>
  <c r="T87" i="1"/>
  <c r="T88" i="1"/>
  <c r="AJ88" i="1" s="1"/>
  <c r="T89" i="1"/>
  <c r="T90" i="1"/>
  <c r="AJ90" i="1" s="1"/>
  <c r="T91" i="1"/>
  <c r="AJ91" i="1" s="1"/>
  <c r="T92" i="1"/>
  <c r="T93" i="1"/>
  <c r="AJ93" i="1" s="1"/>
  <c r="T94" i="1"/>
  <c r="AJ94" i="1" s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AJ115" i="1" s="1"/>
  <c r="T116" i="1"/>
  <c r="T117" i="1"/>
  <c r="AJ117" i="1" s="1"/>
  <c r="T118" i="1"/>
  <c r="AJ118" i="1" s="1"/>
  <c r="T119" i="1"/>
  <c r="T120" i="1"/>
  <c r="AJ120" i="1" s="1"/>
  <c r="T121" i="1"/>
  <c r="T122" i="1"/>
  <c r="AJ122" i="1" s="1"/>
  <c r="T123" i="1"/>
  <c r="AJ123" i="1" s="1"/>
  <c r="T124" i="1"/>
  <c r="T125" i="1"/>
  <c r="AJ125" i="1" s="1"/>
  <c r="T126" i="1"/>
  <c r="AJ126" i="1" s="1"/>
  <c r="T128" i="1"/>
  <c r="T129" i="1"/>
  <c r="AJ129" i="1" s="1"/>
  <c r="T130" i="1"/>
  <c r="T131" i="1"/>
  <c r="AJ131" i="1" s="1"/>
  <c r="T132" i="1"/>
  <c r="T133" i="1"/>
  <c r="AJ133" i="1" s="1"/>
  <c r="T134" i="1"/>
  <c r="AJ134" i="1" s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AJ155" i="1" s="1"/>
  <c r="T156" i="1"/>
  <c r="T157" i="1"/>
  <c r="AJ157" i="1" s="1"/>
  <c r="T158" i="1"/>
  <c r="AJ158" i="1" s="1"/>
  <c r="T159" i="1"/>
  <c r="AJ159" i="1" s="1"/>
  <c r="T160" i="1"/>
  <c r="AJ160" i="1" s="1"/>
  <c r="T161" i="1"/>
  <c r="AJ161" i="1" s="1"/>
  <c r="T162" i="1"/>
  <c r="T163" i="1"/>
  <c r="AJ163" i="1" s="1"/>
  <c r="T164" i="1"/>
  <c r="T165" i="1"/>
  <c r="AJ165" i="1" s="1"/>
  <c r="T166" i="1"/>
  <c r="AJ166" i="1" s="1"/>
  <c r="T167" i="1"/>
  <c r="T168" i="1"/>
  <c r="T169" i="1"/>
  <c r="AJ169" i="1" s="1"/>
  <c r="T170" i="1"/>
  <c r="T171" i="1"/>
  <c r="AJ171" i="1" s="1"/>
  <c r="T172" i="1"/>
  <c r="T173" i="1"/>
  <c r="AJ173" i="1" s="1"/>
  <c r="T174" i="1"/>
  <c r="AJ174" i="1" s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90" i="1"/>
  <c r="T191" i="1"/>
  <c r="T192" i="1"/>
  <c r="T193" i="1"/>
  <c r="T194" i="1"/>
  <c r="T195" i="1"/>
  <c r="T196" i="1"/>
  <c r="T197" i="1"/>
  <c r="T198" i="1"/>
  <c r="T199" i="1"/>
  <c r="AJ199" i="1" s="1"/>
  <c r="T200" i="1"/>
  <c r="T201" i="1"/>
  <c r="T202" i="1"/>
  <c r="AJ202" i="1" s="1"/>
  <c r="T203" i="1"/>
  <c r="T204" i="1"/>
  <c r="T206" i="1"/>
  <c r="AJ206" i="1" s="1"/>
  <c r="T207" i="1"/>
  <c r="AJ207" i="1" s="1"/>
  <c r="T208" i="1"/>
  <c r="T209" i="1"/>
  <c r="T210" i="1"/>
  <c r="T211" i="1"/>
  <c r="AJ211" i="1" s="1"/>
  <c r="T212" i="1"/>
  <c r="T213" i="1"/>
  <c r="T214" i="1"/>
  <c r="T215" i="1"/>
  <c r="AJ215" i="1" s="1"/>
  <c r="T216" i="1"/>
  <c r="AJ216" i="1" s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AJ235" i="1" s="1"/>
  <c r="T236" i="1"/>
  <c r="T237" i="1"/>
  <c r="AJ237" i="1" s="1"/>
  <c r="T238" i="1"/>
  <c r="AJ238" i="1" s="1"/>
  <c r="T239" i="1"/>
  <c r="AJ239" i="1" s="1"/>
  <c r="T240" i="1"/>
  <c r="T241" i="1"/>
  <c r="T242" i="1"/>
  <c r="T243" i="1"/>
  <c r="AJ243" i="1" s="1"/>
  <c r="T244" i="1"/>
  <c r="T245" i="1"/>
  <c r="T246" i="1"/>
  <c r="T247" i="1"/>
  <c r="AJ247" i="1" s="1"/>
  <c r="T248" i="1"/>
  <c r="AJ248" i="1" s="1"/>
  <c r="T249" i="1"/>
  <c r="T250" i="1"/>
  <c r="T251" i="1"/>
  <c r="AJ251" i="1" s="1"/>
  <c r="T252" i="1"/>
  <c r="T253" i="1"/>
  <c r="AJ253" i="1" s="1"/>
  <c r="T254" i="1"/>
  <c r="AJ254" i="1" s="1"/>
  <c r="T255" i="1"/>
  <c r="AJ255" i="1" s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AJ275" i="1" s="1"/>
  <c r="T276" i="1"/>
  <c r="T277" i="1"/>
  <c r="T278" i="1"/>
  <c r="T279" i="1"/>
  <c r="AJ279" i="1" s="1"/>
  <c r="T280" i="1"/>
  <c r="AJ280" i="1" s="1"/>
  <c r="T281" i="1"/>
  <c r="T282" i="1"/>
  <c r="T283" i="1"/>
  <c r="AJ283" i="1" s="1"/>
  <c r="T284" i="1"/>
  <c r="T287" i="1"/>
  <c r="AJ287" i="1" s="1"/>
  <c r="T288" i="1"/>
  <c r="T289" i="1"/>
  <c r="T290" i="1"/>
  <c r="T291" i="1"/>
  <c r="T292" i="1"/>
  <c r="AJ292" i="1" s="1"/>
  <c r="T293" i="1"/>
  <c r="T295" i="1"/>
  <c r="T296" i="1"/>
  <c r="T297" i="1"/>
  <c r="AJ297" i="1" s="1"/>
  <c r="T298" i="1"/>
  <c r="X3" i="1"/>
  <c r="T3" i="1"/>
  <c r="H4" i="1"/>
  <c r="H5" i="1"/>
  <c r="H6" i="1"/>
  <c r="H7" i="1"/>
  <c r="H8" i="1"/>
  <c r="H9" i="1"/>
  <c r="H10" i="1"/>
  <c r="H11" i="1"/>
  <c r="H12" i="1"/>
  <c r="H14" i="1"/>
  <c r="H15" i="1"/>
  <c r="H16" i="1"/>
  <c r="H17" i="1"/>
  <c r="H19" i="1"/>
  <c r="H20" i="1"/>
  <c r="H21" i="1"/>
  <c r="H22" i="1"/>
  <c r="H23" i="1"/>
  <c r="H25" i="1"/>
  <c r="H26" i="1"/>
  <c r="H27" i="1"/>
  <c r="H28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9" i="1"/>
  <c r="H60" i="1"/>
  <c r="H61" i="1"/>
  <c r="H62" i="1"/>
  <c r="H63" i="1"/>
  <c r="H64" i="1"/>
  <c r="H65" i="1"/>
  <c r="H66" i="1"/>
  <c r="H67" i="1"/>
  <c r="H68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9" i="1"/>
  <c r="H90" i="1"/>
  <c r="H91" i="1"/>
  <c r="H92" i="1"/>
  <c r="H94" i="1"/>
  <c r="H95" i="1"/>
  <c r="H96" i="1"/>
  <c r="H97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4" i="1"/>
  <c r="H125" i="1"/>
  <c r="H126" i="1"/>
  <c r="H127" i="1"/>
  <c r="H129" i="1"/>
  <c r="H130" i="1"/>
  <c r="H131" i="1"/>
  <c r="H132" i="1"/>
  <c r="H134" i="1"/>
  <c r="H135" i="1"/>
  <c r="H136" i="1"/>
  <c r="H137" i="1"/>
  <c r="H139" i="1"/>
  <c r="H140" i="1"/>
  <c r="H141" i="1"/>
  <c r="H142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AJ278" i="1" l="1"/>
  <c r="AK278" i="1" s="1"/>
  <c r="AP278" i="1" s="1"/>
  <c r="AJ246" i="1"/>
  <c r="AK246" i="1" s="1"/>
  <c r="AP246" i="1" s="1"/>
  <c r="AJ214" i="1"/>
  <c r="AJ197" i="1"/>
  <c r="AJ164" i="1"/>
  <c r="AJ132" i="1"/>
  <c r="AJ116" i="1"/>
  <c r="AJ84" i="1"/>
  <c r="AJ52" i="1"/>
  <c r="AJ36" i="1"/>
  <c r="AK36" i="1" s="1"/>
  <c r="AP36" i="1" s="1"/>
  <c r="AJ245" i="1"/>
  <c r="AJ296" i="1"/>
  <c r="AK296" i="1" s="1"/>
  <c r="AP296" i="1" s="1"/>
  <c r="AJ277" i="1"/>
  <c r="AJ213" i="1"/>
  <c r="AJ196" i="1"/>
  <c r="AJ276" i="1"/>
  <c r="AJ244" i="1"/>
  <c r="AJ212" i="1"/>
  <c r="AJ195" i="1"/>
  <c r="AJ162" i="1"/>
  <c r="AJ130" i="1"/>
  <c r="AJ82" i="1"/>
  <c r="AJ50" i="1"/>
  <c r="AK50" i="1" s="1"/>
  <c r="AP50" i="1" s="1"/>
  <c r="AJ198" i="1"/>
  <c r="AJ291" i="1"/>
  <c r="AJ241" i="1"/>
  <c r="AJ209" i="1"/>
  <c r="AJ127" i="1"/>
  <c r="AK127" i="1" s="1"/>
  <c r="AJ242" i="1"/>
  <c r="AJ290" i="1"/>
  <c r="AJ240" i="1"/>
  <c r="AK240" i="1" s="1"/>
  <c r="AP240" i="1" s="1"/>
  <c r="AJ208" i="1"/>
  <c r="AK208" i="1" s="1"/>
  <c r="AP208" i="1" s="1"/>
  <c r="AJ14" i="1"/>
  <c r="AK14" i="1" s="1"/>
  <c r="AP14" i="1" s="1"/>
  <c r="AJ205" i="1"/>
  <c r="AK205" i="1" s="1"/>
  <c r="AP205" i="1" s="1"/>
  <c r="AJ189" i="1"/>
  <c r="AJ288" i="1"/>
  <c r="AK288" i="1" s="1"/>
  <c r="AP288" i="1" s="1"/>
  <c r="AJ172" i="1"/>
  <c r="AJ156" i="1"/>
  <c r="AJ124" i="1"/>
  <c r="AJ92" i="1"/>
  <c r="AJ76" i="1"/>
  <c r="AK76" i="1" s="1"/>
  <c r="AP76" i="1" s="1"/>
  <c r="AJ44" i="1"/>
  <c r="AJ12" i="1"/>
  <c r="AJ256" i="1"/>
  <c r="AK256" i="1" s="1"/>
  <c r="AJ284" i="1"/>
  <c r="AJ252" i="1"/>
  <c r="AJ236" i="1"/>
  <c r="AJ170" i="1"/>
  <c r="AJ10" i="1"/>
  <c r="AK10" i="1" s="1"/>
  <c r="AP10" i="1" s="1"/>
  <c r="AJ121" i="1"/>
  <c r="AJ89" i="1"/>
  <c r="AJ285" i="1"/>
  <c r="AJ282" i="1"/>
  <c r="AJ201" i="1"/>
  <c r="AJ168" i="1"/>
  <c r="AK168" i="1" s="1"/>
  <c r="AP168" i="1" s="1"/>
  <c r="AJ281" i="1"/>
  <c r="AJ249" i="1"/>
  <c r="AK249" i="1" s="1"/>
  <c r="AP249" i="1" s="1"/>
  <c r="AJ200" i="1"/>
  <c r="AK200" i="1" s="1"/>
  <c r="AP200" i="1" s="1"/>
  <c r="AJ167" i="1"/>
  <c r="AJ119" i="1"/>
  <c r="AJ87" i="1"/>
  <c r="AJ7" i="1"/>
  <c r="AJ128" i="1"/>
  <c r="AJ295" i="1"/>
  <c r="AK295" i="1" s="1"/>
  <c r="AP295" i="1" s="1"/>
  <c r="AP256" i="1"/>
  <c r="AP127" i="1"/>
  <c r="AJ293" i="1"/>
  <c r="AJ9" i="1"/>
  <c r="AJ289" i="1"/>
  <c r="AK289" i="1" s="1"/>
  <c r="AP289" i="1" s="1"/>
  <c r="AJ203" i="1"/>
  <c r="AK203" i="1" s="1"/>
  <c r="AP203" i="1" s="1"/>
  <c r="AJ204" i="1"/>
  <c r="AK204" i="1" s="1"/>
  <c r="AP204" i="1" s="1"/>
  <c r="AJ34" i="1"/>
  <c r="AK34" i="1" s="1"/>
  <c r="AP34" i="1" s="1"/>
  <c r="AJ210" i="1"/>
  <c r="AK210" i="1" s="1"/>
  <c r="AP210" i="1" s="1"/>
  <c r="AJ194" i="1"/>
  <c r="AK194" i="1" s="1"/>
  <c r="AP194" i="1" s="1"/>
  <c r="AJ153" i="1"/>
  <c r="AJ113" i="1"/>
  <c r="AK113" i="1" s="1"/>
  <c r="AP113" i="1" s="1"/>
  <c r="AJ73" i="1"/>
  <c r="AJ33" i="1"/>
  <c r="AJ274" i="1"/>
  <c r="AK274" i="1" s="1"/>
  <c r="AP274" i="1" s="1"/>
  <c r="AJ234" i="1"/>
  <c r="AK234" i="1" s="1"/>
  <c r="AP234" i="1" s="1"/>
  <c r="AJ193" i="1"/>
  <c r="AK193" i="1" s="1"/>
  <c r="AP193" i="1" s="1"/>
  <c r="AJ152" i="1"/>
  <c r="AK152" i="1" s="1"/>
  <c r="AP152" i="1" s="1"/>
  <c r="AJ112" i="1"/>
  <c r="AJ72" i="1"/>
  <c r="AK72" i="1" s="1"/>
  <c r="AP72" i="1" s="1"/>
  <c r="AJ32" i="1"/>
  <c r="AK32" i="1" s="1"/>
  <c r="AP32" i="1" s="1"/>
  <c r="AJ192" i="1"/>
  <c r="AK192" i="1" s="1"/>
  <c r="AP192" i="1" s="1"/>
  <c r="AJ273" i="1"/>
  <c r="AK273" i="1" s="1"/>
  <c r="AP273" i="1" s="1"/>
  <c r="AJ30" i="1"/>
  <c r="AK30" i="1" s="1"/>
  <c r="AP30" i="1" s="1"/>
  <c r="AP40" i="1"/>
  <c r="AP202" i="1"/>
  <c r="AJ114" i="1"/>
  <c r="AK114" i="1" s="1"/>
  <c r="AP114" i="1" s="1"/>
  <c r="AJ233" i="1"/>
  <c r="AJ151" i="1"/>
  <c r="AJ111" i="1"/>
  <c r="AJ71" i="1"/>
  <c r="AK71" i="1" s="1"/>
  <c r="AP71" i="1" s="1"/>
  <c r="AJ31" i="1"/>
  <c r="AK31" i="1" s="1"/>
  <c r="AP31" i="1" s="1"/>
  <c r="AJ272" i="1"/>
  <c r="AJ232" i="1"/>
  <c r="AK232" i="1" s="1"/>
  <c r="AP232" i="1" s="1"/>
  <c r="AJ191" i="1"/>
  <c r="AJ150" i="1"/>
  <c r="AJ110" i="1"/>
  <c r="AJ70" i="1"/>
  <c r="AK70" i="1" s="1"/>
  <c r="AP70" i="1" s="1"/>
  <c r="AJ271" i="1"/>
  <c r="AK271" i="1" s="1"/>
  <c r="AP271" i="1" s="1"/>
  <c r="AJ231" i="1"/>
  <c r="AK231" i="1" s="1"/>
  <c r="AP231" i="1" s="1"/>
  <c r="AJ190" i="1"/>
  <c r="AJ149" i="1"/>
  <c r="AK149" i="1" s="1"/>
  <c r="AP149" i="1" s="1"/>
  <c r="AJ109" i="1"/>
  <c r="AK109" i="1" s="1"/>
  <c r="AP109" i="1" s="1"/>
  <c r="AJ69" i="1"/>
  <c r="AK69" i="1" s="1"/>
  <c r="AJ29" i="1"/>
  <c r="AK29" i="1" s="1"/>
  <c r="AJ230" i="1"/>
  <c r="AJ188" i="1"/>
  <c r="AK188" i="1" s="1"/>
  <c r="AP188" i="1" s="1"/>
  <c r="AJ148" i="1"/>
  <c r="AJ108" i="1"/>
  <c r="AJ68" i="1"/>
  <c r="AK68" i="1" s="1"/>
  <c r="AP68" i="1" s="1"/>
  <c r="AJ28" i="1"/>
  <c r="AK28" i="1" s="1"/>
  <c r="AP28" i="1" s="1"/>
  <c r="AJ269" i="1"/>
  <c r="AK269" i="1" s="1"/>
  <c r="AP269" i="1" s="1"/>
  <c r="AJ229" i="1"/>
  <c r="AK229" i="1" s="1"/>
  <c r="AP229" i="1" s="1"/>
  <c r="AJ187" i="1"/>
  <c r="AJ147" i="1"/>
  <c r="AK147" i="1" s="1"/>
  <c r="AP147" i="1" s="1"/>
  <c r="AJ107" i="1"/>
  <c r="AK107" i="1" s="1"/>
  <c r="AP107" i="1" s="1"/>
  <c r="AJ67" i="1"/>
  <c r="AK67" i="1" s="1"/>
  <c r="AP67" i="1" s="1"/>
  <c r="AJ27" i="1"/>
  <c r="AK27" i="1" s="1"/>
  <c r="AP27" i="1" s="1"/>
  <c r="AJ268" i="1"/>
  <c r="AK268" i="1" s="1"/>
  <c r="AP268" i="1" s="1"/>
  <c r="AJ228" i="1"/>
  <c r="AK228" i="1" s="1"/>
  <c r="AP228" i="1" s="1"/>
  <c r="AJ186" i="1"/>
  <c r="AK186" i="1" s="1"/>
  <c r="AP186" i="1" s="1"/>
  <c r="AJ146" i="1"/>
  <c r="AK146" i="1" s="1"/>
  <c r="AP146" i="1" s="1"/>
  <c r="AJ106" i="1"/>
  <c r="AK106" i="1" s="1"/>
  <c r="AP106" i="1" s="1"/>
  <c r="AJ66" i="1"/>
  <c r="AK66" i="1" s="1"/>
  <c r="AP66" i="1" s="1"/>
  <c r="AJ26" i="1"/>
  <c r="AK26" i="1" s="1"/>
  <c r="AP26" i="1" s="1"/>
  <c r="AJ267" i="1"/>
  <c r="AJ227" i="1"/>
  <c r="AJ185" i="1"/>
  <c r="AJ145" i="1"/>
  <c r="AJ105" i="1"/>
  <c r="AJ65" i="1"/>
  <c r="AK65" i="1" s="1"/>
  <c r="AP65" i="1" s="1"/>
  <c r="AJ25" i="1"/>
  <c r="AJ266" i="1"/>
  <c r="AK266" i="1" s="1"/>
  <c r="AP266" i="1" s="1"/>
  <c r="AJ226" i="1"/>
  <c r="AK226" i="1" s="1"/>
  <c r="AP226" i="1" s="1"/>
  <c r="AJ184" i="1"/>
  <c r="AK184" i="1" s="1"/>
  <c r="AP184" i="1" s="1"/>
  <c r="AJ144" i="1"/>
  <c r="AK144" i="1" s="1"/>
  <c r="AP144" i="1" s="1"/>
  <c r="AJ104" i="1"/>
  <c r="AJ64" i="1"/>
  <c r="AK64" i="1" s="1"/>
  <c r="AP64" i="1" s="1"/>
  <c r="AJ24" i="1"/>
  <c r="AK24" i="1" s="1"/>
  <c r="AJ298" i="1"/>
  <c r="AK298" i="1" s="1"/>
  <c r="AP298" i="1" s="1"/>
  <c r="AK250" i="1"/>
  <c r="AP250" i="1" s="1"/>
  <c r="AJ250" i="1"/>
  <c r="AJ265" i="1"/>
  <c r="AK265" i="1" s="1"/>
  <c r="AP265" i="1" s="1"/>
  <c r="AJ225" i="1"/>
  <c r="AJ183" i="1"/>
  <c r="AK183" i="1" s="1"/>
  <c r="AJ143" i="1"/>
  <c r="AK143" i="1" s="1"/>
  <c r="AJ103" i="1"/>
  <c r="AK103" i="1" s="1"/>
  <c r="AP103" i="1" s="1"/>
  <c r="AJ63" i="1"/>
  <c r="AK63" i="1" s="1"/>
  <c r="AP63" i="1" s="1"/>
  <c r="AJ23" i="1"/>
  <c r="AK23" i="1" s="1"/>
  <c r="AP23" i="1" s="1"/>
  <c r="AJ270" i="1"/>
  <c r="AK270" i="1" s="1"/>
  <c r="AP270" i="1" s="1"/>
  <c r="AJ264" i="1"/>
  <c r="AK264" i="1" s="1"/>
  <c r="AP264" i="1" s="1"/>
  <c r="AJ224" i="1"/>
  <c r="AJ182" i="1"/>
  <c r="AK182" i="1" s="1"/>
  <c r="AP182" i="1" s="1"/>
  <c r="AJ142" i="1"/>
  <c r="AK142" i="1" s="1"/>
  <c r="AP142" i="1" s="1"/>
  <c r="AJ102" i="1"/>
  <c r="AK102" i="1" s="1"/>
  <c r="AP102" i="1" s="1"/>
  <c r="AJ62" i="1"/>
  <c r="AK62" i="1" s="1"/>
  <c r="AP62" i="1" s="1"/>
  <c r="AJ22" i="1"/>
  <c r="AK22" i="1" s="1"/>
  <c r="AP22" i="1" s="1"/>
  <c r="AJ154" i="1"/>
  <c r="AK154" i="1" s="1"/>
  <c r="AP154" i="1" s="1"/>
  <c r="AJ263" i="1"/>
  <c r="AJ223" i="1"/>
  <c r="AJ181" i="1"/>
  <c r="AK181" i="1" s="1"/>
  <c r="AP181" i="1" s="1"/>
  <c r="AJ141" i="1"/>
  <c r="AJ101" i="1"/>
  <c r="AK101" i="1" s="1"/>
  <c r="AP101" i="1" s="1"/>
  <c r="AJ61" i="1"/>
  <c r="AJ21" i="1"/>
  <c r="AK21" i="1" s="1"/>
  <c r="AP21" i="1" s="1"/>
  <c r="AJ262" i="1"/>
  <c r="AK262" i="1" s="1"/>
  <c r="AP262" i="1" s="1"/>
  <c r="AJ222" i="1"/>
  <c r="AK222" i="1" s="1"/>
  <c r="AP222" i="1" s="1"/>
  <c r="AJ180" i="1"/>
  <c r="AK180" i="1" s="1"/>
  <c r="AP180" i="1" s="1"/>
  <c r="AJ140" i="1"/>
  <c r="AK140" i="1" s="1"/>
  <c r="AP140" i="1" s="1"/>
  <c r="AJ100" i="1"/>
  <c r="AK100" i="1" s="1"/>
  <c r="AP100" i="1" s="1"/>
  <c r="AJ60" i="1"/>
  <c r="AK60" i="1" s="1"/>
  <c r="AP60" i="1" s="1"/>
  <c r="AJ20" i="1"/>
  <c r="AK20" i="1" s="1"/>
  <c r="AP20" i="1" s="1"/>
  <c r="AJ261" i="1"/>
  <c r="AK261" i="1" s="1"/>
  <c r="AP261" i="1" s="1"/>
  <c r="AJ221" i="1"/>
  <c r="AK221" i="1" s="1"/>
  <c r="AP221" i="1" s="1"/>
  <c r="AJ179" i="1"/>
  <c r="AK179" i="1" s="1"/>
  <c r="AP179" i="1" s="1"/>
  <c r="AJ139" i="1"/>
  <c r="AK139" i="1" s="1"/>
  <c r="AP139" i="1" s="1"/>
  <c r="AJ99" i="1"/>
  <c r="AK99" i="1" s="1"/>
  <c r="AP99" i="1" s="1"/>
  <c r="AJ59" i="1"/>
  <c r="AK59" i="1" s="1"/>
  <c r="AP59" i="1" s="1"/>
  <c r="AJ19" i="1"/>
  <c r="AK19" i="1" s="1"/>
  <c r="AP19" i="1" s="1"/>
  <c r="AJ74" i="1"/>
  <c r="AK74" i="1" s="1"/>
  <c r="AP74" i="1" s="1"/>
  <c r="AP61" i="1"/>
  <c r="AP6" i="1"/>
  <c r="AJ260" i="1"/>
  <c r="AK260" i="1" s="1"/>
  <c r="AP260" i="1" s="1"/>
  <c r="AJ220" i="1"/>
  <c r="AJ178" i="1"/>
  <c r="AK178" i="1" s="1"/>
  <c r="AP178" i="1" s="1"/>
  <c r="AJ138" i="1"/>
  <c r="AK138" i="1" s="1"/>
  <c r="AJ98" i="1"/>
  <c r="AK98" i="1" s="1"/>
  <c r="AJ58" i="1"/>
  <c r="AJ18" i="1"/>
  <c r="AP5" i="1"/>
  <c r="AJ259" i="1"/>
  <c r="AK259" i="1" s="1"/>
  <c r="AP259" i="1" s="1"/>
  <c r="AJ219" i="1"/>
  <c r="AK219" i="1" s="1"/>
  <c r="AP219" i="1" s="1"/>
  <c r="AJ177" i="1"/>
  <c r="AJ137" i="1"/>
  <c r="AJ97" i="1"/>
  <c r="AK97" i="1" s="1"/>
  <c r="AP97" i="1" s="1"/>
  <c r="AJ57" i="1"/>
  <c r="AK57" i="1" s="1"/>
  <c r="AP57" i="1" s="1"/>
  <c r="AJ17" i="1"/>
  <c r="AP283" i="1"/>
  <c r="AJ258" i="1"/>
  <c r="AK258" i="1" s="1"/>
  <c r="AP258" i="1" s="1"/>
  <c r="AJ218" i="1"/>
  <c r="AK218" i="1" s="1"/>
  <c r="AP218" i="1" s="1"/>
  <c r="AJ176" i="1"/>
  <c r="AK176" i="1" s="1"/>
  <c r="AP176" i="1" s="1"/>
  <c r="AJ136" i="1"/>
  <c r="AK136" i="1" s="1"/>
  <c r="AP136" i="1" s="1"/>
  <c r="AJ96" i="1"/>
  <c r="AJ56" i="1"/>
  <c r="AK56" i="1" s="1"/>
  <c r="AP56" i="1" s="1"/>
  <c r="AJ16" i="1"/>
  <c r="AK16" i="1" s="1"/>
  <c r="AP16" i="1" s="1"/>
  <c r="AJ3" i="1"/>
  <c r="AK3" i="1" s="1"/>
  <c r="AP3" i="1" s="1"/>
  <c r="AJ257" i="1"/>
  <c r="AK257" i="1" s="1"/>
  <c r="AP257" i="1" s="1"/>
  <c r="AJ217" i="1"/>
  <c r="AK217" i="1" s="1"/>
  <c r="AP217" i="1" s="1"/>
  <c r="AJ175" i="1"/>
  <c r="AK175" i="1" s="1"/>
  <c r="AP175" i="1" s="1"/>
  <c r="AJ135" i="1"/>
  <c r="AK135" i="1" s="1"/>
  <c r="AP135" i="1" s="1"/>
  <c r="AJ95" i="1"/>
  <c r="AK95" i="1" s="1"/>
  <c r="AP95" i="1" s="1"/>
  <c r="AJ55" i="1"/>
  <c r="AK55" i="1" s="1"/>
  <c r="AP55" i="1" s="1"/>
  <c r="AJ15" i="1"/>
  <c r="AK15" i="1" s="1"/>
  <c r="AP15" i="1" s="1"/>
  <c r="AK284" i="1"/>
  <c r="AP284" i="1" s="1"/>
  <c r="AK189" i="1"/>
  <c r="AP189" i="1" s="1"/>
  <c r="AK294" i="1"/>
  <c r="AP294" i="1" s="1"/>
  <c r="H223" i="1"/>
  <c r="H183" i="1"/>
  <c r="H143" i="1"/>
  <c r="H197" i="1"/>
  <c r="H263" i="1"/>
  <c r="AK162" i="1"/>
  <c r="AP162" i="1" s="1"/>
  <c r="AK122" i="1"/>
  <c r="AP122" i="1" s="1"/>
  <c r="H98" i="1"/>
  <c r="H58" i="1"/>
  <c r="H18" i="1"/>
  <c r="H93" i="1"/>
  <c r="H88" i="1"/>
  <c r="H123" i="1"/>
  <c r="AK297" i="1"/>
  <c r="AP297" i="1" s="1"/>
  <c r="H69" i="1"/>
  <c r="H29" i="1"/>
  <c r="H24" i="1"/>
  <c r="AK202" i="1"/>
  <c r="H138" i="1"/>
  <c r="AK282" i="1"/>
  <c r="AP282" i="1" s="1"/>
  <c r="AK242" i="1"/>
  <c r="AP242" i="1" s="1"/>
  <c r="H133" i="1"/>
  <c r="H128" i="1"/>
  <c r="AK290" i="1"/>
  <c r="AP290" i="1" s="1"/>
  <c r="AK170" i="1"/>
  <c r="AP170" i="1" s="1"/>
  <c r="AK130" i="1"/>
  <c r="AP130" i="1" s="1"/>
  <c r="AK90" i="1"/>
  <c r="AP90" i="1" s="1"/>
  <c r="AK291" i="1"/>
  <c r="AP291" i="1" s="1"/>
  <c r="AK287" i="1"/>
  <c r="AP287" i="1" s="1"/>
  <c r="AK286" i="1"/>
  <c r="AP286" i="1" s="1"/>
  <c r="AK285" i="1"/>
  <c r="AP285" i="1" s="1"/>
  <c r="AK4" i="1"/>
  <c r="AP4" i="1" s="1"/>
  <c r="AK293" i="1"/>
  <c r="AP293" i="1" s="1"/>
  <c r="AK292" i="1"/>
  <c r="AP292" i="1" s="1"/>
  <c r="AK283" i="1"/>
  <c r="AK279" i="1"/>
  <c r="AP279" i="1" s="1"/>
  <c r="AK275" i="1"/>
  <c r="AP275" i="1" s="1"/>
  <c r="AK267" i="1"/>
  <c r="AP267" i="1" s="1"/>
  <c r="AK263" i="1"/>
  <c r="AK255" i="1"/>
  <c r="AP255" i="1" s="1"/>
  <c r="AK251" i="1"/>
  <c r="AP251" i="1" s="1"/>
  <c r="AK247" i="1"/>
  <c r="AP247" i="1" s="1"/>
  <c r="AK243" i="1"/>
  <c r="AP243" i="1" s="1"/>
  <c r="AK239" i="1"/>
  <c r="AP239" i="1" s="1"/>
  <c r="AK235" i="1"/>
  <c r="AP235" i="1" s="1"/>
  <c r="AK227" i="1"/>
  <c r="AP227" i="1" s="1"/>
  <c r="AK223" i="1"/>
  <c r="AK215" i="1"/>
  <c r="AP215" i="1" s="1"/>
  <c r="AK211" i="1"/>
  <c r="AP211" i="1" s="1"/>
  <c r="AK207" i="1"/>
  <c r="AP207" i="1" s="1"/>
  <c r="AK199" i="1"/>
  <c r="AP199" i="1" s="1"/>
  <c r="AK195" i="1"/>
  <c r="AP195" i="1" s="1"/>
  <c r="AK191" i="1"/>
  <c r="AP191" i="1" s="1"/>
  <c r="AK187" i="1"/>
  <c r="AP187" i="1" s="1"/>
  <c r="AK171" i="1"/>
  <c r="AP171" i="1" s="1"/>
  <c r="AK167" i="1"/>
  <c r="AP167" i="1" s="1"/>
  <c r="AK163" i="1"/>
  <c r="AP163" i="1" s="1"/>
  <c r="AK159" i="1"/>
  <c r="AP159" i="1" s="1"/>
  <c r="AK155" i="1"/>
  <c r="AP155" i="1" s="1"/>
  <c r="AK151" i="1"/>
  <c r="AP151" i="1" s="1"/>
  <c r="AK131" i="1"/>
  <c r="AP131" i="1" s="1"/>
  <c r="AK123" i="1"/>
  <c r="AK119" i="1"/>
  <c r="AP119" i="1" s="1"/>
  <c r="AK115" i="1"/>
  <c r="AP115" i="1" s="1"/>
  <c r="AK111" i="1"/>
  <c r="AP111" i="1" s="1"/>
  <c r="AK91" i="1"/>
  <c r="AP91" i="1" s="1"/>
  <c r="AK87" i="1"/>
  <c r="AP87" i="1" s="1"/>
  <c r="AK83" i="1"/>
  <c r="AP83" i="1" s="1"/>
  <c r="AK79" i="1"/>
  <c r="AP79" i="1" s="1"/>
  <c r="AK75" i="1"/>
  <c r="AP75" i="1" s="1"/>
  <c r="AK51" i="1"/>
  <c r="AP51" i="1" s="1"/>
  <c r="AK47" i="1"/>
  <c r="AP47" i="1" s="1"/>
  <c r="AK43" i="1"/>
  <c r="AP43" i="1" s="1"/>
  <c r="AK39" i="1"/>
  <c r="AP39" i="1" s="1"/>
  <c r="AK35" i="1"/>
  <c r="AP35" i="1" s="1"/>
  <c r="AK11" i="1"/>
  <c r="AP11" i="1" s="1"/>
  <c r="AK7" i="1"/>
  <c r="AP7" i="1" s="1"/>
  <c r="AK254" i="1"/>
  <c r="AP254" i="1" s="1"/>
  <c r="AK230" i="1"/>
  <c r="AP230" i="1" s="1"/>
  <c r="AK214" i="1"/>
  <c r="AP214" i="1" s="1"/>
  <c r="AK190" i="1"/>
  <c r="AP190" i="1" s="1"/>
  <c r="AK174" i="1"/>
  <c r="AP174" i="1" s="1"/>
  <c r="AK158" i="1"/>
  <c r="AP158" i="1" s="1"/>
  <c r="AK126" i="1"/>
  <c r="AP126" i="1" s="1"/>
  <c r="AK110" i="1"/>
  <c r="AP110" i="1" s="1"/>
  <c r="AK94" i="1"/>
  <c r="AP94" i="1" s="1"/>
  <c r="AK82" i="1"/>
  <c r="AP82" i="1" s="1"/>
  <c r="AK54" i="1"/>
  <c r="AP54" i="1" s="1"/>
  <c r="AK42" i="1"/>
  <c r="AP42" i="1" s="1"/>
  <c r="AK281" i="1"/>
  <c r="AP281" i="1" s="1"/>
  <c r="AK277" i="1"/>
  <c r="AP277" i="1" s="1"/>
  <c r="AK253" i="1"/>
  <c r="AP253" i="1" s="1"/>
  <c r="AK245" i="1"/>
  <c r="AP245" i="1" s="1"/>
  <c r="AK241" i="1"/>
  <c r="AP241" i="1" s="1"/>
  <c r="AK237" i="1"/>
  <c r="AP237" i="1" s="1"/>
  <c r="AK233" i="1"/>
  <c r="AP233" i="1" s="1"/>
  <c r="AK238" i="1"/>
  <c r="AP238" i="1" s="1"/>
  <c r="AK206" i="1"/>
  <c r="AP206" i="1" s="1"/>
  <c r="AK198" i="1"/>
  <c r="AP198" i="1" s="1"/>
  <c r="AK166" i="1"/>
  <c r="AP166" i="1" s="1"/>
  <c r="AK150" i="1"/>
  <c r="AP150" i="1" s="1"/>
  <c r="AK134" i="1"/>
  <c r="AP134" i="1" s="1"/>
  <c r="AK118" i="1"/>
  <c r="AP118" i="1" s="1"/>
  <c r="AK86" i="1"/>
  <c r="AP86" i="1" s="1"/>
  <c r="AK78" i="1"/>
  <c r="AP78" i="1" s="1"/>
  <c r="AK58" i="1"/>
  <c r="AK46" i="1"/>
  <c r="AP46" i="1" s="1"/>
  <c r="AK38" i="1"/>
  <c r="AP38" i="1" s="1"/>
  <c r="AK18" i="1"/>
  <c r="AK6" i="1"/>
  <c r="AK280" i="1"/>
  <c r="AP280" i="1" s="1"/>
  <c r="AK276" i="1"/>
  <c r="AP276" i="1" s="1"/>
  <c r="AK272" i="1"/>
  <c r="AP272" i="1" s="1"/>
  <c r="AK225" i="1"/>
  <c r="AP225" i="1" s="1"/>
  <c r="AK213" i="1"/>
  <c r="AP213" i="1" s="1"/>
  <c r="AK209" i="1"/>
  <c r="AP209" i="1" s="1"/>
  <c r="AK201" i="1"/>
  <c r="AP201" i="1" s="1"/>
  <c r="AK197" i="1"/>
  <c r="AK185" i="1"/>
  <c r="AP185" i="1" s="1"/>
  <c r="AK177" i="1"/>
  <c r="AP177" i="1" s="1"/>
  <c r="AK173" i="1"/>
  <c r="AP173" i="1" s="1"/>
  <c r="AK169" i="1"/>
  <c r="AP169" i="1" s="1"/>
  <c r="AK165" i="1"/>
  <c r="AP165" i="1" s="1"/>
  <c r="AK161" i="1"/>
  <c r="AP161" i="1" s="1"/>
  <c r="AK157" i="1"/>
  <c r="AP157" i="1" s="1"/>
  <c r="AK153" i="1"/>
  <c r="AP153" i="1" s="1"/>
  <c r="AK145" i="1"/>
  <c r="AP145" i="1" s="1"/>
  <c r="AK141" i="1"/>
  <c r="AP141" i="1" s="1"/>
  <c r="AK137" i="1"/>
  <c r="AP137" i="1" s="1"/>
  <c r="AK133" i="1"/>
  <c r="AK129" i="1"/>
  <c r="AP129" i="1" s="1"/>
  <c r="AK125" i="1"/>
  <c r="AP125" i="1" s="1"/>
  <c r="AK121" i="1"/>
  <c r="AP121" i="1" s="1"/>
  <c r="AK117" i="1"/>
  <c r="AP117" i="1" s="1"/>
  <c r="AK105" i="1"/>
  <c r="AP105" i="1" s="1"/>
  <c r="AK93" i="1"/>
  <c r="AK89" i="1"/>
  <c r="AP89" i="1" s="1"/>
  <c r="AK85" i="1"/>
  <c r="AP85" i="1" s="1"/>
  <c r="AK81" i="1"/>
  <c r="AP81" i="1" s="1"/>
  <c r="AK77" i="1"/>
  <c r="AP77" i="1" s="1"/>
  <c r="AK73" i="1"/>
  <c r="AP73" i="1" s="1"/>
  <c r="AK61" i="1"/>
  <c r="AK53" i="1"/>
  <c r="AP53" i="1" s="1"/>
  <c r="AK49" i="1"/>
  <c r="AP49" i="1" s="1"/>
  <c r="AK45" i="1"/>
  <c r="AP45" i="1" s="1"/>
  <c r="AK41" i="1"/>
  <c r="AP41" i="1" s="1"/>
  <c r="AK37" i="1"/>
  <c r="AP37" i="1" s="1"/>
  <c r="AK33" i="1"/>
  <c r="AP33" i="1" s="1"/>
  <c r="AK25" i="1"/>
  <c r="AP25" i="1" s="1"/>
  <c r="AK17" i="1"/>
  <c r="AP17" i="1" s="1"/>
  <c r="AK13" i="1"/>
  <c r="AP13" i="1" s="1"/>
  <c r="AK9" i="1"/>
  <c r="AP9" i="1" s="1"/>
  <c r="AK252" i="1"/>
  <c r="AP252" i="1" s="1"/>
  <c r="AK248" i="1"/>
  <c r="AP248" i="1" s="1"/>
  <c r="AK244" i="1"/>
  <c r="AP244" i="1" s="1"/>
  <c r="AK236" i="1"/>
  <c r="AP236" i="1" s="1"/>
  <c r="AK224" i="1"/>
  <c r="AP224" i="1" s="1"/>
  <c r="AK220" i="1"/>
  <c r="AP220" i="1" s="1"/>
  <c r="AK216" i="1"/>
  <c r="AP216" i="1" s="1"/>
  <c r="AK212" i="1"/>
  <c r="AP212" i="1" s="1"/>
  <c r="AK196" i="1"/>
  <c r="AP196" i="1" s="1"/>
  <c r="AK172" i="1"/>
  <c r="AP172" i="1" s="1"/>
  <c r="AK164" i="1"/>
  <c r="AP164" i="1" s="1"/>
  <c r="AK160" i="1"/>
  <c r="AP160" i="1" s="1"/>
  <c r="AK156" i="1"/>
  <c r="AP156" i="1" s="1"/>
  <c r="AK148" i="1"/>
  <c r="AP148" i="1" s="1"/>
  <c r="AK132" i="1"/>
  <c r="AP132" i="1" s="1"/>
  <c r="AK128" i="1"/>
  <c r="AK124" i="1"/>
  <c r="AP124" i="1" s="1"/>
  <c r="AK120" i="1"/>
  <c r="AP120" i="1" s="1"/>
  <c r="AK116" i="1"/>
  <c r="AP116" i="1" s="1"/>
  <c r="AK112" i="1"/>
  <c r="AP112" i="1" s="1"/>
  <c r="AK108" i="1"/>
  <c r="AP108" i="1" s="1"/>
  <c r="AK104" i="1"/>
  <c r="AP104" i="1" s="1"/>
  <c r="AK96" i="1"/>
  <c r="AP96" i="1" s="1"/>
  <c r="AK92" i="1"/>
  <c r="AP92" i="1" s="1"/>
  <c r="AK88" i="1"/>
  <c r="AK84" i="1"/>
  <c r="AP84" i="1" s="1"/>
  <c r="AK80" i="1"/>
  <c r="AP80" i="1" s="1"/>
  <c r="AK52" i="1"/>
  <c r="AP52" i="1" s="1"/>
  <c r="AK48" i="1"/>
  <c r="AP48" i="1" s="1"/>
  <c r="AK44" i="1"/>
  <c r="AP44" i="1" s="1"/>
  <c r="AK40" i="1"/>
  <c r="AK12" i="1"/>
  <c r="AP12" i="1" s="1"/>
  <c r="AK8" i="1"/>
  <c r="AP8" i="1" s="1"/>
  <c r="AP128" i="1" l="1"/>
  <c r="AP123" i="1"/>
  <c r="AP93" i="1"/>
  <c r="AP58" i="1"/>
  <c r="AP133" i="1"/>
  <c r="AP138" i="1"/>
  <c r="AP24" i="1"/>
  <c r="AP69" i="1"/>
  <c r="AP29" i="1"/>
  <c r="AP88" i="1"/>
  <c r="AP18" i="1"/>
  <c r="AP98" i="1"/>
  <c r="AP263" i="1"/>
  <c r="AP197" i="1"/>
  <c r="AP143" i="1"/>
  <c r="AP183" i="1"/>
  <c r="AP2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<sst xmlns="http://schemas.openxmlformats.org/spreadsheetml/2006/main" count="5868" uniqueCount="451">
  <si>
    <t xml:space="preserve">    得分
城市   </t>
    <phoneticPr fontId="2" type="noConversion"/>
  </si>
  <si>
    <t>P</t>
    <phoneticPr fontId="2" type="noConversion"/>
  </si>
  <si>
    <t>C</t>
    <phoneticPr fontId="2" type="noConversion"/>
  </si>
  <si>
    <t>O</t>
    <phoneticPr fontId="2" type="noConversion"/>
  </si>
  <si>
    <t>A</t>
    <phoneticPr fontId="2" type="noConversion"/>
  </si>
  <si>
    <r>
      <t>P</t>
    </r>
    <r>
      <rPr>
        <vertAlign val="subscript"/>
        <sz val="11"/>
        <color theme="1"/>
        <rFont val="Times New Roman"/>
        <family val="1"/>
      </rPr>
      <t>1</t>
    </r>
    <phoneticPr fontId="2" type="noConversion"/>
  </si>
  <si>
    <r>
      <t>P</t>
    </r>
    <r>
      <rPr>
        <vertAlign val="subscript"/>
        <sz val="11"/>
        <color theme="1"/>
        <rFont val="Times New Roman"/>
        <family val="1"/>
      </rPr>
      <t>2</t>
    </r>
    <phoneticPr fontId="2" type="noConversion"/>
  </si>
  <si>
    <r>
      <t>C</t>
    </r>
    <r>
      <rPr>
        <vertAlign val="subscript"/>
        <sz val="11"/>
        <color theme="1"/>
        <rFont val="Times New Roman"/>
        <family val="1"/>
      </rPr>
      <t>1</t>
    </r>
    <phoneticPr fontId="2" type="noConversion"/>
  </si>
  <si>
    <r>
      <t>C</t>
    </r>
    <r>
      <rPr>
        <vertAlign val="subscript"/>
        <sz val="11"/>
        <color theme="1"/>
        <rFont val="Times New Roman"/>
        <family val="1"/>
      </rPr>
      <t>2</t>
    </r>
    <phoneticPr fontId="2" type="noConversion"/>
  </si>
  <si>
    <r>
      <t>O</t>
    </r>
    <r>
      <rPr>
        <vertAlign val="subscript"/>
        <sz val="11"/>
        <color theme="1"/>
        <rFont val="Times New Roman"/>
        <family val="1"/>
      </rPr>
      <t>1-1</t>
    </r>
    <phoneticPr fontId="2" type="noConversion"/>
  </si>
  <si>
    <r>
      <t>O</t>
    </r>
    <r>
      <rPr>
        <vertAlign val="subscript"/>
        <sz val="11"/>
        <color theme="1"/>
        <rFont val="Times New Roman"/>
        <family val="1"/>
      </rPr>
      <t>1</t>
    </r>
    <phoneticPr fontId="2" type="noConversion"/>
  </si>
  <si>
    <r>
      <t>O</t>
    </r>
    <r>
      <rPr>
        <vertAlign val="subscript"/>
        <sz val="11"/>
        <color theme="1"/>
        <rFont val="Times New Roman"/>
        <family val="1"/>
      </rPr>
      <t>2-1</t>
    </r>
    <phoneticPr fontId="2" type="noConversion"/>
  </si>
  <si>
    <r>
      <t>O</t>
    </r>
    <r>
      <rPr>
        <vertAlign val="subscript"/>
        <sz val="11"/>
        <color theme="1"/>
        <rFont val="Times New Roman"/>
        <family val="1"/>
      </rPr>
      <t>2-2</t>
    </r>
    <phoneticPr fontId="2" type="noConversion"/>
  </si>
  <si>
    <r>
      <t>O</t>
    </r>
    <r>
      <rPr>
        <vertAlign val="subscript"/>
        <sz val="11"/>
        <color theme="1"/>
        <rFont val="Times New Roman"/>
        <family val="1"/>
      </rPr>
      <t>2-3</t>
    </r>
    <phoneticPr fontId="2" type="noConversion"/>
  </si>
  <si>
    <r>
      <t>O</t>
    </r>
    <r>
      <rPr>
        <vertAlign val="subscript"/>
        <sz val="11"/>
        <color theme="1"/>
        <rFont val="Times New Roman"/>
        <family val="1"/>
      </rPr>
      <t>2</t>
    </r>
    <phoneticPr fontId="2" type="noConversion"/>
  </si>
  <si>
    <r>
      <t>O</t>
    </r>
    <r>
      <rPr>
        <vertAlign val="subscript"/>
        <sz val="11"/>
        <color theme="1"/>
        <rFont val="Times New Roman"/>
        <family val="1"/>
      </rPr>
      <t>3-1</t>
    </r>
    <phoneticPr fontId="2" type="noConversion"/>
  </si>
  <si>
    <r>
      <t>O</t>
    </r>
    <r>
      <rPr>
        <vertAlign val="subscript"/>
        <sz val="11"/>
        <color theme="1"/>
        <rFont val="Times New Roman"/>
        <family val="1"/>
      </rPr>
      <t>3-2</t>
    </r>
    <r>
      <rPr>
        <sz val="11"/>
        <color theme="1"/>
        <rFont val="等线"/>
        <family val="2"/>
        <scheme val="minor"/>
      </rPr>
      <t/>
    </r>
  </si>
  <si>
    <r>
      <t>O</t>
    </r>
    <r>
      <rPr>
        <vertAlign val="subscript"/>
        <sz val="11"/>
        <color theme="1"/>
        <rFont val="Times New Roman"/>
        <family val="1"/>
      </rPr>
      <t>3-3</t>
    </r>
    <r>
      <rPr>
        <sz val="11"/>
        <color theme="1"/>
        <rFont val="等线"/>
        <family val="2"/>
        <scheme val="minor"/>
      </rPr>
      <t/>
    </r>
  </si>
  <si>
    <r>
      <t>O</t>
    </r>
    <r>
      <rPr>
        <vertAlign val="subscript"/>
        <sz val="11"/>
        <color theme="1"/>
        <rFont val="Times New Roman"/>
        <family val="1"/>
      </rPr>
      <t>3-4</t>
    </r>
    <r>
      <rPr>
        <sz val="11"/>
        <color theme="1"/>
        <rFont val="等线"/>
        <family val="2"/>
        <scheme val="minor"/>
      </rPr>
      <t/>
    </r>
  </si>
  <si>
    <r>
      <t>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  <scheme val="minor"/>
      </rPr>
      <t/>
    </r>
    <phoneticPr fontId="2" type="noConversion"/>
  </si>
  <si>
    <r>
      <t>A</t>
    </r>
    <r>
      <rPr>
        <vertAlign val="subscript"/>
        <sz val="11"/>
        <color theme="1"/>
        <rFont val="Times New Roman"/>
        <family val="1"/>
      </rPr>
      <t>1</t>
    </r>
    <phoneticPr fontId="2" type="noConversion"/>
  </si>
  <si>
    <r>
      <t>A</t>
    </r>
    <r>
      <rPr>
        <vertAlign val="subscript"/>
        <sz val="11"/>
        <color theme="1"/>
        <rFont val="Times New Roman"/>
        <family val="1"/>
      </rPr>
      <t>2</t>
    </r>
    <phoneticPr fontId="2" type="noConversion"/>
  </si>
  <si>
    <t>重庆市</t>
  </si>
  <si>
    <t>上海市</t>
  </si>
  <si>
    <t>北京市</t>
  </si>
  <si>
    <t>成都市</t>
  </si>
  <si>
    <t>广州市</t>
  </si>
  <si>
    <t>深圳市</t>
  </si>
  <si>
    <t>天津市</t>
  </si>
  <si>
    <t>苏州市</t>
  </si>
  <si>
    <t>郑州市</t>
  </si>
  <si>
    <t>武汉市</t>
  </si>
  <si>
    <t>西安市</t>
  </si>
  <si>
    <t>杭州市</t>
  </si>
  <si>
    <t>保定市</t>
  </si>
  <si>
    <t>石家庄市</t>
  </si>
  <si>
    <t>临沂市</t>
  </si>
  <si>
    <t>东莞市</t>
  </si>
  <si>
    <t>青岛市</t>
  </si>
  <si>
    <t>长沙市</t>
  </si>
  <si>
    <t>哈尔滨市</t>
  </si>
  <si>
    <t>南阳市</t>
  </si>
  <si>
    <t>温州市</t>
  </si>
  <si>
    <t>佛山市</t>
  </si>
  <si>
    <t>邯郸市</t>
  </si>
  <si>
    <t>宁波市</t>
  </si>
  <si>
    <t>潍坊市</t>
  </si>
  <si>
    <t>合肥市</t>
  </si>
  <si>
    <t>南京市</t>
  </si>
  <si>
    <t>济南市</t>
  </si>
  <si>
    <t>徐州市</t>
  </si>
  <si>
    <t>沈阳市</t>
  </si>
  <si>
    <t>长春市</t>
  </si>
  <si>
    <t>周口市</t>
  </si>
  <si>
    <t>赣州市</t>
  </si>
  <si>
    <t>菏泽市</t>
  </si>
  <si>
    <t>泉州市</t>
  </si>
  <si>
    <t>南宁市</t>
  </si>
  <si>
    <t>昆明市</t>
  </si>
  <si>
    <t>济宁市</t>
  </si>
  <si>
    <t>福州市</t>
  </si>
  <si>
    <t>阜阳市</t>
  </si>
  <si>
    <t>商丘市</t>
  </si>
  <si>
    <t>唐山市</t>
  </si>
  <si>
    <t>无锡市</t>
  </si>
  <si>
    <t>大连市</t>
  </si>
  <si>
    <t>邢台市</t>
  </si>
  <si>
    <t>烟台市</t>
  </si>
  <si>
    <t>洛阳市</t>
  </si>
  <si>
    <t>金华市</t>
  </si>
  <si>
    <t>驻马店市</t>
  </si>
  <si>
    <t>湛江市</t>
  </si>
  <si>
    <t>毕节市</t>
  </si>
  <si>
    <t>盐城市</t>
  </si>
  <si>
    <t>衡阳市</t>
  </si>
  <si>
    <t>台州市</t>
  </si>
  <si>
    <t>遵义市</t>
  </si>
  <si>
    <t>邵阳市</t>
  </si>
  <si>
    <t>上饶市</t>
  </si>
  <si>
    <t>南昌市</t>
  </si>
  <si>
    <t>新乡市</t>
  </si>
  <si>
    <t>信阳市</t>
  </si>
  <si>
    <t>茂名市</t>
  </si>
  <si>
    <t>惠州市</t>
  </si>
  <si>
    <t>贵阳市</t>
  </si>
  <si>
    <t>聊城市</t>
  </si>
  <si>
    <t>黄冈市</t>
  </si>
  <si>
    <t>曲靖市</t>
  </si>
  <si>
    <t>德州市</t>
  </si>
  <si>
    <t>南充市</t>
  </si>
  <si>
    <t>揭阳市</t>
  </si>
  <si>
    <t>汕头市</t>
  </si>
  <si>
    <t>安阳市</t>
  </si>
  <si>
    <t>泰安市</t>
  </si>
  <si>
    <t>廊坊市</t>
  </si>
  <si>
    <t>嘉兴市</t>
  </si>
  <si>
    <t>达州市</t>
  </si>
  <si>
    <t>宿州市</t>
  </si>
  <si>
    <t>太原市</t>
  </si>
  <si>
    <t>永州市</t>
  </si>
  <si>
    <t>常德市</t>
  </si>
  <si>
    <t>常州市</t>
  </si>
  <si>
    <t>绍兴市</t>
  </si>
  <si>
    <t>襄阳市</t>
  </si>
  <si>
    <t>荆州市</t>
  </si>
  <si>
    <t>昭通市</t>
  </si>
  <si>
    <t>岳阳市</t>
  </si>
  <si>
    <t>宜春市</t>
  </si>
  <si>
    <t>亳州市</t>
  </si>
  <si>
    <t>平顶山市</t>
  </si>
  <si>
    <t>宿迁市</t>
  </si>
  <si>
    <t>咸阳市</t>
  </si>
  <si>
    <t>桂林市</t>
  </si>
  <si>
    <t>绵阳市</t>
  </si>
  <si>
    <t>开封市</t>
  </si>
  <si>
    <t>江门市</t>
  </si>
  <si>
    <t>运城市</t>
  </si>
  <si>
    <t>淄博市</t>
  </si>
  <si>
    <t>渭南市</t>
  </si>
  <si>
    <t>郴州市</t>
  </si>
  <si>
    <t>九江市</t>
  </si>
  <si>
    <t>连云港市</t>
  </si>
  <si>
    <t>宜宾市</t>
  </si>
  <si>
    <t>怀化市</t>
  </si>
  <si>
    <t>扬州市</t>
  </si>
  <si>
    <t>淮安市</t>
  </si>
  <si>
    <t>泰州市</t>
  </si>
  <si>
    <t>吉安市</t>
  </si>
  <si>
    <t>中山市</t>
  </si>
  <si>
    <t>六安市</t>
  </si>
  <si>
    <t>许昌市</t>
  </si>
  <si>
    <t>兰州市</t>
  </si>
  <si>
    <t>贵港市</t>
  </si>
  <si>
    <t>孝感市</t>
  </si>
  <si>
    <t>泸州市</t>
  </si>
  <si>
    <t>衡水市</t>
  </si>
  <si>
    <t>安庆市</t>
  </si>
  <si>
    <t>柳州市</t>
  </si>
  <si>
    <t>张家口市</t>
  </si>
  <si>
    <t>肇庆市</t>
  </si>
  <si>
    <t>乌鲁木齐市</t>
  </si>
  <si>
    <t>滁州市</t>
  </si>
  <si>
    <t>临汾市</t>
  </si>
  <si>
    <t>清远市</t>
  </si>
  <si>
    <t>滨州市</t>
  </si>
  <si>
    <t>株洲市</t>
  </si>
  <si>
    <t>梅州市</t>
  </si>
  <si>
    <t>枣庄市</t>
  </si>
  <si>
    <t>益阳市</t>
  </si>
  <si>
    <t>娄底市</t>
  </si>
  <si>
    <t>宜昌市</t>
  </si>
  <si>
    <t>芜湖市</t>
  </si>
  <si>
    <t>榆林市</t>
  </si>
  <si>
    <t>吉林市</t>
  </si>
  <si>
    <t>抚州市</t>
  </si>
  <si>
    <t>百色市</t>
  </si>
  <si>
    <t>焦作市</t>
  </si>
  <si>
    <t>德阳市</t>
  </si>
  <si>
    <t>呼和浩特市</t>
  </si>
  <si>
    <t>河池市</t>
  </si>
  <si>
    <t>吕梁市</t>
  </si>
  <si>
    <t>晋中市</t>
  </si>
  <si>
    <t>湖州市</t>
  </si>
  <si>
    <t>承德市</t>
  </si>
  <si>
    <t>鞍山市</t>
  </si>
  <si>
    <t>宝鸡市</t>
  </si>
  <si>
    <t>钦州市</t>
  </si>
  <si>
    <t>铜仁市</t>
  </si>
  <si>
    <t>蚌埠市</t>
  </si>
  <si>
    <t>广安市</t>
  </si>
  <si>
    <t>汉中市</t>
  </si>
  <si>
    <t>莆田市</t>
  </si>
  <si>
    <t>镇江市</t>
  </si>
  <si>
    <t>十堰市</t>
  </si>
  <si>
    <t>长治市</t>
  </si>
  <si>
    <t>乐山市</t>
  </si>
  <si>
    <t>宁德市</t>
  </si>
  <si>
    <t>内江市</t>
  </si>
  <si>
    <t>秦皇岛市</t>
  </si>
  <si>
    <t>大同市</t>
  </si>
  <si>
    <t>淮南市</t>
  </si>
  <si>
    <t>六盘水市</t>
  </si>
  <si>
    <t>天水市</t>
  </si>
  <si>
    <t>日照市</t>
  </si>
  <si>
    <t>眉山市</t>
  </si>
  <si>
    <t>威海市</t>
  </si>
  <si>
    <t>海口市</t>
  </si>
  <si>
    <t>通辽市</t>
  </si>
  <si>
    <t>朝阳市</t>
  </si>
  <si>
    <t>银川市</t>
  </si>
  <si>
    <t>韶关市</t>
  </si>
  <si>
    <t>河源市</t>
  </si>
  <si>
    <t>梧州市</t>
  </si>
  <si>
    <t>遂宁市</t>
  </si>
  <si>
    <t>大庆市</t>
  </si>
  <si>
    <t>汕尾市</t>
  </si>
  <si>
    <t>湘潭市</t>
  </si>
  <si>
    <t>龙岩市</t>
  </si>
  <si>
    <t>巴中市</t>
  </si>
  <si>
    <t>包头市</t>
  </si>
  <si>
    <t>锦州市</t>
  </si>
  <si>
    <t>忻州市</t>
  </si>
  <si>
    <t>南平市</t>
  </si>
  <si>
    <t>咸宁市</t>
  </si>
  <si>
    <t>阳江市</t>
  </si>
  <si>
    <t>荆门市</t>
  </si>
  <si>
    <t>潮州市</t>
  </si>
  <si>
    <t>定西市</t>
  </si>
  <si>
    <t>丽水市</t>
  </si>
  <si>
    <t>宣城市</t>
  </si>
  <si>
    <t>安康市</t>
  </si>
  <si>
    <t>自贡市</t>
  </si>
  <si>
    <t>三明市</t>
  </si>
  <si>
    <t>安顺市</t>
  </si>
  <si>
    <t>黄石市</t>
  </si>
  <si>
    <t>西宁市</t>
  </si>
  <si>
    <t>珠海市</t>
  </si>
  <si>
    <t>葫芦岛市</t>
  </si>
  <si>
    <t>保山市</t>
  </si>
  <si>
    <t>陇南市</t>
  </si>
  <si>
    <t>普洱市</t>
  </si>
  <si>
    <t>铁岭市</t>
  </si>
  <si>
    <t>云浮市</t>
  </si>
  <si>
    <t>漯河市</t>
  </si>
  <si>
    <t>资阳市</t>
  </si>
  <si>
    <t>广元市</t>
  </si>
  <si>
    <t>牡丹江市</t>
  </si>
  <si>
    <t>延安市</t>
  </si>
  <si>
    <t>衢州市</t>
  </si>
  <si>
    <t>临沧市</t>
  </si>
  <si>
    <t>玉溪市</t>
  </si>
  <si>
    <t>呼伦贝尔市</t>
  </si>
  <si>
    <t>晋城市</t>
  </si>
  <si>
    <t>东营市</t>
  </si>
  <si>
    <t>丹东市</t>
  </si>
  <si>
    <t>庆阳市</t>
  </si>
  <si>
    <t>马鞍山市</t>
  </si>
  <si>
    <t>佳木斯市</t>
  </si>
  <si>
    <t>鄂尔多斯市</t>
  </si>
  <si>
    <t>来宾市</t>
  </si>
  <si>
    <t>随州市</t>
  </si>
  <si>
    <t>商洛市</t>
  </si>
  <si>
    <t>三门峡市</t>
  </si>
  <si>
    <t>贺州市</t>
  </si>
  <si>
    <t>淮北市</t>
  </si>
  <si>
    <t>抚顺市</t>
  </si>
  <si>
    <t>平凉市</t>
  </si>
  <si>
    <t>四平市</t>
  </si>
  <si>
    <t>通化市</t>
  </si>
  <si>
    <t>萍乡市</t>
  </si>
  <si>
    <t>乌兰察布市</t>
  </si>
  <si>
    <t>阜新市</t>
  </si>
  <si>
    <t>辽阳市</t>
  </si>
  <si>
    <t>朔州市</t>
  </si>
  <si>
    <t>鹤壁市</t>
  </si>
  <si>
    <t>白城市</t>
  </si>
  <si>
    <t>巴彦淖尔市</t>
  </si>
  <si>
    <t>张家界市</t>
  </si>
  <si>
    <t>白银市</t>
  </si>
  <si>
    <t>鸡西市</t>
  </si>
  <si>
    <t>武威市</t>
  </si>
  <si>
    <t>雅安市</t>
  </si>
  <si>
    <t>盘锦市</t>
  </si>
  <si>
    <t>吴忠市</t>
  </si>
  <si>
    <t>海东市</t>
  </si>
  <si>
    <t>池州市</t>
  </si>
  <si>
    <t>黄山市</t>
  </si>
  <si>
    <t>本溪市</t>
  </si>
  <si>
    <t>阳泉市</t>
  </si>
  <si>
    <t>铜陵市</t>
  </si>
  <si>
    <t>黑河市</t>
  </si>
  <si>
    <t>丽江市</t>
  </si>
  <si>
    <t>攀枝花市</t>
  </si>
  <si>
    <t>新余市</t>
  </si>
  <si>
    <t>舟山市</t>
  </si>
  <si>
    <t>鹰潭市</t>
  </si>
  <si>
    <t>固原市</t>
  </si>
  <si>
    <t>张掖市</t>
  </si>
  <si>
    <t>鄂州市</t>
  </si>
  <si>
    <t>中卫市</t>
  </si>
  <si>
    <t>酒泉市</t>
  </si>
  <si>
    <t>防城港市</t>
  </si>
  <si>
    <t>三亚市</t>
  </si>
  <si>
    <t>辽源市</t>
  </si>
  <si>
    <t>白山市</t>
  </si>
  <si>
    <t>儋州市</t>
  </si>
  <si>
    <t>伊春市</t>
  </si>
  <si>
    <t>拉萨市</t>
  </si>
  <si>
    <t>昌都市</t>
  </si>
  <si>
    <t>石嘴山市</t>
  </si>
  <si>
    <t>铜川市</t>
  </si>
  <si>
    <t>吐鲁番市</t>
  </si>
  <si>
    <t>七台河市</t>
  </si>
  <si>
    <t>哈密市</t>
  </si>
  <si>
    <t>乌海市</t>
  </si>
  <si>
    <t>那曲市</t>
  </si>
  <si>
    <t>克拉玛依市</t>
  </si>
  <si>
    <t>金昌市</t>
  </si>
  <si>
    <t>嘉峪关市</t>
  </si>
  <si>
    <t>林芝市</t>
  </si>
  <si>
    <t>P3</t>
    <phoneticPr fontId="2" type="noConversion"/>
  </si>
  <si>
    <r>
      <t>P</t>
    </r>
    <r>
      <rPr>
        <vertAlign val="subscript"/>
        <sz val="11"/>
        <color theme="1"/>
        <rFont val="Times New Roman"/>
        <family val="1"/>
      </rPr>
      <t>4</t>
    </r>
    <phoneticPr fontId="2" type="noConversion"/>
  </si>
  <si>
    <t>I</t>
    <phoneticPr fontId="2" type="noConversion"/>
  </si>
  <si>
    <r>
      <t>I</t>
    </r>
    <r>
      <rPr>
        <vertAlign val="subscript"/>
        <sz val="11"/>
        <color theme="1"/>
        <rFont val="Times New Roman"/>
        <family val="1"/>
      </rPr>
      <t>1</t>
    </r>
    <phoneticPr fontId="2" type="noConversion"/>
  </si>
  <si>
    <r>
      <t>I</t>
    </r>
    <r>
      <rPr>
        <vertAlign val="subscript"/>
        <sz val="11"/>
        <color theme="1"/>
        <rFont val="Times New Roman"/>
        <family val="1"/>
      </rPr>
      <t>2</t>
    </r>
    <phoneticPr fontId="2" type="noConversion"/>
  </si>
  <si>
    <t>I3</t>
    <phoneticPr fontId="2" type="noConversion"/>
  </si>
  <si>
    <r>
      <t>I</t>
    </r>
    <r>
      <rPr>
        <vertAlign val="subscript"/>
        <sz val="11"/>
        <color theme="1"/>
        <rFont val="Times New Roman"/>
        <family val="1"/>
      </rPr>
      <t>4</t>
    </r>
    <phoneticPr fontId="2" type="noConversion"/>
  </si>
  <si>
    <t>C3</t>
    <phoneticPr fontId="2" type="noConversion"/>
  </si>
  <si>
    <r>
      <t>C</t>
    </r>
    <r>
      <rPr>
        <vertAlign val="subscript"/>
        <sz val="11"/>
        <color theme="1"/>
        <rFont val="Times New Roman"/>
        <family val="1"/>
      </rPr>
      <t>4</t>
    </r>
    <phoneticPr fontId="2" type="noConversion"/>
  </si>
  <si>
    <t>南通市</t>
    <phoneticPr fontId="2" type="noConversion"/>
  </si>
  <si>
    <t>沧州市</t>
    <phoneticPr fontId="2" type="noConversion"/>
  </si>
  <si>
    <t>玉林市</t>
    <phoneticPr fontId="2" type="noConversion"/>
  </si>
  <si>
    <t>厦门市</t>
    <phoneticPr fontId="2" type="noConversion"/>
  </si>
  <si>
    <t>漳州市</t>
    <phoneticPr fontId="2" type="noConversion"/>
  </si>
  <si>
    <t>齐齐哈尔市</t>
    <phoneticPr fontId="2" type="noConversion"/>
  </si>
  <si>
    <t>赤峰市</t>
    <phoneticPr fontId="2" type="noConversion"/>
  </si>
  <si>
    <t>濮阳市</t>
    <phoneticPr fontId="2" type="noConversion"/>
  </si>
  <si>
    <t>绥化市</t>
    <phoneticPr fontId="2" type="noConversion"/>
  </si>
  <si>
    <t>营口市</t>
    <phoneticPr fontId="2" type="noConversion"/>
  </si>
  <si>
    <t>松原市</t>
    <phoneticPr fontId="2" type="noConversion"/>
  </si>
  <si>
    <t>崇左市</t>
    <phoneticPr fontId="2" type="noConversion"/>
  </si>
  <si>
    <t>北海市</t>
    <phoneticPr fontId="2" type="noConversion"/>
  </si>
  <si>
    <t>景德镇市</t>
    <phoneticPr fontId="2" type="noConversion"/>
  </si>
  <si>
    <t>双鸭山市</t>
    <phoneticPr fontId="2" type="noConversion"/>
  </si>
  <si>
    <t>鹤岗市</t>
    <phoneticPr fontId="2" type="noConversion"/>
  </si>
  <si>
    <t>日喀则市</t>
    <phoneticPr fontId="2" type="noConversion"/>
  </si>
  <si>
    <t>山南市</t>
    <phoneticPr fontId="2" type="noConversion"/>
  </si>
  <si>
    <t>城市分类</t>
    <phoneticPr fontId="2" type="noConversion"/>
  </si>
  <si>
    <r>
      <t>O</t>
    </r>
    <r>
      <rPr>
        <vertAlign val="subscript"/>
        <sz val="11"/>
        <color theme="1"/>
        <rFont val="Times New Roman"/>
        <family val="1"/>
      </rPr>
      <t>4-1</t>
    </r>
    <phoneticPr fontId="2" type="noConversion"/>
  </si>
  <si>
    <r>
      <t>O</t>
    </r>
    <r>
      <rPr>
        <vertAlign val="subscript"/>
        <sz val="11"/>
        <color theme="1"/>
        <rFont val="Times New Roman"/>
        <family val="1"/>
      </rPr>
      <t>4-2</t>
    </r>
    <phoneticPr fontId="2" type="noConversion"/>
  </si>
  <si>
    <r>
      <t>O</t>
    </r>
    <r>
      <rPr>
        <vertAlign val="subscript"/>
        <sz val="11"/>
        <color theme="1"/>
        <rFont val="Times New Roman"/>
        <family val="1"/>
      </rPr>
      <t>4-3</t>
    </r>
    <phoneticPr fontId="2" type="noConversion"/>
  </si>
  <si>
    <r>
      <t>O</t>
    </r>
    <r>
      <rPr>
        <vertAlign val="subscript"/>
        <sz val="11"/>
        <color theme="1"/>
        <rFont val="Times New Roman"/>
        <family val="1"/>
      </rPr>
      <t>4-4</t>
    </r>
    <phoneticPr fontId="2" type="noConversion"/>
  </si>
  <si>
    <r>
      <t>O</t>
    </r>
    <r>
      <rPr>
        <vertAlign val="subscript"/>
        <sz val="11"/>
        <color theme="1"/>
        <rFont val="Times New Roman"/>
        <family val="1"/>
      </rPr>
      <t>4-5</t>
    </r>
    <phoneticPr fontId="2" type="noConversion"/>
  </si>
  <si>
    <r>
      <t>O</t>
    </r>
    <r>
      <rPr>
        <vertAlign val="subscript"/>
        <sz val="11"/>
        <color theme="1"/>
        <rFont val="Times New Roman"/>
        <family val="1"/>
      </rPr>
      <t>4</t>
    </r>
    <phoneticPr fontId="2" type="noConversion"/>
  </si>
  <si>
    <t>0</t>
  </si>
  <si>
    <t>NA</t>
  </si>
  <si>
    <t>城市特征指标值数据收集表（暂以2020年为基准）</t>
  </si>
  <si>
    <r>
      <rPr>
        <b/>
        <sz val="12"/>
        <color theme="1"/>
        <rFont val="宋体"/>
        <family val="3"/>
        <charset val="134"/>
      </rPr>
      <t>城市</t>
    </r>
  </si>
  <si>
    <r>
      <rPr>
        <b/>
        <sz val="12"/>
        <color theme="1"/>
        <rFont val="宋体"/>
        <family val="3"/>
        <charset val="134"/>
      </rPr>
      <t>居民</t>
    </r>
    <r>
      <rPr>
        <b/>
        <sz val="12"/>
        <color theme="1"/>
        <rFont val="Times New Roman"/>
        <family val="1"/>
      </rPr>
      <t>Po</t>
    </r>
  </si>
  <si>
    <t>按ln值</t>
    <phoneticPr fontId="2" type="noConversion"/>
  </si>
  <si>
    <t>平均受教育年限（15岁以上）（年）</t>
  </si>
  <si>
    <t>ln(k)</t>
    <phoneticPr fontId="2" type="noConversion"/>
  </si>
  <si>
    <t>Median</t>
  </si>
  <si>
    <t>均值</t>
    <phoneticPr fontId="2" type="noConversion"/>
  </si>
  <si>
    <t>方差</t>
    <phoneticPr fontId="2" type="noConversion"/>
  </si>
  <si>
    <r>
      <t>μ+</t>
    </r>
    <r>
      <rPr>
        <sz val="11"/>
        <color theme="1"/>
        <rFont val="等线"/>
        <family val="3"/>
        <charset val="134"/>
        <scheme val="minor"/>
      </rPr>
      <t>σ</t>
    </r>
    <phoneticPr fontId="2" type="noConversion"/>
  </si>
  <si>
    <t>max</t>
    <phoneticPr fontId="2" type="noConversion"/>
  </si>
  <si>
    <t>μ-σ</t>
    <phoneticPr fontId="2" type="noConversion"/>
  </si>
  <si>
    <t>min</t>
    <phoneticPr fontId="2" type="noConversion"/>
  </si>
  <si>
    <t>最大值</t>
    <phoneticPr fontId="2" type="noConversion"/>
  </si>
  <si>
    <t>最小值</t>
    <phoneticPr fontId="2" type="noConversion"/>
  </si>
  <si>
    <t>最终修正系数</t>
    <phoneticPr fontId="2" type="noConversion"/>
  </si>
  <si>
    <t>南通市</t>
  </si>
  <si>
    <t>沧州市</t>
  </si>
  <si>
    <t>玉林市</t>
  </si>
  <si>
    <t>厦门市</t>
  </si>
  <si>
    <t>漳州市</t>
  </si>
  <si>
    <t>齐齐哈尔市</t>
  </si>
  <si>
    <t>赤峰市</t>
  </si>
  <si>
    <t>濮阳市</t>
  </si>
  <si>
    <t>绥化市</t>
  </si>
  <si>
    <t>营口市</t>
  </si>
  <si>
    <t>松原市</t>
  </si>
  <si>
    <t>崇左市</t>
  </si>
  <si>
    <t>北海市</t>
  </si>
  <si>
    <t>景德镇市</t>
  </si>
  <si>
    <t>双鸭山市</t>
  </si>
  <si>
    <t>鹤岗市</t>
  </si>
  <si>
    <t>日喀则市</t>
  </si>
  <si>
    <t>山南市</t>
  </si>
  <si>
    <r>
      <t>P</t>
    </r>
    <r>
      <rPr>
        <sz val="11"/>
        <color theme="1"/>
        <rFont val="宋体"/>
        <family val="3"/>
        <charset val="134"/>
      </rPr>
      <t>（修正前）</t>
    </r>
    <phoneticPr fontId="2" type="noConversion"/>
  </si>
  <si>
    <r>
      <t>P</t>
    </r>
    <r>
      <rPr>
        <sz val="11"/>
        <color theme="1"/>
        <rFont val="宋体"/>
        <family val="3"/>
        <charset val="134"/>
      </rPr>
      <t>（修正后）</t>
    </r>
    <phoneticPr fontId="2" type="noConversion"/>
  </si>
  <si>
    <t>NA</t>
    <phoneticPr fontId="2" type="noConversion"/>
  </si>
  <si>
    <r>
      <t>O</t>
    </r>
    <r>
      <rPr>
        <sz val="11"/>
        <color theme="1"/>
        <rFont val="宋体"/>
        <family val="3"/>
        <charset val="134"/>
      </rPr>
      <t>（修正前）</t>
    </r>
    <phoneticPr fontId="2" type="noConversion"/>
  </si>
  <si>
    <r>
      <t>O</t>
    </r>
    <r>
      <rPr>
        <sz val="11"/>
        <color theme="1"/>
        <rFont val="宋体"/>
        <family val="3"/>
        <charset val="134"/>
      </rPr>
      <t>（修正后）</t>
    </r>
    <phoneticPr fontId="2" type="noConversion"/>
  </si>
  <si>
    <t>城市</t>
  </si>
  <si>
    <t>三沙市</t>
  </si>
  <si>
    <t>分组</t>
  </si>
  <si>
    <t>F</t>
    <phoneticPr fontId="2" type="noConversion"/>
  </si>
  <si>
    <t>总分</t>
    <phoneticPr fontId="2" type="noConversion"/>
  </si>
  <si>
    <t>P（修正后）</t>
  </si>
  <si>
    <t>C</t>
  </si>
  <si>
    <t>O（修正后）</t>
  </si>
  <si>
    <t>A</t>
  </si>
  <si>
    <t>城市</t>
    <phoneticPr fontId="2" type="noConversion"/>
  </si>
  <si>
    <t>城市类别</t>
    <phoneticPr fontId="2" type="noConversion"/>
  </si>
  <si>
    <t>四分位数</t>
    <phoneticPr fontId="2" type="noConversion"/>
  </si>
  <si>
    <t>乌鲁木齐市</t>
    <phoneticPr fontId="2" type="noConversion"/>
  </si>
  <si>
    <t xml:space="preserve">城市  </t>
    <phoneticPr fontId="2" type="noConversion"/>
  </si>
  <si>
    <t>环节</t>
    <phoneticPr fontId="2" type="noConversion"/>
  </si>
  <si>
    <t>维度总分</t>
    <phoneticPr fontId="2" type="noConversion"/>
  </si>
  <si>
    <t>维度排名</t>
    <phoneticPr fontId="2" type="noConversion"/>
  </si>
  <si>
    <t>规划（P）</t>
    <phoneticPr fontId="2" type="noConversion"/>
  </si>
  <si>
    <t>实施 
(D)</t>
    <phoneticPr fontId="2" type="noConversion"/>
  </si>
  <si>
    <t>检查
(C)</t>
    <phoneticPr fontId="2" type="noConversion"/>
  </si>
  <si>
    <t>结果(O)</t>
    <phoneticPr fontId="2" type="noConversion"/>
  </si>
  <si>
    <t>反馈
（F）</t>
    <phoneticPr fontId="2" type="noConversion"/>
  </si>
  <si>
    <t>初始得分</t>
    <phoneticPr fontId="2" type="noConversion"/>
  </si>
  <si>
    <t>修正后得分</t>
    <phoneticPr fontId="2" type="noConversion"/>
  </si>
  <si>
    <t>第四梯队</t>
    <phoneticPr fontId="2" type="noConversion"/>
  </si>
  <si>
    <t>第三梯队</t>
    <phoneticPr fontId="2" type="noConversion"/>
  </si>
  <si>
    <t>第二梯队</t>
    <phoneticPr fontId="2" type="noConversion"/>
  </si>
  <si>
    <t>第一梯队</t>
    <phoneticPr fontId="2" type="noConversion"/>
  </si>
  <si>
    <t>(64.38-77.8,n=9)</t>
    <phoneticPr fontId="2" type="noConversion"/>
  </si>
  <si>
    <r>
      <t>(50.96</t>
    </r>
    <r>
      <rPr>
        <sz val="11"/>
        <color theme="1"/>
        <rFont val="宋体"/>
        <family val="3"/>
        <charset val="134"/>
      </rPr>
      <t>-64.38</t>
    </r>
    <r>
      <rPr>
        <sz val="11"/>
        <color theme="1"/>
        <rFont val="等线"/>
        <family val="2"/>
        <scheme val="minor"/>
      </rPr>
      <t>,n=95)</t>
    </r>
    <phoneticPr fontId="2" type="noConversion"/>
  </si>
  <si>
    <r>
      <t>(37.54</t>
    </r>
    <r>
      <rPr>
        <sz val="11"/>
        <color theme="1"/>
        <rFont val="宋体"/>
        <family val="3"/>
        <charset val="134"/>
      </rPr>
      <t>-</t>
    </r>
    <r>
      <rPr>
        <sz val="11"/>
        <color theme="1"/>
        <rFont val="等线"/>
        <family val="2"/>
        <scheme val="minor"/>
      </rPr>
      <t>50.96, n=147)</t>
    </r>
    <phoneticPr fontId="2" type="noConversion"/>
  </si>
  <si>
    <t>(24.12-37.54, n=43)</t>
    <phoneticPr fontId="2" type="noConversion"/>
  </si>
  <si>
    <t>超大以及特大城市</t>
    <phoneticPr fontId="2" type="noConversion"/>
  </si>
  <si>
    <t>大城市</t>
    <phoneticPr fontId="2" type="noConversion"/>
  </si>
  <si>
    <t>中等城市</t>
    <phoneticPr fontId="2" type="noConversion"/>
  </si>
  <si>
    <t>小城市</t>
    <phoneticPr fontId="2" type="noConversion"/>
  </si>
  <si>
    <t>Means</t>
  </si>
  <si>
    <t>C1</t>
  </si>
  <si>
    <t>N</t>
  </si>
  <si>
    <t>Mean</t>
  </si>
  <si>
    <t>StDev</t>
  </si>
  <si>
    <t>95% CI</t>
  </si>
  <si>
    <t>Grouping</t>
  </si>
  <si>
    <t xml:space="preserve"> </t>
  </si>
  <si>
    <t>B</t>
  </si>
  <si>
    <t>Means that do not share a letter are significantly different.</t>
  </si>
  <si>
    <t>均分</t>
    <phoneticPr fontId="2" type="noConversion"/>
  </si>
  <si>
    <t>标准差</t>
    <phoneticPr fontId="2" type="noConversion"/>
  </si>
  <si>
    <t>变异系数</t>
    <phoneticPr fontId="2" type="noConversion"/>
  </si>
  <si>
    <t>反馈（F）</t>
    <phoneticPr fontId="2" type="noConversion"/>
  </si>
  <si>
    <t>实施（D）</t>
    <phoneticPr fontId="2" type="noConversion"/>
  </si>
  <si>
    <t>检查（C）</t>
    <phoneticPr fontId="2" type="noConversion"/>
  </si>
  <si>
    <t>结果（O）</t>
    <phoneticPr fontId="2" type="noConversion"/>
  </si>
  <si>
    <t>环节</t>
    <phoneticPr fontId="2" type="noConversion"/>
  </si>
  <si>
    <t>维
度
排
名</t>
    <phoneticPr fontId="2" type="noConversion"/>
  </si>
  <si>
    <t>(54.99, 61.69)</t>
  </si>
  <si>
    <t>(49.286, 52.720)</t>
  </si>
  <si>
    <t>(47.254, 50.169)</t>
  </si>
  <si>
    <t>(43.312, 46.663)</t>
  </si>
  <si>
    <t>Pooled StDev = 7.80239</t>
  </si>
  <si>
    <t>Grouping Information Using the Tukey Method and 95% Confidence</t>
  </si>
  <si>
    <t>梯队</t>
    <phoneticPr fontId="2" type="noConversion"/>
  </si>
  <si>
    <t>C4</t>
  </si>
  <si>
    <t>(66.43, 70.84)</t>
  </si>
  <si>
    <t>(56.456, 57.791)</t>
  </si>
  <si>
    <t>(45.003, 46.054)</t>
  </si>
  <si>
    <t>(33.719, 36.093)</t>
  </si>
  <si>
    <t>Pooled StDev = 3.35848</t>
  </si>
  <si>
    <t>第一梯队</t>
    <phoneticPr fontId="2" type="noConversion"/>
  </si>
  <si>
    <t>D</t>
  </si>
  <si>
    <t>Tukey test</t>
  </si>
  <si>
    <t>第二梯队</t>
    <phoneticPr fontId="2" type="noConversion"/>
  </si>
  <si>
    <t>第三梯队</t>
    <phoneticPr fontId="2" type="noConversion"/>
  </si>
  <si>
    <t>第四梯队</t>
    <phoneticPr fontId="2" type="noConversion"/>
  </si>
  <si>
    <t>C</t>
    <phoneticPr fontId="2" type="noConversion"/>
  </si>
  <si>
    <t>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</si>
</sst>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.00_);[Red]\(0.00\)"/>
    <numFmt numFmtId="178" formatCode="0_);[Red]\(0\)"/>
    <numFmt numFmtId="179" formatCode="0.0"/>
  </numFmts>
  <fonts count="21" x14ac:knownFonts="1">
    <font>
      <sz val="11"/>
      <color theme="1"/>
      <name val="等线"/>
      <family val="2"/>
      <scheme val="minor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sz val="11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2"/>
      <color theme="1"/>
      <name val="宋体"/>
      <family val="3"/>
      <charset val="134"/>
    </font>
    <font>
      <b/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sz val="8"/>
      <color rgb="FFFF0000"/>
      <name val="Arial"/>
      <family val="2"/>
    </font>
    <font>
      <sz val="10"/>
      <color rgb="FFFF0000"/>
      <name val="微软雅黑"/>
      <family val="2"/>
      <charset val="134"/>
    </font>
    <font>
      <b/>
      <sz val="11"/>
      <name val="宋体"/>
      <family val="3"/>
      <charset val="134"/>
    </font>
    <font>
      <sz val="11"/>
      <color theme="1"/>
      <name val="宋体"/>
      <family val="1"/>
      <charset val="134"/>
    </font>
    <font>
      <b/>
      <sz val="11"/>
      <color theme="1"/>
      <name val="宋体"/>
      <family val="3"/>
      <charset val="134"/>
    </font>
    <font>
      <sz val="11"/>
      <color rgb="FF000000"/>
      <name val="Times New Roman"/>
      <family val="1"/>
    </font>
    <font>
      <sz val="11"/>
      <color rgb="FFFF0000"/>
      <name val="宋体"/>
      <family val="3"/>
      <charset val="134"/>
    </font>
    <font>
      <b/>
      <sz val="11"/>
      <color rgb="FF000000"/>
      <name val="等线"/>
      <family val="3"/>
      <charset val="134"/>
    </font>
    <font>
      <b/>
      <sz val="11"/>
      <color rgb="FF000000"/>
      <name val="Times New Roman"/>
      <family val="1"/>
    </font>
    <font>
      <sz val="11"/>
      <color rgb="FF000000"/>
      <name val="等线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 diagonalDown="1">
      <left style="thin">
        <color theme="1"/>
      </left>
      <right style="thick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>
      <left/>
      <right style="thin">
        <color theme="1"/>
      </right>
      <top style="thick">
        <color theme="1"/>
      </top>
      <bottom style="thick">
        <color theme="1"/>
      </bottom>
      <diagonal/>
    </border>
    <border>
      <left style="thin">
        <color theme="1"/>
      </left>
      <right style="thin">
        <color theme="1"/>
      </right>
      <top style="thick">
        <color theme="1"/>
      </top>
      <bottom style="thick">
        <color theme="1"/>
      </bottom>
      <diagonal/>
    </border>
    <border>
      <left style="thin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/>
      <top/>
      <bottom style="thin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n">
        <color theme="1"/>
      </bottom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ck">
        <color theme="1"/>
      </top>
      <bottom style="thick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 diagonalDown="1">
      <left style="thin">
        <color theme="1"/>
      </left>
      <right style="thick">
        <color theme="1"/>
      </right>
      <top style="thin">
        <color theme="1"/>
      </top>
      <bottom/>
      <diagonal style="thin">
        <color theme="1"/>
      </diagonal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>
      <alignment vertical="center"/>
    </xf>
  </cellStyleXfs>
  <cellXfs count="121">
    <xf numFmtId="0" fontId="0" fillId="0" borderId="0" xfId="0"/>
    <xf numFmtId="0" fontId="5" fillId="0" borderId="0" xfId="0" applyFont="1"/>
    <xf numFmtId="0" fontId="6" fillId="0" borderId="0" xfId="0" applyFont="1"/>
    <xf numFmtId="178" fontId="0" fillId="0" borderId="0" xfId="0" applyNumberFormat="1"/>
    <xf numFmtId="178" fontId="3" fillId="3" borderId="7" xfId="0" applyNumberFormat="1" applyFont="1" applyFill="1" applyBorder="1" applyAlignment="1">
      <alignment horizontal="right"/>
    </xf>
    <xf numFmtId="178" fontId="3" fillId="3" borderId="8" xfId="0" applyNumberFormat="1" applyFont="1" applyFill="1" applyBorder="1" applyAlignment="1">
      <alignment horizontal="right"/>
    </xf>
    <xf numFmtId="178" fontId="6" fillId="0" borderId="0" xfId="0" applyNumberFormat="1" applyFont="1" applyAlignment="1">
      <alignment horizontal="right"/>
    </xf>
    <xf numFmtId="178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78" fontId="7" fillId="0" borderId="0" xfId="0" applyNumberFormat="1" applyFont="1" applyAlignment="1">
      <alignment horizontal="right"/>
    </xf>
    <xf numFmtId="0" fontId="1" fillId="0" borderId="10" xfId="0" applyFont="1" applyBorder="1" applyAlignment="1">
      <alignment horizontal="center" wrapText="1"/>
    </xf>
    <xf numFmtId="176" fontId="6" fillId="0" borderId="0" xfId="1" applyNumberFormat="1">
      <alignment vertical="center"/>
    </xf>
    <xf numFmtId="0" fontId="7" fillId="0" borderId="0" xfId="1" applyFont="1">
      <alignment vertical="center"/>
    </xf>
    <xf numFmtId="0" fontId="6" fillId="0" borderId="0" xfId="1">
      <alignment vertical="center"/>
    </xf>
    <xf numFmtId="176" fontId="8" fillId="0" borderId="13" xfId="1" applyNumberFormat="1" applyFont="1" applyBorder="1" applyAlignment="1">
      <alignment horizontal="center" vertical="center"/>
    </xf>
    <xf numFmtId="176" fontId="6" fillId="0" borderId="14" xfId="1" applyNumberFormat="1" applyBorder="1" applyAlignment="1">
      <alignment horizontal="center" vertical="center"/>
    </xf>
    <xf numFmtId="176" fontId="10" fillId="0" borderId="13" xfId="1" applyNumberFormat="1" applyFont="1" applyBorder="1" applyAlignment="1">
      <alignment horizontal="center" vertical="center" wrapText="1"/>
    </xf>
    <xf numFmtId="176" fontId="6" fillId="0" borderId="0" xfId="1" applyNumberFormat="1" applyAlignment="1">
      <alignment horizontal="center" vertical="center"/>
    </xf>
    <xf numFmtId="0" fontId="11" fillId="0" borderId="0" xfId="1" applyFont="1">
      <alignment vertical="center"/>
    </xf>
    <xf numFmtId="176" fontId="12" fillId="0" borderId="0" xfId="1" applyNumberFormat="1" applyFont="1">
      <alignment vertical="center"/>
    </xf>
    <xf numFmtId="0" fontId="13" fillId="0" borderId="13" xfId="0" applyFont="1" applyBorder="1" applyAlignment="1">
      <alignment horizontal="center" vertical="top"/>
    </xf>
    <xf numFmtId="0" fontId="1" fillId="0" borderId="16" xfId="0" applyFont="1" applyBorder="1" applyAlignment="1">
      <alignment horizontal="left" wrapText="1"/>
    </xf>
    <xf numFmtId="0" fontId="0" fillId="5" borderId="0" xfId="0" applyFill="1"/>
    <xf numFmtId="0" fontId="1" fillId="0" borderId="1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3" fillId="0" borderId="0" xfId="0" applyFont="1" applyAlignment="1">
      <alignment horizontal="right"/>
    </xf>
    <xf numFmtId="0" fontId="1" fillId="0" borderId="11" xfId="0" applyFont="1" applyBorder="1" applyAlignment="1">
      <alignment wrapText="1"/>
    </xf>
    <xf numFmtId="0" fontId="14" fillId="0" borderId="1" xfId="0" applyFont="1" applyBorder="1"/>
    <xf numFmtId="0" fontId="3" fillId="0" borderId="15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3" fillId="5" borderId="0" xfId="0" applyFont="1" applyFill="1" applyAlignment="1">
      <alignment horizontal="right"/>
    </xf>
    <xf numFmtId="0" fontId="0" fillId="6" borderId="0" xfId="0" applyFill="1"/>
    <xf numFmtId="0" fontId="3" fillId="6" borderId="0" xfId="0" applyFont="1" applyFill="1" applyAlignment="1">
      <alignment horizontal="right"/>
    </xf>
    <xf numFmtId="0" fontId="0" fillId="7" borderId="0" xfId="0" applyFill="1"/>
    <xf numFmtId="0" fontId="3" fillId="7" borderId="0" xfId="0" applyFont="1" applyFill="1" applyAlignment="1">
      <alignment horizontal="right"/>
    </xf>
    <xf numFmtId="0" fontId="0" fillId="8" borderId="0" xfId="0" applyFill="1"/>
    <xf numFmtId="178" fontId="5" fillId="0" borderId="0" xfId="0" applyNumberFormat="1" applyFont="1" applyAlignment="1">
      <alignment horizontal="right"/>
    </xf>
    <xf numFmtId="0" fontId="15" fillId="0" borderId="13" xfId="0" applyFont="1" applyBorder="1" applyAlignment="1">
      <alignment horizontal="center"/>
    </xf>
    <xf numFmtId="0" fontId="1" fillId="0" borderId="13" xfId="0" applyFont="1" applyBorder="1"/>
    <xf numFmtId="2" fontId="1" fillId="0" borderId="13" xfId="0" applyNumberFormat="1" applyFont="1" applyBorder="1" applyAlignment="1">
      <alignment horizontal="right"/>
    </xf>
    <xf numFmtId="2" fontId="1" fillId="0" borderId="13" xfId="0" applyNumberFormat="1" applyFont="1" applyBorder="1"/>
    <xf numFmtId="0" fontId="1" fillId="0" borderId="0" xfId="0" applyFont="1"/>
    <xf numFmtId="0" fontId="1" fillId="0" borderId="0" xfId="0" applyFont="1" applyAlignment="1">
      <alignment horizontal="right"/>
    </xf>
    <xf numFmtId="0" fontId="15" fillId="0" borderId="13" xfId="0" applyFont="1" applyBorder="1" applyAlignment="1">
      <alignment wrapText="1"/>
    </xf>
    <xf numFmtId="0" fontId="15" fillId="0" borderId="13" xfId="0" applyFont="1" applyBorder="1" applyAlignment="1">
      <alignment vertical="center"/>
    </xf>
    <xf numFmtId="176" fontId="0" fillId="0" borderId="0" xfId="0" applyNumberFormat="1"/>
    <xf numFmtId="0" fontId="0" fillId="0" borderId="17" xfId="0" applyBorder="1"/>
    <xf numFmtId="0" fontId="0" fillId="0" borderId="18" xfId="0" applyBorder="1"/>
    <xf numFmtId="2" fontId="1" fillId="0" borderId="0" xfId="0" applyNumberFormat="1" applyFont="1"/>
    <xf numFmtId="1" fontId="0" fillId="0" borderId="0" xfId="0" applyNumberFormat="1"/>
    <xf numFmtId="0" fontId="0" fillId="0" borderId="13" xfId="0" applyBorder="1"/>
    <xf numFmtId="0" fontId="15" fillId="0" borderId="13" xfId="0" applyFont="1" applyBorder="1"/>
    <xf numFmtId="2" fontId="15" fillId="0" borderId="13" xfId="0" applyNumberFormat="1" applyFont="1" applyBorder="1"/>
    <xf numFmtId="0" fontId="15" fillId="0" borderId="0" xfId="0" applyFont="1" applyAlignment="1">
      <alignment vertical="center"/>
    </xf>
    <xf numFmtId="2" fontId="1" fillId="9" borderId="0" xfId="0" applyNumberFormat="1" applyFont="1" applyFill="1"/>
    <xf numFmtId="178" fontId="1" fillId="0" borderId="0" xfId="0" applyNumberFormat="1" applyFont="1"/>
    <xf numFmtId="0" fontId="16" fillId="0" borderId="25" xfId="0" applyFont="1" applyBorder="1" applyAlignment="1">
      <alignment horizontal="center" vertical="center"/>
    </xf>
    <xf numFmtId="0" fontId="17" fillId="0" borderId="13" xfId="0" applyFont="1" applyBorder="1"/>
    <xf numFmtId="0" fontId="15" fillId="0" borderId="23" xfId="0" applyFont="1" applyBorder="1" applyAlignment="1">
      <alignment vertical="center" wrapText="1"/>
    </xf>
    <xf numFmtId="0" fontId="1" fillId="0" borderId="23" xfId="0" applyFont="1" applyBorder="1"/>
    <xf numFmtId="0" fontId="17" fillId="0" borderId="0" xfId="0" applyFont="1"/>
    <xf numFmtId="0" fontId="18" fillId="0" borderId="26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177" fontId="0" fillId="4" borderId="0" xfId="0" applyNumberFormat="1" applyFill="1"/>
    <xf numFmtId="0" fontId="1" fillId="0" borderId="1" xfId="0" applyFont="1" applyFill="1" applyBorder="1" applyAlignment="1">
      <alignment wrapText="1"/>
    </xf>
    <xf numFmtId="0" fontId="14" fillId="0" borderId="0" xfId="0" applyFont="1" applyFill="1" applyAlignment="1">
      <alignment horizontal="center"/>
    </xf>
    <xf numFmtId="0" fontId="0" fillId="0" borderId="0" xfId="0" applyFill="1"/>
    <xf numFmtId="2" fontId="0" fillId="0" borderId="0" xfId="0" applyNumberFormat="1" applyFill="1" applyAlignment="1">
      <alignment wrapText="1"/>
    </xf>
    <xf numFmtId="0" fontId="6" fillId="0" borderId="0" xfId="0" applyFont="1" applyFill="1"/>
    <xf numFmtId="179" fontId="0" fillId="0" borderId="0" xfId="0" applyNumberFormat="1" applyFill="1" applyAlignment="1">
      <alignment wrapText="1"/>
    </xf>
    <xf numFmtId="0" fontId="5" fillId="0" borderId="0" xfId="0" applyFont="1" applyFill="1"/>
    <xf numFmtId="2" fontId="5" fillId="0" borderId="0" xfId="0" applyNumberFormat="1" applyFont="1" applyFill="1" applyAlignment="1">
      <alignment wrapText="1"/>
    </xf>
    <xf numFmtId="177" fontId="0" fillId="4" borderId="0" xfId="0" applyNumberFormat="1" applyFill="1" applyAlignment="1">
      <alignment horizontal="right"/>
    </xf>
    <xf numFmtId="177" fontId="3" fillId="4" borderId="0" xfId="0" applyNumberFormat="1" applyFont="1" applyFill="1" applyAlignment="1">
      <alignment horizontal="right"/>
    </xf>
    <xf numFmtId="177" fontId="0" fillId="5" borderId="0" xfId="0" applyNumberFormat="1" applyFill="1" applyAlignment="1">
      <alignment wrapText="1"/>
    </xf>
    <xf numFmtId="178" fontId="3" fillId="0" borderId="0" xfId="0" applyNumberFormat="1" applyFont="1" applyAlignment="1">
      <alignment horizontal="center"/>
    </xf>
    <xf numFmtId="178" fontId="14" fillId="5" borderId="0" xfId="0" applyNumberFormat="1" applyFont="1" applyFill="1" applyAlignment="1">
      <alignment horizontal="center"/>
    </xf>
    <xf numFmtId="178" fontId="3" fillId="4" borderId="9" xfId="0" applyNumberFormat="1" applyFont="1" applyFill="1" applyBorder="1" applyAlignment="1">
      <alignment horizontal="right"/>
    </xf>
    <xf numFmtId="178" fontId="3" fillId="4" borderId="15" xfId="0" applyNumberFormat="1" applyFont="1" applyFill="1" applyBorder="1" applyAlignment="1">
      <alignment horizontal="right"/>
    </xf>
    <xf numFmtId="178" fontId="3" fillId="0" borderId="5" xfId="0" applyNumberFormat="1" applyFont="1" applyBorder="1" applyAlignment="1">
      <alignment horizontal="center"/>
    </xf>
    <xf numFmtId="178" fontId="3" fillId="3" borderId="7" xfId="0" applyNumberFormat="1" applyFont="1" applyFill="1" applyBorder="1" applyAlignment="1">
      <alignment horizontal="center"/>
    </xf>
    <xf numFmtId="178" fontId="3" fillId="0" borderId="6" xfId="0" applyNumberFormat="1" applyFont="1" applyBorder="1" applyAlignment="1">
      <alignment horizontal="center"/>
    </xf>
    <xf numFmtId="178" fontId="3" fillId="3" borderId="8" xfId="0" applyNumberFormat="1" applyFont="1" applyFill="1" applyBorder="1" applyAlignment="1">
      <alignment horizontal="center"/>
    </xf>
    <xf numFmtId="178" fontId="3" fillId="4" borderId="9" xfId="0" applyNumberFormat="1" applyFont="1" applyFill="1" applyBorder="1" applyAlignment="1">
      <alignment horizontal="center"/>
    </xf>
    <xf numFmtId="178" fontId="3" fillId="5" borderId="0" xfId="0" applyNumberFormat="1" applyFont="1" applyFill="1" applyAlignment="1">
      <alignment horizontal="center"/>
    </xf>
    <xf numFmtId="178" fontId="0" fillId="0" borderId="0" xfId="0" applyNumberFormat="1" applyAlignment="1">
      <alignment vertical="center"/>
    </xf>
    <xf numFmtId="178" fontId="5" fillId="0" borderId="0" xfId="0" applyNumberFormat="1" applyFont="1"/>
    <xf numFmtId="178" fontId="6" fillId="0" borderId="0" xfId="0" applyNumberFormat="1" applyFont="1"/>
    <xf numFmtId="178" fontId="7" fillId="0" borderId="0" xfId="0" applyNumberFormat="1" applyFont="1"/>
    <xf numFmtId="178" fontId="0" fillId="5" borderId="0" xfId="0" applyNumberFormat="1" applyFill="1"/>
    <xf numFmtId="0" fontId="0" fillId="0" borderId="0" xfId="0" applyNumberFormat="1"/>
    <xf numFmtId="0" fontId="6" fillId="0" borderId="0" xfId="0" applyNumberFormat="1" applyFont="1"/>
    <xf numFmtId="0" fontId="5" fillId="0" borderId="0" xfId="0" applyNumberFormat="1" applyFont="1"/>
    <xf numFmtId="178" fontId="3" fillId="2" borderId="3" xfId="0" applyNumberFormat="1" applyFont="1" applyFill="1" applyBorder="1" applyAlignment="1">
      <alignment horizontal="center"/>
    </xf>
    <xf numFmtId="178" fontId="3" fillId="2" borderId="4" xfId="0" applyNumberFormat="1" applyFont="1" applyFill="1" applyBorder="1" applyAlignment="1">
      <alignment horizontal="center"/>
    </xf>
    <xf numFmtId="0" fontId="1" fillId="0" borderId="1" xfId="0" applyNumberFormat="1" applyFont="1" applyBorder="1" applyAlignment="1">
      <alignment horizontal="left" wrapText="1"/>
    </xf>
    <xf numFmtId="0" fontId="3" fillId="0" borderId="1" xfId="0" applyNumberFormat="1" applyFont="1" applyBorder="1" applyAlignment="1">
      <alignment horizontal="left"/>
    </xf>
    <xf numFmtId="178" fontId="3" fillId="2" borderId="3" xfId="0" applyNumberFormat="1" applyFont="1" applyFill="1" applyBorder="1" applyAlignment="1">
      <alignment horizontal="right"/>
    </xf>
    <xf numFmtId="178" fontId="3" fillId="2" borderId="12" xfId="0" applyNumberFormat="1" applyFont="1" applyFill="1" applyBorder="1" applyAlignment="1">
      <alignment horizontal="right"/>
    </xf>
    <xf numFmtId="178" fontId="3" fillId="2" borderId="4" xfId="0" applyNumberFormat="1" applyFont="1" applyFill="1" applyBorder="1" applyAlignment="1">
      <alignment horizontal="right"/>
    </xf>
    <xf numFmtId="178" fontId="3" fillId="2" borderId="2" xfId="0" applyNumberFormat="1" applyFont="1" applyFill="1" applyBorder="1" applyAlignment="1">
      <alignment horizontal="right"/>
    </xf>
    <xf numFmtId="178" fontId="3" fillId="2" borderId="2" xfId="0" applyNumberFormat="1" applyFont="1" applyFill="1" applyBorder="1" applyAlignment="1">
      <alignment horizontal="center"/>
    </xf>
    <xf numFmtId="178" fontId="3" fillId="2" borderId="12" xfId="0" applyNumberFormat="1" applyFont="1" applyFill="1" applyBorder="1" applyAlignment="1">
      <alignment horizontal="center"/>
    </xf>
    <xf numFmtId="178" fontId="1" fillId="0" borderId="10" xfId="0" applyNumberFormat="1" applyFont="1" applyBorder="1" applyAlignment="1">
      <alignment horizontal="center" wrapText="1"/>
    </xf>
    <xf numFmtId="178" fontId="1" fillId="0" borderId="11" xfId="0" applyNumberFormat="1" applyFont="1" applyBorder="1" applyAlignment="1">
      <alignment horizontal="center" wrapText="1"/>
    </xf>
    <xf numFmtId="0" fontId="8" fillId="0" borderId="13" xfId="1" applyFont="1" applyBorder="1" applyAlignment="1">
      <alignment horizontal="center" vertical="center"/>
    </xf>
    <xf numFmtId="0" fontId="9" fillId="0" borderId="13" xfId="1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/>
    </xf>
    <xf numFmtId="0" fontId="15" fillId="0" borderId="22" xfId="0" applyFont="1" applyBorder="1" applyAlignment="1">
      <alignment horizontal="center"/>
    </xf>
    <xf numFmtId="0" fontId="15" fillId="0" borderId="23" xfId="0" applyFont="1" applyBorder="1" applyAlignment="1">
      <alignment horizontal="center"/>
    </xf>
    <xf numFmtId="0" fontId="15" fillId="0" borderId="19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/>
    </xf>
    <xf numFmtId="0" fontId="15" fillId="0" borderId="13" xfId="0" applyFont="1" applyBorder="1" applyAlignment="1">
      <alignment horizontal="center" wrapText="1"/>
    </xf>
  </cellXfs>
  <cellStyles count="2">
    <cellStyle name="常规" xfId="0" builtinId="0"/>
    <cellStyle name="常规 2" xfId="1" xr:uid="{360D7D01-066C-4B10-93E2-8A6311272F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53</xdr:row>
      <xdr:rowOff>0</xdr:rowOff>
    </xdr:from>
    <xdr:to>
      <xdr:col>32</xdr:col>
      <xdr:colOff>0</xdr:colOff>
      <xdr:row>73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3FBB97-E445-1D65-7D17-E9855BBA0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9763125"/>
          <a:ext cx="5486400" cy="365760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53</xdr:row>
      <xdr:rowOff>0</xdr:rowOff>
    </xdr:from>
    <xdr:to>
      <xdr:col>40</xdr:col>
      <xdr:colOff>0</xdr:colOff>
      <xdr:row>73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682781-6D6A-64D3-F25B-6B7C25C60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45600" y="9763125"/>
          <a:ext cx="5486400" cy="3657600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53</xdr:row>
      <xdr:rowOff>0</xdr:rowOff>
    </xdr:from>
    <xdr:to>
      <xdr:col>48</xdr:col>
      <xdr:colOff>0</xdr:colOff>
      <xdr:row>73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35F01A-FB6C-49D0-504F-3E58CD26F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9763125"/>
          <a:ext cx="5486400" cy="3657600"/>
        </a:xfrm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53</xdr:row>
      <xdr:rowOff>0</xdr:rowOff>
    </xdr:from>
    <xdr:to>
      <xdr:col>57</xdr:col>
      <xdr:colOff>0</xdr:colOff>
      <xdr:row>73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F947CD6-A0B9-A567-99F4-B8FF4EF67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604200" y="9763125"/>
          <a:ext cx="5486400" cy="3657600"/>
        </a:xfrm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53</xdr:row>
      <xdr:rowOff>0</xdr:rowOff>
    </xdr:from>
    <xdr:to>
      <xdr:col>65</xdr:col>
      <xdr:colOff>0</xdr:colOff>
      <xdr:row>73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CB6AF7-6289-423D-3697-0E574C287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090600" y="9763125"/>
          <a:ext cx="5486400" cy="3657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419100</xdr:colOff>
      <xdr:row>0</xdr:row>
      <xdr:rowOff>9525</xdr:rowOff>
    </xdr:from>
    <xdr:to>
      <xdr:col>32</xdr:col>
      <xdr:colOff>228600</xdr:colOff>
      <xdr:row>19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BA061E-AF2E-735A-53CE-E310DD22C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49800" y="9525"/>
          <a:ext cx="5486400" cy="3657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angy\Desktop\ZUCC&#30740;&#31350;&#22242;&#38431;\2023&#24180;&#34013;&#30382;&#20070;&#25913;&#36827;\O&#29615;&#33410;&#25968;&#25454;&#27719;&#24635;_07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统计年鉴数据-徐 "/>
      <sheetName val="轨道交通年客运总量（万人次）-陆"/>
      <sheetName val="人均居住能耗-吴"/>
      <sheetName val="爬虫数据+网络购买数据"/>
      <sheetName val="Sheet2"/>
    </sheetNames>
    <sheetDataSet>
      <sheetData sheetId="0">
        <row r="1">
          <cell r="A1" t="str">
            <v>城市名</v>
          </cell>
          <cell r="B1" t="str">
            <v>人均日生活用水量(升)</v>
          </cell>
          <cell r="C1" t="str">
            <v>城市燃气普及率（%）</v>
          </cell>
          <cell r="D1" t="str">
            <v>公共汽（电）车年客运总量（万人次）</v>
          </cell>
          <cell r="E1" t="str">
            <v>城市人行道面积占道路面积比例（%）</v>
          </cell>
          <cell r="H1" t="str">
            <v>平均受教育年限（年）</v>
          </cell>
        </row>
        <row r="2">
          <cell r="E2" t="str">
            <v>道路面积（万平方米）</v>
          </cell>
          <cell r="F2" t="str">
            <v>人行道面积</v>
          </cell>
          <cell r="G2" t="str">
            <v>城市人行道面积占道路面积比例（%）</v>
          </cell>
        </row>
        <row r="3">
          <cell r="A3" t="str">
            <v>北京市</v>
          </cell>
          <cell r="B3">
            <v>163.27000000000001</v>
          </cell>
          <cell r="C3">
            <v>100</v>
          </cell>
          <cell r="D3">
            <v>182567</v>
          </cell>
          <cell r="E3">
            <v>14800.37</v>
          </cell>
          <cell r="F3">
            <v>2560</v>
          </cell>
          <cell r="G3">
            <v>17.296864875675404</v>
          </cell>
          <cell r="H3">
            <v>12.21</v>
          </cell>
        </row>
        <row r="4">
          <cell r="A4" t="str">
            <v>天津市</v>
          </cell>
          <cell r="B4">
            <v>122.72</v>
          </cell>
          <cell r="C4">
            <v>100</v>
          </cell>
          <cell r="D4">
            <v>61391</v>
          </cell>
          <cell r="E4">
            <v>17999.55</v>
          </cell>
          <cell r="F4">
            <v>4223.57</v>
          </cell>
          <cell r="G4">
            <v>23.464864399387761</v>
          </cell>
          <cell r="H4">
            <v>10.87</v>
          </cell>
        </row>
        <row r="5">
          <cell r="A5" t="str">
            <v>河北省</v>
          </cell>
        </row>
        <row r="6">
          <cell r="A6" t="str">
            <v>石家庄市</v>
          </cell>
          <cell r="B6">
            <v>130.80000000000001</v>
          </cell>
          <cell r="C6">
            <v>100</v>
          </cell>
          <cell r="D6">
            <v>17756</v>
          </cell>
          <cell r="E6">
            <v>6378.53</v>
          </cell>
          <cell r="F6">
            <v>1454.52</v>
          </cell>
          <cell r="G6">
            <v>22.80337319100169</v>
          </cell>
          <cell r="H6">
            <v>10.19</v>
          </cell>
        </row>
        <row r="7">
          <cell r="A7" t="str">
            <v>唐山市</v>
          </cell>
          <cell r="B7">
            <v>146.05000000000001</v>
          </cell>
          <cell r="C7">
            <v>100</v>
          </cell>
          <cell r="D7">
            <v>9248</v>
          </cell>
          <cell r="E7">
            <v>4222.38</v>
          </cell>
          <cell r="F7">
            <v>856.87</v>
          </cell>
          <cell r="G7">
            <v>20.293531136468058</v>
          </cell>
          <cell r="H7">
            <v>9.67</v>
          </cell>
        </row>
        <row r="8">
          <cell r="A8" t="str">
            <v>秦皇岛市</v>
          </cell>
          <cell r="B8">
            <v>137.79</v>
          </cell>
          <cell r="C8">
            <v>100</v>
          </cell>
          <cell r="D8">
            <v>5162</v>
          </cell>
          <cell r="E8">
            <v>2480.0100000000002</v>
          </cell>
          <cell r="F8">
            <v>654.59</v>
          </cell>
          <cell r="G8">
            <v>26.394651634469213</v>
          </cell>
          <cell r="H8">
            <v>9.9700000000000006</v>
          </cell>
        </row>
        <row r="9">
          <cell r="A9" t="str">
            <v>邯郸市</v>
          </cell>
          <cell r="B9">
            <v>115.87</v>
          </cell>
          <cell r="C9">
            <v>100</v>
          </cell>
          <cell r="D9">
            <v>6233</v>
          </cell>
          <cell r="E9">
            <v>4265.66</v>
          </cell>
          <cell r="F9">
            <v>1228.07</v>
          </cell>
          <cell r="G9">
            <v>28.789683190877845</v>
          </cell>
          <cell r="H9">
            <v>8.8699999999999992</v>
          </cell>
        </row>
        <row r="10">
          <cell r="A10" t="str">
            <v>邢台市</v>
          </cell>
          <cell r="B10">
            <v>178.13</v>
          </cell>
          <cell r="C10">
            <v>99.99</v>
          </cell>
          <cell r="D10">
            <v>3848</v>
          </cell>
          <cell r="E10">
            <v>2565.9</v>
          </cell>
          <cell r="F10">
            <v>768.96</v>
          </cell>
          <cell r="G10">
            <v>29.968432129077517</v>
          </cell>
          <cell r="H10">
            <v>8.84</v>
          </cell>
        </row>
        <row r="11">
          <cell r="A11" t="str">
            <v>保定市</v>
          </cell>
          <cell r="B11">
            <v>115.35</v>
          </cell>
          <cell r="C11">
            <v>98.18</v>
          </cell>
          <cell r="D11">
            <v>4740</v>
          </cell>
          <cell r="E11">
            <v>4441.67</v>
          </cell>
          <cell r="F11">
            <v>1308.6199999999999</v>
          </cell>
          <cell r="G11">
            <v>29.462341866910414</v>
          </cell>
          <cell r="H11">
            <v>9.19</v>
          </cell>
        </row>
        <row r="12">
          <cell r="A12" t="str">
            <v>张家口市</v>
          </cell>
          <cell r="B12">
            <v>114.79</v>
          </cell>
          <cell r="C12">
            <v>99.59</v>
          </cell>
          <cell r="D12">
            <v>8222</v>
          </cell>
          <cell r="E12">
            <v>2106.71</v>
          </cell>
          <cell r="F12">
            <v>444.48</v>
          </cell>
          <cell r="G12">
            <v>21.09830019319223</v>
          </cell>
          <cell r="H12">
            <v>9.19</v>
          </cell>
        </row>
        <row r="13">
          <cell r="A13" t="str">
            <v>承德市</v>
          </cell>
          <cell r="B13">
            <v>137.62</v>
          </cell>
          <cell r="C13">
            <v>99.97</v>
          </cell>
          <cell r="D13">
            <v>5556</v>
          </cell>
          <cell r="E13">
            <v>1287.6600000000001</v>
          </cell>
          <cell r="F13">
            <v>205.82</v>
          </cell>
          <cell r="G13">
            <v>15.98403305220322</v>
          </cell>
          <cell r="H13">
            <v>9.1199999999999992</v>
          </cell>
        </row>
        <row r="14">
          <cell r="A14" t="str">
            <v>沧州市</v>
          </cell>
          <cell r="B14">
            <v>171.25</v>
          </cell>
          <cell r="C14">
            <v>100</v>
          </cell>
          <cell r="D14">
            <v>6682</v>
          </cell>
          <cell r="E14">
            <v>1504.62</v>
          </cell>
          <cell r="F14">
            <v>215.17</v>
          </cell>
          <cell r="G14">
            <v>14.300620754742061</v>
          </cell>
          <cell r="H14">
            <v>8.8800000000000008</v>
          </cell>
        </row>
        <row r="15">
          <cell r="A15" t="str">
            <v>廊坊市</v>
          </cell>
          <cell r="B15">
            <v>123.21</v>
          </cell>
          <cell r="C15">
            <v>100</v>
          </cell>
          <cell r="D15">
            <v>1422</v>
          </cell>
          <cell r="E15">
            <v>1479.53</v>
          </cell>
          <cell r="F15">
            <v>270.22000000000003</v>
          </cell>
          <cell r="G15">
            <v>18.263908132988181</v>
          </cell>
          <cell r="H15">
            <v>9.61</v>
          </cell>
        </row>
        <row r="16">
          <cell r="A16" t="str">
            <v>衡水市</v>
          </cell>
          <cell r="B16">
            <v>110.85</v>
          </cell>
          <cell r="C16">
            <v>100</v>
          </cell>
          <cell r="D16">
            <v>2750</v>
          </cell>
          <cell r="E16">
            <v>1209.24</v>
          </cell>
          <cell r="F16">
            <v>295.29000000000002</v>
          </cell>
          <cell r="G16">
            <v>24.419470080381068</v>
          </cell>
          <cell r="H16">
            <v>9.15</v>
          </cell>
        </row>
        <row r="17">
          <cell r="A17" t="str">
            <v>山西省</v>
          </cell>
        </row>
        <row r="18">
          <cell r="A18" t="str">
            <v>太原市</v>
          </cell>
          <cell r="B18">
            <v>158</v>
          </cell>
          <cell r="C18">
            <v>100</v>
          </cell>
          <cell r="D18">
            <v>21151</v>
          </cell>
          <cell r="E18">
            <v>6830.26</v>
          </cell>
          <cell r="F18">
            <v>1488.1</v>
          </cell>
          <cell r="G18">
            <v>21.786871949237653</v>
          </cell>
          <cell r="H18">
            <v>11.32</v>
          </cell>
        </row>
        <row r="19">
          <cell r="A19" t="str">
            <v>大同市</v>
          </cell>
          <cell r="B19">
            <v>172.42</v>
          </cell>
          <cell r="C19">
            <v>99</v>
          </cell>
          <cell r="D19">
            <v>19161</v>
          </cell>
          <cell r="E19">
            <v>2469.34</v>
          </cell>
          <cell r="F19">
            <v>592.75</v>
          </cell>
          <cell r="G19">
            <v>24.004389836960481</v>
          </cell>
          <cell r="H19">
            <v>9.7899999999999991</v>
          </cell>
        </row>
        <row r="20">
          <cell r="A20" t="str">
            <v>阳泉市</v>
          </cell>
          <cell r="B20">
            <v>117.67</v>
          </cell>
          <cell r="C20">
            <v>94.28</v>
          </cell>
          <cell r="D20">
            <v>13037</v>
          </cell>
          <cell r="E20">
            <v>925.82</v>
          </cell>
          <cell r="F20">
            <v>228.45</v>
          </cell>
          <cell r="G20">
            <v>24.675422868376138</v>
          </cell>
          <cell r="H20">
            <v>10.06</v>
          </cell>
        </row>
        <row r="21">
          <cell r="A21" t="str">
            <v>长治市</v>
          </cell>
          <cell r="B21">
            <v>170.96</v>
          </cell>
          <cell r="C21">
            <v>99.59</v>
          </cell>
          <cell r="D21">
            <v>5890</v>
          </cell>
          <cell r="E21">
            <v>1539.4</v>
          </cell>
          <cell r="F21">
            <v>274.27999999999997</v>
          </cell>
          <cell r="G21">
            <v>17.817331427829021</v>
          </cell>
          <cell r="H21">
            <v>9.85</v>
          </cell>
        </row>
        <row r="22">
          <cell r="A22" t="str">
            <v>晋城市</v>
          </cell>
          <cell r="B22">
            <v>189.49</v>
          </cell>
          <cell r="C22">
            <v>99.83</v>
          </cell>
          <cell r="D22">
            <v>3995</v>
          </cell>
          <cell r="E22">
            <v>924.44</v>
          </cell>
          <cell r="F22">
            <v>250.78</v>
          </cell>
          <cell r="G22">
            <v>27.127774652762753</v>
          </cell>
          <cell r="H22">
            <v>10.15</v>
          </cell>
        </row>
        <row r="23">
          <cell r="A23" t="str">
            <v>朔州市</v>
          </cell>
          <cell r="B23">
            <v>113.33</v>
          </cell>
          <cell r="C23">
            <v>84.79</v>
          </cell>
          <cell r="D23">
            <v>712</v>
          </cell>
          <cell r="E23">
            <v>1195.1300000000001</v>
          </cell>
          <cell r="F23">
            <v>454.37</v>
          </cell>
          <cell r="G23">
            <v>38.018458243036321</v>
          </cell>
          <cell r="H23">
            <v>9.64</v>
          </cell>
        </row>
        <row r="24">
          <cell r="A24" t="str">
            <v>晋中市</v>
          </cell>
          <cell r="B24">
            <v>90.71</v>
          </cell>
          <cell r="C24">
            <v>99.41</v>
          </cell>
          <cell r="D24">
            <v>2031</v>
          </cell>
          <cell r="E24">
            <v>1857.55</v>
          </cell>
          <cell r="F24">
            <v>392.15</v>
          </cell>
          <cell r="G24">
            <v>21.111141019084275</v>
          </cell>
          <cell r="H24">
            <v>10.01</v>
          </cell>
        </row>
        <row r="25">
          <cell r="A25" t="str">
            <v>运城市</v>
          </cell>
          <cell r="B25">
            <v>141.21</v>
          </cell>
          <cell r="C25">
            <v>100</v>
          </cell>
          <cell r="D25">
            <v>7339</v>
          </cell>
          <cell r="E25">
            <v>1076.74</v>
          </cell>
          <cell r="F25">
            <v>250.43</v>
          </cell>
          <cell r="G25">
            <v>23.258168174303918</v>
          </cell>
          <cell r="H25">
            <v>9.8800000000000008</v>
          </cell>
        </row>
        <row r="26">
          <cell r="A26" t="str">
            <v>忻州市</v>
          </cell>
          <cell r="B26">
            <v>91.26</v>
          </cell>
          <cell r="C26">
            <v>97.5</v>
          </cell>
          <cell r="D26">
            <v>1018</v>
          </cell>
          <cell r="E26">
            <v>824.33</v>
          </cell>
          <cell r="F26">
            <v>156.13999999999999</v>
          </cell>
          <cell r="G26">
            <v>18.941443353996576</v>
          </cell>
          <cell r="H26">
            <v>9.43</v>
          </cell>
        </row>
        <row r="27">
          <cell r="A27" t="str">
            <v>临汾市</v>
          </cell>
          <cell r="B27">
            <v>100.91</v>
          </cell>
          <cell r="C27">
            <v>98.77</v>
          </cell>
          <cell r="D27">
            <v>1900</v>
          </cell>
          <cell r="E27">
            <v>739.66</v>
          </cell>
          <cell r="F27">
            <v>150.80000000000001</v>
          </cell>
          <cell r="G27">
            <v>20.387745721006954</v>
          </cell>
          <cell r="H27">
            <v>9.81</v>
          </cell>
        </row>
        <row r="28">
          <cell r="A28" t="str">
            <v>吕梁市</v>
          </cell>
          <cell r="B28">
            <v>98.06</v>
          </cell>
          <cell r="C28">
            <v>85</v>
          </cell>
          <cell r="D28">
            <v>790</v>
          </cell>
          <cell r="E28">
            <v>440.18</v>
          </cell>
          <cell r="F28">
            <v>85.96</v>
          </cell>
          <cell r="G28">
            <v>19.528374755781723</v>
          </cell>
          <cell r="H28">
            <v>9.43</v>
          </cell>
        </row>
        <row r="29">
          <cell r="A29" t="str">
            <v>内蒙古自治区</v>
          </cell>
        </row>
        <row r="30">
          <cell r="A30" t="str">
            <v>呼和浩特市</v>
          </cell>
          <cell r="B30">
            <v>97.66</v>
          </cell>
          <cell r="C30">
            <v>98.12</v>
          </cell>
          <cell r="D30">
            <v>16445</v>
          </cell>
          <cell r="E30">
            <v>3109.7</v>
          </cell>
          <cell r="F30">
            <v>563.45000000000005</v>
          </cell>
          <cell r="G30">
            <v>18.1191111682799</v>
          </cell>
          <cell r="H30">
            <v>10.85</v>
          </cell>
        </row>
        <row r="31">
          <cell r="A31" t="str">
            <v>包头市</v>
          </cell>
          <cell r="B31">
            <v>88.1</v>
          </cell>
          <cell r="C31">
            <v>100</v>
          </cell>
          <cell r="D31">
            <v>10651</v>
          </cell>
          <cell r="E31">
            <v>3371.05</v>
          </cell>
          <cell r="F31">
            <v>1086.22</v>
          </cell>
          <cell r="G31">
            <v>32.222007979709581</v>
          </cell>
          <cell r="H31">
            <v>10.39</v>
          </cell>
        </row>
        <row r="32">
          <cell r="A32" t="str">
            <v>乌海市</v>
          </cell>
          <cell r="B32">
            <v>113.39</v>
          </cell>
          <cell r="C32">
            <v>99.3</v>
          </cell>
          <cell r="D32">
            <v>1364</v>
          </cell>
          <cell r="E32">
            <v>2411.31</v>
          </cell>
          <cell r="F32">
            <v>559.20000000000005</v>
          </cell>
          <cell r="G32">
            <v>23.190713761399408</v>
          </cell>
          <cell r="H32">
            <v>10.32</v>
          </cell>
        </row>
        <row r="33">
          <cell r="A33" t="str">
            <v>赤峰市</v>
          </cell>
          <cell r="B33">
            <v>128</v>
          </cell>
          <cell r="C33">
            <v>98.71</v>
          </cell>
          <cell r="D33">
            <v>4783</v>
          </cell>
          <cell r="E33">
            <v>2360.75</v>
          </cell>
          <cell r="F33">
            <v>563.53</v>
          </cell>
          <cell r="G33">
            <v>23.870803769988349</v>
          </cell>
          <cell r="H33">
            <v>9.2100000000000009</v>
          </cell>
        </row>
        <row r="34">
          <cell r="A34" t="str">
            <v>通辽市</v>
          </cell>
          <cell r="B34">
            <v>178.2</v>
          </cell>
          <cell r="C34">
            <v>98.59</v>
          </cell>
          <cell r="D34">
            <v>3677</v>
          </cell>
          <cell r="E34">
            <v>1246.1500000000001</v>
          </cell>
          <cell r="F34">
            <v>206.16</v>
          </cell>
          <cell r="G34">
            <v>16.543754764675196</v>
          </cell>
          <cell r="H34">
            <v>9.34</v>
          </cell>
        </row>
        <row r="35">
          <cell r="A35" t="str">
            <v>鄂尔多斯市</v>
          </cell>
          <cell r="B35">
            <v>116.9</v>
          </cell>
          <cell r="C35">
            <v>100</v>
          </cell>
          <cell r="D35">
            <v>3374</v>
          </cell>
          <cell r="E35">
            <v>2996.33</v>
          </cell>
          <cell r="F35">
            <v>892.48</v>
          </cell>
          <cell r="G35">
            <v>29.785771260174947</v>
          </cell>
          <cell r="H35">
            <v>9.73</v>
          </cell>
        </row>
        <row r="36">
          <cell r="A36" t="str">
            <v>呼伦贝尔市</v>
          </cell>
          <cell r="B36">
            <v>190.99</v>
          </cell>
          <cell r="C36">
            <v>99.97</v>
          </cell>
          <cell r="D36">
            <v>4105</v>
          </cell>
          <cell r="E36">
            <v>739.59</v>
          </cell>
          <cell r="F36">
            <v>113.05</v>
          </cell>
          <cell r="G36">
            <v>15.285496018064062</v>
          </cell>
          <cell r="H36">
            <v>9.84</v>
          </cell>
        </row>
        <row r="37">
          <cell r="A37" t="str">
            <v>巴彦淖尔市</v>
          </cell>
          <cell r="B37">
            <v>87.22</v>
          </cell>
          <cell r="C37">
            <v>100</v>
          </cell>
          <cell r="D37">
            <v>786</v>
          </cell>
          <cell r="E37">
            <v>1155.56</v>
          </cell>
          <cell r="F37">
            <v>455.67</v>
          </cell>
          <cell r="G37">
            <v>39.432829104503448</v>
          </cell>
          <cell r="H37">
            <v>9.3699999999999992</v>
          </cell>
        </row>
        <row r="38">
          <cell r="A38" t="str">
            <v>乌兰察布市</v>
          </cell>
          <cell r="B38">
            <v>136.49</v>
          </cell>
          <cell r="C38">
            <v>86</v>
          </cell>
          <cell r="D38">
            <v>1428</v>
          </cell>
          <cell r="E38">
            <v>1132.05</v>
          </cell>
          <cell r="F38">
            <v>249.95</v>
          </cell>
          <cell r="G38">
            <v>22.079413453469371</v>
          </cell>
          <cell r="H38">
            <v>8.83</v>
          </cell>
        </row>
        <row r="39">
          <cell r="A39" t="str">
            <v>辽宁省</v>
          </cell>
        </row>
        <row r="40">
          <cell r="A40" t="str">
            <v>沈阳市</v>
          </cell>
          <cell r="B40">
            <v>202.63</v>
          </cell>
          <cell r="C40">
            <v>100</v>
          </cell>
          <cell r="D40">
            <v>66998</v>
          </cell>
          <cell r="E40">
            <v>10470.719999999999</v>
          </cell>
          <cell r="F40">
            <v>2928.68</v>
          </cell>
          <cell r="G40">
            <v>27.970187341462672</v>
          </cell>
          <cell r="H40">
            <v>11.04</v>
          </cell>
        </row>
        <row r="41">
          <cell r="A41" t="str">
            <v>大连市</v>
          </cell>
          <cell r="B41">
            <v>155.99</v>
          </cell>
          <cell r="C41">
            <v>96.36</v>
          </cell>
          <cell r="D41">
            <v>57888</v>
          </cell>
          <cell r="E41">
            <v>8121.14</v>
          </cell>
          <cell r="F41">
            <v>2242.4699999999998</v>
          </cell>
          <cell r="G41">
            <v>27.612748949039172</v>
          </cell>
          <cell r="H41">
            <v>10.49</v>
          </cell>
        </row>
        <row r="42">
          <cell r="A42" t="str">
            <v>鞍山市</v>
          </cell>
          <cell r="B42">
            <v>116.69</v>
          </cell>
          <cell r="C42">
            <v>100</v>
          </cell>
          <cell r="D42">
            <v>16881</v>
          </cell>
          <cell r="E42">
            <v>3150.98</v>
          </cell>
          <cell r="F42">
            <v>462.54</v>
          </cell>
          <cell r="G42">
            <v>14.679242648318935</v>
          </cell>
          <cell r="H42">
            <v>9.82</v>
          </cell>
        </row>
        <row r="43">
          <cell r="A43" t="str">
            <v>抚顺市</v>
          </cell>
          <cell r="B43">
            <v>159.11000000000001</v>
          </cell>
          <cell r="C43">
            <v>98.25</v>
          </cell>
          <cell r="D43">
            <v>13985</v>
          </cell>
          <cell r="E43">
            <v>1862.76</v>
          </cell>
          <cell r="F43">
            <v>465.69</v>
          </cell>
          <cell r="G43">
            <v>25</v>
          </cell>
          <cell r="H43">
            <v>10.029999999999999</v>
          </cell>
        </row>
        <row r="44">
          <cell r="A44" t="str">
            <v>本溪市</v>
          </cell>
          <cell r="B44">
            <v>98.38</v>
          </cell>
          <cell r="C44">
            <v>99.42</v>
          </cell>
          <cell r="D44">
            <v>11540</v>
          </cell>
          <cell r="E44">
            <v>2038.25</v>
          </cell>
          <cell r="F44">
            <v>746.4</v>
          </cell>
          <cell r="G44">
            <v>36.619649208880169</v>
          </cell>
          <cell r="H44">
            <v>10.050000000000001</v>
          </cell>
        </row>
        <row r="45">
          <cell r="A45" t="str">
            <v>丹东市</v>
          </cell>
          <cell r="B45">
            <v>120.94</v>
          </cell>
          <cell r="C45">
            <v>100</v>
          </cell>
          <cell r="D45">
            <v>6166</v>
          </cell>
          <cell r="E45">
            <v>1173.56</v>
          </cell>
          <cell r="F45">
            <v>444.58</v>
          </cell>
          <cell r="G45">
            <v>37.883022597907221</v>
          </cell>
          <cell r="H45">
            <v>9.44</v>
          </cell>
        </row>
        <row r="46">
          <cell r="A46" t="str">
            <v>锦州市</v>
          </cell>
          <cell r="B46">
            <v>164.46</v>
          </cell>
          <cell r="C46">
            <v>100</v>
          </cell>
          <cell r="D46">
            <v>7228</v>
          </cell>
          <cell r="E46">
            <v>1031.98</v>
          </cell>
          <cell r="F46">
            <v>335.46</v>
          </cell>
          <cell r="G46">
            <v>32.506443923331844</v>
          </cell>
          <cell r="H46">
            <v>9.75</v>
          </cell>
        </row>
        <row r="47">
          <cell r="A47" t="str">
            <v>营口市</v>
          </cell>
          <cell r="B47">
            <v>140.97</v>
          </cell>
          <cell r="C47">
            <v>99.79</v>
          </cell>
          <cell r="D47">
            <v>6077</v>
          </cell>
          <cell r="E47">
            <v>3195.99</v>
          </cell>
          <cell r="F47">
            <v>656.92</v>
          </cell>
          <cell r="G47">
            <v>20.554507367044327</v>
          </cell>
          <cell r="H47">
            <v>9.48</v>
          </cell>
        </row>
        <row r="48">
          <cell r="A48" t="str">
            <v>阜新市</v>
          </cell>
          <cell r="B48">
            <v>78.81</v>
          </cell>
          <cell r="C48">
            <v>78.239999999999995</v>
          </cell>
          <cell r="D48">
            <v>2546</v>
          </cell>
          <cell r="E48">
            <v>1733.69</v>
          </cell>
          <cell r="F48">
            <v>435.43</v>
          </cell>
          <cell r="G48">
            <v>25.115793480956803</v>
          </cell>
          <cell r="H48">
            <v>9.81</v>
          </cell>
        </row>
        <row r="49">
          <cell r="A49" t="str">
            <v>辽阳市</v>
          </cell>
          <cell r="B49">
            <v>174.87</v>
          </cell>
          <cell r="C49">
            <v>100</v>
          </cell>
          <cell r="D49">
            <v>7190</v>
          </cell>
          <cell r="E49">
            <v>1559.71</v>
          </cell>
          <cell r="F49">
            <v>372.06</v>
          </cell>
          <cell r="G49">
            <v>23.854434478204283</v>
          </cell>
          <cell r="H49">
            <v>9.73</v>
          </cell>
        </row>
        <row r="50">
          <cell r="A50" t="str">
            <v>盘锦市</v>
          </cell>
          <cell r="B50">
            <v>135.38999999999999</v>
          </cell>
          <cell r="C50">
            <v>100</v>
          </cell>
          <cell r="D50">
            <v>3822</v>
          </cell>
          <cell r="E50">
            <v>1974.86</v>
          </cell>
          <cell r="F50">
            <v>429.97</v>
          </cell>
          <cell r="G50">
            <v>21.772176255532042</v>
          </cell>
          <cell r="H50">
            <v>10.24</v>
          </cell>
        </row>
        <row r="51">
          <cell r="A51" t="str">
            <v>铁岭市</v>
          </cell>
          <cell r="B51">
            <v>136</v>
          </cell>
          <cell r="C51">
            <v>88.44</v>
          </cell>
          <cell r="D51">
            <v>2200</v>
          </cell>
          <cell r="E51">
            <v>641.33000000000004</v>
          </cell>
          <cell r="F51">
            <v>175.45</v>
          </cell>
          <cell r="G51">
            <v>27.357210796313908</v>
          </cell>
          <cell r="H51">
            <v>9.1</v>
          </cell>
        </row>
        <row r="52">
          <cell r="A52" t="str">
            <v>朝阳市</v>
          </cell>
          <cell r="B52">
            <v>176.7</v>
          </cell>
          <cell r="C52">
            <v>99.95</v>
          </cell>
          <cell r="D52">
            <v>2139</v>
          </cell>
          <cell r="E52">
            <v>502.12</v>
          </cell>
          <cell r="F52">
            <v>43.2</v>
          </cell>
          <cell r="G52">
            <v>8.6035210706603991</v>
          </cell>
          <cell r="H52">
            <v>9.08</v>
          </cell>
        </row>
        <row r="53">
          <cell r="A53" t="str">
            <v>葫芦岛市</v>
          </cell>
          <cell r="B53">
            <v>160.78</v>
          </cell>
          <cell r="C53">
            <v>98.93</v>
          </cell>
          <cell r="D53">
            <v>8619</v>
          </cell>
          <cell r="E53">
            <v>1922.73</v>
          </cell>
          <cell r="F53">
            <v>640</v>
          </cell>
          <cell r="G53">
            <v>33.286004795265065</v>
          </cell>
          <cell r="H53">
            <v>9.31</v>
          </cell>
        </row>
        <row r="54">
          <cell r="A54" t="str">
            <v>吉林省</v>
          </cell>
        </row>
        <row r="55">
          <cell r="A55" t="str">
            <v>长春市</v>
          </cell>
          <cell r="B55">
            <v>158.29</v>
          </cell>
          <cell r="C55">
            <v>97.18</v>
          </cell>
          <cell r="D55">
            <v>47150</v>
          </cell>
          <cell r="E55">
            <v>7987.44</v>
          </cell>
          <cell r="F55">
            <v>1581.71</v>
          </cell>
          <cell r="G55">
            <v>19.802464869845661</v>
          </cell>
          <cell r="H55">
            <v>10.35</v>
          </cell>
        </row>
        <row r="56">
          <cell r="A56" t="str">
            <v>吉林市</v>
          </cell>
          <cell r="B56">
            <v>106.49</v>
          </cell>
          <cell r="C56">
            <v>99.56</v>
          </cell>
          <cell r="D56">
            <v>14701</v>
          </cell>
          <cell r="E56">
            <v>2963.65</v>
          </cell>
          <cell r="F56">
            <v>1433.95</v>
          </cell>
          <cell r="G56">
            <v>48.384593322423363</v>
          </cell>
          <cell r="H56">
            <v>9.85</v>
          </cell>
        </row>
        <row r="57">
          <cell r="A57" t="str">
            <v>四平市</v>
          </cell>
          <cell r="B57">
            <v>101.75</v>
          </cell>
          <cell r="C57">
            <v>98.4</v>
          </cell>
          <cell r="D57">
            <v>2804</v>
          </cell>
          <cell r="E57">
            <v>733.56</v>
          </cell>
          <cell r="F57">
            <v>138.54</v>
          </cell>
          <cell r="G57">
            <v>18.885980696875514</v>
          </cell>
          <cell r="H57">
            <v>9.39</v>
          </cell>
        </row>
        <row r="58">
          <cell r="A58" t="str">
            <v>辽源市</v>
          </cell>
          <cell r="B58">
            <v>75.27</v>
          </cell>
          <cell r="C58">
            <v>97.56</v>
          </cell>
          <cell r="D58">
            <v>3665</v>
          </cell>
          <cell r="E58">
            <v>470.15</v>
          </cell>
          <cell r="F58">
            <v>116.12</v>
          </cell>
          <cell r="G58">
            <v>24.698500478570669</v>
          </cell>
          <cell r="H58">
            <v>9.3000000000000007</v>
          </cell>
        </row>
        <row r="59">
          <cell r="A59" t="str">
            <v>通化市</v>
          </cell>
          <cell r="B59">
            <v>68.5</v>
          </cell>
          <cell r="C59">
            <v>98.14</v>
          </cell>
          <cell r="D59">
            <v>4440</v>
          </cell>
          <cell r="E59">
            <v>348.18</v>
          </cell>
          <cell r="F59">
            <v>87.66</v>
          </cell>
          <cell r="G59">
            <v>25.176632776150264</v>
          </cell>
          <cell r="H59">
            <v>9.59</v>
          </cell>
        </row>
        <row r="60">
          <cell r="A60" t="str">
            <v>白山市</v>
          </cell>
          <cell r="B60">
            <v>92.04</v>
          </cell>
          <cell r="C60">
            <v>96</v>
          </cell>
          <cell r="D60">
            <v>2643</v>
          </cell>
          <cell r="E60">
            <v>475.27</v>
          </cell>
          <cell r="F60">
            <v>89.25</v>
          </cell>
          <cell r="G60">
            <v>18.778799419277465</v>
          </cell>
          <cell r="H60">
            <v>9.86</v>
          </cell>
        </row>
        <row r="61">
          <cell r="A61" t="str">
            <v>松原市</v>
          </cell>
          <cell r="B61">
            <v>120.01</v>
          </cell>
          <cell r="C61">
            <v>97.38</v>
          </cell>
          <cell r="D61">
            <v>2960</v>
          </cell>
          <cell r="E61">
            <v>770.3</v>
          </cell>
          <cell r="F61">
            <v>204.42</v>
          </cell>
          <cell r="G61">
            <v>26.537712579514476</v>
          </cell>
          <cell r="H61">
            <v>8.99</v>
          </cell>
        </row>
        <row r="62">
          <cell r="A62" t="str">
            <v>白城市</v>
          </cell>
          <cell r="B62">
            <v>126.98</v>
          </cell>
          <cell r="C62">
            <v>93.28</v>
          </cell>
          <cell r="D62">
            <v>496</v>
          </cell>
          <cell r="E62">
            <v>786.51</v>
          </cell>
          <cell r="F62">
            <v>109.83</v>
          </cell>
          <cell r="G62">
            <v>13.964221688217568</v>
          </cell>
          <cell r="H62">
            <v>9.31</v>
          </cell>
        </row>
        <row r="63">
          <cell r="A63" t="str">
            <v>黑龙江省</v>
          </cell>
        </row>
        <row r="64">
          <cell r="A64" t="str">
            <v>哈尔滨市</v>
          </cell>
          <cell r="B64">
            <v>140.91</v>
          </cell>
          <cell r="C64">
            <v>100</v>
          </cell>
          <cell r="D64">
            <v>48476</v>
          </cell>
          <cell r="E64">
            <v>8269.9699999999993</v>
          </cell>
          <cell r="F64">
            <v>2041.69</v>
          </cell>
          <cell r="G64">
            <v>24.687997658999976</v>
          </cell>
          <cell r="H64">
            <v>10.18</v>
          </cell>
        </row>
        <row r="65">
          <cell r="A65" t="str">
            <v>齐齐哈尔市</v>
          </cell>
          <cell r="B65">
            <v>99.25</v>
          </cell>
          <cell r="C65">
            <v>98.46</v>
          </cell>
          <cell r="D65">
            <v>3464</v>
          </cell>
          <cell r="E65">
            <v>1258.55</v>
          </cell>
          <cell r="F65">
            <v>236.66</v>
          </cell>
          <cell r="G65">
            <v>18.804179412816335</v>
          </cell>
          <cell r="H65">
            <v>9.35</v>
          </cell>
        </row>
        <row r="66">
          <cell r="A66" t="str">
            <v>鸡西市</v>
          </cell>
          <cell r="B66">
            <v>86.89</v>
          </cell>
          <cell r="C66">
            <v>56.57</v>
          </cell>
          <cell r="D66">
            <v>7302</v>
          </cell>
          <cell r="E66">
            <v>1215.75</v>
          </cell>
          <cell r="F66">
            <v>139.94999999999999</v>
          </cell>
          <cell r="G66">
            <v>11.511412708204812</v>
          </cell>
          <cell r="H66">
            <v>9.49</v>
          </cell>
        </row>
        <row r="67">
          <cell r="A67" t="str">
            <v>鹤岗市</v>
          </cell>
          <cell r="B67">
            <v>104.3</v>
          </cell>
          <cell r="C67">
            <v>71.39</v>
          </cell>
          <cell r="D67">
            <v>6111</v>
          </cell>
          <cell r="E67">
            <v>524.70000000000005</v>
          </cell>
          <cell r="F67">
            <v>76.7</v>
          </cell>
          <cell r="G67">
            <v>14.617876882027826</v>
          </cell>
          <cell r="H67">
            <v>9.68</v>
          </cell>
        </row>
        <row r="68">
          <cell r="A68" t="str">
            <v>双鸭山市</v>
          </cell>
          <cell r="B68">
            <v>133.32</v>
          </cell>
          <cell r="C68">
            <v>75.44</v>
          </cell>
          <cell r="D68">
            <v>3150</v>
          </cell>
          <cell r="E68">
            <v>519.16999999999996</v>
          </cell>
          <cell r="F68">
            <v>90.2</v>
          </cell>
          <cell r="G68">
            <v>17.373885239902155</v>
          </cell>
          <cell r="H68">
            <v>9.43</v>
          </cell>
        </row>
        <row r="69">
          <cell r="A69" t="str">
            <v>大庆市</v>
          </cell>
          <cell r="B69">
            <v>106.33</v>
          </cell>
          <cell r="C69">
            <v>99.85</v>
          </cell>
          <cell r="D69">
            <v>4887</v>
          </cell>
          <cell r="E69">
            <v>3776.77</v>
          </cell>
          <cell r="F69">
            <v>553.16</v>
          </cell>
          <cell r="G69">
            <v>14.646377724881313</v>
          </cell>
          <cell r="H69">
            <v>10.02</v>
          </cell>
        </row>
        <row r="70">
          <cell r="A70" t="str">
            <v>伊春市</v>
          </cell>
          <cell r="B70">
            <v>91.95</v>
          </cell>
          <cell r="C70">
            <v>93.72</v>
          </cell>
          <cell r="D70">
            <v>3154</v>
          </cell>
          <cell r="E70">
            <v>878.96</v>
          </cell>
          <cell r="F70">
            <v>122.93</v>
          </cell>
          <cell r="G70">
            <v>13.985846909984529</v>
          </cell>
          <cell r="H70">
            <v>9.81</v>
          </cell>
        </row>
        <row r="71">
          <cell r="A71" t="str">
            <v>佳木斯市</v>
          </cell>
          <cell r="B71">
            <v>112.88</v>
          </cell>
          <cell r="C71">
            <v>98.66</v>
          </cell>
          <cell r="D71">
            <v>6276</v>
          </cell>
          <cell r="E71">
            <v>689.39</v>
          </cell>
          <cell r="F71">
            <v>144.74</v>
          </cell>
          <cell r="G71">
            <v>20.995372720811154</v>
          </cell>
          <cell r="H71">
            <v>9.67</v>
          </cell>
        </row>
        <row r="72">
          <cell r="A72" t="str">
            <v>七台河市</v>
          </cell>
          <cell r="B72">
            <v>81.34</v>
          </cell>
          <cell r="C72">
            <v>100</v>
          </cell>
          <cell r="D72">
            <v>4057</v>
          </cell>
          <cell r="E72">
            <v>488.27</v>
          </cell>
          <cell r="F72">
            <v>107.67</v>
          </cell>
          <cell r="G72">
            <v>22.051324062506399</v>
          </cell>
          <cell r="H72">
            <v>9.3800000000000008</v>
          </cell>
        </row>
        <row r="73">
          <cell r="A73" t="str">
            <v>牡丹江市</v>
          </cell>
          <cell r="B73">
            <v>137.52000000000001</v>
          </cell>
          <cell r="C73">
            <v>98.43</v>
          </cell>
          <cell r="D73">
            <v>7323</v>
          </cell>
          <cell r="E73">
            <v>1172.94</v>
          </cell>
          <cell r="F73">
            <v>258.14999999999998</v>
          </cell>
          <cell r="G73">
            <v>22.008798404010431</v>
          </cell>
          <cell r="H73">
            <v>9.74</v>
          </cell>
        </row>
        <row r="74">
          <cell r="A74" t="str">
            <v>黑河市</v>
          </cell>
          <cell r="B74">
            <v>107.49</v>
          </cell>
          <cell r="C74">
            <v>97.64</v>
          </cell>
          <cell r="D74">
            <v>592</v>
          </cell>
          <cell r="E74">
            <v>237.27</v>
          </cell>
          <cell r="F74">
            <v>80.569999999999993</v>
          </cell>
          <cell r="G74">
            <v>33.957095292283043</v>
          </cell>
          <cell r="H74">
            <v>9.5500000000000007</v>
          </cell>
        </row>
        <row r="75">
          <cell r="A75" t="str">
            <v>绥化市</v>
          </cell>
          <cell r="B75">
            <v>103.35</v>
          </cell>
          <cell r="C75">
            <v>98.25</v>
          </cell>
          <cell r="D75">
            <v>1511</v>
          </cell>
          <cell r="E75">
            <v>383.97</v>
          </cell>
          <cell r="F75">
            <v>176.46</v>
          </cell>
          <cell r="G75">
            <v>45.95671536838816</v>
          </cell>
          <cell r="H75">
            <v>8.69</v>
          </cell>
        </row>
        <row r="76">
          <cell r="A76" t="str">
            <v>上海市</v>
          </cell>
          <cell r="B76">
            <v>211.51</v>
          </cell>
          <cell r="C76">
            <v>100</v>
          </cell>
          <cell r="D76">
            <v>136524</v>
          </cell>
          <cell r="E76">
            <v>11977</v>
          </cell>
          <cell r="F76">
            <v>3077</v>
          </cell>
          <cell r="G76">
            <v>25.690907572847959</v>
          </cell>
          <cell r="H76">
            <v>11.5</v>
          </cell>
        </row>
        <row r="77">
          <cell r="A77" t="str">
            <v>江苏省</v>
          </cell>
        </row>
        <row r="78">
          <cell r="A78" t="str">
            <v>南京市</v>
          </cell>
          <cell r="B78">
            <v>322.70999999999998</v>
          </cell>
          <cell r="C78">
            <v>99.68</v>
          </cell>
          <cell r="D78">
            <v>54094</v>
          </cell>
          <cell r="E78">
            <v>17862.599999999999</v>
          </cell>
          <cell r="F78">
            <v>2378.9</v>
          </cell>
          <cell r="G78">
            <v>13.317770089460662</v>
          </cell>
          <cell r="H78">
            <v>11.36</v>
          </cell>
        </row>
        <row r="79">
          <cell r="A79" t="str">
            <v>无锡市</v>
          </cell>
          <cell r="B79">
            <v>200.16</v>
          </cell>
          <cell r="C79">
            <v>100</v>
          </cell>
          <cell r="D79">
            <v>19118</v>
          </cell>
          <cell r="E79">
            <v>7617.02</v>
          </cell>
          <cell r="F79">
            <v>812.7</v>
          </cell>
          <cell r="G79">
            <v>10.669526927853674</v>
          </cell>
          <cell r="H79">
            <v>10.39</v>
          </cell>
        </row>
        <row r="80">
          <cell r="A80" t="str">
            <v>徐州市</v>
          </cell>
          <cell r="B80">
            <v>121.55</v>
          </cell>
          <cell r="C80">
            <v>100</v>
          </cell>
          <cell r="D80">
            <v>18880</v>
          </cell>
          <cell r="E80">
            <v>4709.83</v>
          </cell>
          <cell r="F80">
            <v>729.53</v>
          </cell>
          <cell r="G80">
            <v>15.489518729975391</v>
          </cell>
          <cell r="H80">
            <v>9.19</v>
          </cell>
        </row>
        <row r="81">
          <cell r="A81" t="str">
            <v>常州市</v>
          </cell>
          <cell r="B81">
            <v>253.57</v>
          </cell>
          <cell r="C81">
            <v>100</v>
          </cell>
          <cell r="D81">
            <v>11985</v>
          </cell>
          <cell r="E81">
            <v>5133.22</v>
          </cell>
          <cell r="F81">
            <v>703.06</v>
          </cell>
          <cell r="G81">
            <v>13.69627641129739</v>
          </cell>
          <cell r="H81">
            <v>10.23</v>
          </cell>
        </row>
        <row r="82">
          <cell r="A82" t="str">
            <v>苏州市</v>
          </cell>
          <cell r="B82">
            <v>235.01</v>
          </cell>
          <cell r="C82">
            <v>100</v>
          </cell>
          <cell r="D82">
            <v>31439</v>
          </cell>
          <cell r="E82">
            <v>11527.68</v>
          </cell>
          <cell r="F82">
            <v>1798.62</v>
          </cell>
          <cell r="G82">
            <v>15.60261908727515</v>
          </cell>
          <cell r="H82">
            <v>10.3</v>
          </cell>
        </row>
        <row r="83">
          <cell r="A83" t="str">
            <v>南通市</v>
          </cell>
          <cell r="B83">
            <v>228.52</v>
          </cell>
          <cell r="C83">
            <v>100</v>
          </cell>
          <cell r="D83">
            <v>10456</v>
          </cell>
          <cell r="E83">
            <v>6159</v>
          </cell>
          <cell r="F83">
            <v>963.63</v>
          </cell>
          <cell r="G83">
            <v>15.645884072089626</v>
          </cell>
          <cell r="H83">
            <v>9.43</v>
          </cell>
        </row>
        <row r="84">
          <cell r="A84" t="str">
            <v>连云港市</v>
          </cell>
          <cell r="B84">
            <v>236.67</v>
          </cell>
          <cell r="C84">
            <v>100</v>
          </cell>
          <cell r="D84">
            <v>9568</v>
          </cell>
          <cell r="E84">
            <v>2781.34</v>
          </cell>
          <cell r="F84">
            <v>558.16</v>
          </cell>
          <cell r="G84">
            <v>20.068024765041308</v>
          </cell>
          <cell r="H84">
            <v>9.51</v>
          </cell>
        </row>
        <row r="85">
          <cell r="A85" t="str">
            <v>淮安市</v>
          </cell>
          <cell r="B85">
            <v>177.72</v>
          </cell>
          <cell r="C85">
            <v>100</v>
          </cell>
          <cell r="D85">
            <v>27743</v>
          </cell>
          <cell r="E85">
            <v>4127.79</v>
          </cell>
          <cell r="F85">
            <v>744.72</v>
          </cell>
          <cell r="G85">
            <v>18.041615489160058</v>
          </cell>
          <cell r="H85">
            <v>9.18</v>
          </cell>
        </row>
        <row r="86">
          <cell r="A86" t="str">
            <v>盐城市</v>
          </cell>
          <cell r="B86">
            <v>149.69</v>
          </cell>
          <cell r="C86">
            <v>100</v>
          </cell>
          <cell r="D86">
            <v>11606</v>
          </cell>
          <cell r="E86">
            <v>3817.52</v>
          </cell>
          <cell r="F86">
            <v>762.89</v>
          </cell>
          <cell r="G86">
            <v>19.983916259770741</v>
          </cell>
          <cell r="H86">
            <v>8.93</v>
          </cell>
        </row>
        <row r="87">
          <cell r="A87" t="str">
            <v>扬州市</v>
          </cell>
          <cell r="B87">
            <v>209.89</v>
          </cell>
          <cell r="C87">
            <v>99.42</v>
          </cell>
          <cell r="D87">
            <v>11985</v>
          </cell>
          <cell r="E87">
            <v>3280.9</v>
          </cell>
          <cell r="F87">
            <v>603.44000000000005</v>
          </cell>
          <cell r="G87">
            <v>18.392514249138959</v>
          </cell>
          <cell r="H87">
            <v>9.48</v>
          </cell>
        </row>
        <row r="88">
          <cell r="A88" t="str">
            <v>镇江市</v>
          </cell>
          <cell r="B88">
            <v>219.97</v>
          </cell>
          <cell r="C88">
            <v>100</v>
          </cell>
          <cell r="D88">
            <v>7706</v>
          </cell>
          <cell r="E88">
            <v>2655.18</v>
          </cell>
          <cell r="F88">
            <v>495.22</v>
          </cell>
          <cell r="G88">
            <v>18.65108956831552</v>
          </cell>
          <cell r="H88">
            <v>10.02</v>
          </cell>
        </row>
        <row r="89">
          <cell r="A89" t="str">
            <v>泰州市</v>
          </cell>
          <cell r="B89">
            <v>197.32</v>
          </cell>
          <cell r="C89">
            <v>100</v>
          </cell>
          <cell r="D89">
            <v>15610</v>
          </cell>
          <cell r="E89">
            <v>3138.59</v>
          </cell>
          <cell r="F89">
            <v>525.07000000000005</v>
          </cell>
          <cell r="G89">
            <v>16.729486807770368</v>
          </cell>
          <cell r="H89">
            <v>9.32</v>
          </cell>
        </row>
        <row r="90">
          <cell r="A90" t="str">
            <v>宿迁市</v>
          </cell>
          <cell r="B90">
            <v>133.13</v>
          </cell>
          <cell r="C90">
            <v>100</v>
          </cell>
          <cell r="D90">
            <v>13209</v>
          </cell>
          <cell r="E90">
            <v>2516.52</v>
          </cell>
          <cell r="F90">
            <v>370.38</v>
          </cell>
          <cell r="G90">
            <v>14.717943827189927</v>
          </cell>
          <cell r="H90">
            <v>9</v>
          </cell>
        </row>
        <row r="91">
          <cell r="A91" t="str">
            <v>浙江省</v>
          </cell>
        </row>
        <row r="92">
          <cell r="A92" t="str">
            <v>杭州市</v>
          </cell>
          <cell r="B92">
            <v>207</v>
          </cell>
          <cell r="C92">
            <v>100</v>
          </cell>
          <cell r="D92">
            <v>65502</v>
          </cell>
          <cell r="E92">
            <v>12466.55</v>
          </cell>
          <cell r="F92">
            <v>2071.5100000000002</v>
          </cell>
          <cell r="G92">
            <v>16.616545876766228</v>
          </cell>
          <cell r="H92">
            <v>10.76</v>
          </cell>
        </row>
        <row r="93">
          <cell r="A93" t="str">
            <v>宁波市</v>
          </cell>
          <cell r="B93">
            <v>247.09</v>
          </cell>
          <cell r="C93">
            <v>100</v>
          </cell>
          <cell r="D93">
            <v>26673</v>
          </cell>
          <cell r="E93">
            <v>6373.65</v>
          </cell>
          <cell r="F93">
            <v>1458.33</v>
          </cell>
          <cell r="G93">
            <v>22.880610011531854</v>
          </cell>
          <cell r="H93">
            <v>9.6999999999999993</v>
          </cell>
        </row>
        <row r="94">
          <cell r="A94" t="str">
            <v>温州市</v>
          </cell>
          <cell r="B94">
            <v>226.03</v>
          </cell>
          <cell r="C94">
            <v>100</v>
          </cell>
          <cell r="D94">
            <v>15791</v>
          </cell>
          <cell r="E94">
            <v>3759.01</v>
          </cell>
          <cell r="F94">
            <v>744.69</v>
          </cell>
          <cell r="G94">
            <v>19.810801248200992</v>
          </cell>
          <cell r="H94">
            <v>8.8800000000000008</v>
          </cell>
        </row>
        <row r="95">
          <cell r="A95" t="str">
            <v>嘉兴市</v>
          </cell>
          <cell r="B95">
            <v>198.1</v>
          </cell>
          <cell r="C95">
            <v>100</v>
          </cell>
          <cell r="D95">
            <v>4816</v>
          </cell>
          <cell r="E95">
            <v>2622</v>
          </cell>
          <cell r="F95">
            <v>532.04</v>
          </cell>
          <cell r="G95">
            <v>20.291380625476734</v>
          </cell>
          <cell r="H95">
            <v>9.34</v>
          </cell>
        </row>
        <row r="96">
          <cell r="A96" t="str">
            <v>湖州市</v>
          </cell>
          <cell r="B96">
            <v>223.08</v>
          </cell>
          <cell r="C96">
            <v>100</v>
          </cell>
          <cell r="D96">
            <v>5113</v>
          </cell>
          <cell r="E96">
            <v>2913.24</v>
          </cell>
          <cell r="F96">
            <v>947.33</v>
          </cell>
          <cell r="G96">
            <v>32.518089824387971</v>
          </cell>
          <cell r="H96">
            <v>9.2100000000000009</v>
          </cell>
        </row>
        <row r="97">
          <cell r="A97" t="str">
            <v>绍兴市</v>
          </cell>
          <cell r="B97">
            <v>227.06</v>
          </cell>
          <cell r="C97">
            <v>100</v>
          </cell>
          <cell r="D97">
            <v>11341</v>
          </cell>
          <cell r="E97">
            <v>3939.35</v>
          </cell>
          <cell r="F97">
            <v>898.35</v>
          </cell>
          <cell r="G97">
            <v>22.804523588916954</v>
          </cell>
          <cell r="H97">
            <v>9.5500000000000007</v>
          </cell>
        </row>
        <row r="98">
          <cell r="A98" t="str">
            <v>金华市</v>
          </cell>
          <cell r="B98">
            <v>282.14</v>
          </cell>
          <cell r="C98">
            <v>100</v>
          </cell>
          <cell r="D98">
            <v>5778</v>
          </cell>
          <cell r="E98">
            <v>2628.97</v>
          </cell>
          <cell r="F98">
            <v>623.28</v>
          </cell>
          <cell r="G98">
            <v>23.708144254213629</v>
          </cell>
          <cell r="H98">
            <v>9.3800000000000008</v>
          </cell>
        </row>
        <row r="99">
          <cell r="A99" t="str">
            <v>衢州市</v>
          </cell>
          <cell r="B99">
            <v>286.20999999999998</v>
          </cell>
          <cell r="C99">
            <v>100</v>
          </cell>
          <cell r="D99">
            <v>2306</v>
          </cell>
          <cell r="E99">
            <v>1438.37</v>
          </cell>
          <cell r="F99">
            <v>350.93</v>
          </cell>
          <cell r="G99">
            <v>24.397755793015708</v>
          </cell>
          <cell r="H99">
            <v>8.83</v>
          </cell>
        </row>
        <row r="100">
          <cell r="A100" t="str">
            <v>舟山市</v>
          </cell>
          <cell r="B100">
            <v>146.97999999999999</v>
          </cell>
          <cell r="C100">
            <v>100</v>
          </cell>
          <cell r="D100">
            <v>5717</v>
          </cell>
          <cell r="E100">
            <v>1510.68</v>
          </cell>
          <cell r="F100">
            <v>250.13</v>
          </cell>
          <cell r="G100">
            <v>16.557444329705824</v>
          </cell>
          <cell r="H100">
            <v>9.5</v>
          </cell>
        </row>
        <row r="101">
          <cell r="A101" t="str">
            <v>台州市</v>
          </cell>
          <cell r="B101">
            <v>259.42</v>
          </cell>
          <cell r="C101">
            <v>100</v>
          </cell>
          <cell r="D101">
            <v>5106</v>
          </cell>
          <cell r="E101">
            <v>3274.84</v>
          </cell>
          <cell r="F101">
            <v>559.83000000000004</v>
          </cell>
          <cell r="G101">
            <v>17.094880971284095</v>
          </cell>
          <cell r="H101">
            <v>8.77</v>
          </cell>
        </row>
        <row r="102">
          <cell r="A102" t="str">
            <v>丽水市</v>
          </cell>
          <cell r="B102">
            <v>228.63</v>
          </cell>
          <cell r="C102">
            <v>100</v>
          </cell>
          <cell r="D102">
            <v>2741</v>
          </cell>
          <cell r="E102">
            <v>801.05</v>
          </cell>
          <cell r="F102">
            <v>193.88</v>
          </cell>
          <cell r="G102">
            <v>24.203233256351041</v>
          </cell>
          <cell r="H102">
            <v>8.8800000000000008</v>
          </cell>
        </row>
        <row r="103">
          <cell r="A103" t="str">
            <v>安徽省</v>
          </cell>
        </row>
        <row r="104">
          <cell r="A104" t="str">
            <v>合肥市</v>
          </cell>
          <cell r="B104">
            <v>191.45</v>
          </cell>
          <cell r="C104">
            <v>100</v>
          </cell>
          <cell r="D104">
            <v>32376</v>
          </cell>
          <cell r="E104">
            <v>9228.48</v>
          </cell>
          <cell r="F104">
            <v>1760.08</v>
          </cell>
          <cell r="G104">
            <v>19.072263254620481</v>
          </cell>
          <cell r="H104">
            <v>10.39</v>
          </cell>
        </row>
        <row r="105">
          <cell r="A105" t="str">
            <v>芜湖市</v>
          </cell>
          <cell r="B105">
            <v>162.57</v>
          </cell>
          <cell r="C105">
            <v>99.84</v>
          </cell>
          <cell r="D105">
            <v>8298</v>
          </cell>
          <cell r="E105">
            <v>4828.62</v>
          </cell>
          <cell r="F105">
            <v>1210.73</v>
          </cell>
          <cell r="G105">
            <v>25.074037716780367</v>
          </cell>
          <cell r="H105">
            <v>9.24</v>
          </cell>
        </row>
        <row r="106">
          <cell r="A106" t="str">
            <v>蚌埠市</v>
          </cell>
          <cell r="B106">
            <v>273.12</v>
          </cell>
          <cell r="C106">
            <v>100</v>
          </cell>
          <cell r="D106">
            <v>8187</v>
          </cell>
          <cell r="E106">
            <v>2653.45</v>
          </cell>
          <cell r="F106">
            <v>753.33</v>
          </cell>
          <cell r="G106">
            <v>28.390585841074827</v>
          </cell>
          <cell r="H106">
            <v>8.7799999999999994</v>
          </cell>
        </row>
        <row r="107">
          <cell r="A107" t="str">
            <v>淮南市</v>
          </cell>
          <cell r="B107">
            <v>186.74</v>
          </cell>
          <cell r="C107">
            <v>100</v>
          </cell>
          <cell r="D107">
            <v>6942</v>
          </cell>
          <cell r="E107">
            <v>2228.9699999999998</v>
          </cell>
          <cell r="F107">
            <v>439.82</v>
          </cell>
          <cell r="G107">
            <v>19.731983831096876</v>
          </cell>
          <cell r="H107">
            <v>8.8800000000000008</v>
          </cell>
        </row>
        <row r="108">
          <cell r="A108" t="str">
            <v>马鞍山市</v>
          </cell>
          <cell r="B108">
            <v>191.88</v>
          </cell>
          <cell r="C108">
            <v>100</v>
          </cell>
          <cell r="D108">
            <v>3505</v>
          </cell>
          <cell r="E108">
            <v>1931.34</v>
          </cell>
          <cell r="F108">
            <v>433.12</v>
          </cell>
          <cell r="G108">
            <v>22.425880476767425</v>
          </cell>
          <cell r="H108">
            <v>9.0399999999999991</v>
          </cell>
        </row>
        <row r="109">
          <cell r="A109" t="str">
            <v>淮北市</v>
          </cell>
          <cell r="B109">
            <v>155.47</v>
          </cell>
          <cell r="C109">
            <v>100</v>
          </cell>
          <cell r="D109">
            <v>3092</v>
          </cell>
          <cell r="E109">
            <v>1618.84</v>
          </cell>
          <cell r="F109">
            <v>336.1</v>
          </cell>
          <cell r="G109">
            <v>20.761780040028665</v>
          </cell>
          <cell r="H109">
            <v>9.0299999999999994</v>
          </cell>
        </row>
        <row r="110">
          <cell r="A110" t="str">
            <v>铜陵市</v>
          </cell>
          <cell r="B110">
            <v>204.58</v>
          </cell>
          <cell r="C110">
            <v>100</v>
          </cell>
          <cell r="D110">
            <v>4639</v>
          </cell>
          <cell r="E110">
            <v>1486.41</v>
          </cell>
          <cell r="F110">
            <v>282.8</v>
          </cell>
          <cell r="G110">
            <v>19.025706231793382</v>
          </cell>
          <cell r="H110">
            <v>8.82</v>
          </cell>
        </row>
        <row r="111">
          <cell r="A111" t="str">
            <v>安庆市</v>
          </cell>
          <cell r="B111">
            <v>166.36</v>
          </cell>
          <cell r="C111">
            <v>99.3</v>
          </cell>
          <cell r="D111">
            <v>3104</v>
          </cell>
          <cell r="E111">
            <v>2573.94</v>
          </cell>
          <cell r="F111">
            <v>480.5</v>
          </cell>
          <cell r="G111">
            <v>18.667878816134021</v>
          </cell>
          <cell r="H111">
            <v>8.93</v>
          </cell>
        </row>
        <row r="112">
          <cell r="A112" t="str">
            <v>黄山市</v>
          </cell>
          <cell r="B112">
            <v>215.01</v>
          </cell>
          <cell r="C112">
            <v>99.38</v>
          </cell>
          <cell r="D112">
            <v>708</v>
          </cell>
          <cell r="E112">
            <v>1185.24</v>
          </cell>
          <cell r="F112">
            <v>313.07</v>
          </cell>
          <cell r="G112">
            <v>26.41405959974351</v>
          </cell>
          <cell r="H112">
            <v>8.93</v>
          </cell>
        </row>
        <row r="113">
          <cell r="A113" t="str">
            <v>滁州市</v>
          </cell>
          <cell r="B113">
            <v>172.65</v>
          </cell>
          <cell r="C113">
            <v>100</v>
          </cell>
          <cell r="D113">
            <v>3728</v>
          </cell>
          <cell r="E113">
            <v>2702.2</v>
          </cell>
          <cell r="F113">
            <v>451.46</v>
          </cell>
          <cell r="G113">
            <v>16.707127525719784</v>
          </cell>
          <cell r="H113">
            <v>9.4499999999999993</v>
          </cell>
        </row>
        <row r="114">
          <cell r="A114" t="str">
            <v>阜阳市</v>
          </cell>
          <cell r="B114">
            <v>153.41999999999999</v>
          </cell>
          <cell r="C114">
            <v>97.1</v>
          </cell>
          <cell r="D114">
            <v>3038</v>
          </cell>
          <cell r="E114">
            <v>2692.49</v>
          </cell>
          <cell r="F114">
            <v>329.9</v>
          </cell>
          <cell r="G114">
            <v>12.252598895446223</v>
          </cell>
          <cell r="H114">
            <v>8.18</v>
          </cell>
        </row>
        <row r="115">
          <cell r="A115" t="str">
            <v>宿州市</v>
          </cell>
          <cell r="B115">
            <v>200.14</v>
          </cell>
          <cell r="C115">
            <v>100</v>
          </cell>
          <cell r="D115">
            <v>2065</v>
          </cell>
          <cell r="E115">
            <v>1926.14</v>
          </cell>
          <cell r="F115">
            <v>387.2</v>
          </cell>
          <cell r="G115">
            <v>20.102380927658427</v>
          </cell>
          <cell r="H115">
            <v>9.08</v>
          </cell>
        </row>
        <row r="116">
          <cell r="A116" t="str">
            <v>六安市</v>
          </cell>
          <cell r="B116">
            <v>264.58</v>
          </cell>
          <cell r="C116">
            <v>98.68</v>
          </cell>
          <cell r="D116">
            <v>4321</v>
          </cell>
          <cell r="E116">
            <v>1862.08</v>
          </cell>
          <cell r="F116">
            <v>338.67</v>
          </cell>
          <cell r="G116">
            <v>18.18772555421894</v>
          </cell>
          <cell r="H116">
            <v>8.7100000000000009</v>
          </cell>
        </row>
        <row r="117">
          <cell r="A117" t="str">
            <v>亳州市</v>
          </cell>
          <cell r="B117">
            <v>203.18</v>
          </cell>
          <cell r="C117">
            <v>99.7</v>
          </cell>
          <cell r="D117">
            <v>1286</v>
          </cell>
          <cell r="E117">
            <v>1696.6</v>
          </cell>
          <cell r="F117">
            <v>382.52</v>
          </cell>
          <cell r="G117">
            <v>22.546269008605446</v>
          </cell>
          <cell r="H117">
            <v>8.0500000000000007</v>
          </cell>
        </row>
        <row r="118">
          <cell r="A118" t="str">
            <v>池州市</v>
          </cell>
          <cell r="B118">
            <v>177.26</v>
          </cell>
          <cell r="C118">
            <v>99.84</v>
          </cell>
          <cell r="D118">
            <v>1643</v>
          </cell>
          <cell r="E118">
            <v>842.42</v>
          </cell>
          <cell r="F118">
            <v>146.19999999999999</v>
          </cell>
          <cell r="G118">
            <v>17.354763657083165</v>
          </cell>
          <cell r="H118">
            <v>8.56</v>
          </cell>
        </row>
        <row r="119">
          <cell r="A119" t="str">
            <v>宣城市</v>
          </cell>
          <cell r="B119">
            <v>237.83</v>
          </cell>
          <cell r="C119">
            <v>99.1</v>
          </cell>
          <cell r="D119">
            <v>1282</v>
          </cell>
          <cell r="E119">
            <v>1285.57</v>
          </cell>
          <cell r="F119">
            <v>227.85</v>
          </cell>
          <cell r="G119">
            <v>17.723655654690138</v>
          </cell>
          <cell r="H119">
            <v>8.61</v>
          </cell>
        </row>
        <row r="120">
          <cell r="A120" t="str">
            <v>福建省</v>
          </cell>
        </row>
        <row r="121">
          <cell r="A121" t="str">
            <v>福州市</v>
          </cell>
          <cell r="B121">
            <v>218.03</v>
          </cell>
          <cell r="C121">
            <v>99.11</v>
          </cell>
          <cell r="D121">
            <v>29358</v>
          </cell>
          <cell r="E121">
            <v>5581.59</v>
          </cell>
          <cell r="F121">
            <v>1026.33</v>
          </cell>
          <cell r="G121">
            <v>18.387771226478474</v>
          </cell>
          <cell r="H121">
            <v>9.9499999999999993</v>
          </cell>
        </row>
        <row r="122">
          <cell r="A122" t="str">
            <v>厦门市</v>
          </cell>
          <cell r="B122">
            <v>202.5</v>
          </cell>
          <cell r="C122">
            <v>99.35</v>
          </cell>
          <cell r="D122">
            <v>53626</v>
          </cell>
          <cell r="E122">
            <v>8123.79</v>
          </cell>
          <cell r="F122">
            <v>1480.44</v>
          </cell>
          <cell r="G122">
            <v>18.223513901762605</v>
          </cell>
          <cell r="H122">
            <v>10.68</v>
          </cell>
        </row>
        <row r="123">
          <cell r="A123" t="str">
            <v>莆田市</v>
          </cell>
          <cell r="B123">
            <v>202.82</v>
          </cell>
          <cell r="C123">
            <v>99.99</v>
          </cell>
          <cell r="D123">
            <v>4435</v>
          </cell>
          <cell r="E123">
            <v>1769.98</v>
          </cell>
          <cell r="F123">
            <v>424.8</v>
          </cell>
          <cell r="G123">
            <v>24.000271189504964</v>
          </cell>
          <cell r="H123">
            <v>8.76</v>
          </cell>
        </row>
        <row r="124">
          <cell r="A124" t="str">
            <v>三明市</v>
          </cell>
          <cell r="B124">
            <v>231.53</v>
          </cell>
          <cell r="C124">
            <v>98.24</v>
          </cell>
          <cell r="D124">
            <v>7041</v>
          </cell>
          <cell r="E124">
            <v>1190.46</v>
          </cell>
          <cell r="F124">
            <v>373.88</v>
          </cell>
          <cell r="G124">
            <v>31.406347126320917</v>
          </cell>
          <cell r="H124">
            <v>8.84</v>
          </cell>
        </row>
        <row r="125">
          <cell r="A125" t="str">
            <v>泉州市</v>
          </cell>
          <cell r="B125">
            <v>266.20999999999998</v>
          </cell>
          <cell r="C125">
            <v>99.7</v>
          </cell>
          <cell r="D125">
            <v>5215</v>
          </cell>
          <cell r="E125">
            <v>4020</v>
          </cell>
          <cell r="F125">
            <v>720</v>
          </cell>
          <cell r="G125">
            <v>17.910447761194028</v>
          </cell>
          <cell r="H125">
            <v>8.89</v>
          </cell>
        </row>
        <row r="126">
          <cell r="A126" t="str">
            <v>漳州市</v>
          </cell>
          <cell r="B126">
            <v>242.54</v>
          </cell>
          <cell r="C126">
            <v>99.43</v>
          </cell>
          <cell r="D126">
            <v>3172</v>
          </cell>
          <cell r="E126">
            <v>2331.9299999999998</v>
          </cell>
          <cell r="F126">
            <v>361.46</v>
          </cell>
          <cell r="G126">
            <v>15.500465279832584</v>
          </cell>
          <cell r="H126">
            <v>8.61</v>
          </cell>
        </row>
        <row r="127">
          <cell r="A127" t="str">
            <v>南平市</v>
          </cell>
          <cell r="B127">
            <v>221.22</v>
          </cell>
          <cell r="C127">
            <v>98.44</v>
          </cell>
          <cell r="D127">
            <v>4637</v>
          </cell>
          <cell r="E127">
            <v>488.79</v>
          </cell>
          <cell r="F127">
            <v>79.38</v>
          </cell>
          <cell r="G127">
            <v>16.240103111765787</v>
          </cell>
          <cell r="H127">
            <v>8.74</v>
          </cell>
        </row>
        <row r="128">
          <cell r="A128" t="str">
            <v>龙岩市</v>
          </cell>
          <cell r="B128">
            <v>234.73</v>
          </cell>
          <cell r="C128">
            <v>99.62</v>
          </cell>
          <cell r="D128">
            <v>5751</v>
          </cell>
          <cell r="E128">
            <v>1201.06</v>
          </cell>
          <cell r="F128">
            <v>189.95</v>
          </cell>
          <cell r="G128">
            <v>15.815196576357552</v>
          </cell>
          <cell r="H128">
            <v>8.98</v>
          </cell>
        </row>
        <row r="129">
          <cell r="A129" t="str">
            <v>宁德市</v>
          </cell>
          <cell r="B129">
            <v>236.68</v>
          </cell>
          <cell r="C129">
            <v>99.89</v>
          </cell>
          <cell r="D129">
            <v>3501</v>
          </cell>
          <cell r="E129">
            <v>764.51</v>
          </cell>
          <cell r="F129">
            <v>144.84</v>
          </cell>
          <cell r="G129">
            <v>18.945468339197657</v>
          </cell>
          <cell r="H129">
            <v>8.49</v>
          </cell>
        </row>
        <row r="130">
          <cell r="A130" t="str">
            <v>江西省</v>
          </cell>
        </row>
        <row r="131">
          <cell r="A131" t="str">
            <v>南昌市</v>
          </cell>
          <cell r="B131">
            <v>240.39</v>
          </cell>
          <cell r="C131">
            <v>98</v>
          </cell>
          <cell r="D131">
            <v>21574</v>
          </cell>
          <cell r="E131">
            <v>5567.03</v>
          </cell>
          <cell r="F131">
            <v>927.41</v>
          </cell>
          <cell r="G131">
            <v>16.658972558078545</v>
          </cell>
          <cell r="H131">
            <v>10.52</v>
          </cell>
        </row>
        <row r="132">
          <cell r="A132" t="str">
            <v>景德镇市</v>
          </cell>
          <cell r="B132">
            <v>265.08</v>
          </cell>
          <cell r="C132">
            <v>99.59</v>
          </cell>
          <cell r="D132">
            <v>2348</v>
          </cell>
          <cell r="E132">
            <v>1552.03</v>
          </cell>
          <cell r="F132">
            <v>236.32</v>
          </cell>
          <cell r="G132">
            <v>15.22650979684671</v>
          </cell>
          <cell r="H132">
            <v>9.06</v>
          </cell>
        </row>
        <row r="133">
          <cell r="A133" t="str">
            <v>萍乡市</v>
          </cell>
          <cell r="B133">
            <v>213.19</v>
          </cell>
          <cell r="C133">
            <v>99.53</v>
          </cell>
          <cell r="D133">
            <v>6595</v>
          </cell>
          <cell r="E133">
            <v>1185.19</v>
          </cell>
          <cell r="F133">
            <v>296.77</v>
          </cell>
          <cell r="G133">
            <v>25.039867025540207</v>
          </cell>
          <cell r="H133">
            <v>9.5</v>
          </cell>
        </row>
        <row r="134">
          <cell r="A134" t="str">
            <v>九江市</v>
          </cell>
          <cell r="B134">
            <v>238.55</v>
          </cell>
          <cell r="C134">
            <v>99</v>
          </cell>
          <cell r="D134">
            <v>5579</v>
          </cell>
          <cell r="E134">
            <v>2473.9</v>
          </cell>
          <cell r="F134">
            <v>506.14</v>
          </cell>
          <cell r="G134">
            <v>20.459193985205545</v>
          </cell>
          <cell r="H134">
            <v>9.31</v>
          </cell>
        </row>
        <row r="135">
          <cell r="A135" t="str">
            <v>新余市</v>
          </cell>
          <cell r="B135">
            <v>228.55</v>
          </cell>
          <cell r="C135">
            <v>99.71</v>
          </cell>
          <cell r="D135">
            <v>1860</v>
          </cell>
          <cell r="E135">
            <v>1240.73</v>
          </cell>
          <cell r="F135">
            <v>382.59</v>
          </cell>
          <cell r="G135">
            <v>30.835878877757445</v>
          </cell>
          <cell r="H135">
            <v>9.41</v>
          </cell>
        </row>
        <row r="136">
          <cell r="A136" t="str">
            <v>鹰潭市</v>
          </cell>
          <cell r="B136">
            <v>173.82</v>
          </cell>
          <cell r="C136">
            <v>98.85</v>
          </cell>
          <cell r="D136">
            <v>1113</v>
          </cell>
          <cell r="E136">
            <v>971.54</v>
          </cell>
          <cell r="F136">
            <v>245.58</v>
          </cell>
          <cell r="G136">
            <v>25.27739465178994</v>
          </cell>
          <cell r="H136">
            <v>9.34</v>
          </cell>
        </row>
        <row r="137">
          <cell r="A137" t="str">
            <v>赣州市</v>
          </cell>
          <cell r="B137">
            <v>200.99</v>
          </cell>
          <cell r="C137">
            <v>99.51</v>
          </cell>
          <cell r="D137">
            <v>4134</v>
          </cell>
          <cell r="E137">
            <v>4220.38</v>
          </cell>
          <cell r="F137">
            <v>1025.22</v>
          </cell>
          <cell r="G137">
            <v>24.292125353641143</v>
          </cell>
          <cell r="H137">
            <v>9.09</v>
          </cell>
        </row>
        <row r="138">
          <cell r="A138" t="str">
            <v>吉安市</v>
          </cell>
          <cell r="B138">
            <v>156.56</v>
          </cell>
          <cell r="C138">
            <v>98.29</v>
          </cell>
          <cell r="D138">
            <v>4282</v>
          </cell>
          <cell r="E138">
            <v>1291.26</v>
          </cell>
          <cell r="F138">
            <v>325.29000000000002</v>
          </cell>
          <cell r="G138">
            <v>25.191673249384323</v>
          </cell>
          <cell r="H138">
            <v>8.7100000000000009</v>
          </cell>
        </row>
        <row r="139">
          <cell r="A139" t="str">
            <v>宜春市</v>
          </cell>
          <cell r="B139">
            <v>154.96</v>
          </cell>
          <cell r="C139">
            <v>98.51</v>
          </cell>
          <cell r="D139">
            <v>3642</v>
          </cell>
          <cell r="E139">
            <v>1788.51</v>
          </cell>
          <cell r="F139">
            <v>306.58</v>
          </cell>
          <cell r="G139">
            <v>17.141643043650859</v>
          </cell>
          <cell r="H139">
            <v>9.0500000000000007</v>
          </cell>
        </row>
        <row r="140">
          <cell r="A140" t="str">
            <v>抚州市</v>
          </cell>
          <cell r="B140">
            <v>193.75</v>
          </cell>
          <cell r="C140">
            <v>99.69</v>
          </cell>
          <cell r="D140">
            <v>10881</v>
          </cell>
          <cell r="E140">
            <v>2375.36</v>
          </cell>
          <cell r="F140">
            <v>624.64</v>
          </cell>
          <cell r="G140">
            <v>26.296645561093897</v>
          </cell>
          <cell r="H140">
            <v>8.68</v>
          </cell>
        </row>
        <row r="141">
          <cell r="A141" t="str">
            <v>上饶市</v>
          </cell>
          <cell r="B141">
            <v>200.05</v>
          </cell>
          <cell r="C141">
            <v>99.48</v>
          </cell>
          <cell r="D141">
            <v>3516</v>
          </cell>
          <cell r="E141">
            <v>2291.4</v>
          </cell>
          <cell r="F141">
            <v>308.91000000000003</v>
          </cell>
          <cell r="G141">
            <v>13.481277821419221</v>
          </cell>
          <cell r="H141">
            <v>8.85</v>
          </cell>
        </row>
        <row r="142">
          <cell r="A142" t="str">
            <v>山东省</v>
          </cell>
        </row>
        <row r="143">
          <cell r="A143" t="str">
            <v>济南市</v>
          </cell>
          <cell r="B143">
            <v>142.03</v>
          </cell>
          <cell r="C143">
            <v>100</v>
          </cell>
          <cell r="D143">
            <v>52567</v>
          </cell>
          <cell r="E143">
            <v>13644.48</v>
          </cell>
          <cell r="F143">
            <v>2742.4</v>
          </cell>
          <cell r="G143">
            <v>20.098970426135697</v>
          </cell>
          <cell r="H143">
            <v>10.54</v>
          </cell>
        </row>
        <row r="144">
          <cell r="A144" t="str">
            <v>青岛市</v>
          </cell>
          <cell r="B144">
            <v>144.66</v>
          </cell>
          <cell r="C144">
            <v>100</v>
          </cell>
          <cell r="D144">
            <v>65014</v>
          </cell>
          <cell r="E144">
            <v>11545.82</v>
          </cell>
          <cell r="F144">
            <v>2517.11</v>
          </cell>
          <cell r="G144">
            <v>21.801050076997562</v>
          </cell>
          <cell r="H144">
            <v>10.43</v>
          </cell>
        </row>
        <row r="145">
          <cell r="A145" t="str">
            <v>淄博市</v>
          </cell>
          <cell r="B145">
            <v>119.34</v>
          </cell>
          <cell r="C145">
            <v>100</v>
          </cell>
          <cell r="D145">
            <v>6397</v>
          </cell>
          <cell r="E145">
            <v>6630.78</v>
          </cell>
          <cell r="F145">
            <v>1309.17</v>
          </cell>
          <cell r="G145">
            <v>19.743831042501789</v>
          </cell>
          <cell r="H145">
            <v>10.07</v>
          </cell>
        </row>
        <row r="146">
          <cell r="A146" t="str">
            <v>枣庄市</v>
          </cell>
          <cell r="B146">
            <v>100.71</v>
          </cell>
          <cell r="C146">
            <v>99.9</v>
          </cell>
          <cell r="D146">
            <v>4392</v>
          </cell>
          <cell r="E146">
            <v>3105.61</v>
          </cell>
          <cell r="F146">
            <v>713.67</v>
          </cell>
          <cell r="G146">
            <v>22.980026468230072</v>
          </cell>
          <cell r="H146">
            <v>8.86</v>
          </cell>
        </row>
        <row r="147">
          <cell r="A147" t="str">
            <v>东营市</v>
          </cell>
          <cell r="B147">
            <v>206.82</v>
          </cell>
          <cell r="C147">
            <v>99.96</v>
          </cell>
          <cell r="D147">
            <v>4603</v>
          </cell>
          <cell r="E147">
            <v>3376.1</v>
          </cell>
          <cell r="F147">
            <v>730.03</v>
          </cell>
          <cell r="G147">
            <v>21.623470868753888</v>
          </cell>
          <cell r="H147">
            <v>10.220000000000001</v>
          </cell>
        </row>
        <row r="148">
          <cell r="A148" t="str">
            <v>烟台市</v>
          </cell>
          <cell r="B148">
            <v>134.59</v>
          </cell>
          <cell r="C148">
            <v>97.98</v>
          </cell>
          <cell r="D148">
            <v>19396</v>
          </cell>
          <cell r="E148">
            <v>7429.59</v>
          </cell>
          <cell r="F148">
            <v>1429.43</v>
          </cell>
          <cell r="G148">
            <v>19.239688865738216</v>
          </cell>
          <cell r="H148">
            <v>10.01</v>
          </cell>
        </row>
        <row r="149">
          <cell r="A149" t="str">
            <v>潍坊市</v>
          </cell>
          <cell r="B149">
            <v>110.63</v>
          </cell>
          <cell r="C149">
            <v>100</v>
          </cell>
          <cell r="D149">
            <v>7040</v>
          </cell>
          <cell r="E149">
            <v>4921.5</v>
          </cell>
          <cell r="F149">
            <v>1161.22</v>
          </cell>
          <cell r="G149">
            <v>23.594838971858174</v>
          </cell>
          <cell r="H149">
            <v>9.6</v>
          </cell>
        </row>
        <row r="150">
          <cell r="A150" t="str">
            <v>济宁市</v>
          </cell>
          <cell r="B150">
            <v>113.32</v>
          </cell>
          <cell r="C150">
            <v>98.99</v>
          </cell>
          <cell r="D150">
            <v>5447</v>
          </cell>
          <cell r="E150">
            <v>6123.67</v>
          </cell>
          <cell r="F150">
            <v>1120.45</v>
          </cell>
          <cell r="G150">
            <v>18.297034294793811</v>
          </cell>
          <cell r="H150">
            <v>8.9700000000000006</v>
          </cell>
        </row>
        <row r="151">
          <cell r="A151" t="str">
            <v>泰安市</v>
          </cell>
          <cell r="B151">
            <v>100.42</v>
          </cell>
          <cell r="C151">
            <v>100</v>
          </cell>
          <cell r="D151">
            <v>4278</v>
          </cell>
          <cell r="E151">
            <v>3139.5</v>
          </cell>
          <cell r="F151">
            <v>468.76</v>
          </cell>
          <cell r="G151">
            <v>14.931039974518235</v>
          </cell>
          <cell r="H151">
            <v>9.27</v>
          </cell>
        </row>
        <row r="152">
          <cell r="A152" t="str">
            <v>威海市</v>
          </cell>
          <cell r="B152">
            <v>117.44</v>
          </cell>
          <cell r="C152">
            <v>100</v>
          </cell>
          <cell r="D152">
            <v>10278</v>
          </cell>
          <cell r="E152">
            <v>4425.12</v>
          </cell>
          <cell r="F152">
            <v>741.94</v>
          </cell>
          <cell r="G152">
            <v>16.76655096358969</v>
          </cell>
          <cell r="H152">
            <v>10.09</v>
          </cell>
        </row>
        <row r="153">
          <cell r="A153" t="str">
            <v>日照市</v>
          </cell>
          <cell r="B153">
            <v>135.55000000000001</v>
          </cell>
          <cell r="C153">
            <v>99.92</v>
          </cell>
          <cell r="D153">
            <v>4590</v>
          </cell>
          <cell r="E153">
            <v>2124.2800000000002</v>
          </cell>
          <cell r="F153">
            <v>401.74</v>
          </cell>
          <cell r="G153">
            <v>18.911819534148037</v>
          </cell>
          <cell r="H153">
            <v>9.07</v>
          </cell>
        </row>
        <row r="154">
          <cell r="A154" t="str">
            <v>临沂市</v>
          </cell>
          <cell r="B154">
            <v>122.47</v>
          </cell>
          <cell r="C154">
            <v>96.59</v>
          </cell>
          <cell r="D154">
            <v>4742</v>
          </cell>
          <cell r="E154">
            <v>6128.99</v>
          </cell>
          <cell r="F154">
            <v>919.59</v>
          </cell>
          <cell r="G154">
            <v>15.00394029032516</v>
          </cell>
          <cell r="H154">
            <v>8.35</v>
          </cell>
        </row>
        <row r="155">
          <cell r="A155" t="str">
            <v>德州市</v>
          </cell>
          <cell r="B155">
            <v>118.1</v>
          </cell>
          <cell r="C155">
            <v>100</v>
          </cell>
          <cell r="D155">
            <v>1310</v>
          </cell>
          <cell r="E155">
            <v>2676.53</v>
          </cell>
          <cell r="F155">
            <v>1030.49</v>
          </cell>
          <cell r="G155">
            <v>38.500969538917921</v>
          </cell>
          <cell r="H155">
            <v>8.9600000000000009</v>
          </cell>
        </row>
        <row r="156">
          <cell r="A156" t="str">
            <v>聊城市</v>
          </cell>
          <cell r="B156">
            <v>92.61</v>
          </cell>
          <cell r="C156">
            <v>100</v>
          </cell>
          <cell r="D156">
            <v>3021</v>
          </cell>
          <cell r="E156">
            <v>3160.21</v>
          </cell>
          <cell r="F156">
            <v>632.34</v>
          </cell>
          <cell r="G156">
            <v>20.009429753086032</v>
          </cell>
          <cell r="H156">
            <v>8.84</v>
          </cell>
        </row>
        <row r="157">
          <cell r="A157" t="str">
            <v>滨州市</v>
          </cell>
          <cell r="B157">
            <v>181.29</v>
          </cell>
          <cell r="C157">
            <v>100</v>
          </cell>
          <cell r="D157">
            <v>966</v>
          </cell>
          <cell r="E157">
            <v>2775.18</v>
          </cell>
          <cell r="F157">
            <v>478.87</v>
          </cell>
          <cell r="G157">
            <v>17.255457303670394</v>
          </cell>
          <cell r="H157">
            <v>8.93</v>
          </cell>
        </row>
        <row r="158">
          <cell r="A158" t="str">
            <v>菏泽市</v>
          </cell>
          <cell r="B158">
            <v>137.32</v>
          </cell>
          <cell r="C158">
            <v>90.42</v>
          </cell>
          <cell r="D158">
            <v>4253</v>
          </cell>
          <cell r="E158">
            <v>3807.48</v>
          </cell>
          <cell r="F158">
            <v>857.52</v>
          </cell>
          <cell r="G158">
            <v>22.521983043903056</v>
          </cell>
          <cell r="H158">
            <v>8.1300000000000008</v>
          </cell>
        </row>
        <row r="159">
          <cell r="A159" t="str">
            <v>河南省</v>
          </cell>
        </row>
        <row r="160">
          <cell r="A160" t="str">
            <v>郑州市</v>
          </cell>
          <cell r="B160">
            <v>142.13999999999999</v>
          </cell>
          <cell r="C160">
            <v>95.14</v>
          </cell>
          <cell r="D160">
            <v>55480</v>
          </cell>
          <cell r="E160">
            <v>7604.07</v>
          </cell>
          <cell r="F160">
            <v>1389.85</v>
          </cell>
          <cell r="G160">
            <v>18.277711804336359</v>
          </cell>
          <cell r="H160">
            <v>11.11</v>
          </cell>
        </row>
        <row r="161">
          <cell r="A161" t="str">
            <v>开封市</v>
          </cell>
          <cell r="B161">
            <v>168.96</v>
          </cell>
          <cell r="C161">
            <v>99.64</v>
          </cell>
          <cell r="D161">
            <v>3957</v>
          </cell>
          <cell r="E161">
            <v>2272.5300000000002</v>
          </cell>
          <cell r="F161">
            <v>578.30999999999995</v>
          </cell>
          <cell r="G161">
            <v>25.447848873282197</v>
          </cell>
          <cell r="H161">
            <v>8.94</v>
          </cell>
        </row>
        <row r="162">
          <cell r="A162" t="str">
            <v>洛阳市</v>
          </cell>
          <cell r="B162">
            <v>167.97</v>
          </cell>
          <cell r="C162">
            <v>96.56</v>
          </cell>
          <cell r="D162">
            <v>13434</v>
          </cell>
          <cell r="E162">
            <v>3899.42</v>
          </cell>
          <cell r="F162">
            <v>768.95</v>
          </cell>
          <cell r="G162">
            <v>19.719599325027826</v>
          </cell>
          <cell r="H162">
            <v>9.74</v>
          </cell>
        </row>
        <row r="163">
          <cell r="A163" t="str">
            <v>平顶山市</v>
          </cell>
          <cell r="B163">
            <v>155.18</v>
          </cell>
          <cell r="C163">
            <v>99.03</v>
          </cell>
          <cell r="D163">
            <v>4326</v>
          </cell>
          <cell r="E163">
            <v>1714.59</v>
          </cell>
          <cell r="F163">
            <v>324.83999999999997</v>
          </cell>
          <cell r="G163">
            <v>18.945637149405982</v>
          </cell>
          <cell r="H163">
            <v>9.1</v>
          </cell>
        </row>
        <row r="164">
          <cell r="A164" t="str">
            <v>安阳市</v>
          </cell>
          <cell r="B164">
            <v>195.55</v>
          </cell>
          <cell r="C164">
            <v>99.61</v>
          </cell>
          <cell r="D164">
            <v>4632</v>
          </cell>
          <cell r="E164">
            <v>1651.39</v>
          </cell>
          <cell r="F164">
            <v>398.99</v>
          </cell>
          <cell r="G164">
            <v>24.160858428354295</v>
          </cell>
          <cell r="H164">
            <v>8.9700000000000006</v>
          </cell>
        </row>
        <row r="165">
          <cell r="A165" t="str">
            <v>鹤壁市</v>
          </cell>
          <cell r="B165">
            <v>79.62</v>
          </cell>
          <cell r="C165">
            <v>99.47</v>
          </cell>
          <cell r="D165">
            <v>1837</v>
          </cell>
          <cell r="E165">
            <v>1093.6400000000001</v>
          </cell>
          <cell r="F165">
            <v>220.75</v>
          </cell>
          <cell r="G165">
            <v>20.184887165794958</v>
          </cell>
          <cell r="H165">
            <v>9.26</v>
          </cell>
        </row>
        <row r="166">
          <cell r="A166" t="str">
            <v>新乡市</v>
          </cell>
          <cell r="B166">
            <v>162.33000000000001</v>
          </cell>
          <cell r="C166">
            <v>99.46</v>
          </cell>
          <cell r="D166">
            <v>4378</v>
          </cell>
          <cell r="E166">
            <v>1229.71</v>
          </cell>
          <cell r="F166">
            <v>326.98</v>
          </cell>
          <cell r="G166">
            <v>26.590009026518445</v>
          </cell>
          <cell r="H166">
            <v>9.68</v>
          </cell>
        </row>
        <row r="167">
          <cell r="A167" t="str">
            <v>焦作市</v>
          </cell>
          <cell r="B167">
            <v>130.08000000000001</v>
          </cell>
          <cell r="C167">
            <v>99.28</v>
          </cell>
          <cell r="D167">
            <v>4438</v>
          </cell>
          <cell r="E167">
            <v>1966.36</v>
          </cell>
          <cell r="F167">
            <v>428.36</v>
          </cell>
          <cell r="G167">
            <v>21.784413840802298</v>
          </cell>
          <cell r="H167">
            <v>10</v>
          </cell>
        </row>
        <row r="168">
          <cell r="A168" t="str">
            <v>濮阳市</v>
          </cell>
          <cell r="B168">
            <v>173.18</v>
          </cell>
          <cell r="C168">
            <v>100</v>
          </cell>
          <cell r="D168">
            <v>1980</v>
          </cell>
          <cell r="E168">
            <v>1156.69</v>
          </cell>
          <cell r="F168">
            <v>294.81</v>
          </cell>
          <cell r="G168">
            <v>25.487382098920193</v>
          </cell>
          <cell r="H168">
            <v>8.86</v>
          </cell>
        </row>
        <row r="169">
          <cell r="A169" t="str">
            <v>许昌市</v>
          </cell>
          <cell r="B169">
            <v>134.19999999999999</v>
          </cell>
          <cell r="C169">
            <v>98.89</v>
          </cell>
          <cell r="D169">
            <v>4340</v>
          </cell>
          <cell r="E169">
            <v>2069.91</v>
          </cell>
          <cell r="F169">
            <v>328.27</v>
          </cell>
          <cell r="G169">
            <v>15.859143634264292</v>
          </cell>
          <cell r="H169">
            <v>9.24</v>
          </cell>
        </row>
        <row r="170">
          <cell r="A170" t="str">
            <v>漯河市</v>
          </cell>
          <cell r="B170">
            <v>166.53</v>
          </cell>
          <cell r="C170">
            <v>100</v>
          </cell>
          <cell r="D170">
            <v>3300</v>
          </cell>
          <cell r="E170">
            <v>1191.52</v>
          </cell>
          <cell r="F170">
            <v>322.37</v>
          </cell>
          <cell r="G170">
            <v>27.055357862226398</v>
          </cell>
          <cell r="H170">
            <v>9.33</v>
          </cell>
        </row>
        <row r="171">
          <cell r="A171" t="str">
            <v>三门峡市</v>
          </cell>
          <cell r="B171">
            <v>100.02</v>
          </cell>
          <cell r="C171">
            <v>96.6</v>
          </cell>
          <cell r="D171">
            <v>4443</v>
          </cell>
          <cell r="E171">
            <v>698.04</v>
          </cell>
          <cell r="F171">
            <v>185.48</v>
          </cell>
          <cell r="G171">
            <v>26.571543178041374</v>
          </cell>
          <cell r="H171">
            <v>9.66</v>
          </cell>
        </row>
        <row r="172">
          <cell r="A172" t="str">
            <v>南阳市</v>
          </cell>
          <cell r="B172">
            <v>93.68</v>
          </cell>
          <cell r="C172">
            <v>100</v>
          </cell>
          <cell r="D172">
            <v>8450</v>
          </cell>
          <cell r="E172">
            <v>2523.3200000000002</v>
          </cell>
          <cell r="F172">
            <v>720.37</v>
          </cell>
          <cell r="G172">
            <v>28.54849959577065</v>
          </cell>
          <cell r="H172">
            <v>8.65</v>
          </cell>
        </row>
        <row r="173">
          <cell r="A173" t="str">
            <v>商丘市</v>
          </cell>
          <cell r="B173">
            <v>122.37</v>
          </cell>
          <cell r="C173">
            <v>98.7</v>
          </cell>
          <cell r="D173">
            <v>8200</v>
          </cell>
          <cell r="E173">
            <v>1548.29</v>
          </cell>
          <cell r="F173">
            <v>388.98</v>
          </cell>
          <cell r="G173">
            <v>25.123200434027222</v>
          </cell>
          <cell r="H173">
            <v>8.59</v>
          </cell>
        </row>
        <row r="174">
          <cell r="A174" t="str">
            <v>信阳市</v>
          </cell>
          <cell r="B174">
            <v>154.54</v>
          </cell>
          <cell r="C174">
            <v>100</v>
          </cell>
          <cell r="D174">
            <v>2518</v>
          </cell>
          <cell r="E174">
            <v>950.11</v>
          </cell>
          <cell r="F174">
            <v>236.37</v>
          </cell>
          <cell r="G174">
            <v>24.878172001136711</v>
          </cell>
          <cell r="H174">
            <v>8.51</v>
          </cell>
        </row>
        <row r="175">
          <cell r="A175" t="str">
            <v>周口市</v>
          </cell>
          <cell r="B175">
            <v>135.19999999999999</v>
          </cell>
          <cell r="C175">
            <v>99.4</v>
          </cell>
          <cell r="D175">
            <v>3281</v>
          </cell>
          <cell r="E175">
            <v>1677.21</v>
          </cell>
          <cell r="F175">
            <v>421.66</v>
          </cell>
          <cell r="G175">
            <v>25.140560812301381</v>
          </cell>
          <cell r="H175">
            <v>8.31</v>
          </cell>
        </row>
        <row r="176">
          <cell r="A176" t="str">
            <v>驻马店市</v>
          </cell>
          <cell r="B176">
            <v>186.88</v>
          </cell>
          <cell r="C176">
            <v>100</v>
          </cell>
          <cell r="D176">
            <v>5383</v>
          </cell>
          <cell r="E176">
            <v>1658.42</v>
          </cell>
          <cell r="F176">
            <v>355.32</v>
          </cell>
          <cell r="G176">
            <v>21.425211948722275</v>
          </cell>
          <cell r="H176">
            <v>8.64</v>
          </cell>
        </row>
        <row r="177">
          <cell r="A177" t="str">
            <v>湖北省</v>
          </cell>
        </row>
        <row r="178">
          <cell r="A178" t="str">
            <v>武汉市</v>
          </cell>
          <cell r="B178">
            <v>196.52</v>
          </cell>
          <cell r="C178">
            <v>99.37</v>
          </cell>
          <cell r="D178">
            <v>58586</v>
          </cell>
          <cell r="E178">
            <v>14300</v>
          </cell>
          <cell r="F178">
            <v>4290</v>
          </cell>
          <cell r="G178">
            <v>30</v>
          </cell>
          <cell r="H178">
            <v>11.54</v>
          </cell>
        </row>
        <row r="179">
          <cell r="A179" t="str">
            <v>黄石市</v>
          </cell>
          <cell r="B179">
            <v>227.92</v>
          </cell>
          <cell r="C179">
            <v>99.3</v>
          </cell>
          <cell r="D179">
            <v>8397</v>
          </cell>
          <cell r="E179">
            <v>1981.38</v>
          </cell>
          <cell r="F179">
            <v>340.03</v>
          </cell>
          <cell r="G179">
            <v>17.161271437079208</v>
          </cell>
          <cell r="H179">
            <v>9.19</v>
          </cell>
        </row>
        <row r="180">
          <cell r="A180" t="str">
            <v>十堰市</v>
          </cell>
          <cell r="B180">
            <v>242.48</v>
          </cell>
          <cell r="C180">
            <v>98.49</v>
          </cell>
          <cell r="D180">
            <v>14641</v>
          </cell>
          <cell r="E180">
            <v>1874.33</v>
          </cell>
          <cell r="F180">
            <v>388.95</v>
          </cell>
          <cell r="G180">
            <v>20.751415172354921</v>
          </cell>
          <cell r="H180">
            <v>9.17</v>
          </cell>
        </row>
        <row r="181">
          <cell r="A181" t="str">
            <v>宜昌市</v>
          </cell>
          <cell r="B181">
            <v>226.15</v>
          </cell>
          <cell r="C181">
            <v>99.1</v>
          </cell>
          <cell r="D181">
            <v>8001</v>
          </cell>
          <cell r="E181">
            <v>3169.71</v>
          </cell>
          <cell r="F181">
            <v>624.62</v>
          </cell>
          <cell r="G181">
            <v>19.705903694659764</v>
          </cell>
          <cell r="H181">
            <v>9.9600000000000009</v>
          </cell>
        </row>
        <row r="182">
          <cell r="A182" t="str">
            <v>襄阳市</v>
          </cell>
          <cell r="B182">
            <v>127.39</v>
          </cell>
          <cell r="C182">
            <v>100</v>
          </cell>
          <cell r="D182">
            <v>14649</v>
          </cell>
          <cell r="E182">
            <v>2433.9699999999998</v>
          </cell>
          <cell r="F182">
            <v>492.75</v>
          </cell>
          <cell r="G182">
            <v>20.244703098230467</v>
          </cell>
          <cell r="H182">
            <v>9.27</v>
          </cell>
        </row>
        <row r="183">
          <cell r="A183" t="str">
            <v>鄂州市</v>
          </cell>
          <cell r="B183">
            <v>179.49</v>
          </cell>
          <cell r="C183">
            <v>99.9</v>
          </cell>
          <cell r="D183">
            <v>2712</v>
          </cell>
          <cell r="E183">
            <v>683.82</v>
          </cell>
          <cell r="F183">
            <v>153.47</v>
          </cell>
          <cell r="G183">
            <v>22.443040566230877</v>
          </cell>
          <cell r="H183">
            <v>9.57</v>
          </cell>
        </row>
        <row r="184">
          <cell r="A184" t="str">
            <v>荆门市</v>
          </cell>
          <cell r="B184">
            <v>149.12</v>
          </cell>
          <cell r="C184">
            <v>100</v>
          </cell>
          <cell r="D184">
            <v>6000</v>
          </cell>
          <cell r="E184">
            <v>1329.66</v>
          </cell>
          <cell r="F184">
            <v>302.79000000000002</v>
          </cell>
          <cell r="G184">
            <v>22.77198682369929</v>
          </cell>
          <cell r="H184">
            <v>9.98</v>
          </cell>
        </row>
        <row r="185">
          <cell r="A185" t="str">
            <v>孝感市</v>
          </cell>
          <cell r="B185">
            <v>212.28</v>
          </cell>
          <cell r="C185">
            <v>98.72</v>
          </cell>
          <cell r="D185">
            <v>1200</v>
          </cell>
          <cell r="E185">
            <v>1607.71</v>
          </cell>
          <cell r="F185">
            <v>349.1</v>
          </cell>
          <cell r="G185">
            <v>21.714115107824171</v>
          </cell>
          <cell r="H185">
            <v>8.8000000000000007</v>
          </cell>
        </row>
        <row r="186">
          <cell r="A186" t="str">
            <v>荆州市</v>
          </cell>
          <cell r="B186">
            <v>216.94</v>
          </cell>
          <cell r="C186">
            <v>99.86</v>
          </cell>
          <cell r="D186">
            <v>9814</v>
          </cell>
          <cell r="E186">
            <v>2260.2399999999998</v>
          </cell>
          <cell r="F186">
            <v>637.96</v>
          </cell>
          <cell r="G186">
            <v>28.225321204827807</v>
          </cell>
          <cell r="H186">
            <v>9.0299999999999994</v>
          </cell>
        </row>
        <row r="187">
          <cell r="A187" t="str">
            <v>黄冈市</v>
          </cell>
          <cell r="B187">
            <v>263.61</v>
          </cell>
          <cell r="C187">
            <v>100</v>
          </cell>
          <cell r="D187">
            <v>772</v>
          </cell>
          <cell r="E187">
            <v>574</v>
          </cell>
          <cell r="F187">
            <v>126</v>
          </cell>
          <cell r="G187">
            <v>21.951219512195124</v>
          </cell>
          <cell r="H187">
            <v>8.6199999999999992</v>
          </cell>
        </row>
        <row r="188">
          <cell r="A188" t="str">
            <v>咸宁市</v>
          </cell>
          <cell r="B188">
            <v>196.26</v>
          </cell>
          <cell r="C188">
            <v>99.98</v>
          </cell>
          <cell r="D188">
            <v>1047</v>
          </cell>
          <cell r="E188">
            <v>2153.15</v>
          </cell>
          <cell r="F188">
            <v>358.11</v>
          </cell>
          <cell r="G188">
            <v>16.631911385644287</v>
          </cell>
          <cell r="H188">
            <v>9.08</v>
          </cell>
        </row>
        <row r="189">
          <cell r="A189" t="str">
            <v>随州市</v>
          </cell>
          <cell r="B189">
            <v>219.04</v>
          </cell>
          <cell r="C189">
            <v>98.99</v>
          </cell>
          <cell r="D189">
            <v>1606</v>
          </cell>
          <cell r="E189">
            <v>802.37</v>
          </cell>
          <cell r="F189">
            <v>204.06</v>
          </cell>
          <cell r="G189">
            <v>25.432157234193703</v>
          </cell>
          <cell r="H189">
            <v>9.1199999999999992</v>
          </cell>
        </row>
        <row r="190">
          <cell r="A190" t="str">
            <v>湖南省</v>
          </cell>
        </row>
        <row r="191">
          <cell r="A191" t="str">
            <v>长沙市</v>
          </cell>
          <cell r="B191">
            <v>224.86</v>
          </cell>
          <cell r="C191">
            <v>99.6</v>
          </cell>
          <cell r="D191">
            <v>41359</v>
          </cell>
          <cell r="E191">
            <v>8861.01</v>
          </cell>
          <cell r="F191">
            <v>1879.2</v>
          </cell>
          <cell r="G191">
            <v>21.207514718976732</v>
          </cell>
          <cell r="H191">
            <v>11.02</v>
          </cell>
        </row>
        <row r="192">
          <cell r="A192" t="str">
            <v>株洲市</v>
          </cell>
          <cell r="B192">
            <v>221.95</v>
          </cell>
          <cell r="C192">
            <v>97.67</v>
          </cell>
          <cell r="D192">
            <v>9610</v>
          </cell>
          <cell r="E192">
            <v>3388.26</v>
          </cell>
          <cell r="F192">
            <v>670.75</v>
          </cell>
          <cell r="G192">
            <v>19.796296624226002</v>
          </cell>
          <cell r="H192">
            <v>9.76</v>
          </cell>
        </row>
        <row r="193">
          <cell r="A193" t="str">
            <v>湘潭市</v>
          </cell>
          <cell r="B193">
            <v>153.71</v>
          </cell>
          <cell r="C193">
            <v>96.88</v>
          </cell>
          <cell r="D193">
            <v>6460</v>
          </cell>
          <cell r="E193">
            <v>1660</v>
          </cell>
          <cell r="F193">
            <v>215.8</v>
          </cell>
          <cell r="G193">
            <v>13</v>
          </cell>
          <cell r="H193">
            <v>10.09</v>
          </cell>
        </row>
        <row r="194">
          <cell r="A194" t="str">
            <v>衡阳市</v>
          </cell>
          <cell r="B194">
            <v>218.99</v>
          </cell>
          <cell r="C194">
            <v>96.31</v>
          </cell>
          <cell r="D194">
            <v>7591</v>
          </cell>
          <cell r="E194">
            <v>2252.12</v>
          </cell>
          <cell r="F194">
            <v>435.16</v>
          </cell>
          <cell r="G194">
            <v>19.322238601850703</v>
          </cell>
          <cell r="H194">
            <v>9.06</v>
          </cell>
        </row>
        <row r="195">
          <cell r="A195" t="str">
            <v>邵阳市</v>
          </cell>
          <cell r="B195">
            <v>216.42</v>
          </cell>
          <cell r="C195">
            <v>95.44</v>
          </cell>
          <cell r="D195">
            <v>5572</v>
          </cell>
          <cell r="E195">
            <v>1446.09</v>
          </cell>
          <cell r="F195">
            <v>442.54</v>
          </cell>
          <cell r="G195">
            <v>30.602521281524663</v>
          </cell>
          <cell r="H195">
            <v>9.0299999999999994</v>
          </cell>
        </row>
        <row r="196">
          <cell r="A196" t="str">
            <v>岳阳市</v>
          </cell>
          <cell r="B196">
            <v>217.02</v>
          </cell>
          <cell r="C196">
            <v>99.86</v>
          </cell>
          <cell r="D196">
            <v>12190</v>
          </cell>
          <cell r="E196">
            <v>2430.25</v>
          </cell>
          <cell r="F196">
            <v>559.13</v>
          </cell>
          <cell r="G196">
            <v>23.007098035181567</v>
          </cell>
          <cell r="H196">
            <v>9.64</v>
          </cell>
        </row>
        <row r="197">
          <cell r="A197" t="str">
            <v>常德市</v>
          </cell>
          <cell r="B197">
            <v>230</v>
          </cell>
          <cell r="C197">
            <v>98.08</v>
          </cell>
          <cell r="D197">
            <v>7800</v>
          </cell>
          <cell r="E197">
            <v>2576.0300000000002</v>
          </cell>
          <cell r="F197">
            <v>573.98</v>
          </cell>
          <cell r="G197">
            <v>22.281572807770093</v>
          </cell>
          <cell r="H197">
            <v>9.23</v>
          </cell>
        </row>
        <row r="198">
          <cell r="A198" t="str">
            <v>张家界市</v>
          </cell>
          <cell r="B198">
            <v>212.59</v>
          </cell>
          <cell r="C198">
            <v>91.12</v>
          </cell>
          <cell r="D198">
            <v>6003</v>
          </cell>
          <cell r="E198">
            <v>482.88</v>
          </cell>
          <cell r="F198">
            <v>93.2</v>
          </cell>
          <cell r="G198">
            <v>19.300861497680582</v>
          </cell>
          <cell r="H198">
            <v>8.94</v>
          </cell>
        </row>
        <row r="199">
          <cell r="A199" t="str">
            <v>益阳市</v>
          </cell>
          <cell r="B199">
            <v>224.47</v>
          </cell>
          <cell r="C199">
            <v>99.59</v>
          </cell>
          <cell r="D199">
            <v>6680</v>
          </cell>
          <cell r="E199">
            <v>1693.83</v>
          </cell>
          <cell r="F199">
            <v>659.71</v>
          </cell>
          <cell r="G199">
            <v>38.94782829445694</v>
          </cell>
          <cell r="H199">
            <v>8.99</v>
          </cell>
        </row>
        <row r="200">
          <cell r="A200" t="str">
            <v>郴州市</v>
          </cell>
          <cell r="B200">
            <v>242.52</v>
          </cell>
          <cell r="C200">
            <v>97.56</v>
          </cell>
          <cell r="D200">
            <v>14185</v>
          </cell>
          <cell r="E200">
            <v>1467.28</v>
          </cell>
          <cell r="F200">
            <v>382.41</v>
          </cell>
          <cell r="G200">
            <v>26.062510222997659</v>
          </cell>
          <cell r="H200">
            <v>9.09</v>
          </cell>
        </row>
        <row r="201">
          <cell r="A201" t="str">
            <v>永州市</v>
          </cell>
          <cell r="B201">
            <v>357.37</v>
          </cell>
          <cell r="C201">
            <v>98.11</v>
          </cell>
          <cell r="D201">
            <v>8728</v>
          </cell>
          <cell r="E201">
            <v>1326.66</v>
          </cell>
          <cell r="F201">
            <v>373.73</v>
          </cell>
          <cell r="G201">
            <v>28.170744576605912</v>
          </cell>
          <cell r="H201">
            <v>8.86</v>
          </cell>
        </row>
        <row r="202">
          <cell r="A202" t="str">
            <v>怀化市</v>
          </cell>
          <cell r="B202">
            <v>202.08</v>
          </cell>
          <cell r="C202">
            <v>96.05</v>
          </cell>
          <cell r="D202">
            <v>4354</v>
          </cell>
          <cell r="E202">
            <v>737.74</v>
          </cell>
          <cell r="F202">
            <v>213.93</v>
          </cell>
          <cell r="G202">
            <v>28.998020983002142</v>
          </cell>
          <cell r="H202">
            <v>8.8000000000000007</v>
          </cell>
        </row>
        <row r="203">
          <cell r="A203" t="str">
            <v>娄底市</v>
          </cell>
          <cell r="B203">
            <v>231.58</v>
          </cell>
          <cell r="C203">
            <v>99.25</v>
          </cell>
          <cell r="E203">
            <v>1254.2</v>
          </cell>
          <cell r="F203">
            <v>285.75</v>
          </cell>
          <cell r="G203">
            <v>22.783447616010204</v>
          </cell>
          <cell r="H203">
            <v>9.23</v>
          </cell>
        </row>
        <row r="204">
          <cell r="A204" t="str">
            <v>广东省</v>
          </cell>
        </row>
        <row r="205">
          <cell r="A205" t="str">
            <v>广州市</v>
          </cell>
          <cell r="B205">
            <v>356.47</v>
          </cell>
          <cell r="C205">
            <v>97.17</v>
          </cell>
          <cell r="D205">
            <v>136066</v>
          </cell>
          <cell r="E205">
            <v>22242.95</v>
          </cell>
          <cell r="F205">
            <v>2382.64</v>
          </cell>
          <cell r="G205">
            <v>10.711888486014669</v>
          </cell>
          <cell r="H205">
            <v>11.2</v>
          </cell>
        </row>
        <row r="206">
          <cell r="A206" t="str">
            <v>韶关市</v>
          </cell>
          <cell r="B206">
            <v>317.8</v>
          </cell>
          <cell r="C206">
            <v>99.67</v>
          </cell>
          <cell r="D206">
            <v>2753</v>
          </cell>
          <cell r="E206">
            <v>885.01</v>
          </cell>
          <cell r="F206">
            <v>198.86</v>
          </cell>
          <cell r="G206">
            <v>22.469802601100554</v>
          </cell>
          <cell r="H206">
            <v>9.18</v>
          </cell>
        </row>
        <row r="207">
          <cell r="A207" t="str">
            <v>深圳市</v>
          </cell>
          <cell r="B207">
            <v>189.09</v>
          </cell>
          <cell r="C207">
            <v>100</v>
          </cell>
          <cell r="D207">
            <v>138039</v>
          </cell>
          <cell r="E207">
            <v>14554.3</v>
          </cell>
          <cell r="F207">
            <v>2732.86</v>
          </cell>
          <cell r="G207">
            <v>18.776993740681451</v>
          </cell>
          <cell r="H207">
            <v>11.38</v>
          </cell>
        </row>
        <row r="208">
          <cell r="A208" t="str">
            <v>珠海市</v>
          </cell>
          <cell r="B208">
            <v>324.79000000000002</v>
          </cell>
          <cell r="C208">
            <v>98.1</v>
          </cell>
          <cell r="D208">
            <v>26557</v>
          </cell>
          <cell r="E208">
            <v>4361.3100000000004</v>
          </cell>
          <cell r="F208">
            <v>1003.33</v>
          </cell>
          <cell r="G208">
            <v>23.00524383728742</v>
          </cell>
          <cell r="H208">
            <v>10.99</v>
          </cell>
        </row>
        <row r="209">
          <cell r="A209" t="str">
            <v>汕头市</v>
          </cell>
          <cell r="B209">
            <v>195.08</v>
          </cell>
          <cell r="C209">
            <v>98.96</v>
          </cell>
          <cell r="D209">
            <v>9487</v>
          </cell>
          <cell r="E209">
            <v>3886.15</v>
          </cell>
          <cell r="F209">
            <v>1012.46</v>
          </cell>
          <cell r="G209">
            <v>26.053034494293836</v>
          </cell>
          <cell r="H209">
            <v>8.82</v>
          </cell>
        </row>
        <row r="210">
          <cell r="A210" t="str">
            <v>佛山市</v>
          </cell>
          <cell r="B210">
            <v>362.85</v>
          </cell>
          <cell r="C210">
            <v>92.71</v>
          </cell>
          <cell r="D210">
            <v>32253</v>
          </cell>
          <cell r="E210">
            <v>4542.3900000000003</v>
          </cell>
          <cell r="F210">
            <v>955.83</v>
          </cell>
          <cell r="G210">
            <v>21.042446817644457</v>
          </cell>
          <cell r="H210">
            <v>10.11</v>
          </cell>
        </row>
        <row r="211">
          <cell r="A211" t="str">
            <v>江门市</v>
          </cell>
          <cell r="B211">
            <v>277.79000000000002</v>
          </cell>
          <cell r="C211">
            <v>99.26</v>
          </cell>
          <cell r="D211">
            <v>5419</v>
          </cell>
          <cell r="E211">
            <v>3139.52</v>
          </cell>
          <cell r="F211">
            <v>405.09</v>
          </cell>
          <cell r="G211">
            <v>12.902927836102334</v>
          </cell>
          <cell r="H211">
            <v>9.65</v>
          </cell>
        </row>
        <row r="212">
          <cell r="A212" t="str">
            <v>湛江市</v>
          </cell>
          <cell r="B212">
            <v>326.75</v>
          </cell>
          <cell r="C212">
            <v>100</v>
          </cell>
          <cell r="D212">
            <v>3164</v>
          </cell>
          <cell r="E212">
            <v>1599.23</v>
          </cell>
          <cell r="F212">
            <v>452.92</v>
          </cell>
          <cell r="G212">
            <v>28.321129543592853</v>
          </cell>
          <cell r="H212">
            <v>8.8699999999999992</v>
          </cell>
        </row>
        <row r="213">
          <cell r="A213" t="str">
            <v>茂名市</v>
          </cell>
          <cell r="B213">
            <v>192.36</v>
          </cell>
          <cell r="C213">
            <v>100</v>
          </cell>
          <cell r="D213">
            <v>2395</v>
          </cell>
          <cell r="E213">
            <v>1631.36</v>
          </cell>
          <cell r="F213">
            <v>396.51</v>
          </cell>
          <cell r="G213">
            <v>24.305487446057278</v>
          </cell>
          <cell r="H213">
            <v>8.8699999999999992</v>
          </cell>
        </row>
        <row r="214">
          <cell r="A214" t="str">
            <v>肇庆市</v>
          </cell>
          <cell r="B214">
            <v>295.93</v>
          </cell>
          <cell r="C214">
            <v>98.7</v>
          </cell>
          <cell r="D214">
            <v>4890</v>
          </cell>
          <cell r="E214">
            <v>2021.81</v>
          </cell>
          <cell r="F214">
            <v>567.76</v>
          </cell>
          <cell r="G214">
            <v>28.081768316508477</v>
          </cell>
          <cell r="H214">
            <v>9.02</v>
          </cell>
        </row>
        <row r="215">
          <cell r="A215" t="str">
            <v>惠州市</v>
          </cell>
          <cell r="B215">
            <v>199.05</v>
          </cell>
          <cell r="C215">
            <v>99.17</v>
          </cell>
          <cell r="D215">
            <v>9157</v>
          </cell>
          <cell r="E215">
            <v>4756.34</v>
          </cell>
          <cell r="F215">
            <v>769.68</v>
          </cell>
          <cell r="G215">
            <v>16.182190507827446</v>
          </cell>
          <cell r="H215">
            <v>9.58</v>
          </cell>
        </row>
        <row r="216">
          <cell r="A216" t="str">
            <v>梅州市</v>
          </cell>
          <cell r="B216">
            <v>257.55</v>
          </cell>
          <cell r="C216">
            <v>100</v>
          </cell>
          <cell r="D216">
            <v>4500</v>
          </cell>
          <cell r="E216">
            <v>1011.9</v>
          </cell>
          <cell r="F216">
            <v>229.48</v>
          </cell>
          <cell r="G216">
            <v>22.678130250024704</v>
          </cell>
          <cell r="H216">
            <v>9.1199999999999992</v>
          </cell>
        </row>
        <row r="217">
          <cell r="A217" t="str">
            <v>汕尾市</v>
          </cell>
          <cell r="B217">
            <v>220.92</v>
          </cell>
          <cell r="C217">
            <v>100</v>
          </cell>
          <cell r="E217">
            <v>592.01</v>
          </cell>
          <cell r="F217">
            <v>137.1</v>
          </cell>
          <cell r="G217">
            <v>23.158392594719686</v>
          </cell>
          <cell r="H217">
            <v>8</v>
          </cell>
        </row>
        <row r="218">
          <cell r="A218" t="str">
            <v>河源市</v>
          </cell>
          <cell r="B218">
            <v>290.33999999999997</v>
          </cell>
          <cell r="C218">
            <v>82.39</v>
          </cell>
          <cell r="D218">
            <v>1556</v>
          </cell>
          <cell r="E218">
            <v>705.63</v>
          </cell>
          <cell r="F218">
            <v>264.5</v>
          </cell>
          <cell r="G218">
            <v>37.484233946969375</v>
          </cell>
          <cell r="H218">
            <v>9</v>
          </cell>
        </row>
        <row r="219">
          <cell r="A219" t="str">
            <v>阳江市</v>
          </cell>
          <cell r="B219">
            <v>276</v>
          </cell>
          <cell r="C219">
            <v>93.25</v>
          </cell>
          <cell r="D219">
            <v>3720</v>
          </cell>
          <cell r="E219">
            <v>1764.41</v>
          </cell>
          <cell r="F219">
            <v>331.94</v>
          </cell>
          <cell r="G219">
            <v>18.813087661031165</v>
          </cell>
          <cell r="H219">
            <v>8.91</v>
          </cell>
        </row>
        <row r="220">
          <cell r="A220" t="str">
            <v>清远市</v>
          </cell>
          <cell r="B220">
            <v>421.67</v>
          </cell>
          <cell r="C220">
            <v>99.73</v>
          </cell>
          <cell r="D220">
            <v>2623</v>
          </cell>
          <cell r="E220">
            <v>1476.89</v>
          </cell>
          <cell r="F220">
            <v>475.46</v>
          </cell>
          <cell r="G220">
            <v>32.193325163011458</v>
          </cell>
          <cell r="H220">
            <v>8.7899999999999991</v>
          </cell>
        </row>
        <row r="221">
          <cell r="A221" t="str">
            <v>东莞市</v>
          </cell>
          <cell r="B221">
            <v>201.36</v>
          </cell>
          <cell r="C221">
            <v>98.68</v>
          </cell>
          <cell r="E221">
            <v>17179.150000000001</v>
          </cell>
          <cell r="F221">
            <v>7457.15</v>
          </cell>
          <cell r="G221">
            <v>43.40814301056804</v>
          </cell>
          <cell r="H221">
            <v>10.07</v>
          </cell>
        </row>
        <row r="222">
          <cell r="A222" t="str">
            <v>中山市</v>
          </cell>
          <cell r="B222">
            <v>248.28</v>
          </cell>
          <cell r="C222">
            <v>99.99</v>
          </cell>
          <cell r="E222">
            <v>1834.44</v>
          </cell>
          <cell r="F222">
            <v>514.57000000000005</v>
          </cell>
          <cell r="G222">
            <v>28.0505222302174</v>
          </cell>
          <cell r="H222">
            <v>9.83</v>
          </cell>
        </row>
        <row r="223">
          <cell r="A223" t="str">
            <v>潮州市</v>
          </cell>
          <cell r="B223">
            <v>239.81</v>
          </cell>
          <cell r="C223">
            <v>98.12</v>
          </cell>
          <cell r="D223">
            <v>856</v>
          </cell>
          <cell r="E223">
            <v>974.05</v>
          </cell>
          <cell r="F223">
            <v>180.7</v>
          </cell>
          <cell r="G223">
            <v>18.551409065243057</v>
          </cell>
          <cell r="H223">
            <v>8.6199999999999992</v>
          </cell>
        </row>
        <row r="224">
          <cell r="A224" t="str">
            <v>揭阳市</v>
          </cell>
          <cell r="B224">
            <v>317.61</v>
          </cell>
          <cell r="C224">
            <v>97.92</v>
          </cell>
          <cell r="D224">
            <v>1369</v>
          </cell>
          <cell r="E224">
            <v>2959.83</v>
          </cell>
          <cell r="F224">
            <v>506.35</v>
          </cell>
          <cell r="G224">
            <v>17.107401438596138</v>
          </cell>
          <cell r="H224">
            <v>8.3699999999999992</v>
          </cell>
        </row>
        <row r="225">
          <cell r="A225" t="str">
            <v>云浮市</v>
          </cell>
          <cell r="B225">
            <v>174.36</v>
          </cell>
          <cell r="C225">
            <v>99.97</v>
          </cell>
          <cell r="D225">
            <v>433</v>
          </cell>
          <cell r="E225">
            <v>293.18</v>
          </cell>
          <cell r="F225">
            <v>58.1</v>
          </cell>
          <cell r="G225">
            <v>19.817177160788592</v>
          </cell>
          <cell r="H225">
            <v>8.76</v>
          </cell>
        </row>
        <row r="226">
          <cell r="A226" t="str">
            <v>广西壮族自治区</v>
          </cell>
        </row>
        <row r="227">
          <cell r="A227" t="str">
            <v>南宁市</v>
          </cell>
          <cell r="B227">
            <v>311.23</v>
          </cell>
          <cell r="C227">
            <v>99.94</v>
          </cell>
          <cell r="D227">
            <v>19365</v>
          </cell>
          <cell r="E227">
            <v>8600.5400000000009</v>
          </cell>
          <cell r="F227">
            <v>771.4</v>
          </cell>
          <cell r="G227">
            <v>8.969204259267439</v>
          </cell>
          <cell r="H227">
            <v>10.06</v>
          </cell>
        </row>
        <row r="228">
          <cell r="A228" t="str">
            <v>柳州市</v>
          </cell>
          <cell r="B228">
            <v>266.08</v>
          </cell>
          <cell r="C228">
            <v>99.1</v>
          </cell>
          <cell r="D228">
            <v>9643</v>
          </cell>
          <cell r="E228">
            <v>4427.6400000000003</v>
          </cell>
          <cell r="F228">
            <v>971.7</v>
          </cell>
          <cell r="G228">
            <v>21.946228690679458</v>
          </cell>
          <cell r="H228">
            <v>9.4600000000000009</v>
          </cell>
        </row>
        <row r="229">
          <cell r="A229" t="str">
            <v>桂林市</v>
          </cell>
          <cell r="B229">
            <v>273.07</v>
          </cell>
          <cell r="C229">
            <v>98.62</v>
          </cell>
          <cell r="D229">
            <v>9726</v>
          </cell>
          <cell r="E229">
            <v>2168.5300000000002</v>
          </cell>
          <cell r="F229">
            <v>502.89</v>
          </cell>
          <cell r="G229">
            <v>23.190363979285504</v>
          </cell>
          <cell r="H229">
            <v>9.27</v>
          </cell>
        </row>
        <row r="230">
          <cell r="A230" t="str">
            <v>梧州市</v>
          </cell>
          <cell r="B230">
            <v>269.64999999999998</v>
          </cell>
          <cell r="C230">
            <v>98.59</v>
          </cell>
          <cell r="D230">
            <v>3526</v>
          </cell>
          <cell r="E230">
            <v>1680.83</v>
          </cell>
          <cell r="F230">
            <v>213.85</v>
          </cell>
          <cell r="G230">
            <v>12.722880957622126</v>
          </cell>
          <cell r="H230">
            <v>8.8000000000000007</v>
          </cell>
        </row>
        <row r="231">
          <cell r="A231" t="str">
            <v>北海市</v>
          </cell>
          <cell r="B231">
            <v>259.95999999999998</v>
          </cell>
          <cell r="C231">
            <v>98.9</v>
          </cell>
          <cell r="D231">
            <v>530</v>
          </cell>
          <cell r="E231">
            <v>1687.44</v>
          </cell>
          <cell r="F231">
            <v>289.93</v>
          </cell>
          <cell r="G231">
            <v>17.181647940074907</v>
          </cell>
          <cell r="H231">
            <v>9.42</v>
          </cell>
        </row>
        <row r="232">
          <cell r="A232" t="str">
            <v>防城港市</v>
          </cell>
          <cell r="B232">
            <v>309.22000000000003</v>
          </cell>
          <cell r="C232">
            <v>99.93</v>
          </cell>
          <cell r="D232">
            <v>786</v>
          </cell>
          <cell r="E232">
            <v>956.85</v>
          </cell>
          <cell r="F232">
            <v>270.18</v>
          </cell>
          <cell r="G232">
            <v>28.236400689763286</v>
          </cell>
          <cell r="H232">
            <v>9.08</v>
          </cell>
        </row>
        <row r="233">
          <cell r="A233" t="str">
            <v>钦州市</v>
          </cell>
          <cell r="B233">
            <v>278.57</v>
          </cell>
          <cell r="C233">
            <v>100</v>
          </cell>
          <cell r="D233">
            <v>723</v>
          </cell>
          <cell r="E233">
            <v>1541.45</v>
          </cell>
          <cell r="F233">
            <v>296.58999999999997</v>
          </cell>
          <cell r="G233">
            <v>19.240974407213983</v>
          </cell>
          <cell r="H233">
            <v>8.5</v>
          </cell>
        </row>
        <row r="234">
          <cell r="A234" t="str">
            <v>贵港市</v>
          </cell>
          <cell r="B234">
            <v>224.04</v>
          </cell>
          <cell r="C234">
            <v>100</v>
          </cell>
          <cell r="D234">
            <v>1138</v>
          </cell>
          <cell r="E234">
            <v>1540.24</v>
          </cell>
          <cell r="F234">
            <v>189.95</v>
          </cell>
          <cell r="G234">
            <v>12.332493637355217</v>
          </cell>
          <cell r="H234">
            <v>8.6300000000000008</v>
          </cell>
        </row>
        <row r="235">
          <cell r="A235" t="str">
            <v>玉林市</v>
          </cell>
          <cell r="B235">
            <v>183.13</v>
          </cell>
          <cell r="C235">
            <v>99.9</v>
          </cell>
          <cell r="D235">
            <v>1605</v>
          </cell>
          <cell r="E235">
            <v>1368.61</v>
          </cell>
          <cell r="F235">
            <v>293.39</v>
          </cell>
          <cell r="G235">
            <v>21.437078495700018</v>
          </cell>
          <cell r="H235">
            <v>8.67</v>
          </cell>
        </row>
        <row r="236">
          <cell r="A236" t="str">
            <v>百色市</v>
          </cell>
          <cell r="B236">
            <v>256.33</v>
          </cell>
          <cell r="C236">
            <v>99.38</v>
          </cell>
          <cell r="D236">
            <v>787</v>
          </cell>
          <cell r="E236">
            <v>1086.44</v>
          </cell>
          <cell r="F236">
            <v>250.28</v>
          </cell>
          <cell r="G236">
            <v>23.036707043186922</v>
          </cell>
          <cell r="H236">
            <v>8.3000000000000007</v>
          </cell>
        </row>
        <row r="237">
          <cell r="A237" t="str">
            <v>贺州市</v>
          </cell>
          <cell r="B237">
            <v>239.85</v>
          </cell>
          <cell r="C237">
            <v>100</v>
          </cell>
          <cell r="D237">
            <v>996</v>
          </cell>
          <cell r="E237">
            <v>876.82</v>
          </cell>
          <cell r="F237">
            <v>179.13</v>
          </cell>
          <cell r="G237">
            <v>20.429506626217467</v>
          </cell>
          <cell r="H237">
            <v>8.36</v>
          </cell>
        </row>
        <row r="238">
          <cell r="A238" t="str">
            <v>河池市</v>
          </cell>
          <cell r="B238">
            <v>251.12</v>
          </cell>
          <cell r="C238">
            <v>96.45</v>
          </cell>
          <cell r="D238">
            <v>2113</v>
          </cell>
          <cell r="E238">
            <v>847.32</v>
          </cell>
          <cell r="F238">
            <v>196.4</v>
          </cell>
          <cell r="G238">
            <v>23.178964263796438</v>
          </cell>
          <cell r="H238">
            <v>8.24</v>
          </cell>
        </row>
        <row r="239">
          <cell r="A239" t="str">
            <v>来宾市</v>
          </cell>
          <cell r="B239">
            <v>226.61</v>
          </cell>
          <cell r="C239">
            <v>99.49</v>
          </cell>
          <cell r="D239">
            <v>915</v>
          </cell>
          <cell r="E239">
            <v>906.44</v>
          </cell>
          <cell r="F239">
            <v>132.38999999999999</v>
          </cell>
          <cell r="G239">
            <v>14.60548960769604</v>
          </cell>
          <cell r="H239">
            <v>8.65</v>
          </cell>
        </row>
        <row r="240">
          <cell r="A240" t="str">
            <v>崇左市</v>
          </cell>
          <cell r="B240">
            <v>225.69</v>
          </cell>
          <cell r="C240">
            <v>100</v>
          </cell>
          <cell r="D240">
            <v>285</v>
          </cell>
          <cell r="E240">
            <v>532.29999999999995</v>
          </cell>
          <cell r="F240">
            <v>64.489999999999995</v>
          </cell>
          <cell r="G240">
            <v>12.115348487694909</v>
          </cell>
          <cell r="H240">
            <v>8.86</v>
          </cell>
        </row>
        <row r="241">
          <cell r="A241" t="str">
            <v>海南省</v>
          </cell>
        </row>
        <row r="242">
          <cell r="A242" t="str">
            <v>海口市</v>
          </cell>
          <cell r="B242">
            <v>275.98</v>
          </cell>
          <cell r="C242">
            <v>99.38</v>
          </cell>
          <cell r="D242">
            <v>12284</v>
          </cell>
          <cell r="E242">
            <v>4665.01</v>
          </cell>
          <cell r="F242">
            <v>1573.33</v>
          </cell>
          <cell r="G242">
            <v>33.72618708212844</v>
          </cell>
          <cell r="H242">
            <v>10.85</v>
          </cell>
        </row>
        <row r="243">
          <cell r="A243" t="str">
            <v>三亚市</v>
          </cell>
          <cell r="B243">
            <v>516.84</v>
          </cell>
          <cell r="C243">
            <v>100</v>
          </cell>
          <cell r="D243">
            <v>3353</v>
          </cell>
          <cell r="E243">
            <v>1464.46</v>
          </cell>
          <cell r="F243">
            <v>493.94</v>
          </cell>
          <cell r="G243">
            <v>33.728473293910383</v>
          </cell>
          <cell r="H243">
            <v>10.36</v>
          </cell>
        </row>
        <row r="244">
          <cell r="A244" t="str">
            <v>三沙市</v>
          </cell>
          <cell r="H244">
            <v>10.32</v>
          </cell>
        </row>
        <row r="245">
          <cell r="A245" t="str">
            <v>儋州市</v>
          </cell>
          <cell r="B245">
            <v>227.08</v>
          </cell>
          <cell r="C245">
            <v>100</v>
          </cell>
          <cell r="E245">
            <v>538.5</v>
          </cell>
          <cell r="F245">
            <v>92.31</v>
          </cell>
          <cell r="G245">
            <v>17.14206128133705</v>
          </cell>
          <cell r="H245">
            <v>8.52</v>
          </cell>
        </row>
        <row r="246">
          <cell r="A246" t="str">
            <v>重庆市</v>
          </cell>
          <cell r="B246">
            <v>178.52</v>
          </cell>
          <cell r="C246">
            <v>98.19</v>
          </cell>
          <cell r="D246">
            <v>122362</v>
          </cell>
          <cell r="E246">
            <v>26319.7</v>
          </cell>
          <cell r="F246">
            <v>7944.31</v>
          </cell>
          <cell r="G246">
            <v>30.183892673548712</v>
          </cell>
          <cell r="H246">
            <v>9.4700000000000006</v>
          </cell>
        </row>
        <row r="247">
          <cell r="A247" t="str">
            <v>四川省</v>
          </cell>
        </row>
        <row r="248">
          <cell r="A248" t="str">
            <v>成都市</v>
          </cell>
          <cell r="B248">
            <v>245.29</v>
          </cell>
          <cell r="C248">
            <v>99.68</v>
          </cell>
          <cell r="D248">
            <v>110444</v>
          </cell>
          <cell r="E248">
            <v>19737.46</v>
          </cell>
          <cell r="F248">
            <v>4211.51</v>
          </cell>
          <cell r="G248">
            <v>21.337649322658542</v>
          </cell>
          <cell r="H248">
            <v>10.51</v>
          </cell>
        </row>
        <row r="249">
          <cell r="A249" t="str">
            <v>自贡市</v>
          </cell>
          <cell r="B249">
            <v>96.82</v>
          </cell>
          <cell r="C249">
            <v>97.8</v>
          </cell>
          <cell r="D249">
            <v>17011</v>
          </cell>
          <cell r="E249">
            <v>2307.11</v>
          </cell>
          <cell r="F249">
            <v>364.28</v>
          </cell>
          <cell r="G249">
            <v>15.789450871436559</v>
          </cell>
          <cell r="H249">
            <v>8.6199999999999992</v>
          </cell>
        </row>
        <row r="250">
          <cell r="A250" t="str">
            <v>攀枝花市</v>
          </cell>
          <cell r="B250">
            <v>213.54</v>
          </cell>
          <cell r="C250">
            <v>98.65</v>
          </cell>
          <cell r="D250">
            <v>8288</v>
          </cell>
          <cell r="E250">
            <v>1234.2</v>
          </cell>
          <cell r="F250">
            <v>323.56</v>
          </cell>
          <cell r="G250">
            <v>26.216172419380975</v>
          </cell>
          <cell r="H250">
            <v>9.2200000000000006</v>
          </cell>
        </row>
        <row r="251">
          <cell r="A251" t="str">
            <v>泸州市</v>
          </cell>
          <cell r="B251">
            <v>139.34</v>
          </cell>
          <cell r="C251">
            <v>97.93</v>
          </cell>
          <cell r="D251">
            <v>16694</v>
          </cell>
          <cell r="E251">
            <v>2414.0300000000002</v>
          </cell>
          <cell r="F251">
            <v>744.99</v>
          </cell>
          <cell r="G251">
            <v>30.860842657299202</v>
          </cell>
          <cell r="H251">
            <v>8.4</v>
          </cell>
        </row>
        <row r="252">
          <cell r="A252" t="str">
            <v>德阳市</v>
          </cell>
          <cell r="B252">
            <v>166.67</v>
          </cell>
          <cell r="C252">
            <v>99.83</v>
          </cell>
          <cell r="D252">
            <v>3290</v>
          </cell>
          <cell r="E252">
            <v>1900.84</v>
          </cell>
          <cell r="F252">
            <v>498.43</v>
          </cell>
          <cell r="G252">
            <v>26.221565202752465</v>
          </cell>
          <cell r="H252">
            <v>8.77</v>
          </cell>
        </row>
        <row r="253">
          <cell r="A253" t="str">
            <v>绵阳市</v>
          </cell>
          <cell r="B253">
            <v>207.1</v>
          </cell>
          <cell r="C253">
            <v>99.83</v>
          </cell>
          <cell r="D253">
            <v>11415</v>
          </cell>
          <cell r="E253">
            <v>2904.98</v>
          </cell>
          <cell r="F253">
            <v>788.63</v>
          </cell>
          <cell r="G253">
            <v>27.147519087911103</v>
          </cell>
          <cell r="H253">
            <v>8.94</v>
          </cell>
        </row>
        <row r="254">
          <cell r="A254" t="str">
            <v>广元市</v>
          </cell>
          <cell r="B254">
            <v>153.72999999999999</v>
          </cell>
          <cell r="C254">
            <v>99.7</v>
          </cell>
          <cell r="D254">
            <v>6994</v>
          </cell>
          <cell r="E254">
            <v>1023.82</v>
          </cell>
          <cell r="F254">
            <v>309.98</v>
          </cell>
          <cell r="G254">
            <v>30.276806469887283</v>
          </cell>
          <cell r="H254">
            <v>8.5</v>
          </cell>
        </row>
        <row r="255">
          <cell r="A255" t="str">
            <v>遂宁市</v>
          </cell>
          <cell r="B255">
            <v>203.1</v>
          </cell>
          <cell r="C255">
            <v>97.42</v>
          </cell>
          <cell r="D255">
            <v>5459</v>
          </cell>
          <cell r="E255">
            <v>1691.04</v>
          </cell>
          <cell r="F255">
            <v>381.96</v>
          </cell>
          <cell r="G255">
            <v>22.587283565143341</v>
          </cell>
          <cell r="H255">
            <v>8.4</v>
          </cell>
        </row>
        <row r="256">
          <cell r="A256" t="str">
            <v>内江市</v>
          </cell>
          <cell r="B256">
            <v>177.31</v>
          </cell>
          <cell r="C256">
            <v>99.99</v>
          </cell>
          <cell r="E256">
            <v>1197.28</v>
          </cell>
          <cell r="F256">
            <v>349.73</v>
          </cell>
          <cell r="G256">
            <v>29.210376854202863</v>
          </cell>
          <cell r="H256">
            <v>8.51</v>
          </cell>
        </row>
        <row r="257">
          <cell r="A257" t="str">
            <v>乐山市</v>
          </cell>
          <cell r="B257">
            <v>167.88</v>
          </cell>
          <cell r="C257">
            <v>97.16</v>
          </cell>
          <cell r="D257">
            <v>6083</v>
          </cell>
          <cell r="E257">
            <v>1253.9000000000001</v>
          </cell>
          <cell r="F257">
            <v>246.79</v>
          </cell>
          <cell r="G257">
            <v>19.681792806443895</v>
          </cell>
          <cell r="H257">
            <v>8.7200000000000006</v>
          </cell>
        </row>
        <row r="258">
          <cell r="A258" t="str">
            <v>南充市</v>
          </cell>
          <cell r="B258">
            <v>172.62</v>
          </cell>
          <cell r="C258">
            <v>98.68</v>
          </cell>
          <cell r="D258">
            <v>8745</v>
          </cell>
          <cell r="E258">
            <v>2453</v>
          </cell>
          <cell r="F258">
            <v>742</v>
          </cell>
          <cell r="G258">
            <v>30.248675091724419</v>
          </cell>
          <cell r="H258">
            <v>8.41</v>
          </cell>
        </row>
        <row r="259">
          <cell r="A259" t="str">
            <v>眉山市</v>
          </cell>
          <cell r="B259">
            <v>217.26</v>
          </cell>
          <cell r="C259">
            <v>97.06</v>
          </cell>
          <cell r="E259">
            <v>1372.27</v>
          </cell>
          <cell r="F259">
            <v>315.14999999999998</v>
          </cell>
          <cell r="G259">
            <v>22.965597149249053</v>
          </cell>
          <cell r="H259">
            <v>8.57</v>
          </cell>
        </row>
        <row r="260">
          <cell r="A260" t="str">
            <v>宜宾市</v>
          </cell>
          <cell r="B260">
            <v>120.31</v>
          </cell>
          <cell r="C260">
            <v>94.39</v>
          </cell>
          <cell r="D260">
            <v>11650</v>
          </cell>
          <cell r="E260">
            <v>2570.7399999999998</v>
          </cell>
          <cell r="F260">
            <v>853.62</v>
          </cell>
          <cell r="G260">
            <v>33.205224954682308</v>
          </cell>
          <cell r="H260">
            <v>8.6300000000000008</v>
          </cell>
        </row>
        <row r="261">
          <cell r="A261" t="str">
            <v>广安市</v>
          </cell>
          <cell r="B261">
            <v>175.57</v>
          </cell>
          <cell r="C261">
            <v>99.79</v>
          </cell>
          <cell r="E261">
            <v>1252.82</v>
          </cell>
          <cell r="F261">
            <v>383.46</v>
          </cell>
          <cell r="G261">
            <v>30.607748918439999</v>
          </cell>
          <cell r="H261">
            <v>8.25</v>
          </cell>
        </row>
        <row r="262">
          <cell r="A262" t="str">
            <v>达州市</v>
          </cell>
          <cell r="B262">
            <v>109.73</v>
          </cell>
          <cell r="C262">
            <v>99</v>
          </cell>
          <cell r="D262">
            <v>14010</v>
          </cell>
          <cell r="E262">
            <v>2016.73</v>
          </cell>
          <cell r="F262">
            <v>562.02</v>
          </cell>
          <cell r="G262">
            <v>27.867885140797235</v>
          </cell>
          <cell r="H262">
            <v>8.56</v>
          </cell>
        </row>
        <row r="263">
          <cell r="A263" t="str">
            <v>雅安市</v>
          </cell>
          <cell r="B263">
            <v>245.92</v>
          </cell>
          <cell r="C263">
            <v>99.18</v>
          </cell>
          <cell r="D263">
            <v>1571</v>
          </cell>
          <cell r="E263">
            <v>959.87</v>
          </cell>
          <cell r="F263">
            <v>250.25</v>
          </cell>
          <cell r="G263">
            <v>26.071238813589343</v>
          </cell>
          <cell r="H263">
            <v>8.8000000000000007</v>
          </cell>
        </row>
        <row r="264">
          <cell r="A264" t="str">
            <v>巴中市</v>
          </cell>
          <cell r="B264">
            <v>202.33</v>
          </cell>
          <cell r="C264">
            <v>99.76</v>
          </cell>
          <cell r="D264">
            <v>3783</v>
          </cell>
          <cell r="E264">
            <v>1125</v>
          </cell>
          <cell r="F264">
            <v>415.2</v>
          </cell>
          <cell r="G264">
            <v>36.906666666666666</v>
          </cell>
          <cell r="H264">
            <v>8.73</v>
          </cell>
        </row>
        <row r="265">
          <cell r="A265" t="str">
            <v>资阳市</v>
          </cell>
          <cell r="B265">
            <v>188.67</v>
          </cell>
          <cell r="C265">
            <v>100</v>
          </cell>
          <cell r="D265">
            <v>2301</v>
          </cell>
          <cell r="E265">
            <v>1014.92</v>
          </cell>
          <cell r="F265">
            <v>264.64</v>
          </cell>
          <cell r="G265">
            <v>26.074961573325979</v>
          </cell>
          <cell r="H265">
            <v>8.08</v>
          </cell>
        </row>
        <row r="266">
          <cell r="A266" t="str">
            <v>贵州省</v>
          </cell>
        </row>
        <row r="267">
          <cell r="A267" t="str">
            <v>贵阳市</v>
          </cell>
          <cell r="B267">
            <v>242.09</v>
          </cell>
          <cell r="C267">
            <v>98.21</v>
          </cell>
          <cell r="D267">
            <v>41546</v>
          </cell>
          <cell r="E267">
            <v>4622.8999999999996</v>
          </cell>
          <cell r="F267">
            <v>1423.02</v>
          </cell>
          <cell r="G267">
            <v>30.781976681303945</v>
          </cell>
          <cell r="H267">
            <v>10.28</v>
          </cell>
        </row>
        <row r="268">
          <cell r="A268" t="str">
            <v>六盘水市</v>
          </cell>
          <cell r="B268">
            <v>147.63999999999999</v>
          </cell>
          <cell r="C268">
            <v>90.83</v>
          </cell>
          <cell r="D268">
            <v>14408</v>
          </cell>
          <cell r="E268">
            <v>1668.5</v>
          </cell>
          <cell r="F268">
            <v>385.21</v>
          </cell>
          <cell r="G268">
            <v>23.087204075516929</v>
          </cell>
          <cell r="H268">
            <v>8.0399999999999991</v>
          </cell>
        </row>
        <row r="269">
          <cell r="A269" t="str">
            <v>遵义市</v>
          </cell>
          <cell r="B269">
            <v>134.18</v>
          </cell>
          <cell r="C269">
            <v>75.69</v>
          </cell>
          <cell r="D269">
            <v>31020</v>
          </cell>
          <cell r="E269">
            <v>3997.27</v>
          </cell>
          <cell r="F269">
            <v>724.29</v>
          </cell>
          <cell r="G269">
            <v>18.119616638355676</v>
          </cell>
          <cell r="H269">
            <v>8.4600000000000009</v>
          </cell>
        </row>
        <row r="270">
          <cell r="A270" t="str">
            <v>安顺市</v>
          </cell>
          <cell r="B270">
            <v>197.04</v>
          </cell>
          <cell r="C270">
            <v>83.86</v>
          </cell>
          <cell r="D270">
            <v>5259</v>
          </cell>
          <cell r="E270">
            <v>1620.17</v>
          </cell>
          <cell r="F270">
            <v>368.36</v>
          </cell>
          <cell r="G270">
            <v>22.735885740385267</v>
          </cell>
          <cell r="H270">
            <v>7.94</v>
          </cell>
        </row>
        <row r="271">
          <cell r="A271" t="str">
            <v>毕节市</v>
          </cell>
          <cell r="B271">
            <v>108.81</v>
          </cell>
          <cell r="C271">
            <v>85.84</v>
          </cell>
          <cell r="D271">
            <v>10156</v>
          </cell>
          <cell r="E271">
            <v>778.39</v>
          </cell>
          <cell r="F271">
            <v>266.82</v>
          </cell>
          <cell r="G271">
            <v>34.278446537082949</v>
          </cell>
          <cell r="H271">
            <v>7.43</v>
          </cell>
        </row>
        <row r="272">
          <cell r="A272" t="str">
            <v>铜仁市</v>
          </cell>
          <cell r="B272">
            <v>122.48</v>
          </cell>
          <cell r="C272">
            <v>90.67</v>
          </cell>
          <cell r="D272">
            <v>3076</v>
          </cell>
          <cell r="E272">
            <v>1109.68</v>
          </cell>
          <cell r="F272">
            <v>265</v>
          </cell>
          <cell r="G272">
            <v>23.880758416840887</v>
          </cell>
          <cell r="H272">
            <v>8.2899999999999991</v>
          </cell>
        </row>
        <row r="273">
          <cell r="A273" t="str">
            <v>云南省</v>
          </cell>
        </row>
        <row r="274">
          <cell r="A274" t="str">
            <v>昆明市</v>
          </cell>
          <cell r="B274">
            <v>170.7</v>
          </cell>
          <cell r="C274">
            <v>96.31</v>
          </cell>
          <cell r="D274">
            <v>43438</v>
          </cell>
          <cell r="E274">
            <v>5584.9</v>
          </cell>
          <cell r="F274">
            <v>1171.2</v>
          </cell>
          <cell r="G274">
            <v>20.9708320650325</v>
          </cell>
          <cell r="H274">
            <v>10.220000000000001</v>
          </cell>
        </row>
        <row r="275">
          <cell r="A275" t="str">
            <v>曲靖市</v>
          </cell>
          <cell r="B275">
            <v>138.91999999999999</v>
          </cell>
          <cell r="C275">
            <v>44.4</v>
          </cell>
          <cell r="D275">
            <v>11980</v>
          </cell>
          <cell r="E275">
            <v>1787.44</v>
          </cell>
          <cell r="F275">
            <v>358.26</v>
          </cell>
          <cell r="G275">
            <v>20.043190260931834</v>
          </cell>
          <cell r="H275">
            <v>8.2100000000000009</v>
          </cell>
        </row>
        <row r="276">
          <cell r="A276" t="str">
            <v>玉溪市</v>
          </cell>
          <cell r="B276">
            <v>237.61</v>
          </cell>
          <cell r="C276">
            <v>68.11</v>
          </cell>
          <cell r="D276">
            <v>2504</v>
          </cell>
          <cell r="E276">
            <v>953.57</v>
          </cell>
          <cell r="F276">
            <v>197.51</v>
          </cell>
          <cell r="G276">
            <v>20.712690206277458</v>
          </cell>
          <cell r="H276">
            <v>8.7200000000000006</v>
          </cell>
        </row>
        <row r="277">
          <cell r="A277" t="str">
            <v>保山市</v>
          </cell>
          <cell r="B277">
            <v>209.68</v>
          </cell>
          <cell r="C277">
            <v>57.42</v>
          </cell>
          <cell r="D277">
            <v>902</v>
          </cell>
          <cell r="E277">
            <v>924.6</v>
          </cell>
          <cell r="F277">
            <v>179.22</v>
          </cell>
          <cell r="G277">
            <v>19.383517196625565</v>
          </cell>
          <cell r="H277">
            <v>8.24</v>
          </cell>
        </row>
        <row r="278">
          <cell r="A278" t="str">
            <v>昭通市</v>
          </cell>
          <cell r="B278">
            <v>128.56</v>
          </cell>
          <cell r="C278">
            <v>77.08</v>
          </cell>
          <cell r="D278">
            <v>2300</v>
          </cell>
          <cell r="E278">
            <v>715.5</v>
          </cell>
          <cell r="F278">
            <v>110.93</v>
          </cell>
          <cell r="G278">
            <v>15.503843466107616</v>
          </cell>
          <cell r="H278">
            <v>7.76</v>
          </cell>
        </row>
        <row r="279">
          <cell r="A279" t="str">
            <v>丽江市</v>
          </cell>
          <cell r="B279">
            <v>249.57</v>
          </cell>
          <cell r="C279">
            <v>95.56</v>
          </cell>
          <cell r="D279">
            <v>1742</v>
          </cell>
          <cell r="E279">
            <v>487.54</v>
          </cell>
          <cell r="F279">
            <v>126.76</v>
          </cell>
          <cell r="G279">
            <v>25.99991795544981</v>
          </cell>
          <cell r="H279">
            <v>8.57</v>
          </cell>
        </row>
        <row r="280">
          <cell r="A280" t="str">
            <v>普洱市</v>
          </cell>
          <cell r="B280">
            <v>227.63</v>
          </cell>
          <cell r="C280">
            <v>94.69</v>
          </cell>
          <cell r="D280">
            <v>670</v>
          </cell>
          <cell r="E280">
            <v>480.31</v>
          </cell>
          <cell r="F280">
            <v>164.69</v>
          </cell>
          <cell r="G280">
            <v>34.288272157564904</v>
          </cell>
          <cell r="H280">
            <v>7.92</v>
          </cell>
        </row>
        <row r="281">
          <cell r="A281" t="str">
            <v>临沧市</v>
          </cell>
          <cell r="B281">
            <v>92.26</v>
          </cell>
          <cell r="C281">
            <v>32.880000000000003</v>
          </cell>
          <cell r="D281">
            <v>356</v>
          </cell>
          <cell r="E281">
            <v>313.3</v>
          </cell>
          <cell r="F281">
            <v>66.2</v>
          </cell>
          <cell r="G281">
            <v>21.129907436961378</v>
          </cell>
          <cell r="H281">
            <v>7.65</v>
          </cell>
        </row>
        <row r="282">
          <cell r="A282" t="str">
            <v>西藏自治区</v>
          </cell>
        </row>
        <row r="283">
          <cell r="A283" t="str">
            <v>拉萨市</v>
          </cell>
          <cell r="B283">
            <v>205.82</v>
          </cell>
          <cell r="C283">
            <v>66.23</v>
          </cell>
          <cell r="D283">
            <v>6682</v>
          </cell>
          <cell r="E283">
            <v>1308</v>
          </cell>
          <cell r="F283">
            <v>451.18</v>
          </cell>
          <cell r="G283">
            <v>34.493883792048926</v>
          </cell>
          <cell r="H283">
            <v>8.34</v>
          </cell>
        </row>
        <row r="284">
          <cell r="A284" t="str">
            <v>日喀则市</v>
          </cell>
          <cell r="B284">
            <v>385.37</v>
          </cell>
          <cell r="C284">
            <v>68.58</v>
          </cell>
          <cell r="D284">
            <v>63</v>
          </cell>
          <cell r="E284">
            <v>247.51</v>
          </cell>
          <cell r="F284">
            <v>89.57</v>
          </cell>
          <cell r="G284">
            <v>36.188436830835116</v>
          </cell>
          <cell r="H284">
            <v>6.1</v>
          </cell>
        </row>
        <row r="285">
          <cell r="A285" t="str">
            <v>昌都市</v>
          </cell>
          <cell r="B285">
            <v>115.68</v>
          </cell>
          <cell r="C285">
            <v>58.82</v>
          </cell>
          <cell r="E285">
            <v>49.77</v>
          </cell>
          <cell r="F285">
            <v>5.57</v>
          </cell>
          <cell r="G285">
            <v>11.191480811733976</v>
          </cell>
          <cell r="H285">
            <v>5.77</v>
          </cell>
        </row>
        <row r="286">
          <cell r="A286" t="str">
            <v>林芝市</v>
          </cell>
          <cell r="B286">
            <v>451.78</v>
          </cell>
          <cell r="C286">
            <v>98.68</v>
          </cell>
          <cell r="D286">
            <v>63</v>
          </cell>
          <cell r="E286">
            <v>90.47</v>
          </cell>
          <cell r="F286">
            <v>16.66</v>
          </cell>
          <cell r="G286">
            <v>18.414944180391291</v>
          </cell>
          <cell r="H286">
            <v>7.73</v>
          </cell>
        </row>
        <row r="287">
          <cell r="A287" t="str">
            <v>山南市</v>
          </cell>
          <cell r="B287">
            <v>386.98</v>
          </cell>
          <cell r="C287">
            <v>71.59</v>
          </cell>
          <cell r="D287">
            <v>56</v>
          </cell>
          <cell r="E287">
            <v>176.34</v>
          </cell>
          <cell r="F287">
            <v>65</v>
          </cell>
          <cell r="G287">
            <v>36.860610184870133</v>
          </cell>
          <cell r="H287">
            <v>6.89</v>
          </cell>
        </row>
        <row r="288">
          <cell r="A288" t="str">
            <v>那曲市</v>
          </cell>
          <cell r="B288">
            <v>374.24</v>
          </cell>
          <cell r="C288">
            <v>64.52</v>
          </cell>
          <cell r="E288">
            <v>217.2</v>
          </cell>
          <cell r="F288">
            <v>85.2</v>
          </cell>
          <cell r="G288">
            <v>39.226519337016583</v>
          </cell>
          <cell r="H288">
            <v>4.8099999999999996</v>
          </cell>
        </row>
        <row r="289">
          <cell r="A289" t="str">
            <v>陕西省</v>
          </cell>
        </row>
        <row r="290">
          <cell r="A290" t="str">
            <v>西安市</v>
          </cell>
          <cell r="B290">
            <v>173.99</v>
          </cell>
          <cell r="C290">
            <v>99.99</v>
          </cell>
          <cell r="D290">
            <v>80720</v>
          </cell>
          <cell r="E290">
            <v>14532.64</v>
          </cell>
          <cell r="F290">
            <v>3268.1</v>
          </cell>
          <cell r="G290">
            <v>22.487999427495627</v>
          </cell>
          <cell r="H290">
            <v>11.38</v>
          </cell>
        </row>
        <row r="291">
          <cell r="A291" t="str">
            <v>铜川市</v>
          </cell>
          <cell r="B291">
            <v>104.44</v>
          </cell>
          <cell r="C291">
            <v>97.35</v>
          </cell>
          <cell r="D291">
            <v>2851</v>
          </cell>
          <cell r="E291">
            <v>572.30999999999995</v>
          </cell>
          <cell r="F291">
            <v>139.57</v>
          </cell>
          <cell r="G291">
            <v>24.387132847582606</v>
          </cell>
          <cell r="H291">
            <v>9.69</v>
          </cell>
        </row>
        <row r="292">
          <cell r="A292" t="str">
            <v>宝鸡市</v>
          </cell>
          <cell r="B292">
            <v>137.21</v>
          </cell>
          <cell r="C292">
            <v>98.92</v>
          </cell>
          <cell r="D292">
            <v>17625</v>
          </cell>
          <cell r="E292">
            <v>1680.41</v>
          </cell>
          <cell r="F292">
            <v>645.91</v>
          </cell>
          <cell r="G292">
            <v>38.437643194220456</v>
          </cell>
          <cell r="H292">
            <v>9.51</v>
          </cell>
        </row>
        <row r="293">
          <cell r="A293" t="str">
            <v>咸阳市</v>
          </cell>
          <cell r="B293">
            <v>225.13</v>
          </cell>
          <cell r="C293">
            <v>99.45</v>
          </cell>
          <cell r="D293">
            <v>5720</v>
          </cell>
          <cell r="E293">
            <v>533.03</v>
          </cell>
          <cell r="F293">
            <v>220.36</v>
          </cell>
          <cell r="G293">
            <v>41.341012700973685</v>
          </cell>
          <cell r="H293">
            <v>9.75</v>
          </cell>
        </row>
        <row r="294">
          <cell r="A294" t="str">
            <v>渭南市</v>
          </cell>
          <cell r="B294">
            <v>148.66999999999999</v>
          </cell>
          <cell r="C294">
            <v>97.43</v>
          </cell>
          <cell r="D294">
            <v>1785</v>
          </cell>
          <cell r="E294">
            <v>649.04</v>
          </cell>
          <cell r="F294">
            <v>201.04</v>
          </cell>
          <cell r="G294">
            <v>30.97497842968076</v>
          </cell>
          <cell r="H294">
            <v>9.32</v>
          </cell>
        </row>
        <row r="295">
          <cell r="A295" t="str">
            <v>延安市</v>
          </cell>
          <cell r="B295">
            <v>118.79</v>
          </cell>
          <cell r="C295">
            <v>99.15</v>
          </cell>
          <cell r="D295">
            <v>11265</v>
          </cell>
          <cell r="E295">
            <v>983.33</v>
          </cell>
          <cell r="F295">
            <v>182.04</v>
          </cell>
          <cell r="G295">
            <v>18.512605127475005</v>
          </cell>
          <cell r="H295">
            <v>9.17</v>
          </cell>
        </row>
        <row r="296">
          <cell r="A296" t="str">
            <v>汉中市</v>
          </cell>
          <cell r="B296">
            <v>157.53</v>
          </cell>
          <cell r="C296">
            <v>99.29</v>
          </cell>
          <cell r="D296">
            <v>3456</v>
          </cell>
          <cell r="E296">
            <v>825.71</v>
          </cell>
          <cell r="F296">
            <v>228.94</v>
          </cell>
          <cell r="G296">
            <v>27.726441486720514</v>
          </cell>
          <cell r="H296">
            <v>8.7799999999999994</v>
          </cell>
        </row>
        <row r="297">
          <cell r="A297" t="str">
            <v>榆林市</v>
          </cell>
          <cell r="B297">
            <v>118.83</v>
          </cell>
          <cell r="C297">
            <v>89.24</v>
          </cell>
          <cell r="D297">
            <v>6760</v>
          </cell>
          <cell r="E297">
            <v>1699.87</v>
          </cell>
          <cell r="F297">
            <v>355.68</v>
          </cell>
          <cell r="G297">
            <v>20.923953008171214</v>
          </cell>
          <cell r="H297">
            <v>8.8699999999999992</v>
          </cell>
        </row>
        <row r="298">
          <cell r="A298" t="str">
            <v>安康市</v>
          </cell>
          <cell r="B298">
            <v>140.31</v>
          </cell>
          <cell r="C298">
            <v>99.61</v>
          </cell>
          <cell r="D298">
            <v>2890</v>
          </cell>
          <cell r="E298">
            <v>592.79999999999995</v>
          </cell>
          <cell r="F298">
            <v>133.6</v>
          </cell>
          <cell r="G298">
            <v>22.537112010796221</v>
          </cell>
          <cell r="H298">
            <v>8.24</v>
          </cell>
        </row>
        <row r="299">
          <cell r="A299" t="str">
            <v>商洛市</v>
          </cell>
          <cell r="B299">
            <v>133.88999999999999</v>
          </cell>
          <cell r="C299">
            <v>98.6</v>
          </cell>
          <cell r="D299">
            <v>161</v>
          </cell>
          <cell r="E299">
            <v>289</v>
          </cell>
          <cell r="F299">
            <v>86.9</v>
          </cell>
          <cell r="G299">
            <v>30.069204152249135</v>
          </cell>
          <cell r="H299">
            <v>8.58</v>
          </cell>
        </row>
        <row r="300">
          <cell r="A300" t="str">
            <v>甘肃省</v>
          </cell>
        </row>
        <row r="301">
          <cell r="A301" t="str">
            <v>兰州市</v>
          </cell>
          <cell r="B301">
            <v>152.41999999999999</v>
          </cell>
          <cell r="C301">
            <v>99.41</v>
          </cell>
          <cell r="D301">
            <v>59695</v>
          </cell>
          <cell r="E301">
            <v>5568.62</v>
          </cell>
          <cell r="F301">
            <v>1211.1400000000001</v>
          </cell>
          <cell r="G301">
            <v>21.749374171697838</v>
          </cell>
          <cell r="H301">
            <v>10.91</v>
          </cell>
        </row>
        <row r="302">
          <cell r="A302" t="str">
            <v>嘉峪关市</v>
          </cell>
          <cell r="B302">
            <v>156.94999999999999</v>
          </cell>
          <cell r="C302">
            <v>98.76</v>
          </cell>
          <cell r="D302">
            <v>1146</v>
          </cell>
          <cell r="E302">
            <v>1069.57</v>
          </cell>
          <cell r="F302">
            <v>423.82</v>
          </cell>
          <cell r="G302">
            <v>39.62526996830502</v>
          </cell>
          <cell r="H302">
            <v>11.14</v>
          </cell>
        </row>
        <row r="303">
          <cell r="A303" t="str">
            <v>金昌市</v>
          </cell>
          <cell r="B303">
            <v>169.43</v>
          </cell>
          <cell r="C303">
            <v>89</v>
          </cell>
          <cell r="D303">
            <v>1913</v>
          </cell>
          <cell r="E303">
            <v>958.04</v>
          </cell>
          <cell r="F303">
            <v>172.49</v>
          </cell>
          <cell r="G303">
            <v>18.004467454386038</v>
          </cell>
          <cell r="H303">
            <v>9.73</v>
          </cell>
        </row>
        <row r="304">
          <cell r="A304" t="str">
            <v>白银市</v>
          </cell>
          <cell r="B304">
            <v>174.48</v>
          </cell>
          <cell r="C304">
            <v>99.83</v>
          </cell>
          <cell r="D304">
            <v>5389</v>
          </cell>
          <cell r="E304">
            <v>1027.51</v>
          </cell>
          <cell r="F304">
            <v>190.97</v>
          </cell>
          <cell r="G304">
            <v>18.585707195063794</v>
          </cell>
          <cell r="H304">
            <v>9.25</v>
          </cell>
        </row>
        <row r="305">
          <cell r="A305" t="str">
            <v>天水市</v>
          </cell>
          <cell r="B305">
            <v>69.95</v>
          </cell>
          <cell r="C305">
            <v>95.04</v>
          </cell>
          <cell r="D305">
            <v>10579</v>
          </cell>
          <cell r="E305">
            <v>1066.21</v>
          </cell>
          <cell r="F305">
            <v>328.07</v>
          </cell>
          <cell r="G305">
            <v>30.769735793136434</v>
          </cell>
          <cell r="H305">
            <v>8.31</v>
          </cell>
        </row>
        <row r="306">
          <cell r="A306" t="str">
            <v>武威市</v>
          </cell>
          <cell r="B306">
            <v>129.44</v>
          </cell>
          <cell r="C306">
            <v>97.09</v>
          </cell>
          <cell r="D306">
            <v>5100</v>
          </cell>
          <cell r="E306">
            <v>664.09</v>
          </cell>
          <cell r="F306">
            <v>204.93</v>
          </cell>
          <cell r="G306">
            <v>30.858769142736676</v>
          </cell>
          <cell r="H306">
            <v>8.83</v>
          </cell>
        </row>
        <row r="307">
          <cell r="A307" t="str">
            <v>张掖市</v>
          </cell>
          <cell r="B307">
            <v>195.37</v>
          </cell>
          <cell r="C307">
            <v>97.61</v>
          </cell>
          <cell r="D307">
            <v>1132</v>
          </cell>
          <cell r="E307">
            <v>594</v>
          </cell>
          <cell r="F307">
            <v>147.6</v>
          </cell>
          <cell r="G307">
            <v>24.848484848484848</v>
          </cell>
          <cell r="H307">
            <v>9.11</v>
          </cell>
        </row>
        <row r="308">
          <cell r="A308" t="str">
            <v>平凉市</v>
          </cell>
          <cell r="B308">
            <v>87.25</v>
          </cell>
          <cell r="C308">
            <v>90.61</v>
          </cell>
          <cell r="D308">
            <v>5658</v>
          </cell>
          <cell r="E308">
            <v>751.76</v>
          </cell>
          <cell r="F308">
            <v>116.22</v>
          </cell>
          <cell r="G308">
            <v>15.459721187613068</v>
          </cell>
          <cell r="H308">
            <v>8.3000000000000007</v>
          </cell>
        </row>
        <row r="309">
          <cell r="A309" t="str">
            <v>酒泉市</v>
          </cell>
          <cell r="B309">
            <v>142.22999999999999</v>
          </cell>
          <cell r="C309">
            <v>99.69</v>
          </cell>
          <cell r="D309">
            <v>2686</v>
          </cell>
          <cell r="E309">
            <v>707.62</v>
          </cell>
          <cell r="F309">
            <v>128.91999999999999</v>
          </cell>
          <cell r="G309">
            <v>18.218818009666204</v>
          </cell>
          <cell r="H309">
            <v>9.56</v>
          </cell>
        </row>
        <row r="310">
          <cell r="A310" t="str">
            <v>庆阳市</v>
          </cell>
          <cell r="B310">
            <v>123.22</v>
          </cell>
          <cell r="C310">
            <v>95.54</v>
          </cell>
          <cell r="D310">
            <v>1320</v>
          </cell>
          <cell r="E310">
            <v>712.73</v>
          </cell>
          <cell r="F310">
            <v>171.06</v>
          </cell>
          <cell r="G310">
            <v>24.000673466810714</v>
          </cell>
          <cell r="H310">
            <v>8.51</v>
          </cell>
        </row>
        <row r="311">
          <cell r="A311" t="str">
            <v>定西市</v>
          </cell>
          <cell r="B311">
            <v>73.89</v>
          </cell>
          <cell r="C311">
            <v>91.02</v>
          </cell>
          <cell r="D311">
            <v>1713</v>
          </cell>
          <cell r="E311">
            <v>302.08999999999997</v>
          </cell>
          <cell r="F311">
            <v>47.35</v>
          </cell>
          <cell r="G311">
            <v>15.674136846635111</v>
          </cell>
          <cell r="H311">
            <v>8.1</v>
          </cell>
        </row>
        <row r="312">
          <cell r="A312" t="str">
            <v>陇南市</v>
          </cell>
          <cell r="B312">
            <v>128.91999999999999</v>
          </cell>
          <cell r="C312">
            <v>92.88</v>
          </cell>
          <cell r="D312">
            <v>292</v>
          </cell>
          <cell r="E312">
            <v>223</v>
          </cell>
          <cell r="F312">
            <v>68.599999999999994</v>
          </cell>
          <cell r="G312">
            <v>30.762331838565022</v>
          </cell>
          <cell r="H312">
            <v>7.39</v>
          </cell>
        </row>
        <row r="313">
          <cell r="A313" t="str">
            <v>青海省</v>
          </cell>
        </row>
        <row r="314">
          <cell r="A314" t="str">
            <v>西宁市</v>
          </cell>
          <cell r="B314">
            <v>121.3</v>
          </cell>
          <cell r="C314">
            <v>96.08</v>
          </cell>
          <cell r="E314">
            <v>1845.32</v>
          </cell>
          <cell r="F314">
            <v>437.12</v>
          </cell>
          <cell r="G314">
            <v>23.688032427979973</v>
          </cell>
          <cell r="H314">
            <v>9.77</v>
          </cell>
        </row>
        <row r="315">
          <cell r="A315" t="str">
            <v>海东市</v>
          </cell>
          <cell r="B315">
            <v>132.13999999999999</v>
          </cell>
          <cell r="C315">
            <v>96.78</v>
          </cell>
          <cell r="D315">
            <v>358</v>
          </cell>
          <cell r="E315">
            <v>683.89</v>
          </cell>
          <cell r="F315">
            <v>183.18</v>
          </cell>
          <cell r="G315">
            <v>26.785009285118953</v>
          </cell>
          <cell r="H315">
            <v>7.46</v>
          </cell>
        </row>
        <row r="316">
          <cell r="A316" t="str">
            <v>宁夏回族自治区</v>
          </cell>
        </row>
        <row r="317">
          <cell r="A317" t="str">
            <v>银川市</v>
          </cell>
          <cell r="B317">
            <v>173.11</v>
          </cell>
          <cell r="C317">
            <v>99.19</v>
          </cell>
          <cell r="E317">
            <v>3258.01</v>
          </cell>
          <cell r="F317">
            <v>628.28</v>
          </cell>
          <cell r="G317">
            <v>19.284164259778205</v>
          </cell>
          <cell r="H317">
            <v>10.51</v>
          </cell>
        </row>
        <row r="318">
          <cell r="A318" t="str">
            <v>石嘴山市</v>
          </cell>
          <cell r="B318">
            <v>248.48</v>
          </cell>
          <cell r="C318">
            <v>93.56</v>
          </cell>
          <cell r="D318">
            <v>886</v>
          </cell>
          <cell r="E318">
            <v>1924.27</v>
          </cell>
          <cell r="F318">
            <v>174.83</v>
          </cell>
          <cell r="G318">
            <v>9.0855233413190462</v>
          </cell>
          <cell r="H318">
            <v>9.52</v>
          </cell>
        </row>
        <row r="319">
          <cell r="A319" t="str">
            <v>吴忠市</v>
          </cell>
          <cell r="B319">
            <v>107.45</v>
          </cell>
          <cell r="C319">
            <v>100</v>
          </cell>
          <cell r="D319">
            <v>2018</v>
          </cell>
          <cell r="E319">
            <v>601.99</v>
          </cell>
          <cell r="F319">
            <v>149.02000000000001</v>
          </cell>
          <cell r="G319">
            <v>24.754564029302813</v>
          </cell>
          <cell r="H319">
            <v>8.52</v>
          </cell>
        </row>
        <row r="320">
          <cell r="A320" t="str">
            <v>固原市</v>
          </cell>
          <cell r="B320">
            <v>110.08</v>
          </cell>
          <cell r="C320">
            <v>92.87</v>
          </cell>
          <cell r="D320">
            <v>1586</v>
          </cell>
          <cell r="E320">
            <v>825.55</v>
          </cell>
          <cell r="F320">
            <v>127.07</v>
          </cell>
          <cell r="G320">
            <v>15.392162800557205</v>
          </cell>
          <cell r="H320">
            <v>8.24</v>
          </cell>
        </row>
        <row r="321">
          <cell r="A321" t="str">
            <v>中卫市</v>
          </cell>
          <cell r="B321">
            <v>195.02</v>
          </cell>
          <cell r="C321">
            <v>97.12</v>
          </cell>
          <cell r="D321">
            <v>902</v>
          </cell>
          <cell r="E321">
            <v>585.05999999999995</v>
          </cell>
          <cell r="F321">
            <v>126.55</v>
          </cell>
          <cell r="G321">
            <v>21.63026014425871</v>
          </cell>
          <cell r="H321">
            <v>8.51</v>
          </cell>
        </row>
        <row r="322">
          <cell r="A322" t="str">
            <v>新疆维吾尔自治区</v>
          </cell>
        </row>
        <row r="323">
          <cell r="A323" t="str">
            <v>乌鲁木齐市</v>
          </cell>
          <cell r="B323">
            <v>130.16999999999999</v>
          </cell>
          <cell r="C323">
            <v>100</v>
          </cell>
          <cell r="D323">
            <v>43890</v>
          </cell>
          <cell r="E323">
            <v>5594.51</v>
          </cell>
          <cell r="F323">
            <v>558.55999999999995</v>
          </cell>
          <cell r="G323">
            <v>9.9840736722250902</v>
          </cell>
          <cell r="H323">
            <v>11.06</v>
          </cell>
        </row>
        <row r="324">
          <cell r="A324" t="str">
            <v>克拉玛依市</v>
          </cell>
          <cell r="B324">
            <v>218.36</v>
          </cell>
          <cell r="C324">
            <v>100</v>
          </cell>
          <cell r="D324">
            <v>2485</v>
          </cell>
          <cell r="E324">
            <v>1704.42</v>
          </cell>
          <cell r="F324">
            <v>260.88</v>
          </cell>
          <cell r="G324">
            <v>15.306086527968457</v>
          </cell>
          <cell r="H324">
            <v>11.2</v>
          </cell>
        </row>
        <row r="325">
          <cell r="A325" t="str">
            <v>吐鲁番市</v>
          </cell>
          <cell r="B325">
            <v>119</v>
          </cell>
          <cell r="C325">
            <v>99.19</v>
          </cell>
          <cell r="D325">
            <v>297</v>
          </cell>
          <cell r="E325">
            <v>408.99</v>
          </cell>
          <cell r="F325">
            <v>79.45</v>
          </cell>
          <cell r="G325">
            <v>19.42590283381012</v>
          </cell>
          <cell r="H325">
            <v>9.1999999999999993</v>
          </cell>
        </row>
        <row r="326">
          <cell r="A326" t="str">
            <v>哈密市</v>
          </cell>
          <cell r="B326">
            <v>350.21</v>
          </cell>
          <cell r="C326">
            <v>99.27</v>
          </cell>
          <cell r="D326">
            <v>2071</v>
          </cell>
          <cell r="E326">
            <v>640.02</v>
          </cell>
          <cell r="F326">
            <v>123.37</v>
          </cell>
          <cell r="G326">
            <v>19.275960126246055</v>
          </cell>
          <cell r="H326">
            <v>10.24</v>
          </cell>
        </row>
      </sheetData>
      <sheetData sheetId="1">
        <row r="1">
          <cell r="A1" t="str">
            <v>城市名</v>
          </cell>
        </row>
      </sheetData>
      <sheetData sheetId="2">
        <row r="1">
          <cell r="A1" t="str">
            <v>城市名</v>
          </cell>
        </row>
      </sheetData>
      <sheetData sheetId="3">
        <row r="1">
          <cell r="A1" t="str">
            <v>城市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98"/>
  <sheetViews>
    <sheetView tabSelected="1" topLeftCell="A274" workbookViewId="0">
      <selection activeCell="A299" sqref="A299:XFD299"/>
    </sheetView>
  </sheetViews>
  <sheetFormatPr defaultColWidth="9" defaultRowHeight="13.8" x14ac:dyDescent="0.25"/>
  <cols>
    <col min="1" max="1" width="9" style="92"/>
    <col min="2" max="2" width="9" style="3"/>
    <col min="3" max="6" width="9" style="7" customWidth="1"/>
    <col min="7" max="8" width="11.44140625" style="7" customWidth="1"/>
    <col min="9" max="18" width="9" style="7" customWidth="1"/>
    <col min="19" max="35" width="9" style="3" customWidth="1"/>
    <col min="36" max="37" width="12" style="3" customWidth="1"/>
    <col min="38" max="41" width="9" style="3"/>
    <col min="42" max="42" width="14" style="91" customWidth="1"/>
    <col min="43" max="16384" width="9" style="3"/>
  </cols>
  <sheetData>
    <row r="1" spans="1:42" s="77" customFormat="1" ht="14.4" customHeight="1" thickTop="1" thickBot="1" x14ac:dyDescent="0.3">
      <c r="A1" s="97" t="s">
        <v>0</v>
      </c>
      <c r="B1" s="105" t="s">
        <v>327</v>
      </c>
      <c r="C1" s="99" t="s">
        <v>1</v>
      </c>
      <c r="D1" s="99"/>
      <c r="E1" s="99"/>
      <c r="F1" s="99"/>
      <c r="G1" s="100"/>
      <c r="H1" s="101"/>
      <c r="I1" s="99" t="s">
        <v>302</v>
      </c>
      <c r="J1" s="99"/>
      <c r="K1" s="99"/>
      <c r="L1" s="99"/>
      <c r="M1" s="101"/>
      <c r="N1" s="102" t="s">
        <v>2</v>
      </c>
      <c r="O1" s="99"/>
      <c r="P1" s="99"/>
      <c r="Q1" s="99"/>
      <c r="R1" s="101"/>
      <c r="S1" s="103" t="s">
        <v>3</v>
      </c>
      <c r="T1" s="95"/>
      <c r="U1" s="95"/>
      <c r="V1" s="95"/>
      <c r="W1" s="95"/>
      <c r="X1" s="95"/>
      <c r="Y1" s="95"/>
      <c r="Z1" s="95"/>
      <c r="AA1" s="95"/>
      <c r="AB1" s="95"/>
      <c r="AC1" s="95"/>
      <c r="AD1" s="104"/>
      <c r="AE1" s="104"/>
      <c r="AF1" s="104"/>
      <c r="AG1" s="104"/>
      <c r="AH1" s="104"/>
      <c r="AI1" s="104"/>
      <c r="AJ1" s="104"/>
      <c r="AK1" s="96"/>
      <c r="AL1" s="95"/>
      <c r="AM1" s="95"/>
      <c r="AN1" s="96"/>
      <c r="AP1" s="78" t="s">
        <v>379</v>
      </c>
    </row>
    <row r="2" spans="1:42" s="77" customFormat="1" ht="16.8" thickTop="1" x14ac:dyDescent="0.35">
      <c r="A2" s="98"/>
      <c r="B2" s="106"/>
      <c r="C2" s="4" t="s">
        <v>5</v>
      </c>
      <c r="D2" s="4" t="s">
        <v>6</v>
      </c>
      <c r="E2" s="5" t="s">
        <v>300</v>
      </c>
      <c r="F2" s="5" t="s">
        <v>301</v>
      </c>
      <c r="G2" s="79" t="s">
        <v>370</v>
      </c>
      <c r="H2" s="80" t="s">
        <v>371</v>
      </c>
      <c r="I2" s="4" t="s">
        <v>303</v>
      </c>
      <c r="J2" s="4" t="s">
        <v>304</v>
      </c>
      <c r="K2" s="5" t="s">
        <v>305</v>
      </c>
      <c r="L2" s="5" t="s">
        <v>306</v>
      </c>
      <c r="M2" s="79" t="s">
        <v>302</v>
      </c>
      <c r="N2" s="4" t="s">
        <v>7</v>
      </c>
      <c r="O2" s="4" t="s">
        <v>8</v>
      </c>
      <c r="P2" s="5" t="s">
        <v>307</v>
      </c>
      <c r="Q2" s="5" t="s">
        <v>308</v>
      </c>
      <c r="R2" s="79" t="s">
        <v>2</v>
      </c>
      <c r="S2" s="81" t="s">
        <v>9</v>
      </c>
      <c r="T2" s="82" t="s">
        <v>10</v>
      </c>
      <c r="U2" s="81" t="s">
        <v>11</v>
      </c>
      <c r="V2" s="83" t="s">
        <v>12</v>
      </c>
      <c r="W2" s="83" t="s">
        <v>13</v>
      </c>
      <c r="X2" s="82" t="s">
        <v>14</v>
      </c>
      <c r="Y2" s="81" t="s">
        <v>15</v>
      </c>
      <c r="Z2" s="83" t="s">
        <v>16</v>
      </c>
      <c r="AA2" s="83" t="s">
        <v>17</v>
      </c>
      <c r="AB2" s="83" t="s">
        <v>18</v>
      </c>
      <c r="AC2" s="84" t="s">
        <v>19</v>
      </c>
      <c r="AD2" s="81" t="s">
        <v>328</v>
      </c>
      <c r="AE2" s="83" t="s">
        <v>329</v>
      </c>
      <c r="AF2" s="83" t="s">
        <v>330</v>
      </c>
      <c r="AG2" s="83" t="s">
        <v>331</v>
      </c>
      <c r="AH2" s="83" t="s">
        <v>332</v>
      </c>
      <c r="AI2" s="84" t="s">
        <v>333</v>
      </c>
      <c r="AJ2" s="79" t="s">
        <v>373</v>
      </c>
      <c r="AK2" s="79" t="s">
        <v>374</v>
      </c>
      <c r="AL2" s="82" t="s">
        <v>20</v>
      </c>
      <c r="AM2" s="84" t="s">
        <v>21</v>
      </c>
      <c r="AN2" s="85" t="s">
        <v>4</v>
      </c>
      <c r="AP2" s="86"/>
    </row>
    <row r="3" spans="1:42" x14ac:dyDescent="0.25">
      <c r="A3" s="92" t="s">
        <v>22</v>
      </c>
      <c r="B3" s="3">
        <v>1</v>
      </c>
      <c r="C3" s="7">
        <v>65</v>
      </c>
      <c r="D3" s="7">
        <v>80</v>
      </c>
      <c r="E3" s="7">
        <v>75</v>
      </c>
      <c r="F3" s="7">
        <v>100</v>
      </c>
      <c r="G3" s="74">
        <f>AVERAGE(C3:F3)</f>
        <v>80</v>
      </c>
      <c r="H3" s="75">
        <f>G3*K值!M4</f>
        <v>82.79864606643568</v>
      </c>
      <c r="I3" s="7">
        <v>50</v>
      </c>
      <c r="J3" s="36">
        <v>40</v>
      </c>
      <c r="K3" s="36">
        <v>75</v>
      </c>
      <c r="L3" s="36">
        <v>100</v>
      </c>
      <c r="M3" s="74">
        <f>AVERAGE(I3:L3)</f>
        <v>66.25</v>
      </c>
      <c r="N3" s="36">
        <v>100</v>
      </c>
      <c r="O3" s="7">
        <v>65</v>
      </c>
      <c r="P3" s="7">
        <v>35</v>
      </c>
      <c r="Q3" s="36">
        <v>100</v>
      </c>
      <c r="R3" s="74">
        <f>AVERAGE(N3:Q3)</f>
        <v>75</v>
      </c>
      <c r="S3" s="3">
        <v>29.893956521149544</v>
      </c>
      <c r="T3" s="3">
        <f>AVERAGE(S3)</f>
        <v>29.893956521149544</v>
      </c>
      <c r="U3" s="3">
        <v>53.677205636413305</v>
      </c>
      <c r="V3" s="3">
        <v>66.187361794242292</v>
      </c>
      <c r="W3" s="3">
        <v>93.692572420475031</v>
      </c>
      <c r="X3" s="3">
        <f t="shared" ref="X3:X66" si="0">AVERAGE(U3:W3)</f>
        <v>71.1857132837102</v>
      </c>
      <c r="Y3" s="3">
        <v>100</v>
      </c>
      <c r="Z3" s="3">
        <v>79.574770380402228</v>
      </c>
      <c r="AA3" s="3">
        <v>88.548737961741523</v>
      </c>
      <c r="AB3" s="3">
        <v>62.63178250824015</v>
      </c>
      <c r="AC3" s="3">
        <f>AVERAGE(Y3:AB3)</f>
        <v>82.688822712595965</v>
      </c>
      <c r="AD3" s="3">
        <v>69.306802468455487</v>
      </c>
      <c r="AE3" s="87">
        <v>29.730185679386427</v>
      </c>
      <c r="AF3" s="3">
        <v>28.691983122362867</v>
      </c>
      <c r="AG3" s="3">
        <v>7.8595406593461412</v>
      </c>
      <c r="AH3" s="3">
        <v>100</v>
      </c>
      <c r="AI3" s="3">
        <f t="shared" ref="AI3:AI9" si="1">AVERAGE(AD3:AH3)</f>
        <v>47.117702385910185</v>
      </c>
      <c r="AJ3" s="65">
        <f>AVERAGE(T3,X3,AC3,AI3)</f>
        <v>57.721548725841473</v>
      </c>
      <c r="AK3" s="75">
        <f>AJ3*K值!M4</f>
        <v>59.740826041968361</v>
      </c>
      <c r="AL3" s="88">
        <v>75</v>
      </c>
      <c r="AM3" s="3">
        <v>50</v>
      </c>
      <c r="AN3" s="65">
        <f>AVERAGE(AL3:AM3)</f>
        <v>62.5</v>
      </c>
      <c r="AP3" s="76">
        <f>(H3*0.2)+(M3*0.2)+(R3*0.1)+(AK3*0.4)+(AN3*0.1)</f>
        <v>67.456059630074492</v>
      </c>
    </row>
    <row r="4" spans="1:42" x14ac:dyDescent="0.25">
      <c r="A4" s="92" t="s">
        <v>23</v>
      </c>
      <c r="B4" s="3">
        <v>1</v>
      </c>
      <c r="C4" s="7">
        <v>100</v>
      </c>
      <c r="D4" s="7">
        <v>80</v>
      </c>
      <c r="E4" s="7">
        <v>75</v>
      </c>
      <c r="F4" s="7">
        <v>100</v>
      </c>
      <c r="G4" s="74">
        <f t="shared" ref="G4:G67" si="2">AVERAGE(C4:F4)</f>
        <v>88.75</v>
      </c>
      <c r="H4" s="75">
        <f>G4*K值!M5</f>
        <v>85.49497386241616</v>
      </c>
      <c r="I4" s="7">
        <v>50</v>
      </c>
      <c r="J4" s="7">
        <v>100</v>
      </c>
      <c r="K4" s="36">
        <v>100</v>
      </c>
      <c r="L4" s="36">
        <v>100</v>
      </c>
      <c r="M4" s="74">
        <f t="shared" ref="M4:M67" si="3">AVERAGE(I4:L4)</f>
        <v>87.5</v>
      </c>
      <c r="N4" s="7">
        <v>100</v>
      </c>
      <c r="O4" s="7">
        <v>65</v>
      </c>
      <c r="P4" s="7">
        <v>100</v>
      </c>
      <c r="Q4" s="7">
        <v>65</v>
      </c>
      <c r="R4" s="74">
        <f t="shared" ref="R4:R67" si="4">AVERAGE(N4:Q4)</f>
        <v>82.5</v>
      </c>
      <c r="S4" s="3">
        <v>0</v>
      </c>
      <c r="T4" s="3">
        <v>0</v>
      </c>
      <c r="U4" s="3">
        <v>0</v>
      </c>
      <c r="V4" s="3">
        <v>56.048487640379854</v>
      </c>
      <c r="W4" s="3">
        <v>100</v>
      </c>
      <c r="X4" s="3">
        <f>AVERAGE(U4:W4)</f>
        <v>52.016162546793282</v>
      </c>
      <c r="Y4" s="3">
        <v>100</v>
      </c>
      <c r="Z4" s="3">
        <v>100</v>
      </c>
      <c r="AA4" s="3">
        <v>100</v>
      </c>
      <c r="AB4" s="3">
        <v>49.591985473318381</v>
      </c>
      <c r="AC4" s="3">
        <f>AVERAGE(Y4:AB4)</f>
        <v>87.397996368329601</v>
      </c>
      <c r="AD4" s="3">
        <v>100</v>
      </c>
      <c r="AE4" s="87">
        <v>44.595278519079642</v>
      </c>
      <c r="AF4" s="3">
        <v>64.556962025316452</v>
      </c>
      <c r="AG4" s="3">
        <v>3.9297703296730706</v>
      </c>
      <c r="AH4" s="3">
        <v>28.200753687131463</v>
      </c>
      <c r="AI4" s="3">
        <f t="shared" si="1"/>
        <v>48.256552912240117</v>
      </c>
      <c r="AJ4" s="65">
        <f t="shared" ref="AJ4:AJ67" si="5">AVERAGE(T4,X4,AC4,AI4)</f>
        <v>46.917677956840748</v>
      </c>
      <c r="AK4" s="75">
        <f>AJ4*K值!M5</f>
        <v>45.196908739215303</v>
      </c>
      <c r="AL4" s="3">
        <v>50</v>
      </c>
      <c r="AM4" s="3">
        <v>50</v>
      </c>
      <c r="AN4" s="65">
        <f t="shared" ref="AN4:AN67" si="6">AVERAGE(AL4:AM4)</f>
        <v>50</v>
      </c>
      <c r="AP4" s="76">
        <f t="shared" ref="AP4:AP67" si="7">(H4*0.2)+(M4*0.2)+(R4*0.1)+(AK4*0.4)+(AN4*0.1)</f>
        <v>65.927758268169356</v>
      </c>
    </row>
    <row r="5" spans="1:42" x14ac:dyDescent="0.25">
      <c r="A5" s="92" t="s">
        <v>24</v>
      </c>
      <c r="B5" s="3">
        <v>1</v>
      </c>
      <c r="C5" s="36">
        <v>100</v>
      </c>
      <c r="D5" s="36">
        <v>100</v>
      </c>
      <c r="E5" s="7">
        <v>75</v>
      </c>
      <c r="F5" s="7">
        <v>100</v>
      </c>
      <c r="G5" s="74">
        <f t="shared" si="2"/>
        <v>93.75</v>
      </c>
      <c r="H5" s="75">
        <f>G5*K值!M6</f>
        <v>90.311592108186076</v>
      </c>
      <c r="I5" s="7">
        <v>100</v>
      </c>
      <c r="J5" s="7">
        <v>80</v>
      </c>
      <c r="K5" s="7">
        <v>100</v>
      </c>
      <c r="L5" s="36">
        <v>100</v>
      </c>
      <c r="M5" s="74">
        <f t="shared" si="3"/>
        <v>95</v>
      </c>
      <c r="N5" s="7">
        <v>100</v>
      </c>
      <c r="O5" s="7">
        <v>65</v>
      </c>
      <c r="P5" s="7">
        <v>100</v>
      </c>
      <c r="Q5" s="7">
        <v>100</v>
      </c>
      <c r="R5" s="74">
        <f t="shared" si="4"/>
        <v>91.25</v>
      </c>
      <c r="S5" s="3">
        <v>0</v>
      </c>
      <c r="T5" s="3">
        <v>0</v>
      </c>
      <c r="U5" s="3">
        <v>0</v>
      </c>
      <c r="V5" s="3">
        <v>70.874170852938946</v>
      </c>
      <c r="W5" s="3">
        <v>100</v>
      </c>
      <c r="X5" s="3">
        <f>AVERAGE(U5:W5)</f>
        <v>56.958056950979653</v>
      </c>
      <c r="Y5" s="3">
        <v>100</v>
      </c>
      <c r="Z5" s="3">
        <v>100</v>
      </c>
      <c r="AA5" s="3">
        <v>100</v>
      </c>
      <c r="AB5" s="3">
        <v>25.23031709019244</v>
      </c>
      <c r="AC5" s="3">
        <f>AVERAGE(Y5:AB5)</f>
        <v>81.307579272548111</v>
      </c>
      <c r="AD5" s="3">
        <v>100</v>
      </c>
      <c r="AE5" s="87">
        <v>59.460371358772854</v>
      </c>
      <c r="AF5" s="3">
        <v>78.902953586497887</v>
      </c>
      <c r="AG5" s="3">
        <v>78.595406593461419</v>
      </c>
      <c r="AH5" s="3">
        <v>100</v>
      </c>
      <c r="AI5" s="3">
        <f t="shared" si="1"/>
        <v>83.39174630774643</v>
      </c>
      <c r="AJ5" s="65">
        <f t="shared" si="5"/>
        <v>55.414345632818552</v>
      </c>
      <c r="AK5" s="75">
        <f>AJ5*K值!M6</f>
        <v>53.381949650486952</v>
      </c>
      <c r="AL5" s="3">
        <v>100</v>
      </c>
      <c r="AM5" s="3">
        <v>75</v>
      </c>
      <c r="AN5" s="65">
        <f t="shared" si="6"/>
        <v>87.5</v>
      </c>
      <c r="AP5" s="76">
        <f t="shared" si="7"/>
        <v>76.290098281832002</v>
      </c>
    </row>
    <row r="6" spans="1:42" x14ac:dyDescent="0.25">
      <c r="A6" s="92" t="s">
        <v>25</v>
      </c>
      <c r="B6" s="3">
        <v>1</v>
      </c>
      <c r="C6" s="7">
        <v>65</v>
      </c>
      <c r="D6" s="7">
        <v>80</v>
      </c>
      <c r="E6" s="7">
        <v>100</v>
      </c>
      <c r="F6" s="7">
        <v>100</v>
      </c>
      <c r="G6" s="74">
        <f t="shared" si="2"/>
        <v>86.25</v>
      </c>
      <c r="H6" s="75">
        <f>G6*K值!M7</f>
        <v>85.313121855754986</v>
      </c>
      <c r="I6" s="7">
        <v>100</v>
      </c>
      <c r="J6" s="7">
        <v>100</v>
      </c>
      <c r="K6" s="7">
        <v>25</v>
      </c>
      <c r="L6" s="36">
        <v>100</v>
      </c>
      <c r="M6" s="74">
        <f t="shared" si="3"/>
        <v>81.25</v>
      </c>
      <c r="N6" s="7">
        <v>65</v>
      </c>
      <c r="O6" s="7">
        <v>65</v>
      </c>
      <c r="P6" s="7">
        <v>100</v>
      </c>
      <c r="Q6" s="7">
        <v>100</v>
      </c>
      <c r="R6" s="74">
        <f t="shared" si="4"/>
        <v>82.5</v>
      </c>
      <c r="S6" s="3">
        <v>12.585841212067875</v>
      </c>
      <c r="T6" s="3">
        <f t="shared" ref="T6:T37" si="8">AVERAGE(S6)</f>
        <v>12.585841212067875</v>
      </c>
      <c r="U6" s="3">
        <v>43.33260147202278</v>
      </c>
      <c r="V6" s="3">
        <v>45.666821410689842</v>
      </c>
      <c r="W6" s="3">
        <v>98.884874682072947</v>
      </c>
      <c r="X6" s="3">
        <f>AVERAGE(U6:W6)</f>
        <v>62.628099188261864</v>
      </c>
      <c r="Y6" s="3">
        <v>100</v>
      </c>
      <c r="Z6" s="3">
        <v>100</v>
      </c>
      <c r="AA6" s="3">
        <v>100</v>
      </c>
      <c r="AB6" s="3">
        <v>36.957711655180148</v>
      </c>
      <c r="AC6" s="3">
        <f>AVERAGE(Y6:AB6)</f>
        <v>84.239427913795041</v>
      </c>
      <c r="AD6" s="3">
        <v>100</v>
      </c>
      <c r="AE6" s="87">
        <v>29.730185679386427</v>
      </c>
      <c r="AF6" s="3">
        <v>71.729957805907176</v>
      </c>
      <c r="AG6" s="3">
        <v>23.578621978038424</v>
      </c>
      <c r="AH6" s="3">
        <v>58.57079611942688</v>
      </c>
      <c r="AI6" s="3">
        <f t="shared" si="1"/>
        <v>56.72191231655178</v>
      </c>
      <c r="AJ6" s="65">
        <f t="shared" si="5"/>
        <v>54.043820157669131</v>
      </c>
      <c r="AK6" s="75">
        <f>AJ6*K值!M7</f>
        <v>53.456776981585328</v>
      </c>
      <c r="AL6" s="3">
        <v>100</v>
      </c>
      <c r="AM6" s="3">
        <v>75</v>
      </c>
      <c r="AN6" s="65">
        <f t="shared" si="6"/>
        <v>87.5</v>
      </c>
      <c r="AP6" s="76">
        <f t="shared" si="7"/>
        <v>71.695335163785131</v>
      </c>
    </row>
    <row r="7" spans="1:42" x14ac:dyDescent="0.25">
      <c r="A7" s="92" t="s">
        <v>26</v>
      </c>
      <c r="B7" s="3">
        <v>1</v>
      </c>
      <c r="C7" s="7">
        <v>65</v>
      </c>
      <c r="D7" s="7">
        <v>100</v>
      </c>
      <c r="E7" s="7">
        <v>100</v>
      </c>
      <c r="F7" s="7">
        <v>60</v>
      </c>
      <c r="G7" s="74">
        <f t="shared" si="2"/>
        <v>81.25</v>
      </c>
      <c r="H7" s="75">
        <f>G7*K值!M8</f>
        <v>78.270046493761271</v>
      </c>
      <c r="I7" s="7">
        <v>40</v>
      </c>
      <c r="J7" s="7">
        <v>80</v>
      </c>
      <c r="K7" s="7">
        <v>50</v>
      </c>
      <c r="L7" s="36">
        <v>100</v>
      </c>
      <c r="M7" s="74">
        <f t="shared" si="3"/>
        <v>67.5</v>
      </c>
      <c r="N7" s="36">
        <v>100</v>
      </c>
      <c r="O7" s="7">
        <v>100</v>
      </c>
      <c r="P7" s="7">
        <v>65</v>
      </c>
      <c r="Q7" s="36">
        <v>65</v>
      </c>
      <c r="R7" s="74">
        <f t="shared" si="4"/>
        <v>82.5</v>
      </c>
      <c r="S7" s="3">
        <v>35.658579469085325</v>
      </c>
      <c r="T7" s="3">
        <f t="shared" si="8"/>
        <v>35.658579469085325</v>
      </c>
      <c r="U7" s="3">
        <v>24.789606043972022</v>
      </c>
      <c r="V7" s="3">
        <v>11.497678384729634</v>
      </c>
      <c r="W7" s="3">
        <v>90.138110469582529</v>
      </c>
      <c r="X7" s="3">
        <f>AVERAGE(U7:W7)</f>
        <v>42.141798299428061</v>
      </c>
      <c r="Y7" s="3">
        <v>100</v>
      </c>
      <c r="Z7" s="3">
        <v>100</v>
      </c>
      <c r="AA7" s="3">
        <v>100</v>
      </c>
      <c r="AB7" s="3">
        <v>6.1190238905921053</v>
      </c>
      <c r="AC7" s="3">
        <f t="shared" ref="AC7:AC66" si="9">AVERAGE(Y7:AB7)</f>
        <v>76.529755972648033</v>
      </c>
      <c r="AD7" s="3">
        <v>100</v>
      </c>
      <c r="AE7" s="87">
        <v>44.595278519079642</v>
      </c>
      <c r="AF7" s="3">
        <v>60.337552742616026</v>
      </c>
      <c r="AG7" s="3">
        <v>31.438162637384565</v>
      </c>
      <c r="AH7" s="3">
        <v>100</v>
      </c>
      <c r="AI7" s="3">
        <f t="shared" si="1"/>
        <v>67.274198779816047</v>
      </c>
      <c r="AJ7" s="65">
        <f t="shared" si="5"/>
        <v>55.401083130244373</v>
      </c>
      <c r="AK7" s="75">
        <f>AJ7*K值!M8</f>
        <v>53.369173568110277</v>
      </c>
      <c r="AL7" s="88">
        <v>75</v>
      </c>
      <c r="AM7" s="3">
        <v>50</v>
      </c>
      <c r="AN7" s="65">
        <f t="shared" si="6"/>
        <v>62.5</v>
      </c>
      <c r="AP7" s="76">
        <f t="shared" si="7"/>
        <v>65.001678725996371</v>
      </c>
    </row>
    <row r="8" spans="1:42" x14ac:dyDescent="0.25">
      <c r="A8" s="92" t="s">
        <v>27</v>
      </c>
      <c r="B8" s="3">
        <v>1</v>
      </c>
      <c r="C8" s="7">
        <v>65</v>
      </c>
      <c r="D8" s="7">
        <v>100</v>
      </c>
      <c r="E8" s="7">
        <v>100</v>
      </c>
      <c r="F8" s="7">
        <v>100</v>
      </c>
      <c r="G8" s="74">
        <f t="shared" si="2"/>
        <v>91.25</v>
      </c>
      <c r="H8" s="75">
        <f>G8*K值!M9</f>
        <v>87.903282985301118</v>
      </c>
      <c r="I8" s="7">
        <v>75</v>
      </c>
      <c r="J8" s="7">
        <v>60</v>
      </c>
      <c r="K8" s="36">
        <v>100</v>
      </c>
      <c r="L8" s="36">
        <v>100</v>
      </c>
      <c r="M8" s="74">
        <f t="shared" si="3"/>
        <v>83.75</v>
      </c>
      <c r="N8" s="7">
        <v>100</v>
      </c>
      <c r="O8" s="7">
        <v>100</v>
      </c>
      <c r="P8" s="7">
        <v>65</v>
      </c>
      <c r="Q8" s="7">
        <v>100</v>
      </c>
      <c r="R8" s="74">
        <f t="shared" si="4"/>
        <v>91.25</v>
      </c>
      <c r="S8" s="3">
        <v>28.817784366051857</v>
      </c>
      <c r="T8" s="3">
        <f t="shared" si="8"/>
        <v>28.817784366051857</v>
      </c>
      <c r="U8" s="3">
        <v>7.1576082039914546</v>
      </c>
      <c r="V8" s="3">
        <v>62.938865286017808</v>
      </c>
      <c r="W8" s="3">
        <v>100</v>
      </c>
      <c r="X8" s="3">
        <f>AVERAGE(U8:W8)</f>
        <v>56.698824496669751</v>
      </c>
      <c r="Y8" s="3">
        <v>100</v>
      </c>
      <c r="Z8" s="3">
        <v>100</v>
      </c>
      <c r="AA8" s="3">
        <v>100</v>
      </c>
      <c r="AB8" s="3">
        <v>29.526031309720512</v>
      </c>
      <c r="AC8" s="3">
        <f>AVERAGE(Y8:AB8)</f>
        <v>82.381507827430127</v>
      </c>
      <c r="AD8" s="3">
        <v>100</v>
      </c>
      <c r="AE8" s="87">
        <v>29.730185679386427</v>
      </c>
      <c r="AF8" s="3">
        <v>13.502109704641349</v>
      </c>
      <c r="AG8" s="3">
        <v>27.5083923077115</v>
      </c>
      <c r="AH8" s="3">
        <v>19.523598706475628</v>
      </c>
      <c r="AI8" s="3">
        <f t="shared" si="1"/>
        <v>38.052857279642986</v>
      </c>
      <c r="AJ8" s="65">
        <f t="shared" si="5"/>
        <v>51.487743492448679</v>
      </c>
      <c r="AK8" s="75">
        <f>AJ8*K值!M9</f>
        <v>49.599360947849995</v>
      </c>
      <c r="AL8" s="3">
        <v>75</v>
      </c>
      <c r="AM8" s="88">
        <v>50</v>
      </c>
      <c r="AN8" s="65">
        <f t="shared" si="6"/>
        <v>62.5</v>
      </c>
      <c r="AP8" s="76">
        <f t="shared" si="7"/>
        <v>69.545400976200227</v>
      </c>
    </row>
    <row r="9" spans="1:42" x14ac:dyDescent="0.25">
      <c r="A9" s="92" t="s">
        <v>28</v>
      </c>
      <c r="B9" s="3">
        <v>1</v>
      </c>
      <c r="C9" s="7">
        <v>100</v>
      </c>
      <c r="D9" s="7">
        <v>100</v>
      </c>
      <c r="E9" s="7">
        <v>100</v>
      </c>
      <c r="F9" s="7">
        <v>100</v>
      </c>
      <c r="G9" s="74">
        <f t="shared" si="2"/>
        <v>100</v>
      </c>
      <c r="H9" s="75">
        <f>G9*K值!M10</f>
        <v>97.517553916764882</v>
      </c>
      <c r="I9" s="36">
        <v>40</v>
      </c>
      <c r="J9" s="7">
        <v>60</v>
      </c>
      <c r="K9" s="7">
        <v>75</v>
      </c>
      <c r="L9" s="36">
        <v>100</v>
      </c>
      <c r="M9" s="74">
        <f t="shared" si="3"/>
        <v>68.75</v>
      </c>
      <c r="N9" s="36">
        <v>100</v>
      </c>
      <c r="O9" s="36">
        <v>100</v>
      </c>
      <c r="P9" s="7">
        <v>35</v>
      </c>
      <c r="Q9" s="36">
        <v>100</v>
      </c>
      <c r="R9" s="74">
        <f t="shared" si="4"/>
        <v>83.75</v>
      </c>
      <c r="S9" s="3">
        <v>18.411993329851008</v>
      </c>
      <c r="T9" s="3">
        <f t="shared" si="8"/>
        <v>18.411993329851008</v>
      </c>
      <c r="U9" s="3">
        <v>34.633484451251803</v>
      </c>
      <c r="V9" s="3">
        <v>83.336472972948712</v>
      </c>
      <c r="W9" s="3">
        <v>100</v>
      </c>
      <c r="X9" s="3">
        <f t="shared" si="0"/>
        <v>72.656652474733505</v>
      </c>
      <c r="Y9" s="3">
        <v>75.187881521064341</v>
      </c>
      <c r="Z9" s="3">
        <v>33.654280912885255</v>
      </c>
      <c r="AA9" s="3">
        <v>100</v>
      </c>
      <c r="AB9" s="3">
        <v>43.131436301150657</v>
      </c>
      <c r="AC9" s="3">
        <f>AVERAGE(Y9:AB9)</f>
        <v>62.993399683775067</v>
      </c>
      <c r="AD9" s="3">
        <v>100</v>
      </c>
      <c r="AE9" s="87">
        <v>29.730185679386427</v>
      </c>
      <c r="AF9" s="3">
        <v>0</v>
      </c>
      <c r="AG9" s="3">
        <v>7.8595406593461412</v>
      </c>
      <c r="AH9" s="3">
        <v>100</v>
      </c>
      <c r="AI9" s="3">
        <f t="shared" si="1"/>
        <v>47.517945267746519</v>
      </c>
      <c r="AJ9" s="65">
        <f t="shared" si="5"/>
        <v>50.394997689026525</v>
      </c>
      <c r="AK9" s="75">
        <f>AJ9*K值!M10</f>
        <v>49.143969042748857</v>
      </c>
      <c r="AL9" s="3">
        <v>50</v>
      </c>
      <c r="AM9" s="3">
        <v>50</v>
      </c>
      <c r="AN9" s="65">
        <f t="shared" si="6"/>
        <v>50</v>
      </c>
      <c r="AP9" s="76">
        <f t="shared" si="7"/>
        <v>66.286098400452516</v>
      </c>
    </row>
    <row r="10" spans="1:42" x14ac:dyDescent="0.25">
      <c r="A10" s="92" t="s">
        <v>29</v>
      </c>
      <c r="B10" s="3">
        <v>2</v>
      </c>
      <c r="C10" s="7">
        <v>65</v>
      </c>
      <c r="D10" s="7">
        <v>100</v>
      </c>
      <c r="E10" s="7">
        <v>100</v>
      </c>
      <c r="F10" s="7">
        <v>100</v>
      </c>
      <c r="G10" s="74">
        <f t="shared" si="2"/>
        <v>91.25</v>
      </c>
      <c r="H10" s="75">
        <f>G10*K值!M11</f>
        <v>91.039945287662377</v>
      </c>
      <c r="I10" s="7">
        <v>0</v>
      </c>
      <c r="J10" s="7">
        <v>40</v>
      </c>
      <c r="K10" s="7">
        <v>25</v>
      </c>
      <c r="L10" s="7">
        <v>25</v>
      </c>
      <c r="M10" s="74">
        <f t="shared" si="3"/>
        <v>22.5</v>
      </c>
      <c r="N10" s="7">
        <v>35</v>
      </c>
      <c r="O10" s="7">
        <v>35</v>
      </c>
      <c r="P10" s="7">
        <v>35</v>
      </c>
      <c r="Q10" s="7">
        <v>65</v>
      </c>
      <c r="R10" s="74">
        <f t="shared" si="4"/>
        <v>42.5</v>
      </c>
      <c r="S10" s="3">
        <v>47.774270607714861</v>
      </c>
      <c r="T10" s="3">
        <f t="shared" si="8"/>
        <v>47.774270607714861</v>
      </c>
      <c r="U10" s="3">
        <v>33.284645298341495</v>
      </c>
      <c r="V10" s="3">
        <v>48.826191713863714</v>
      </c>
      <c r="W10" s="3">
        <v>100</v>
      </c>
      <c r="X10" s="3">
        <f t="shared" si="0"/>
        <v>60.703612337401729</v>
      </c>
      <c r="Y10" s="3">
        <v>38.471040772406653</v>
      </c>
      <c r="Z10" s="3">
        <v>29.261627669029199</v>
      </c>
      <c r="AA10" s="3">
        <v>100</v>
      </c>
      <c r="AB10" s="3">
        <v>20.313180551154144</v>
      </c>
      <c r="AC10" s="3">
        <f t="shared" si="9"/>
        <v>47.011462248147502</v>
      </c>
      <c r="AD10" s="3">
        <v>64.809595791032237</v>
      </c>
      <c r="AE10" s="87">
        <v>0</v>
      </c>
      <c r="AF10" s="3">
        <v>59.071729957805907</v>
      </c>
      <c r="AG10" s="3">
        <v>19.648851648365355</v>
      </c>
      <c r="AH10" s="3">
        <v>28.200753687131463</v>
      </c>
      <c r="AI10" s="3">
        <f t="shared" ref="AI10:AI66" si="10">AVERAGE(AD10:AH10)</f>
        <v>34.346186216866997</v>
      </c>
      <c r="AJ10" s="65">
        <f t="shared" si="5"/>
        <v>47.458882852532767</v>
      </c>
      <c r="AK10" s="75">
        <f>AJ10*K值!M11</f>
        <v>47.349633954062043</v>
      </c>
      <c r="AL10" s="3">
        <v>25</v>
      </c>
      <c r="AM10" s="3">
        <v>50</v>
      </c>
      <c r="AN10" s="65">
        <f t="shared" si="6"/>
        <v>37.5</v>
      </c>
      <c r="AP10" s="76">
        <f t="shared" si="7"/>
        <v>49.64784263915729</v>
      </c>
    </row>
    <row r="11" spans="1:42" x14ac:dyDescent="0.25">
      <c r="A11" s="92" t="s">
        <v>30</v>
      </c>
      <c r="B11" s="3">
        <v>1</v>
      </c>
      <c r="C11" s="7">
        <v>65</v>
      </c>
      <c r="D11" s="7">
        <v>60</v>
      </c>
      <c r="E11" s="7">
        <v>100</v>
      </c>
      <c r="F11" s="7">
        <v>60</v>
      </c>
      <c r="G11" s="74">
        <f t="shared" si="2"/>
        <v>71.25</v>
      </c>
      <c r="H11" s="75">
        <f>G11*K值!M12</f>
        <v>68.851069582322623</v>
      </c>
      <c r="I11" s="36">
        <v>20</v>
      </c>
      <c r="J11" s="7">
        <v>40</v>
      </c>
      <c r="K11" s="7">
        <v>25</v>
      </c>
      <c r="L11" s="36">
        <v>100</v>
      </c>
      <c r="M11" s="74">
        <f t="shared" si="3"/>
        <v>46.25</v>
      </c>
      <c r="N11" s="7">
        <v>35</v>
      </c>
      <c r="O11" s="7">
        <v>35</v>
      </c>
      <c r="P11" s="7">
        <v>65</v>
      </c>
      <c r="Q11" s="7">
        <v>100</v>
      </c>
      <c r="R11" s="74">
        <f t="shared" si="4"/>
        <v>58.75</v>
      </c>
      <c r="S11" s="3">
        <v>41.24002713780083</v>
      </c>
      <c r="T11" s="3">
        <f t="shared" si="8"/>
        <v>41.24002713780083</v>
      </c>
      <c r="U11" s="3">
        <v>28.03569138347039</v>
      </c>
      <c r="V11" s="3">
        <v>77.368090551972401</v>
      </c>
      <c r="W11" s="3">
        <v>83.064034233982696</v>
      </c>
      <c r="X11" s="3">
        <f t="shared" si="0"/>
        <v>62.822605389808494</v>
      </c>
      <c r="Y11" s="3">
        <v>67.941846342601607</v>
      </c>
      <c r="Z11" s="3">
        <v>31.630584983169534</v>
      </c>
      <c r="AA11" s="3">
        <v>82.325583642669088</v>
      </c>
      <c r="AB11" s="3">
        <v>28.076986862159959</v>
      </c>
      <c r="AC11" s="3">
        <f t="shared" si="9"/>
        <v>52.493750457650052</v>
      </c>
      <c r="AD11" s="3">
        <v>80.856269307764776</v>
      </c>
      <c r="AE11" s="87">
        <v>29.730185679386427</v>
      </c>
      <c r="AF11" s="3">
        <v>62.447257383966246</v>
      </c>
      <c r="AG11" s="3">
        <v>19.648851648365355</v>
      </c>
      <c r="AH11" s="3">
        <v>99.787282277542104</v>
      </c>
      <c r="AI11" s="3">
        <f t="shared" si="10"/>
        <v>58.493969259404977</v>
      </c>
      <c r="AJ11" s="65">
        <f t="shared" si="5"/>
        <v>53.762588061166085</v>
      </c>
      <c r="AK11" s="75">
        <f>AJ11*K值!M12</f>
        <v>51.952444793334649</v>
      </c>
      <c r="AL11" s="88">
        <v>75</v>
      </c>
      <c r="AM11" s="3">
        <v>50</v>
      </c>
      <c r="AN11" s="65">
        <f t="shared" si="6"/>
        <v>62.5</v>
      </c>
      <c r="AP11" s="76">
        <f t="shared" si="7"/>
        <v>55.926191833798384</v>
      </c>
    </row>
    <row r="12" spans="1:42" x14ac:dyDescent="0.25">
      <c r="A12" s="92" t="s">
        <v>31</v>
      </c>
      <c r="B12" s="3">
        <v>1</v>
      </c>
      <c r="C12" s="7">
        <v>100</v>
      </c>
      <c r="D12" s="7">
        <v>80</v>
      </c>
      <c r="E12" s="7">
        <v>75</v>
      </c>
      <c r="F12" s="7">
        <v>75</v>
      </c>
      <c r="G12" s="74">
        <f t="shared" si="2"/>
        <v>82.5</v>
      </c>
      <c r="H12" s="75">
        <f>G12*K值!M13</f>
        <v>79.47420105520375</v>
      </c>
      <c r="I12" s="7">
        <v>25</v>
      </c>
      <c r="J12" s="7">
        <v>100</v>
      </c>
      <c r="K12" s="7">
        <v>25</v>
      </c>
      <c r="L12" s="36">
        <v>100</v>
      </c>
      <c r="M12" s="74">
        <f t="shared" si="3"/>
        <v>62.5</v>
      </c>
      <c r="N12" s="7">
        <v>35</v>
      </c>
      <c r="O12" s="7">
        <v>65</v>
      </c>
      <c r="P12" s="7">
        <v>100</v>
      </c>
      <c r="Q12" s="7">
        <v>100</v>
      </c>
      <c r="R12" s="74">
        <f t="shared" si="4"/>
        <v>75</v>
      </c>
      <c r="S12" s="3">
        <v>7.2682030785351834</v>
      </c>
      <c r="T12" s="3">
        <f t="shared" si="8"/>
        <v>7.2682030785351834</v>
      </c>
      <c r="U12" s="3">
        <v>0</v>
      </c>
      <c r="V12" s="3">
        <v>60.655390446272484</v>
      </c>
      <c r="W12" s="3">
        <v>97.804597030331109</v>
      </c>
      <c r="X12" s="3">
        <f t="shared" si="0"/>
        <v>52.819995825534534</v>
      </c>
      <c r="Y12" s="3">
        <v>71.749355269061638</v>
      </c>
      <c r="Z12" s="3">
        <v>73.475394368581632</v>
      </c>
      <c r="AA12" s="3">
        <v>67.70491988099289</v>
      </c>
      <c r="AB12" s="3">
        <v>62.098078726558271</v>
      </c>
      <c r="AC12" s="3">
        <f t="shared" si="9"/>
        <v>68.756937061298601</v>
      </c>
      <c r="AD12" s="3">
        <v>57.400409503243253</v>
      </c>
      <c r="AE12" s="87">
        <v>0</v>
      </c>
      <c r="AF12" s="3">
        <v>15.611814345991561</v>
      </c>
      <c r="AG12" s="3">
        <v>7.8595406593461412</v>
      </c>
      <c r="AH12" s="3">
        <v>6.5078662354918757</v>
      </c>
      <c r="AI12" s="3">
        <f t="shared" si="10"/>
        <v>17.475926148814565</v>
      </c>
      <c r="AJ12" s="65">
        <f t="shared" si="5"/>
        <v>36.580265528545723</v>
      </c>
      <c r="AK12" s="75">
        <f>AJ12*K值!M13</f>
        <v>35.238634875980388</v>
      </c>
      <c r="AL12" s="3">
        <v>100</v>
      </c>
      <c r="AM12" s="88">
        <v>75</v>
      </c>
      <c r="AN12" s="65">
        <f t="shared" si="6"/>
        <v>87.5</v>
      </c>
      <c r="AP12" s="76">
        <f t="shared" si="7"/>
        <v>58.740294161432907</v>
      </c>
    </row>
    <row r="13" spans="1:42" x14ac:dyDescent="0.25">
      <c r="A13" s="92" t="s">
        <v>32</v>
      </c>
      <c r="B13" s="3">
        <v>1</v>
      </c>
      <c r="C13" s="7">
        <v>100</v>
      </c>
      <c r="D13" s="7">
        <v>60</v>
      </c>
      <c r="E13" s="7">
        <v>75</v>
      </c>
      <c r="F13" s="7">
        <v>75</v>
      </c>
      <c r="G13" s="74">
        <f t="shared" si="2"/>
        <v>77.5</v>
      </c>
      <c r="H13" s="75">
        <f>G13*K值!M14</f>
        <v>74.657582809433819</v>
      </c>
      <c r="I13" s="36">
        <v>20</v>
      </c>
      <c r="J13" s="7">
        <v>40</v>
      </c>
      <c r="K13" s="7">
        <v>25</v>
      </c>
      <c r="L13" s="36">
        <v>100</v>
      </c>
      <c r="M13" s="74">
        <f t="shared" si="3"/>
        <v>46.25</v>
      </c>
      <c r="N13" s="7">
        <v>100</v>
      </c>
      <c r="O13" s="7">
        <v>100</v>
      </c>
      <c r="P13" s="7">
        <v>100</v>
      </c>
      <c r="Q13" s="7">
        <v>65</v>
      </c>
      <c r="R13" s="74">
        <f t="shared" si="4"/>
        <v>91.25</v>
      </c>
      <c r="S13" s="3">
        <v>16.341251056793123</v>
      </c>
      <c r="T13" s="3">
        <f t="shared" si="8"/>
        <v>16.341251056793123</v>
      </c>
      <c r="U13" s="3">
        <v>30.539887768577184</v>
      </c>
      <c r="V13" s="3">
        <v>67.579574583481374</v>
      </c>
      <c r="W13" s="3">
        <v>99.965152333814771</v>
      </c>
      <c r="X13" s="3">
        <f t="shared" si="0"/>
        <v>66.028204895291111</v>
      </c>
      <c r="Y13" s="3">
        <v>98.882453330319294</v>
      </c>
      <c r="Z13" s="3">
        <v>74.202909428619208</v>
      </c>
      <c r="AA13" s="3">
        <v>74.527896303108449</v>
      </c>
      <c r="AB13" s="3">
        <v>40.296323190712954</v>
      </c>
      <c r="AC13" s="3">
        <f t="shared" si="9"/>
        <v>71.977395563189972</v>
      </c>
      <c r="AD13" s="3">
        <v>56.36932431116464</v>
      </c>
      <c r="AE13" s="87">
        <v>14.865092839693213</v>
      </c>
      <c r="AF13" s="3">
        <v>17.299578059071731</v>
      </c>
      <c r="AG13" s="3">
        <v>7.8595406593461412</v>
      </c>
      <c r="AH13" s="3">
        <v>47.724352393607091</v>
      </c>
      <c r="AI13" s="3">
        <f t="shared" si="10"/>
        <v>28.823577652576564</v>
      </c>
      <c r="AJ13" s="65">
        <f t="shared" si="5"/>
        <v>45.792607291962696</v>
      </c>
      <c r="AK13" s="75">
        <f>AJ13*K值!M14</f>
        <v>44.113101560768882</v>
      </c>
      <c r="AL13" s="3">
        <v>50</v>
      </c>
      <c r="AM13" s="88">
        <v>50</v>
      </c>
      <c r="AN13" s="65">
        <f t="shared" si="6"/>
        <v>50</v>
      </c>
      <c r="AP13" s="76">
        <f t="shared" si="7"/>
        <v>55.951757186194321</v>
      </c>
    </row>
    <row r="14" spans="1:42" x14ac:dyDescent="0.25">
      <c r="A14" s="92" t="s">
        <v>33</v>
      </c>
      <c r="B14" s="3">
        <v>1</v>
      </c>
      <c r="C14" s="7">
        <v>65</v>
      </c>
      <c r="D14" s="9">
        <v>100</v>
      </c>
      <c r="E14" s="9">
        <v>100</v>
      </c>
      <c r="F14" s="9">
        <v>100</v>
      </c>
      <c r="G14" s="74">
        <f t="shared" si="2"/>
        <v>91.25</v>
      </c>
      <c r="H14" s="75">
        <f>G14*K值!M15</f>
        <v>89.365719021326598</v>
      </c>
      <c r="I14" s="7">
        <v>75</v>
      </c>
      <c r="J14" s="7">
        <v>80</v>
      </c>
      <c r="K14" s="7">
        <v>100</v>
      </c>
      <c r="L14" s="36">
        <v>100</v>
      </c>
      <c r="M14" s="74">
        <f t="shared" si="3"/>
        <v>88.75</v>
      </c>
      <c r="N14" s="7">
        <v>100</v>
      </c>
      <c r="O14" s="7">
        <v>35</v>
      </c>
      <c r="P14" s="7">
        <v>100</v>
      </c>
      <c r="Q14" s="7">
        <v>100</v>
      </c>
      <c r="R14" s="74">
        <f t="shared" si="4"/>
        <v>83.75</v>
      </c>
      <c r="S14" s="3">
        <v>28.374403479266636</v>
      </c>
      <c r="T14" s="3">
        <f t="shared" si="8"/>
        <v>28.374403479266636</v>
      </c>
      <c r="U14" s="3">
        <v>17.084415527181783</v>
      </c>
      <c r="V14" s="3">
        <v>57.434553794787846</v>
      </c>
      <c r="W14" s="3">
        <v>100</v>
      </c>
      <c r="X14" s="3">
        <f t="shared" si="0"/>
        <v>58.172989773989876</v>
      </c>
      <c r="Y14" s="3">
        <v>80.227375789150997</v>
      </c>
      <c r="Z14" s="3">
        <v>65.03244790912251</v>
      </c>
      <c r="AA14" s="3">
        <v>94.397003466412002</v>
      </c>
      <c r="AB14" s="3">
        <v>23.255856577649631</v>
      </c>
      <c r="AC14" s="3">
        <f t="shared" si="9"/>
        <v>65.72817093558379</v>
      </c>
      <c r="AD14" s="3">
        <v>100</v>
      </c>
      <c r="AE14" s="87">
        <v>29.730185679386427</v>
      </c>
      <c r="AF14" s="3">
        <v>73.417721518987349</v>
      </c>
      <c r="AG14" s="3">
        <v>23.578621978038424</v>
      </c>
      <c r="AH14" s="3">
        <v>91.110127296886262</v>
      </c>
      <c r="AI14" s="3">
        <f t="shared" si="10"/>
        <v>63.567331294659695</v>
      </c>
      <c r="AJ14" s="65">
        <f t="shared" si="5"/>
        <v>53.960723870875</v>
      </c>
      <c r="AK14" s="75">
        <f>AJ14*K值!M15</f>
        <v>52.846453563090478</v>
      </c>
      <c r="AL14" s="88">
        <v>100</v>
      </c>
      <c r="AM14" s="88">
        <v>50</v>
      </c>
      <c r="AN14" s="65">
        <f t="shared" si="6"/>
        <v>75</v>
      </c>
      <c r="AP14" s="76">
        <f t="shared" si="7"/>
        <v>72.636725229501522</v>
      </c>
    </row>
    <row r="15" spans="1:42" x14ac:dyDescent="0.25">
      <c r="A15" s="92" t="s">
        <v>34</v>
      </c>
      <c r="B15" s="3">
        <v>2</v>
      </c>
      <c r="C15" s="7">
        <v>65</v>
      </c>
      <c r="D15" s="7">
        <v>80</v>
      </c>
      <c r="E15" s="7">
        <v>60</v>
      </c>
      <c r="F15" s="7">
        <v>60</v>
      </c>
      <c r="G15" s="74">
        <f t="shared" si="2"/>
        <v>66.25</v>
      </c>
      <c r="H15" s="75">
        <f>G15*K值!M16</f>
        <v>69.495406356784741</v>
      </c>
      <c r="I15" s="7">
        <v>25</v>
      </c>
      <c r="J15" s="7">
        <v>0</v>
      </c>
      <c r="K15" s="7">
        <v>25</v>
      </c>
      <c r="L15" s="7">
        <v>0</v>
      </c>
      <c r="M15" s="74">
        <f t="shared" si="3"/>
        <v>12.5</v>
      </c>
      <c r="N15" s="7">
        <v>65</v>
      </c>
      <c r="O15" s="7">
        <v>0</v>
      </c>
      <c r="P15" s="7">
        <v>65</v>
      </c>
      <c r="Q15" s="7">
        <v>0</v>
      </c>
      <c r="R15" s="74">
        <f t="shared" si="4"/>
        <v>32.5</v>
      </c>
      <c r="S15" s="3">
        <v>70.776253951204012</v>
      </c>
      <c r="T15" s="3">
        <f t="shared" si="8"/>
        <v>70.776253951204012</v>
      </c>
      <c r="U15" s="3">
        <v>67.423619897349951</v>
      </c>
      <c r="V15" s="3">
        <v>85.601507908200787</v>
      </c>
      <c r="W15" s="3">
        <v>93.657724754289845</v>
      </c>
      <c r="X15" s="3">
        <f t="shared" si="0"/>
        <v>82.227617519946861</v>
      </c>
      <c r="Y15" s="3">
        <v>5.7419097912230432</v>
      </c>
      <c r="Z15" s="3">
        <v>0.72388836482304153</v>
      </c>
      <c r="AA15" s="3">
        <v>21.593595709552545</v>
      </c>
      <c r="AB15" s="3">
        <v>60.537656696988286</v>
      </c>
      <c r="AC15" s="3">
        <f t="shared" ref="AC15:AC21" si="11">AVERAGE(Y15:AB15)</f>
        <v>22.149262640646729</v>
      </c>
      <c r="AD15" s="3">
        <v>16.703642620627441</v>
      </c>
      <c r="AE15" s="87">
        <v>29.730185679386427</v>
      </c>
      <c r="AF15" s="3">
        <v>51.054852320675103</v>
      </c>
      <c r="AG15" s="3">
        <v>23.578621978038424</v>
      </c>
      <c r="AH15" s="3">
        <v>26.031464941967503</v>
      </c>
      <c r="AI15" s="3">
        <f t="shared" si="10"/>
        <v>29.419753508138978</v>
      </c>
      <c r="AJ15" s="65">
        <f t="shared" si="5"/>
        <v>51.143221904984145</v>
      </c>
      <c r="AK15" s="75">
        <f>AJ15*K值!M16</f>
        <v>53.648588508408871</v>
      </c>
      <c r="AL15" s="3">
        <v>50</v>
      </c>
      <c r="AM15" s="3">
        <v>0</v>
      </c>
      <c r="AN15" s="65">
        <f t="shared" si="6"/>
        <v>25</v>
      </c>
      <c r="AP15" s="76">
        <f t="shared" si="7"/>
        <v>43.608516674720498</v>
      </c>
    </row>
    <row r="16" spans="1:42" x14ac:dyDescent="0.25">
      <c r="A16" s="92" t="s">
        <v>35</v>
      </c>
      <c r="B16" s="3">
        <v>2</v>
      </c>
      <c r="C16" s="7">
        <v>100</v>
      </c>
      <c r="D16" s="7">
        <v>80</v>
      </c>
      <c r="E16" s="7">
        <v>100</v>
      </c>
      <c r="F16" s="7">
        <v>100</v>
      </c>
      <c r="G16" s="74">
        <f t="shared" si="2"/>
        <v>95</v>
      </c>
      <c r="H16" s="75">
        <f>G16*K值!M17</f>
        <v>95.219698576599356</v>
      </c>
      <c r="I16" s="36">
        <v>40</v>
      </c>
      <c r="J16" s="7">
        <v>40</v>
      </c>
      <c r="K16" s="36">
        <v>75</v>
      </c>
      <c r="L16" s="36">
        <v>100</v>
      </c>
      <c r="M16" s="74">
        <f t="shared" si="3"/>
        <v>63.75</v>
      </c>
      <c r="N16" s="7">
        <v>65</v>
      </c>
      <c r="O16" s="7">
        <v>65</v>
      </c>
      <c r="P16" s="7">
        <v>100</v>
      </c>
      <c r="Q16" s="7">
        <v>35</v>
      </c>
      <c r="R16" s="74">
        <f t="shared" si="4"/>
        <v>66.25</v>
      </c>
      <c r="S16" s="3">
        <v>61.457721078554208</v>
      </c>
      <c r="T16" s="3">
        <f t="shared" si="8"/>
        <v>61.457721078554208</v>
      </c>
      <c r="U16" s="3">
        <v>67.604632539624617</v>
      </c>
      <c r="V16" s="3">
        <v>80.853232501193375</v>
      </c>
      <c r="W16" s="3">
        <v>100</v>
      </c>
      <c r="X16" s="3">
        <f t="shared" si="0"/>
        <v>82.819288346939331</v>
      </c>
      <c r="Y16" s="3">
        <v>21.697652285364615</v>
      </c>
      <c r="Z16" s="3">
        <v>6.6731191947615054</v>
      </c>
      <c r="AA16" s="3">
        <v>30.66590501807983</v>
      </c>
      <c r="AB16" s="3">
        <v>41.211618873669273</v>
      </c>
      <c r="AC16" s="3">
        <f t="shared" si="11"/>
        <v>25.062073842968807</v>
      </c>
      <c r="AD16" s="3">
        <v>32.366198616576526</v>
      </c>
      <c r="AE16" s="87">
        <v>0</v>
      </c>
      <c r="AF16" s="3">
        <v>0.42194092827004215</v>
      </c>
      <c r="AG16" s="3">
        <v>3.9297703296730706</v>
      </c>
      <c r="AH16" s="3">
        <v>23.862176196803546</v>
      </c>
      <c r="AI16" s="3">
        <f t="shared" si="10"/>
        <v>12.116017214264636</v>
      </c>
      <c r="AJ16" s="65">
        <f t="shared" si="5"/>
        <v>45.363775120681744</v>
      </c>
      <c r="AK16" s="75">
        <f>AJ16*K值!M17</f>
        <v>45.46868413987319</v>
      </c>
      <c r="AL16" s="3">
        <v>50</v>
      </c>
      <c r="AM16" s="3">
        <v>50</v>
      </c>
      <c r="AN16" s="65">
        <f t="shared" si="6"/>
        <v>50</v>
      </c>
      <c r="AP16" s="76">
        <f t="shared" si="7"/>
        <v>61.606413371269149</v>
      </c>
    </row>
    <row r="17" spans="1:42" x14ac:dyDescent="0.25">
      <c r="A17" s="92" t="s">
        <v>36</v>
      </c>
      <c r="B17" s="3">
        <v>2</v>
      </c>
      <c r="C17" s="7">
        <v>65</v>
      </c>
      <c r="D17" s="7">
        <v>100</v>
      </c>
      <c r="E17" s="7">
        <v>75</v>
      </c>
      <c r="F17" s="7">
        <v>100</v>
      </c>
      <c r="G17" s="74">
        <f t="shared" si="2"/>
        <v>85</v>
      </c>
      <c r="H17" s="75">
        <f>G17*K值!M18</f>
        <v>89.671975471228947</v>
      </c>
      <c r="I17" s="7">
        <v>0</v>
      </c>
      <c r="J17" s="7">
        <v>60</v>
      </c>
      <c r="K17" s="7">
        <v>25</v>
      </c>
      <c r="L17" s="7">
        <v>25</v>
      </c>
      <c r="M17" s="74">
        <f t="shared" si="3"/>
        <v>27.5</v>
      </c>
      <c r="N17" s="7">
        <v>65</v>
      </c>
      <c r="O17" s="7">
        <v>100</v>
      </c>
      <c r="P17" s="7">
        <v>100</v>
      </c>
      <c r="Q17" s="7">
        <v>100</v>
      </c>
      <c r="R17" s="74">
        <f t="shared" si="4"/>
        <v>91.25</v>
      </c>
      <c r="S17" s="3">
        <v>77.196441693922282</v>
      </c>
      <c r="T17" s="3">
        <f t="shared" si="8"/>
        <v>77.196441693922282</v>
      </c>
      <c r="U17" s="3">
        <v>70.406937324572553</v>
      </c>
      <c r="V17" s="3">
        <v>83.413305908337179</v>
      </c>
      <c r="W17" s="3">
        <v>88.116945830839725</v>
      </c>
      <c r="X17" s="3">
        <f>AVERAGE(U17:W17)</f>
        <v>80.645729687916472</v>
      </c>
      <c r="Y17" s="3">
        <v>5.744361503345683</v>
      </c>
      <c r="Z17" s="3" t="s">
        <v>335</v>
      </c>
      <c r="AA17" s="3">
        <v>32.465371327209212</v>
      </c>
      <c r="AB17" s="3">
        <v>18.575660878515691</v>
      </c>
      <c r="AC17" s="3">
        <f t="shared" si="11"/>
        <v>18.928464569690195</v>
      </c>
      <c r="AD17" s="3">
        <v>24.328797343616881</v>
      </c>
      <c r="AE17" s="87">
        <v>59.460371358772903</v>
      </c>
      <c r="AF17" s="3">
        <v>100</v>
      </c>
      <c r="AG17" s="3">
        <v>0</v>
      </c>
      <c r="AH17" s="3">
        <v>49.893641138771052</v>
      </c>
      <c r="AI17" s="3">
        <f t="shared" si="10"/>
        <v>46.736561968232166</v>
      </c>
      <c r="AJ17" s="65">
        <f t="shared" si="5"/>
        <v>55.876799479940274</v>
      </c>
      <c r="AK17" s="75">
        <f>AJ17*K值!M18</f>
        <v>58.948035204423327</v>
      </c>
      <c r="AL17" s="3">
        <v>50</v>
      </c>
      <c r="AM17" s="3">
        <v>0</v>
      </c>
      <c r="AN17" s="65">
        <f t="shared" si="6"/>
        <v>25</v>
      </c>
      <c r="AP17" s="76">
        <f t="shared" si="7"/>
        <v>58.638609176015123</v>
      </c>
    </row>
    <row r="18" spans="1:42" x14ac:dyDescent="0.25">
      <c r="A18" s="92" t="s">
        <v>37</v>
      </c>
      <c r="B18" s="3">
        <v>1</v>
      </c>
      <c r="C18" s="7">
        <v>65</v>
      </c>
      <c r="D18" s="7">
        <v>100</v>
      </c>
      <c r="E18" s="7">
        <v>100</v>
      </c>
      <c r="F18" s="7">
        <v>75</v>
      </c>
      <c r="G18" s="74">
        <f t="shared" si="2"/>
        <v>85</v>
      </c>
      <c r="H18" s="75">
        <f>G18*K值!M19</f>
        <v>85.633560520245382</v>
      </c>
      <c r="I18" s="7">
        <v>25</v>
      </c>
      <c r="J18" s="7">
        <v>60</v>
      </c>
      <c r="K18" s="7">
        <v>25</v>
      </c>
      <c r="L18" s="7">
        <v>25</v>
      </c>
      <c r="M18" s="74">
        <f t="shared" si="3"/>
        <v>33.75</v>
      </c>
      <c r="N18" s="7">
        <v>35</v>
      </c>
      <c r="O18" s="7">
        <v>35</v>
      </c>
      <c r="P18" s="7">
        <v>100</v>
      </c>
      <c r="Q18" s="7">
        <v>35</v>
      </c>
      <c r="R18" s="74">
        <f t="shared" si="4"/>
        <v>51.25</v>
      </c>
      <c r="S18" s="3">
        <v>56.901491345538425</v>
      </c>
      <c r="T18" s="3">
        <f t="shared" si="8"/>
        <v>56.901491345538425</v>
      </c>
      <c r="U18" s="3">
        <v>41.230946768353192</v>
      </c>
      <c r="V18" s="3">
        <v>59.167904817151715</v>
      </c>
      <c r="W18" s="3">
        <v>95.400108063550874</v>
      </c>
      <c r="X18" s="3">
        <f>AVERAGE(U18:W18)</f>
        <v>65.266319883018596</v>
      </c>
      <c r="Y18" s="3" t="s">
        <v>335</v>
      </c>
      <c r="Z18" s="3" t="s">
        <v>335</v>
      </c>
      <c r="AA18" s="3">
        <v>38.763503409162034</v>
      </c>
      <c r="AB18" s="3">
        <v>100</v>
      </c>
      <c r="AC18" s="3">
        <f t="shared" si="11"/>
        <v>69.381751704581021</v>
      </c>
      <c r="AD18" s="3">
        <v>39.910091699693147</v>
      </c>
      <c r="AE18" s="87">
        <v>14.865092839693199</v>
      </c>
      <c r="AF18" s="3">
        <v>54.430379746835442</v>
      </c>
      <c r="AG18" s="3">
        <v>58.946554945096061</v>
      </c>
      <c r="AH18" s="3">
        <v>43.38577490327917</v>
      </c>
      <c r="AI18" s="3">
        <f t="shared" si="10"/>
        <v>42.307578826919404</v>
      </c>
      <c r="AJ18" s="65">
        <f t="shared" si="5"/>
        <v>58.464285440014358</v>
      </c>
      <c r="AK18" s="75">
        <f>AJ18*K值!M19</f>
        <v>58.900057947063182</v>
      </c>
      <c r="AL18" s="3">
        <v>50</v>
      </c>
      <c r="AM18" s="3">
        <v>50</v>
      </c>
      <c r="AN18" s="65">
        <f t="shared" si="6"/>
        <v>50</v>
      </c>
      <c r="AP18" s="76">
        <f t="shared" si="7"/>
        <v>57.561735282874352</v>
      </c>
    </row>
    <row r="19" spans="1:42" x14ac:dyDescent="0.25">
      <c r="A19" s="92" t="s">
        <v>38</v>
      </c>
      <c r="B19" s="3">
        <v>1</v>
      </c>
      <c r="C19" s="7">
        <v>100</v>
      </c>
      <c r="D19" s="7">
        <v>60</v>
      </c>
      <c r="E19" s="7">
        <v>45</v>
      </c>
      <c r="F19" s="7">
        <v>100</v>
      </c>
      <c r="G19" s="74">
        <f t="shared" si="2"/>
        <v>76.25</v>
      </c>
      <c r="H19" s="75">
        <f>G19*K值!M20</f>
        <v>75.667531473788713</v>
      </c>
      <c r="I19" s="7">
        <v>50</v>
      </c>
      <c r="J19" s="7">
        <v>40</v>
      </c>
      <c r="K19" s="36">
        <v>75</v>
      </c>
      <c r="L19" s="36">
        <v>100</v>
      </c>
      <c r="M19" s="74">
        <f t="shared" si="3"/>
        <v>66.25</v>
      </c>
      <c r="N19" s="7">
        <v>65</v>
      </c>
      <c r="O19" s="7">
        <v>65</v>
      </c>
      <c r="P19" s="7">
        <v>100</v>
      </c>
      <c r="Q19" s="7">
        <v>65</v>
      </c>
      <c r="R19" s="74">
        <f t="shared" si="4"/>
        <v>73.75</v>
      </c>
      <c r="S19" s="3">
        <v>47.875258383322929</v>
      </c>
      <c r="T19" s="3">
        <f t="shared" si="8"/>
        <v>47.875258383322929</v>
      </c>
      <c r="U19" s="3">
        <v>42.952236171372185</v>
      </c>
      <c r="V19" s="3">
        <v>76.593614563256622</v>
      </c>
      <c r="W19" s="3">
        <v>100</v>
      </c>
      <c r="X19" s="3">
        <f t="shared" si="0"/>
        <v>73.181950244876262</v>
      </c>
      <c r="Y19" s="3">
        <v>79.629158031226822</v>
      </c>
      <c r="Z19" s="3">
        <v>17.976802839453168</v>
      </c>
      <c r="AA19" s="3">
        <v>63.131276345289045</v>
      </c>
      <c r="AB19" s="3">
        <v>38.302619694485237</v>
      </c>
      <c r="AC19" s="3">
        <f t="shared" si="11"/>
        <v>49.759964227613565</v>
      </c>
      <c r="AD19" s="3">
        <v>47.395851455823824</v>
      </c>
      <c r="AE19" s="87">
        <v>0</v>
      </c>
      <c r="AF19" s="3">
        <v>2.109704641350211</v>
      </c>
      <c r="AG19" s="3">
        <v>0</v>
      </c>
      <c r="AH19" s="3">
        <v>0</v>
      </c>
      <c r="AI19" s="3">
        <f t="shared" si="10"/>
        <v>9.9011112194348065</v>
      </c>
      <c r="AJ19" s="65">
        <f t="shared" si="5"/>
        <v>45.179571018811892</v>
      </c>
      <c r="AK19" s="75">
        <f>AJ19*K值!M20</f>
        <v>44.834447370993068</v>
      </c>
      <c r="AL19" s="3">
        <v>100</v>
      </c>
      <c r="AM19" s="3">
        <v>25</v>
      </c>
      <c r="AN19" s="65">
        <f t="shared" si="6"/>
        <v>62.5</v>
      </c>
      <c r="AP19" s="76">
        <f t="shared" si="7"/>
        <v>59.94228524315497</v>
      </c>
    </row>
    <row r="20" spans="1:42" x14ac:dyDescent="0.25">
      <c r="A20" s="92" t="s">
        <v>39</v>
      </c>
      <c r="B20" s="3">
        <v>1</v>
      </c>
      <c r="C20" s="7">
        <v>65</v>
      </c>
      <c r="D20" s="7">
        <v>80</v>
      </c>
      <c r="E20" s="7">
        <v>100</v>
      </c>
      <c r="F20" s="7">
        <v>75</v>
      </c>
      <c r="G20" s="74">
        <f t="shared" si="2"/>
        <v>80</v>
      </c>
      <c r="H20" s="75">
        <f>G20*K值!M21</f>
        <v>77.568493604058716</v>
      </c>
      <c r="I20" s="7">
        <v>50</v>
      </c>
      <c r="J20" s="36">
        <v>100</v>
      </c>
      <c r="K20" s="36">
        <v>50</v>
      </c>
      <c r="L20" s="7">
        <v>50</v>
      </c>
      <c r="M20" s="74">
        <f t="shared" si="3"/>
        <v>62.5</v>
      </c>
      <c r="N20" s="7">
        <v>0</v>
      </c>
      <c r="O20" s="7">
        <v>65</v>
      </c>
      <c r="P20" s="7">
        <v>35</v>
      </c>
      <c r="Q20" s="7">
        <v>35</v>
      </c>
      <c r="R20" s="74">
        <f t="shared" si="4"/>
        <v>33.75</v>
      </c>
      <c r="S20" s="3">
        <v>28.900805796478647</v>
      </c>
      <c r="T20" s="3">
        <f t="shared" si="8"/>
        <v>28.900805796478647</v>
      </c>
      <c r="U20" s="3">
        <v>16.632256308077164</v>
      </c>
      <c r="V20" s="3">
        <v>51.945608890635576</v>
      </c>
      <c r="W20" s="3">
        <v>98.606093352591145</v>
      </c>
      <c r="X20" s="3">
        <f t="shared" si="0"/>
        <v>55.72798618376796</v>
      </c>
      <c r="Y20" s="3">
        <v>50.631532900701401</v>
      </c>
      <c r="Z20" s="3">
        <v>42.641231654526017</v>
      </c>
      <c r="AA20" s="3">
        <v>57.208033077738172</v>
      </c>
      <c r="AB20" s="3">
        <v>36.580027602997085</v>
      </c>
      <c r="AC20" s="3">
        <f t="shared" si="11"/>
        <v>46.76520630899067</v>
      </c>
      <c r="AD20" s="3">
        <v>50.45660237611056</v>
      </c>
      <c r="AE20" s="87">
        <v>29.730185679386427</v>
      </c>
      <c r="AF20" s="3">
        <v>58.649789029535867</v>
      </c>
      <c r="AG20" s="3">
        <v>0</v>
      </c>
      <c r="AH20" s="3">
        <v>56.401507374262927</v>
      </c>
      <c r="AI20" s="3">
        <f t="shared" si="10"/>
        <v>39.047616891859157</v>
      </c>
      <c r="AJ20" s="65">
        <f t="shared" si="5"/>
        <v>42.610403795274109</v>
      </c>
      <c r="AK20" s="75">
        <f>AJ20*K值!M21</f>
        <v>41.315310428250989</v>
      </c>
      <c r="AL20" s="88">
        <v>75</v>
      </c>
      <c r="AM20" s="88">
        <v>50</v>
      </c>
      <c r="AN20" s="65">
        <f t="shared" si="6"/>
        <v>62.5</v>
      </c>
      <c r="AP20" s="76">
        <f t="shared" si="7"/>
        <v>54.164822892112142</v>
      </c>
    </row>
    <row r="21" spans="1:42" x14ac:dyDescent="0.25">
      <c r="A21" s="92" t="s">
        <v>40</v>
      </c>
      <c r="B21" s="3">
        <v>1</v>
      </c>
      <c r="C21" s="7">
        <v>65</v>
      </c>
      <c r="D21" s="7">
        <v>40</v>
      </c>
      <c r="E21" s="7">
        <v>60</v>
      </c>
      <c r="F21" s="7">
        <v>60</v>
      </c>
      <c r="G21" s="74">
        <f t="shared" si="2"/>
        <v>56.25</v>
      </c>
      <c r="H21" s="75">
        <f>G21*K值!M22</f>
        <v>56.403940659417636</v>
      </c>
      <c r="I21" s="7">
        <v>0</v>
      </c>
      <c r="J21" s="7">
        <v>100</v>
      </c>
      <c r="K21" s="7">
        <v>25</v>
      </c>
      <c r="L21" s="36">
        <v>75</v>
      </c>
      <c r="M21" s="74">
        <f t="shared" si="3"/>
        <v>50</v>
      </c>
      <c r="N21" s="7">
        <v>35</v>
      </c>
      <c r="O21" s="7">
        <v>35</v>
      </c>
      <c r="P21" s="7">
        <v>35</v>
      </c>
      <c r="Q21" s="7">
        <v>65</v>
      </c>
      <c r="R21" s="74">
        <f t="shared" si="4"/>
        <v>42.5</v>
      </c>
      <c r="S21" s="3">
        <v>64.466033357695522</v>
      </c>
      <c r="T21" s="3">
        <f t="shared" si="8"/>
        <v>64.466033357695522</v>
      </c>
      <c r="U21" s="3">
        <v>55.219807578929277</v>
      </c>
      <c r="V21" s="3">
        <v>77.746108594083665</v>
      </c>
      <c r="W21" s="3">
        <v>100</v>
      </c>
      <c r="X21" s="3">
        <f t="shared" si="0"/>
        <v>77.655305391004319</v>
      </c>
      <c r="Y21" s="3">
        <v>59.355950489116083</v>
      </c>
      <c r="Z21" s="3">
        <v>5.2492786535314151</v>
      </c>
      <c r="AA21" s="3">
        <v>11.021731143417446</v>
      </c>
      <c r="AB21" s="3">
        <v>46.681283250235353</v>
      </c>
      <c r="AC21" s="3">
        <f t="shared" si="11"/>
        <v>30.577060884075074</v>
      </c>
      <c r="AD21" s="3">
        <v>5.2813815021959902</v>
      </c>
      <c r="AE21" s="87">
        <v>0</v>
      </c>
      <c r="AF21" s="3">
        <v>64.556962025316452</v>
      </c>
      <c r="AG21" s="3">
        <v>74.665636263788343</v>
      </c>
      <c r="AH21" s="3">
        <v>21.692887451639585</v>
      </c>
      <c r="AI21" s="3">
        <f t="shared" si="10"/>
        <v>33.239373448588069</v>
      </c>
      <c r="AJ21" s="65">
        <f t="shared" si="5"/>
        <v>51.484443270340748</v>
      </c>
      <c r="AK21" s="75">
        <f>AJ21*K值!M22</f>
        <v>51.625341921839166</v>
      </c>
      <c r="AL21" s="3">
        <v>25</v>
      </c>
      <c r="AM21" s="3">
        <v>0</v>
      </c>
      <c r="AN21" s="65">
        <f t="shared" si="6"/>
        <v>12.5</v>
      </c>
      <c r="AP21" s="76">
        <f t="shared" si="7"/>
        <v>47.430924900619189</v>
      </c>
    </row>
    <row r="22" spans="1:42" x14ac:dyDescent="0.25">
      <c r="A22" s="92" t="s">
        <v>41</v>
      </c>
      <c r="B22" s="3">
        <v>3</v>
      </c>
      <c r="C22" s="7">
        <v>65</v>
      </c>
      <c r="D22" s="7">
        <v>100</v>
      </c>
      <c r="E22" s="7">
        <v>75</v>
      </c>
      <c r="F22" s="7">
        <v>60</v>
      </c>
      <c r="G22" s="74">
        <f t="shared" si="2"/>
        <v>75</v>
      </c>
      <c r="H22" s="75">
        <f>G22*K值!M23</f>
        <v>79.122331298143195</v>
      </c>
      <c r="I22" s="7">
        <v>50</v>
      </c>
      <c r="J22" s="7">
        <v>60</v>
      </c>
      <c r="K22" s="7">
        <v>25</v>
      </c>
      <c r="L22" s="7">
        <v>50</v>
      </c>
      <c r="M22" s="74">
        <f t="shared" si="3"/>
        <v>46.25</v>
      </c>
      <c r="N22" s="7">
        <v>100</v>
      </c>
      <c r="O22" s="7">
        <v>35</v>
      </c>
      <c r="P22" s="7">
        <v>100</v>
      </c>
      <c r="Q22" s="7">
        <v>65</v>
      </c>
      <c r="R22" s="74">
        <f t="shared" si="4"/>
        <v>75</v>
      </c>
      <c r="S22" s="3">
        <v>80.861600884253562</v>
      </c>
      <c r="T22" s="3">
        <f t="shared" si="8"/>
        <v>80.861600884253562</v>
      </c>
      <c r="U22" s="3">
        <v>68.072338963156582</v>
      </c>
      <c r="V22" s="3">
        <v>92.261386747673342</v>
      </c>
      <c r="W22" s="3">
        <v>100</v>
      </c>
      <c r="X22" s="3">
        <f t="shared" si="0"/>
        <v>86.777908570276637</v>
      </c>
      <c r="Y22" s="3">
        <v>10.289835778720374</v>
      </c>
      <c r="Z22" s="3">
        <v>2.6371731854271725</v>
      </c>
      <c r="AA22" s="3">
        <v>5.9982210304312629</v>
      </c>
      <c r="AB22" s="3">
        <v>57.885451655013874</v>
      </c>
      <c r="AC22" s="3">
        <f t="shared" si="9"/>
        <v>19.20267041239817</v>
      </c>
      <c r="AD22" s="3">
        <v>11.786063229246704</v>
      </c>
      <c r="AE22" s="87">
        <v>59.460371358772854</v>
      </c>
      <c r="AF22" s="3">
        <v>78.48101265822784</v>
      </c>
      <c r="AG22" s="3">
        <v>58.946554945096061</v>
      </c>
      <c r="AH22" s="3">
        <v>65.078662354918762</v>
      </c>
      <c r="AI22" s="3">
        <f t="shared" si="10"/>
        <v>54.750532909252442</v>
      </c>
      <c r="AJ22" s="65">
        <f t="shared" si="5"/>
        <v>60.398178194045201</v>
      </c>
      <c r="AK22" s="75">
        <f>AJ22*K值!M23</f>
        <v>63.717928864980429</v>
      </c>
      <c r="AL22" s="3">
        <v>75</v>
      </c>
      <c r="AM22" s="3">
        <v>0</v>
      </c>
      <c r="AN22" s="65">
        <f t="shared" si="6"/>
        <v>37.5</v>
      </c>
      <c r="AP22" s="76">
        <f t="shared" si="7"/>
        <v>61.811637805620805</v>
      </c>
    </row>
    <row r="23" spans="1:42" x14ac:dyDescent="0.25">
      <c r="A23" s="92" t="s">
        <v>42</v>
      </c>
      <c r="B23" s="3">
        <v>2</v>
      </c>
      <c r="C23" s="7">
        <v>100</v>
      </c>
      <c r="D23" s="7">
        <v>100</v>
      </c>
      <c r="E23" s="7">
        <v>75</v>
      </c>
      <c r="F23" s="7">
        <v>100</v>
      </c>
      <c r="G23" s="74">
        <f t="shared" si="2"/>
        <v>93.75</v>
      </c>
      <c r="H23" s="75">
        <f>G23*K值!M24</f>
        <v>98.902914122678993</v>
      </c>
      <c r="I23" s="7">
        <v>50</v>
      </c>
      <c r="J23" s="7">
        <v>60</v>
      </c>
      <c r="K23" s="7">
        <v>75</v>
      </c>
      <c r="L23" s="7">
        <v>50</v>
      </c>
      <c r="M23" s="74">
        <f t="shared" si="3"/>
        <v>58.75</v>
      </c>
      <c r="N23" s="7">
        <v>100</v>
      </c>
      <c r="O23" s="7">
        <v>35</v>
      </c>
      <c r="P23" s="7">
        <v>100</v>
      </c>
      <c r="Q23" s="7">
        <v>100</v>
      </c>
      <c r="R23" s="74">
        <f t="shared" si="4"/>
        <v>83.75</v>
      </c>
      <c r="S23" s="3">
        <v>63.22795877994983</v>
      </c>
      <c r="T23" s="3">
        <f t="shared" si="8"/>
        <v>63.22795877994983</v>
      </c>
      <c r="U23" s="3">
        <v>37.378926907232248</v>
      </c>
      <c r="V23" s="3">
        <v>51.586030753017539</v>
      </c>
      <c r="W23" s="3">
        <v>100</v>
      </c>
      <c r="X23" s="3">
        <f t="shared" si="0"/>
        <v>62.988319220083262</v>
      </c>
      <c r="Y23" s="3">
        <v>19.28884512487075</v>
      </c>
      <c r="Z23" s="3">
        <v>1.4257989566459446</v>
      </c>
      <c r="AA23" s="3">
        <v>37.788792491716954</v>
      </c>
      <c r="AB23" s="3">
        <v>32.52640628740086</v>
      </c>
      <c r="AC23" s="3">
        <f t="shared" si="9"/>
        <v>22.757460715158629</v>
      </c>
      <c r="AD23" s="3">
        <v>50.37096510947535</v>
      </c>
      <c r="AE23" s="87">
        <v>0</v>
      </c>
      <c r="AF23" s="3">
        <v>61.181434599156113</v>
      </c>
      <c r="AG23" s="3">
        <v>19.648851648365355</v>
      </c>
      <c r="AH23" s="3">
        <v>34.708619922623342</v>
      </c>
      <c r="AI23" s="3">
        <f t="shared" si="10"/>
        <v>33.181974255924032</v>
      </c>
      <c r="AJ23" s="65">
        <f t="shared" si="5"/>
        <v>45.538928242778937</v>
      </c>
      <c r="AK23" s="75">
        <f>AJ23*K值!M24</f>
        <v>48.04194889850033</v>
      </c>
      <c r="AL23" s="3">
        <v>75</v>
      </c>
      <c r="AM23" s="3">
        <v>0</v>
      </c>
      <c r="AN23" s="65">
        <f t="shared" si="6"/>
        <v>37.5</v>
      </c>
      <c r="AP23" s="76">
        <f t="shared" si="7"/>
        <v>62.872362383935936</v>
      </c>
    </row>
    <row r="24" spans="1:42" x14ac:dyDescent="0.25">
      <c r="A24" s="92" t="s">
        <v>43</v>
      </c>
      <c r="B24" s="3">
        <v>1</v>
      </c>
      <c r="C24" s="7">
        <v>65</v>
      </c>
      <c r="D24" s="7">
        <v>80</v>
      </c>
      <c r="E24" s="7">
        <v>100</v>
      </c>
      <c r="F24" s="7">
        <v>60</v>
      </c>
      <c r="G24" s="74">
        <f t="shared" si="2"/>
        <v>76.25</v>
      </c>
      <c r="H24" s="75">
        <f>G24*K值!M25</f>
        <v>76.686709468682096</v>
      </c>
      <c r="I24" s="7">
        <v>0</v>
      </c>
      <c r="J24" s="7">
        <v>0</v>
      </c>
      <c r="K24" s="7">
        <v>25</v>
      </c>
      <c r="L24" s="7">
        <v>25</v>
      </c>
      <c r="M24" s="74">
        <f t="shared" si="3"/>
        <v>12.5</v>
      </c>
      <c r="N24" s="7">
        <v>0</v>
      </c>
      <c r="O24" s="7">
        <v>65</v>
      </c>
      <c r="P24" s="7">
        <v>35</v>
      </c>
      <c r="Q24" s="7">
        <v>0</v>
      </c>
      <c r="R24" s="74">
        <f t="shared" si="4"/>
        <v>25</v>
      </c>
      <c r="S24" s="3">
        <v>52.726417750501987</v>
      </c>
      <c r="T24" s="3">
        <f t="shared" si="8"/>
        <v>52.726417750501987</v>
      </c>
      <c r="U24" s="3">
        <v>36.808146058398563</v>
      </c>
      <c r="V24" s="3">
        <v>9.5369018736158928</v>
      </c>
      <c r="W24" s="3">
        <v>74.596051350974022</v>
      </c>
      <c r="X24" s="3">
        <f t="shared" si="0"/>
        <v>40.313699760996158</v>
      </c>
      <c r="Y24" s="3">
        <v>39.468887606321161</v>
      </c>
      <c r="Z24" s="3" t="s">
        <v>335</v>
      </c>
      <c r="AA24" s="3">
        <v>64.330920551375286</v>
      </c>
      <c r="AB24" s="3">
        <v>36.100958146475257</v>
      </c>
      <c r="AC24" s="3">
        <f t="shared" si="9"/>
        <v>46.63358876805723</v>
      </c>
      <c r="AD24" s="3">
        <v>41.527510877931057</v>
      </c>
      <c r="AE24" s="87">
        <v>0</v>
      </c>
      <c r="AF24" s="3">
        <v>65.822784810126578</v>
      </c>
      <c r="AG24" s="3">
        <v>15.719081318692282</v>
      </c>
      <c r="AH24" s="3">
        <v>75.925106080738558</v>
      </c>
      <c r="AI24" s="3">
        <f t="shared" si="10"/>
        <v>39.798896617497689</v>
      </c>
      <c r="AJ24" s="65">
        <f t="shared" si="5"/>
        <v>44.868150724263266</v>
      </c>
      <c r="AK24" s="75">
        <f>AJ24*K值!M25</f>
        <v>45.125125757227742</v>
      </c>
      <c r="AL24" s="3">
        <v>0</v>
      </c>
      <c r="AM24" s="3">
        <v>0</v>
      </c>
      <c r="AN24" s="65">
        <f t="shared" si="6"/>
        <v>0</v>
      </c>
      <c r="AP24" s="76">
        <f t="shared" si="7"/>
        <v>38.387392196627516</v>
      </c>
    </row>
    <row r="25" spans="1:42" x14ac:dyDescent="0.25">
      <c r="A25" s="92" t="s">
        <v>44</v>
      </c>
      <c r="B25" s="3">
        <v>2</v>
      </c>
      <c r="C25" s="7">
        <v>65</v>
      </c>
      <c r="D25" s="7">
        <v>80</v>
      </c>
      <c r="E25" s="7">
        <v>60</v>
      </c>
      <c r="F25" s="7">
        <v>60</v>
      </c>
      <c r="G25" s="74">
        <f t="shared" si="2"/>
        <v>66.25</v>
      </c>
      <c r="H25" s="75">
        <f>G25*K值!M26</f>
        <v>69.891392646693149</v>
      </c>
      <c r="I25" s="7">
        <v>25</v>
      </c>
      <c r="J25" s="7">
        <v>40</v>
      </c>
      <c r="K25" s="7">
        <v>25</v>
      </c>
      <c r="L25" s="7">
        <v>25</v>
      </c>
      <c r="M25" s="74">
        <f t="shared" si="3"/>
        <v>28.75</v>
      </c>
      <c r="N25" s="7">
        <v>0</v>
      </c>
      <c r="O25" s="7">
        <v>35</v>
      </c>
      <c r="P25" s="7">
        <v>35</v>
      </c>
      <c r="Q25" s="7">
        <v>35</v>
      </c>
      <c r="R25" s="74">
        <f t="shared" si="4"/>
        <v>26.25</v>
      </c>
      <c r="S25" s="3">
        <v>69.290206546269843</v>
      </c>
      <c r="T25" s="3">
        <f t="shared" si="8"/>
        <v>69.290206546269843</v>
      </c>
      <c r="U25" s="3">
        <v>76.562800797321003</v>
      </c>
      <c r="V25" s="3">
        <v>85.441695402592771</v>
      </c>
      <c r="W25" s="3">
        <v>100</v>
      </c>
      <c r="X25" s="3">
        <f t="shared" si="0"/>
        <v>87.334832066637929</v>
      </c>
      <c r="Y25" s="3">
        <v>7.5721128907738553</v>
      </c>
      <c r="Z25" s="3">
        <v>5.2028569547852479</v>
      </c>
      <c r="AA25" s="3">
        <v>12.671241926786042</v>
      </c>
      <c r="AB25" s="3">
        <v>58.585428409412643</v>
      </c>
      <c r="AC25" s="3">
        <f t="shared" si="9"/>
        <v>21.007910045439445</v>
      </c>
      <c r="AD25" s="3">
        <v>15.489093649297484</v>
      </c>
      <c r="AE25" s="87">
        <v>0</v>
      </c>
      <c r="AF25" s="3">
        <v>0.42194092827004215</v>
      </c>
      <c r="AG25" s="3">
        <v>3.9297703296730706</v>
      </c>
      <c r="AH25" s="3">
        <v>0</v>
      </c>
      <c r="AI25" s="3">
        <f t="shared" si="10"/>
        <v>3.9681609814481194</v>
      </c>
      <c r="AJ25" s="65">
        <f t="shared" si="5"/>
        <v>45.400277409948828</v>
      </c>
      <c r="AK25" s="75">
        <f>AJ25*K值!M26</f>
        <v>47.895677203434367</v>
      </c>
      <c r="AL25" s="3">
        <v>25</v>
      </c>
      <c r="AM25" s="3">
        <v>0</v>
      </c>
      <c r="AN25" s="65">
        <f t="shared" si="6"/>
        <v>12.5</v>
      </c>
      <c r="AP25" s="76">
        <f t="shared" si="7"/>
        <v>42.761549410712377</v>
      </c>
    </row>
    <row r="26" spans="1:42" x14ac:dyDescent="0.25">
      <c r="A26" s="92" t="s">
        <v>45</v>
      </c>
      <c r="B26" s="3">
        <v>2</v>
      </c>
      <c r="C26" s="7">
        <v>100</v>
      </c>
      <c r="D26" s="7">
        <v>100</v>
      </c>
      <c r="E26" s="7">
        <v>100</v>
      </c>
      <c r="F26" s="7">
        <v>100</v>
      </c>
      <c r="G26" s="74">
        <f t="shared" si="2"/>
        <v>100</v>
      </c>
      <c r="H26" s="75">
        <f>G26*K值!M27</f>
        <v>102.40521381646617</v>
      </c>
      <c r="I26" s="7">
        <v>75</v>
      </c>
      <c r="J26" s="36">
        <v>60</v>
      </c>
      <c r="K26" s="36">
        <v>50</v>
      </c>
      <c r="L26" s="36">
        <v>75</v>
      </c>
      <c r="M26" s="74">
        <f t="shared" si="3"/>
        <v>65</v>
      </c>
      <c r="N26" s="7">
        <v>100</v>
      </c>
      <c r="O26" s="7">
        <v>65</v>
      </c>
      <c r="P26" s="7">
        <v>100</v>
      </c>
      <c r="Q26" s="7">
        <v>65</v>
      </c>
      <c r="R26" s="74">
        <f t="shared" si="4"/>
        <v>82.5</v>
      </c>
      <c r="S26" s="3">
        <v>50.141820087111597</v>
      </c>
      <c r="T26" s="3">
        <f t="shared" si="8"/>
        <v>50.141820087111597</v>
      </c>
      <c r="U26" s="3">
        <v>42.312525774763152</v>
      </c>
      <c r="V26" s="3">
        <v>45.11362427589286</v>
      </c>
      <c r="W26" s="3">
        <v>100</v>
      </c>
      <c r="X26" s="3">
        <f t="shared" si="0"/>
        <v>62.475383350218671</v>
      </c>
      <c r="Y26" s="3">
        <v>32.628610784155363</v>
      </c>
      <c r="Z26" s="3">
        <v>18.751464937279831</v>
      </c>
      <c r="AA26" s="3">
        <v>62.081587664963578</v>
      </c>
      <c r="AB26" s="3">
        <v>41.435779969413602</v>
      </c>
      <c r="AC26" s="3">
        <f t="shared" si="9"/>
        <v>38.724360838953089</v>
      </c>
      <c r="AD26" s="3">
        <v>46.713253680892109</v>
      </c>
      <c r="AE26" s="87">
        <v>89.190557038159284</v>
      </c>
      <c r="AF26" s="3">
        <v>10.548523206751055</v>
      </c>
      <c r="AG26" s="3">
        <v>23.578621978038424</v>
      </c>
      <c r="AH26" s="3">
        <v>56.401507374262927</v>
      </c>
      <c r="AI26" s="3">
        <f t="shared" si="10"/>
        <v>45.286492655620762</v>
      </c>
      <c r="AJ26" s="65">
        <f t="shared" si="5"/>
        <v>49.157014232976024</v>
      </c>
      <c r="AK26" s="75">
        <f>AJ26*K值!M27</f>
        <v>50.339345531069803</v>
      </c>
      <c r="AL26" s="3">
        <v>75</v>
      </c>
      <c r="AM26" s="88">
        <v>50</v>
      </c>
      <c r="AN26" s="65">
        <f t="shared" si="6"/>
        <v>62.5</v>
      </c>
      <c r="AP26" s="76">
        <f t="shared" si="7"/>
        <v>68.116780975721156</v>
      </c>
    </row>
    <row r="27" spans="1:42" x14ac:dyDescent="0.25">
      <c r="A27" s="92" t="s">
        <v>46</v>
      </c>
      <c r="B27" s="3">
        <v>2</v>
      </c>
      <c r="C27" s="7">
        <v>65</v>
      </c>
      <c r="D27" s="7">
        <v>100</v>
      </c>
      <c r="E27" s="7">
        <v>100</v>
      </c>
      <c r="F27" s="6">
        <v>100</v>
      </c>
      <c r="G27" s="74">
        <f t="shared" si="2"/>
        <v>91.25</v>
      </c>
      <c r="H27" s="75">
        <f>G27*K值!M28</f>
        <v>93.872896223514132</v>
      </c>
      <c r="I27" s="6">
        <v>50</v>
      </c>
      <c r="J27" s="6">
        <v>60</v>
      </c>
      <c r="K27" s="6">
        <v>25</v>
      </c>
      <c r="L27" s="6">
        <v>100</v>
      </c>
      <c r="M27" s="74">
        <f t="shared" si="3"/>
        <v>58.75</v>
      </c>
      <c r="N27" s="6">
        <v>65</v>
      </c>
      <c r="O27" s="6">
        <v>35</v>
      </c>
      <c r="P27" s="6">
        <v>65</v>
      </c>
      <c r="Q27" s="6">
        <v>65</v>
      </c>
      <c r="R27" s="74">
        <f t="shared" si="4"/>
        <v>57.5</v>
      </c>
      <c r="S27" s="3">
        <v>70.919494523033961</v>
      </c>
      <c r="T27" s="3">
        <f t="shared" si="8"/>
        <v>70.919494523033961</v>
      </c>
      <c r="U27" s="3">
        <v>57.045445174965046</v>
      </c>
      <c r="V27" s="3">
        <v>87.052113728335101</v>
      </c>
      <c r="W27" s="3">
        <v>100</v>
      </c>
      <c r="X27" s="3">
        <f t="shared" si="0"/>
        <v>81.365852967766713</v>
      </c>
      <c r="Y27" s="3">
        <v>8.5613787322591222</v>
      </c>
      <c r="Z27" s="3">
        <v>6.176987289411846</v>
      </c>
      <c r="AA27" s="3">
        <v>26.69208358541912</v>
      </c>
      <c r="AB27" s="3">
        <v>43.508655901645341</v>
      </c>
      <c r="AC27" s="3">
        <f t="shared" si="9"/>
        <v>21.234776377183856</v>
      </c>
      <c r="AD27" s="3">
        <v>18.647358537431611</v>
      </c>
      <c r="AE27" s="87">
        <v>0</v>
      </c>
      <c r="AF27" s="3">
        <v>62.869198312236286</v>
      </c>
      <c r="AG27" s="3">
        <v>19.648851648365355</v>
      </c>
      <c r="AH27" s="3">
        <v>23.862176196803546</v>
      </c>
      <c r="AI27" s="3">
        <f t="shared" si="10"/>
        <v>25.005516938967357</v>
      </c>
      <c r="AJ27" s="65">
        <f t="shared" si="5"/>
        <v>49.631410201737978</v>
      </c>
      <c r="AK27" s="75">
        <f>AJ27*K值!M28</f>
        <v>51.058018841582573</v>
      </c>
      <c r="AL27" s="3">
        <v>50</v>
      </c>
      <c r="AM27" s="3">
        <v>50</v>
      </c>
      <c r="AN27" s="65">
        <f t="shared" si="6"/>
        <v>50</v>
      </c>
      <c r="AP27" s="76">
        <f t="shared" si="7"/>
        <v>61.697786781335857</v>
      </c>
    </row>
    <row r="28" spans="1:42" x14ac:dyDescent="0.25">
      <c r="A28" s="92" t="s">
        <v>47</v>
      </c>
      <c r="B28" s="3">
        <v>2</v>
      </c>
      <c r="C28" s="7">
        <v>65</v>
      </c>
      <c r="D28" s="7">
        <v>80</v>
      </c>
      <c r="E28" s="7">
        <v>75</v>
      </c>
      <c r="F28" s="6">
        <v>45</v>
      </c>
      <c r="G28" s="74">
        <f t="shared" si="2"/>
        <v>66.25</v>
      </c>
      <c r="H28" s="75">
        <f>G28*K值!M29</f>
        <v>65.851838558279042</v>
      </c>
      <c r="I28" s="9">
        <v>20</v>
      </c>
      <c r="J28" s="6">
        <v>40</v>
      </c>
      <c r="K28" s="6">
        <v>50</v>
      </c>
      <c r="L28" s="9">
        <v>75</v>
      </c>
      <c r="M28" s="74">
        <f t="shared" si="3"/>
        <v>46.25</v>
      </c>
      <c r="N28" s="6">
        <v>65</v>
      </c>
      <c r="O28" s="6">
        <v>35</v>
      </c>
      <c r="P28" s="6">
        <v>65</v>
      </c>
      <c r="Q28" s="6">
        <v>35</v>
      </c>
      <c r="R28" s="74">
        <f t="shared" si="4"/>
        <v>50</v>
      </c>
      <c r="S28" s="3">
        <v>40.867701611058024</v>
      </c>
      <c r="T28" s="3">
        <f t="shared" si="8"/>
        <v>40.867701611058024</v>
      </c>
      <c r="U28" s="3">
        <v>40.809379810976914</v>
      </c>
      <c r="V28" s="3">
        <v>62.213562375950659</v>
      </c>
      <c r="W28" s="3">
        <v>100</v>
      </c>
      <c r="X28" s="3">
        <f t="shared" si="0"/>
        <v>67.674314062309193</v>
      </c>
      <c r="Y28" s="3">
        <v>39.619667901863522</v>
      </c>
      <c r="Z28" s="3">
        <v>19.638554586757365</v>
      </c>
      <c r="AA28" s="3">
        <v>33.14017119313273</v>
      </c>
      <c r="AB28" s="3">
        <v>30.382979295540547</v>
      </c>
      <c r="AC28" s="3">
        <f t="shared" si="9"/>
        <v>30.695343244323542</v>
      </c>
      <c r="AD28" s="3">
        <v>36.181745153374294</v>
      </c>
      <c r="AE28" s="87">
        <v>0</v>
      </c>
      <c r="AF28" s="3">
        <v>65.400843881856545</v>
      </c>
      <c r="AG28" s="3">
        <v>19.648851648365355</v>
      </c>
      <c r="AH28" s="3">
        <v>23.862176196803546</v>
      </c>
      <c r="AI28" s="3">
        <f t="shared" si="10"/>
        <v>29.018723376079947</v>
      </c>
      <c r="AJ28" s="65">
        <f t="shared" si="5"/>
        <v>42.064020573442676</v>
      </c>
      <c r="AK28" s="75">
        <f>AJ28*K值!M29</f>
        <v>41.811216481727932</v>
      </c>
      <c r="AL28" s="3">
        <v>75</v>
      </c>
      <c r="AM28" s="3">
        <v>0</v>
      </c>
      <c r="AN28" s="65">
        <f t="shared" si="6"/>
        <v>37.5</v>
      </c>
      <c r="AP28" s="76">
        <f t="shared" si="7"/>
        <v>47.894854304346978</v>
      </c>
    </row>
    <row r="29" spans="1:42" x14ac:dyDescent="0.25">
      <c r="A29" s="92" t="s">
        <v>48</v>
      </c>
      <c r="B29" s="3">
        <v>1</v>
      </c>
      <c r="C29" s="7">
        <v>100</v>
      </c>
      <c r="D29" s="7">
        <v>60</v>
      </c>
      <c r="E29" s="7">
        <v>60</v>
      </c>
      <c r="F29" s="6">
        <v>75</v>
      </c>
      <c r="G29" s="74">
        <f t="shared" si="2"/>
        <v>73.75</v>
      </c>
      <c r="H29" s="75">
        <f>G29*K值!M30</f>
        <v>71.045119125106382</v>
      </c>
      <c r="I29" s="9">
        <v>20</v>
      </c>
      <c r="J29" s="6">
        <v>40</v>
      </c>
      <c r="K29" s="9">
        <v>75</v>
      </c>
      <c r="L29" s="9">
        <v>100</v>
      </c>
      <c r="M29" s="74">
        <f t="shared" si="3"/>
        <v>58.75</v>
      </c>
      <c r="N29" s="9">
        <v>65</v>
      </c>
      <c r="O29" s="6">
        <v>65</v>
      </c>
      <c r="P29" s="6">
        <v>65</v>
      </c>
      <c r="Q29" s="6">
        <v>100</v>
      </c>
      <c r="R29" s="74">
        <f t="shared" si="4"/>
        <v>73.75</v>
      </c>
      <c r="S29" s="3">
        <v>8.723511870486357</v>
      </c>
      <c r="T29" s="3">
        <f t="shared" si="8"/>
        <v>8.723511870486357</v>
      </c>
      <c r="U29" s="3">
        <v>8.4066329747354693</v>
      </c>
      <c r="V29" s="3">
        <v>21.873197979588586</v>
      </c>
      <c r="W29" s="3">
        <v>98.884874682072947</v>
      </c>
      <c r="X29" s="3">
        <f t="shared" si="0"/>
        <v>43.054901878799001</v>
      </c>
      <c r="Y29" s="3">
        <v>66.242809841612043</v>
      </c>
      <c r="Z29" s="3">
        <v>63.919052478257399</v>
      </c>
      <c r="AA29" s="3">
        <v>68.529675272677181</v>
      </c>
      <c r="AB29" s="3">
        <v>13.681961769169204</v>
      </c>
      <c r="AC29" s="3">
        <f t="shared" si="9"/>
        <v>53.093374840428957</v>
      </c>
      <c r="AD29" s="3">
        <v>47.350219919587545</v>
      </c>
      <c r="AE29" s="87">
        <v>0</v>
      </c>
      <c r="AF29" s="3">
        <v>70.042194092827003</v>
      </c>
      <c r="AG29" s="3">
        <v>11.789310989019212</v>
      </c>
      <c r="AH29" s="3">
        <v>84.602261061394387</v>
      </c>
      <c r="AI29" s="3">
        <f t="shared" si="10"/>
        <v>42.75679721256563</v>
      </c>
      <c r="AJ29" s="65">
        <f t="shared" si="5"/>
        <v>36.907146450569982</v>
      </c>
      <c r="AK29" s="75">
        <f>AJ29*K值!M30</f>
        <v>35.553526998623617</v>
      </c>
      <c r="AL29" s="3">
        <v>75</v>
      </c>
      <c r="AM29" s="88">
        <v>75</v>
      </c>
      <c r="AN29" s="65">
        <f t="shared" si="6"/>
        <v>75</v>
      </c>
      <c r="AP29" s="76">
        <f t="shared" si="7"/>
        <v>55.05543462447072</v>
      </c>
    </row>
    <row r="30" spans="1:42" x14ac:dyDescent="0.25">
      <c r="A30" s="92" t="s">
        <v>49</v>
      </c>
      <c r="B30" s="3">
        <v>1</v>
      </c>
      <c r="C30" s="7">
        <v>65</v>
      </c>
      <c r="D30" s="7">
        <v>80</v>
      </c>
      <c r="E30" s="7">
        <v>45</v>
      </c>
      <c r="F30" s="6">
        <v>100</v>
      </c>
      <c r="G30" s="74">
        <f t="shared" si="2"/>
        <v>72.5</v>
      </c>
      <c r="H30" s="75">
        <f>G30*K值!M31</f>
        <v>71.625689072917766</v>
      </c>
      <c r="I30" s="6">
        <v>50</v>
      </c>
      <c r="J30" s="6">
        <v>60</v>
      </c>
      <c r="K30" s="6">
        <v>25</v>
      </c>
      <c r="L30" s="6">
        <v>50</v>
      </c>
      <c r="M30" s="74">
        <f t="shared" si="3"/>
        <v>46.25</v>
      </c>
      <c r="N30" s="6">
        <v>100</v>
      </c>
      <c r="O30" s="6">
        <v>35</v>
      </c>
      <c r="P30" s="6">
        <v>100</v>
      </c>
      <c r="Q30" s="6">
        <v>65</v>
      </c>
      <c r="R30" s="74">
        <f t="shared" si="4"/>
        <v>75</v>
      </c>
      <c r="S30" s="3">
        <v>20.690406352048587</v>
      </c>
      <c r="T30" s="3">
        <f t="shared" si="8"/>
        <v>20.690406352048587</v>
      </c>
      <c r="U30" s="3">
        <v>48.057091764870677</v>
      </c>
      <c r="V30" s="3">
        <v>77.401897043543329</v>
      </c>
      <c r="W30" s="3">
        <v>100</v>
      </c>
      <c r="X30" s="3">
        <f t="shared" si="0"/>
        <v>75.15299626947133</v>
      </c>
      <c r="Y30" s="3">
        <v>64.370927635976344</v>
      </c>
      <c r="Z30" s="3">
        <v>3.948332306341372</v>
      </c>
      <c r="AA30" s="3">
        <v>29.916127389275925</v>
      </c>
      <c r="AB30" s="3">
        <v>33.362747274020812</v>
      </c>
      <c r="AC30" s="3">
        <f t="shared" si="9"/>
        <v>32.899533651403615</v>
      </c>
      <c r="AD30" s="3">
        <v>31.754235959380424</v>
      </c>
      <c r="AE30" s="87">
        <v>0</v>
      </c>
      <c r="AF30" s="3">
        <v>69.198312236286924</v>
      </c>
      <c r="AG30" s="3">
        <v>15.719081318692282</v>
      </c>
      <c r="AH30" s="3">
        <v>39.047197412951256</v>
      </c>
      <c r="AI30" s="3">
        <f t="shared" si="10"/>
        <v>31.143765385462178</v>
      </c>
      <c r="AJ30" s="65">
        <f t="shared" si="5"/>
        <v>39.971675414596433</v>
      </c>
      <c r="AK30" s="75">
        <f>AJ30*K值!M31</f>
        <v>39.489638551303109</v>
      </c>
      <c r="AL30" s="3">
        <v>75</v>
      </c>
      <c r="AM30" s="3">
        <v>0</v>
      </c>
      <c r="AN30" s="65">
        <f t="shared" si="6"/>
        <v>37.5</v>
      </c>
      <c r="AP30" s="76">
        <f t="shared" si="7"/>
        <v>50.620993235104798</v>
      </c>
    </row>
    <row r="31" spans="1:42" x14ac:dyDescent="0.25">
      <c r="A31" s="92" t="s">
        <v>50</v>
      </c>
      <c r="B31" s="3">
        <v>2</v>
      </c>
      <c r="C31" s="7">
        <v>65</v>
      </c>
      <c r="D31" s="7">
        <v>80</v>
      </c>
      <c r="E31" s="7">
        <v>60</v>
      </c>
      <c r="F31" s="6">
        <v>60</v>
      </c>
      <c r="G31" s="74">
        <f t="shared" si="2"/>
        <v>66.25</v>
      </c>
      <c r="H31" s="75">
        <f>G31*K值!M32</f>
        <v>69.495406356784741</v>
      </c>
      <c r="I31" s="6">
        <v>0</v>
      </c>
      <c r="J31" s="6">
        <v>60</v>
      </c>
      <c r="K31" s="6">
        <v>25</v>
      </c>
      <c r="L31" s="6">
        <v>0</v>
      </c>
      <c r="M31" s="74">
        <f t="shared" si="3"/>
        <v>21.25</v>
      </c>
      <c r="N31" s="6">
        <v>65</v>
      </c>
      <c r="O31" s="6">
        <v>0</v>
      </c>
      <c r="P31" s="6">
        <v>65</v>
      </c>
      <c r="Q31" s="6">
        <v>65</v>
      </c>
      <c r="R31" s="74">
        <f t="shared" si="4"/>
        <v>48.75</v>
      </c>
      <c r="S31" s="3">
        <v>72.034827053866877</v>
      </c>
      <c r="T31" s="3">
        <f t="shared" si="8"/>
        <v>72.034827053866877</v>
      </c>
      <c r="U31" s="3">
        <v>65.539558178203094</v>
      </c>
      <c r="V31" s="3">
        <v>83.696051110566742</v>
      </c>
      <c r="W31" s="3">
        <v>100</v>
      </c>
      <c r="X31" s="3">
        <f t="shared" si="0"/>
        <v>83.078536429589946</v>
      </c>
      <c r="Y31" s="3">
        <v>23.075514498288335</v>
      </c>
      <c r="Z31" s="3">
        <v>2.5510174139104578</v>
      </c>
      <c r="AA31" s="3">
        <v>22.868217678519191</v>
      </c>
      <c r="AB31" s="3">
        <v>19.984934258163772</v>
      </c>
      <c r="AC31" s="3">
        <f t="shared" si="9"/>
        <v>17.119920962220441</v>
      </c>
      <c r="AD31" s="3">
        <v>21.098647158672183</v>
      </c>
      <c r="AE31" s="87">
        <v>0</v>
      </c>
      <c r="AF31" s="3">
        <v>53.164556962025308</v>
      </c>
      <c r="AG31" s="3">
        <v>39.29770329673071</v>
      </c>
      <c r="AH31" s="3">
        <v>30.370042432295424</v>
      </c>
      <c r="AI31" s="3">
        <f t="shared" si="10"/>
        <v>28.786189969944729</v>
      </c>
      <c r="AJ31" s="65">
        <f t="shared" si="5"/>
        <v>50.2548686039055</v>
      </c>
      <c r="AK31" s="75">
        <f>AJ31*K值!M32</f>
        <v>52.716717208079039</v>
      </c>
      <c r="AL31" s="3">
        <v>25</v>
      </c>
      <c r="AM31" s="3">
        <v>0</v>
      </c>
      <c r="AN31" s="65">
        <f t="shared" si="6"/>
        <v>12.5</v>
      </c>
      <c r="AP31" s="76">
        <f t="shared" si="7"/>
        <v>45.36076815458857</v>
      </c>
    </row>
    <row r="32" spans="1:42" x14ac:dyDescent="0.25">
      <c r="A32" s="92" t="s">
        <v>51</v>
      </c>
      <c r="B32" s="3">
        <v>1</v>
      </c>
      <c r="C32" s="7">
        <v>65</v>
      </c>
      <c r="D32" s="7">
        <v>40</v>
      </c>
      <c r="E32" s="7">
        <v>75</v>
      </c>
      <c r="F32" s="6">
        <v>60</v>
      </c>
      <c r="G32" s="74">
        <f t="shared" si="2"/>
        <v>60</v>
      </c>
      <c r="H32" s="75">
        <f>G32*K值!M33</f>
        <v>58.132444967034452</v>
      </c>
      <c r="I32" s="9">
        <v>40</v>
      </c>
      <c r="J32" s="6">
        <v>60</v>
      </c>
      <c r="K32" s="9">
        <v>75</v>
      </c>
      <c r="L32" s="6">
        <v>25</v>
      </c>
      <c r="M32" s="74">
        <f t="shared" si="3"/>
        <v>50</v>
      </c>
      <c r="N32" s="6">
        <v>65</v>
      </c>
      <c r="O32" s="6">
        <v>0</v>
      </c>
      <c r="P32" s="6">
        <v>100</v>
      </c>
      <c r="Q32" s="6">
        <v>65</v>
      </c>
      <c r="R32" s="74">
        <f t="shared" si="4"/>
        <v>57.5</v>
      </c>
      <c r="S32" s="3">
        <v>48.16578761316859</v>
      </c>
      <c r="T32" s="3">
        <f t="shared" si="8"/>
        <v>48.16578761316859</v>
      </c>
      <c r="U32" s="3">
        <v>33.662231504729419</v>
      </c>
      <c r="V32" s="3">
        <v>58.777593505378292</v>
      </c>
      <c r="W32" s="3">
        <v>100</v>
      </c>
      <c r="X32" s="3">
        <f t="shared" si="0"/>
        <v>64.14660833670257</v>
      </c>
      <c r="Y32" s="3">
        <v>82.061256456885772</v>
      </c>
      <c r="Z32" s="3">
        <v>27.838512466842019</v>
      </c>
      <c r="AA32" s="3">
        <v>12.746219689666432</v>
      </c>
      <c r="AB32" s="3">
        <v>56.20704092139983</v>
      </c>
      <c r="AC32" s="3">
        <f t="shared" si="9"/>
        <v>44.713257383698512</v>
      </c>
      <c r="AD32" s="3">
        <v>13.99075402795013</v>
      </c>
      <c r="AE32" s="87">
        <v>59.460371358772854</v>
      </c>
      <c r="AF32" s="3">
        <v>61.181434599156113</v>
      </c>
      <c r="AG32" s="3">
        <v>11.789310989019212</v>
      </c>
      <c r="AH32" s="3">
        <v>91.110127296886262</v>
      </c>
      <c r="AI32" s="3">
        <f t="shared" si="10"/>
        <v>47.506399654356912</v>
      </c>
      <c r="AJ32" s="65">
        <f t="shared" si="5"/>
        <v>51.133013246981648</v>
      </c>
      <c r="AK32" s="75">
        <f>AJ32*K值!M33</f>
        <v>49.541451309646739</v>
      </c>
      <c r="AL32" s="3">
        <v>50</v>
      </c>
      <c r="AM32" s="88">
        <v>25</v>
      </c>
      <c r="AN32" s="65">
        <f t="shared" si="6"/>
        <v>37.5</v>
      </c>
      <c r="AP32" s="76">
        <f t="shared" si="7"/>
        <v>50.943069517265585</v>
      </c>
    </row>
    <row r="33" spans="1:42" x14ac:dyDescent="0.25">
      <c r="A33" s="92" t="s">
        <v>52</v>
      </c>
      <c r="B33" s="3">
        <v>2</v>
      </c>
      <c r="C33" s="7">
        <v>100</v>
      </c>
      <c r="D33" s="7">
        <v>60</v>
      </c>
      <c r="E33" s="7">
        <v>75</v>
      </c>
      <c r="F33" s="6">
        <v>100</v>
      </c>
      <c r="G33" s="74">
        <f t="shared" si="2"/>
        <v>83.75</v>
      </c>
      <c r="H33" s="75">
        <f>G33*K值!M34</f>
        <v>83.384065632097474</v>
      </c>
      <c r="I33" s="6">
        <v>50</v>
      </c>
      <c r="J33" s="6">
        <v>40</v>
      </c>
      <c r="K33" s="6">
        <v>25</v>
      </c>
      <c r="L33" s="6">
        <v>25</v>
      </c>
      <c r="M33" s="74">
        <f t="shared" si="3"/>
        <v>35</v>
      </c>
      <c r="N33" s="6">
        <v>35</v>
      </c>
      <c r="O33" s="6">
        <v>35</v>
      </c>
      <c r="P33" s="6">
        <v>100</v>
      </c>
      <c r="Q33" s="6">
        <v>65</v>
      </c>
      <c r="R33" s="74">
        <f t="shared" si="4"/>
        <v>58.75</v>
      </c>
      <c r="S33" s="3">
        <v>65.96695262818622</v>
      </c>
      <c r="T33" s="3">
        <f t="shared" si="8"/>
        <v>65.96695262818622</v>
      </c>
      <c r="U33" s="3">
        <v>62.678905726473864</v>
      </c>
      <c r="V33" s="3">
        <v>72.404682925877268</v>
      </c>
      <c r="W33" s="3">
        <v>90.172958135767772</v>
      </c>
      <c r="X33" s="3">
        <f t="shared" si="0"/>
        <v>75.085515596039627</v>
      </c>
      <c r="Y33" s="3">
        <v>57.730465351805712</v>
      </c>
      <c r="Z33" s="3">
        <v>14.906442670819967</v>
      </c>
      <c r="AA33" s="3">
        <v>11.32164219493901</v>
      </c>
      <c r="AB33" s="3">
        <v>32.502211975752047</v>
      </c>
      <c r="AC33" s="3">
        <f t="shared" si="9"/>
        <v>29.115190548329185</v>
      </c>
      <c r="AD33" s="3">
        <v>12.989673133670705</v>
      </c>
      <c r="AE33" s="87">
        <v>14.865092839693213</v>
      </c>
      <c r="AF33" s="3">
        <v>0</v>
      </c>
      <c r="AG33" s="3">
        <v>0</v>
      </c>
      <c r="AH33" s="3">
        <v>23.862176196803546</v>
      </c>
      <c r="AI33" s="3">
        <f t="shared" si="10"/>
        <v>10.343388434033493</v>
      </c>
      <c r="AJ33" s="65">
        <f t="shared" si="5"/>
        <v>45.127761801647132</v>
      </c>
      <c r="AK33" s="75">
        <f>AJ33*K值!M34</f>
        <v>44.930582112217387</v>
      </c>
      <c r="AL33" s="88">
        <v>50</v>
      </c>
      <c r="AM33" s="3">
        <v>0</v>
      </c>
      <c r="AN33" s="65">
        <f t="shared" si="6"/>
        <v>25</v>
      </c>
      <c r="AP33" s="76">
        <f t="shared" si="7"/>
        <v>50.02404597130645</v>
      </c>
    </row>
    <row r="34" spans="1:42" x14ac:dyDescent="0.25">
      <c r="A34" s="92" t="s">
        <v>53</v>
      </c>
      <c r="B34" s="3">
        <v>3</v>
      </c>
      <c r="C34" s="7">
        <v>65</v>
      </c>
      <c r="D34" s="7">
        <v>100</v>
      </c>
      <c r="E34" s="7">
        <v>30</v>
      </c>
      <c r="F34" s="6">
        <v>75</v>
      </c>
      <c r="G34" s="74">
        <f t="shared" si="2"/>
        <v>67.5</v>
      </c>
      <c r="H34" s="75">
        <f>G34*K值!M35</f>
        <v>71.210098168328869</v>
      </c>
      <c r="I34" s="6">
        <v>50</v>
      </c>
      <c r="J34" s="6">
        <v>60</v>
      </c>
      <c r="K34" s="6">
        <v>25</v>
      </c>
      <c r="L34" s="6">
        <v>50</v>
      </c>
      <c r="M34" s="74">
        <f t="shared" si="3"/>
        <v>46.25</v>
      </c>
      <c r="N34" s="6">
        <v>100</v>
      </c>
      <c r="O34" s="6">
        <v>100</v>
      </c>
      <c r="P34" s="6">
        <v>100</v>
      </c>
      <c r="Q34" s="6">
        <v>35</v>
      </c>
      <c r="R34" s="74">
        <f t="shared" si="4"/>
        <v>83.75</v>
      </c>
      <c r="S34" s="3">
        <v>85.13707040935563</v>
      </c>
      <c r="T34" s="3">
        <f t="shared" si="8"/>
        <v>85.13707040935563</v>
      </c>
      <c r="U34" s="3">
        <v>82.066925151515818</v>
      </c>
      <c r="V34" s="3">
        <v>79.500972838356319</v>
      </c>
      <c r="W34" s="3">
        <v>97.909140028886782</v>
      </c>
      <c r="X34" s="3">
        <f t="shared" si="0"/>
        <v>86.492346006252959</v>
      </c>
      <c r="Y34" s="3">
        <v>3.9533857977571127</v>
      </c>
      <c r="Z34" s="3">
        <v>2.2364378710008856</v>
      </c>
      <c r="AA34" s="3">
        <v>5.7732877417900905</v>
      </c>
      <c r="AB34" s="3">
        <v>47.994737787089733</v>
      </c>
      <c r="AC34" s="3">
        <f t="shared" si="9"/>
        <v>14.989462299409455</v>
      </c>
      <c r="AD34" s="3">
        <v>9.0956778599187889</v>
      </c>
      <c r="AE34" s="87">
        <v>0</v>
      </c>
      <c r="AF34" s="3">
        <v>49.367088607594937</v>
      </c>
      <c r="AG34" s="3">
        <v>31.438162637384565</v>
      </c>
      <c r="AH34" s="3">
        <v>10.846443725819793</v>
      </c>
      <c r="AI34" s="3">
        <f t="shared" si="10"/>
        <v>20.149474566143617</v>
      </c>
      <c r="AJ34" s="65">
        <f t="shared" si="5"/>
        <v>51.692088320290424</v>
      </c>
      <c r="AK34" s="75">
        <f>AJ34*K值!M35</f>
        <v>54.53331383427863</v>
      </c>
      <c r="AL34" s="3">
        <v>50</v>
      </c>
      <c r="AM34" s="3">
        <v>50</v>
      </c>
      <c r="AN34" s="65">
        <f t="shared" si="6"/>
        <v>50</v>
      </c>
      <c r="AP34" s="76">
        <f t="shared" si="7"/>
        <v>58.680345167377226</v>
      </c>
    </row>
    <row r="35" spans="1:42" x14ac:dyDescent="0.25">
      <c r="A35" s="92" t="s">
        <v>54</v>
      </c>
      <c r="B35" s="3">
        <v>2</v>
      </c>
      <c r="C35" s="7">
        <v>100</v>
      </c>
      <c r="D35" s="7">
        <v>100</v>
      </c>
      <c r="E35" s="7">
        <v>75</v>
      </c>
      <c r="F35" s="6">
        <v>75</v>
      </c>
      <c r="G35" s="74">
        <f t="shared" si="2"/>
        <v>87.5</v>
      </c>
      <c r="H35" s="75">
        <f>G35*K值!M36</f>
        <v>92.24137345330989</v>
      </c>
      <c r="I35" s="6">
        <v>50</v>
      </c>
      <c r="J35" s="6">
        <v>60</v>
      </c>
      <c r="K35" s="6">
        <v>50</v>
      </c>
      <c r="L35" s="6">
        <v>50</v>
      </c>
      <c r="M35" s="74">
        <f t="shared" si="3"/>
        <v>52.5</v>
      </c>
      <c r="N35" s="6">
        <v>65</v>
      </c>
      <c r="O35" s="6">
        <v>65</v>
      </c>
      <c r="P35" s="6">
        <v>100</v>
      </c>
      <c r="Q35" s="6">
        <v>65</v>
      </c>
      <c r="R35" s="74">
        <f t="shared" si="4"/>
        <v>73.75</v>
      </c>
      <c r="S35" s="3">
        <v>79.172015243363731</v>
      </c>
      <c r="T35" s="3">
        <f t="shared" si="8"/>
        <v>79.172015243363731</v>
      </c>
      <c r="U35" s="3">
        <v>68.410112489644675</v>
      </c>
      <c r="V35" s="3">
        <v>59.281617561526659</v>
      </c>
      <c r="W35" s="3">
        <v>98.292464356924199</v>
      </c>
      <c r="X35" s="3">
        <f t="shared" si="0"/>
        <v>75.328064802698506</v>
      </c>
      <c r="Y35" s="3">
        <v>4.9990410180631022</v>
      </c>
      <c r="Z35" s="3">
        <v>1.7894114188561558</v>
      </c>
      <c r="AA35" s="3">
        <v>29.916127389275925</v>
      </c>
      <c r="AB35" s="3">
        <v>45.532360118302279</v>
      </c>
      <c r="AC35" s="3">
        <f t="shared" si="9"/>
        <v>20.559234986124366</v>
      </c>
      <c r="AD35" s="3">
        <v>8.5118442319094321</v>
      </c>
      <c r="AE35" s="87">
        <v>0</v>
      </c>
      <c r="AF35" s="3">
        <v>67.932489451476798</v>
      </c>
      <c r="AG35" s="3">
        <v>3.9297703296730706</v>
      </c>
      <c r="AH35" s="3">
        <v>15.185021216147712</v>
      </c>
      <c r="AI35" s="3">
        <f t="shared" si="10"/>
        <v>19.111825045841407</v>
      </c>
      <c r="AJ35" s="65">
        <f t="shared" si="5"/>
        <v>48.542785019507001</v>
      </c>
      <c r="AK35" s="75">
        <f>AJ35*K值!M36</f>
        <v>51.173178987978083</v>
      </c>
      <c r="AL35" s="3">
        <v>50</v>
      </c>
      <c r="AM35" s="3">
        <v>0</v>
      </c>
      <c r="AN35" s="65">
        <f t="shared" si="6"/>
        <v>25</v>
      </c>
      <c r="AP35" s="76">
        <f t="shared" si="7"/>
        <v>59.292546285853206</v>
      </c>
    </row>
    <row r="36" spans="1:42" x14ac:dyDescent="0.25">
      <c r="A36" s="92" t="s">
        <v>55</v>
      </c>
      <c r="B36" s="3">
        <v>3</v>
      </c>
      <c r="C36" s="7">
        <v>65</v>
      </c>
      <c r="D36" s="7">
        <v>40</v>
      </c>
      <c r="E36" s="7">
        <v>60</v>
      </c>
      <c r="F36" s="6">
        <v>45</v>
      </c>
      <c r="G36" s="74">
        <f t="shared" si="2"/>
        <v>52.5</v>
      </c>
      <c r="H36" s="75">
        <f>G36*K值!M37</f>
        <v>55.385631908700233</v>
      </c>
      <c r="I36" s="6">
        <v>25</v>
      </c>
      <c r="J36" s="6">
        <v>40</v>
      </c>
      <c r="K36" s="6">
        <v>50</v>
      </c>
      <c r="L36" s="6">
        <v>50</v>
      </c>
      <c r="M36" s="74">
        <f t="shared" si="3"/>
        <v>41.25</v>
      </c>
      <c r="N36" s="6">
        <v>35</v>
      </c>
      <c r="O36" s="6">
        <v>0</v>
      </c>
      <c r="P36" s="6">
        <v>65</v>
      </c>
      <c r="Q36" s="6">
        <v>65</v>
      </c>
      <c r="R36" s="74">
        <f t="shared" si="4"/>
        <v>41.25</v>
      </c>
      <c r="S36" s="3">
        <v>81.569711521185013</v>
      </c>
      <c r="T36" s="3">
        <f t="shared" si="8"/>
        <v>81.569711521185013</v>
      </c>
      <c r="U36" s="3">
        <v>72.166538152999223</v>
      </c>
      <c r="V36" s="3">
        <v>78.849429546262101</v>
      </c>
      <c r="W36" s="3">
        <v>66.615935794558496</v>
      </c>
      <c r="X36" s="3">
        <f t="shared" si="0"/>
        <v>72.543967831273278</v>
      </c>
      <c r="Y36" s="3">
        <v>5.1449178893601868</v>
      </c>
      <c r="Z36" s="3" t="s">
        <v>335</v>
      </c>
      <c r="AA36" s="3">
        <v>7.4977762880390788</v>
      </c>
      <c r="AB36" s="3">
        <v>40.394952376106062</v>
      </c>
      <c r="AC36" s="3">
        <f t="shared" si="9"/>
        <v>17.679215517835107</v>
      </c>
      <c r="AD36" s="3">
        <v>23.487426826164427</v>
      </c>
      <c r="AE36" s="87">
        <v>0</v>
      </c>
      <c r="AF36" s="3">
        <v>40.506329113924053</v>
      </c>
      <c r="AG36" s="3">
        <v>23.578621978038424</v>
      </c>
      <c r="AH36" s="3">
        <v>13.015732470983751</v>
      </c>
      <c r="AI36" s="3">
        <f t="shared" si="10"/>
        <v>20.11762207782213</v>
      </c>
      <c r="AJ36" s="65">
        <f t="shared" si="5"/>
        <v>47.977629237028879</v>
      </c>
      <c r="AK36" s="75">
        <f>AJ36*K值!M37</f>
        <v>50.614691671889069</v>
      </c>
      <c r="AL36" s="3">
        <v>0</v>
      </c>
      <c r="AM36" s="3">
        <v>0</v>
      </c>
      <c r="AN36" s="65">
        <f t="shared" si="6"/>
        <v>0</v>
      </c>
      <c r="AP36" s="76">
        <f t="shared" si="7"/>
        <v>43.698003050495672</v>
      </c>
    </row>
    <row r="37" spans="1:42" x14ac:dyDescent="0.25">
      <c r="A37" s="92" t="s">
        <v>56</v>
      </c>
      <c r="B37" s="3">
        <v>2</v>
      </c>
      <c r="C37" s="7">
        <v>65</v>
      </c>
      <c r="D37" s="7">
        <v>100</v>
      </c>
      <c r="E37" s="7">
        <v>100</v>
      </c>
      <c r="F37" s="6">
        <v>45</v>
      </c>
      <c r="G37" s="74">
        <f t="shared" si="2"/>
        <v>77.5</v>
      </c>
      <c r="H37" s="75">
        <f>G37*K值!M38</f>
        <v>81.759742341414636</v>
      </c>
      <c r="I37" s="6">
        <v>0</v>
      </c>
      <c r="J37" s="6">
        <v>40</v>
      </c>
      <c r="K37" s="6">
        <v>0</v>
      </c>
      <c r="L37" s="6">
        <v>0</v>
      </c>
      <c r="M37" s="74">
        <f t="shared" si="3"/>
        <v>10</v>
      </c>
      <c r="N37" s="6">
        <v>35</v>
      </c>
      <c r="O37" s="6">
        <v>35</v>
      </c>
      <c r="P37" s="6">
        <v>65</v>
      </c>
      <c r="Q37" s="6">
        <v>35</v>
      </c>
      <c r="R37" s="74">
        <f t="shared" si="4"/>
        <v>42.5</v>
      </c>
      <c r="S37" s="3">
        <v>72.984322734954773</v>
      </c>
      <c r="T37" s="3">
        <f t="shared" si="8"/>
        <v>72.984322734954773</v>
      </c>
      <c r="U37" s="3">
        <v>51.761341416819548</v>
      </c>
      <c r="V37" s="3">
        <v>39.237441377382716</v>
      </c>
      <c r="W37" s="3">
        <v>98.954570014443391</v>
      </c>
      <c r="X37" s="3">
        <f t="shared" si="0"/>
        <v>63.317784269548554</v>
      </c>
      <c r="Y37" s="3">
        <v>6.3241914203500604</v>
      </c>
      <c r="Z37" s="3">
        <v>2.2430312029009269</v>
      </c>
      <c r="AA37" s="3">
        <v>40.038125378128683</v>
      </c>
      <c r="AB37" s="3">
        <v>27.011092256799742</v>
      </c>
      <c r="AC37" s="3">
        <f t="shared" si="9"/>
        <v>18.904110064544852</v>
      </c>
      <c r="AD37" s="3">
        <v>20.082251570724413</v>
      </c>
      <c r="AE37" s="87">
        <v>14.865092839693213</v>
      </c>
      <c r="AF37" s="3">
        <v>61.181434599156113</v>
      </c>
      <c r="AG37" s="3">
        <v>23.578621978038424</v>
      </c>
      <c r="AH37" s="3">
        <v>100</v>
      </c>
      <c r="AI37" s="3">
        <f t="shared" si="10"/>
        <v>43.941480197522438</v>
      </c>
      <c r="AJ37" s="65">
        <f t="shared" si="5"/>
        <v>49.786924316642654</v>
      </c>
      <c r="AK37" s="75">
        <f>AJ37*K值!M38</f>
        <v>52.523433601293085</v>
      </c>
      <c r="AL37" s="3">
        <v>50</v>
      </c>
      <c r="AM37" s="3">
        <v>0</v>
      </c>
      <c r="AN37" s="65">
        <f t="shared" si="6"/>
        <v>25</v>
      </c>
      <c r="AP37" s="76">
        <f t="shared" si="7"/>
        <v>46.111321908800164</v>
      </c>
    </row>
    <row r="38" spans="1:42" x14ac:dyDescent="0.25">
      <c r="A38" s="92" t="s">
        <v>57</v>
      </c>
      <c r="B38" s="3">
        <v>2</v>
      </c>
      <c r="C38" s="7">
        <v>100</v>
      </c>
      <c r="D38" s="7">
        <v>60</v>
      </c>
      <c r="E38" s="7">
        <v>60</v>
      </c>
      <c r="F38" s="6">
        <v>100</v>
      </c>
      <c r="G38" s="74">
        <f t="shared" si="2"/>
        <v>80</v>
      </c>
      <c r="H38" s="75">
        <f>G38*K值!M39</f>
        <v>80.630978620580308</v>
      </c>
      <c r="I38" s="9">
        <v>20</v>
      </c>
      <c r="J38" s="6">
        <v>40</v>
      </c>
      <c r="K38" s="6">
        <v>25</v>
      </c>
      <c r="L38" s="6">
        <v>50</v>
      </c>
      <c r="M38" s="74">
        <f t="shared" si="3"/>
        <v>33.75</v>
      </c>
      <c r="N38" s="6">
        <v>65</v>
      </c>
      <c r="O38" s="6">
        <v>65</v>
      </c>
      <c r="P38" s="6">
        <v>100</v>
      </c>
      <c r="Q38" s="6">
        <v>65</v>
      </c>
      <c r="R38" s="74">
        <f t="shared" si="4"/>
        <v>73.75</v>
      </c>
      <c r="S38" s="3">
        <v>82.1255496563154</v>
      </c>
      <c r="T38" s="3">
        <f t="shared" ref="T38:T69" si="12">AVERAGE(S38)</f>
        <v>82.1255496563154</v>
      </c>
      <c r="U38" s="3">
        <v>99.885954691777584</v>
      </c>
      <c r="V38" s="3">
        <v>25.401366372627095</v>
      </c>
      <c r="W38" s="3">
        <v>99.79091400288867</v>
      </c>
      <c r="X38" s="3">
        <f t="shared" si="0"/>
        <v>75.026078355764454</v>
      </c>
      <c r="Y38" s="3">
        <v>23.670054688028554</v>
      </c>
      <c r="Z38" s="3">
        <v>20.943098615600235</v>
      </c>
      <c r="AA38" s="3">
        <v>31.11577159536218</v>
      </c>
      <c r="AB38" s="3">
        <v>1.0613065593685376</v>
      </c>
      <c r="AC38" s="3">
        <f t="shared" si="9"/>
        <v>19.197557864589875</v>
      </c>
      <c r="AD38" s="3">
        <v>39.757882397315974</v>
      </c>
      <c r="AE38" s="87">
        <v>0</v>
      </c>
      <c r="AF38" s="3">
        <v>0.8438818565400843</v>
      </c>
      <c r="AG38" s="3">
        <v>3.9297703296730706</v>
      </c>
      <c r="AH38" s="3">
        <v>91.110127296886262</v>
      </c>
      <c r="AI38" s="3">
        <f t="shared" si="10"/>
        <v>27.12833237608308</v>
      </c>
      <c r="AJ38" s="65">
        <f t="shared" si="5"/>
        <v>50.869379563188204</v>
      </c>
      <c r="AK38" s="75">
        <f>AJ38*K值!M39</f>
        <v>51.270598200020167</v>
      </c>
      <c r="AL38" s="3">
        <v>50</v>
      </c>
      <c r="AM38" s="88">
        <v>50</v>
      </c>
      <c r="AN38" s="65">
        <f t="shared" si="6"/>
        <v>50</v>
      </c>
      <c r="AP38" s="76">
        <f t="shared" si="7"/>
        <v>55.759435004124128</v>
      </c>
    </row>
    <row r="39" spans="1:42" x14ac:dyDescent="0.25">
      <c r="A39" s="92" t="s">
        <v>58</v>
      </c>
      <c r="B39" s="3">
        <v>1</v>
      </c>
      <c r="C39" s="7">
        <v>65</v>
      </c>
      <c r="D39" s="7">
        <v>40</v>
      </c>
      <c r="E39" s="7">
        <v>60</v>
      </c>
      <c r="F39" s="6">
        <v>60</v>
      </c>
      <c r="G39" s="74">
        <f t="shared" si="2"/>
        <v>56.25</v>
      </c>
      <c r="H39" s="75">
        <f>G39*K值!M40</f>
        <v>59.341748473607396</v>
      </c>
      <c r="I39" s="6">
        <v>100</v>
      </c>
      <c r="J39" s="6">
        <v>40</v>
      </c>
      <c r="K39" s="6">
        <v>75</v>
      </c>
      <c r="L39" s="9">
        <v>75</v>
      </c>
      <c r="M39" s="74">
        <f t="shared" si="3"/>
        <v>72.5</v>
      </c>
      <c r="N39" s="6">
        <v>65</v>
      </c>
      <c r="O39" s="6">
        <v>65</v>
      </c>
      <c r="P39" s="6">
        <v>100</v>
      </c>
      <c r="Q39" s="6">
        <v>65</v>
      </c>
      <c r="R39" s="74">
        <f t="shared" si="4"/>
        <v>73.75</v>
      </c>
      <c r="S39" s="3">
        <v>63.502096041513809</v>
      </c>
      <c r="T39" s="3">
        <f t="shared" si="12"/>
        <v>63.502096041513809</v>
      </c>
      <c r="U39" s="3">
        <v>45.210059148171929</v>
      </c>
      <c r="V39" s="3">
        <v>68.590696013193636</v>
      </c>
      <c r="W39" s="3">
        <v>87.141211177653545</v>
      </c>
      <c r="X39" s="3">
        <f t="shared" si="0"/>
        <v>66.980655446339711</v>
      </c>
      <c r="Y39" s="3">
        <v>53.180087652185748</v>
      </c>
      <c r="Z39" s="3">
        <v>14.906442670819967</v>
      </c>
      <c r="AA39" s="3">
        <v>39.363325512205165</v>
      </c>
      <c r="AB39" s="3">
        <v>35.893113736169866</v>
      </c>
      <c r="AC39" s="3">
        <f t="shared" si="9"/>
        <v>35.835742392845191</v>
      </c>
      <c r="AD39" s="3">
        <v>26.873849395479937</v>
      </c>
      <c r="AE39" s="87">
        <v>59.460371358772854</v>
      </c>
      <c r="AF39" s="3">
        <v>14.345991561181433</v>
      </c>
      <c r="AG39" s="3">
        <v>19.648851648365355</v>
      </c>
      <c r="AH39" s="3">
        <v>34.708619922623342</v>
      </c>
      <c r="AI39" s="3">
        <f t="shared" si="10"/>
        <v>31.007536777284582</v>
      </c>
      <c r="AJ39" s="65">
        <f t="shared" si="5"/>
        <v>49.331507664495824</v>
      </c>
      <c r="AK39" s="75">
        <f>AJ39*K值!M40</f>
        <v>52.042985238228383</v>
      </c>
      <c r="AL39" s="3">
        <v>50</v>
      </c>
      <c r="AM39" s="3">
        <v>0</v>
      </c>
      <c r="AN39" s="65">
        <f t="shared" si="6"/>
        <v>25</v>
      </c>
      <c r="AP39" s="76">
        <f t="shared" si="7"/>
        <v>57.060543790012836</v>
      </c>
    </row>
    <row r="40" spans="1:42" x14ac:dyDescent="0.25">
      <c r="A40" s="92" t="s">
        <v>59</v>
      </c>
      <c r="B40" s="3">
        <v>2</v>
      </c>
      <c r="C40" s="7">
        <v>65</v>
      </c>
      <c r="D40" s="7">
        <v>100</v>
      </c>
      <c r="E40" s="7">
        <v>100</v>
      </c>
      <c r="F40" s="6">
        <v>100</v>
      </c>
      <c r="G40" s="74">
        <f t="shared" si="2"/>
        <v>91.25</v>
      </c>
      <c r="H40" s="75">
        <f>G40*K值!M41</f>
        <v>96.265503079407551</v>
      </c>
      <c r="I40" s="6">
        <v>50</v>
      </c>
      <c r="J40" s="6">
        <v>40</v>
      </c>
      <c r="K40" s="6">
        <v>25</v>
      </c>
      <c r="L40" s="6">
        <v>50</v>
      </c>
      <c r="M40" s="74">
        <f t="shared" si="3"/>
        <v>41.25</v>
      </c>
      <c r="N40" s="6">
        <v>100</v>
      </c>
      <c r="O40" s="6">
        <v>35</v>
      </c>
      <c r="P40" s="6">
        <v>100</v>
      </c>
      <c r="Q40" s="6">
        <v>100</v>
      </c>
      <c r="R40" s="74">
        <f t="shared" si="4"/>
        <v>83.75</v>
      </c>
      <c r="S40" s="3">
        <v>69.726713054461243</v>
      </c>
      <c r="T40" s="3">
        <f t="shared" si="12"/>
        <v>69.726713054461243</v>
      </c>
      <c r="U40" s="3">
        <v>63.714859253272714</v>
      </c>
      <c r="V40" s="3">
        <v>86.225391343555174</v>
      </c>
      <c r="W40" s="3">
        <v>96.480385715292684</v>
      </c>
      <c r="X40" s="3">
        <f t="shared" si="0"/>
        <v>82.140212104040188</v>
      </c>
      <c r="Y40" s="3">
        <v>6.6085900265763078</v>
      </c>
      <c r="Z40" s="3">
        <v>0.61871420360125695</v>
      </c>
      <c r="AA40" s="3">
        <v>18.444529668576134</v>
      </c>
      <c r="AB40" s="3">
        <v>28.133065693522003</v>
      </c>
      <c r="AC40" s="3">
        <f t="shared" si="9"/>
        <v>13.451224898068926</v>
      </c>
      <c r="AD40" s="3">
        <v>34.655901592377674</v>
      </c>
      <c r="AE40" s="87">
        <v>0</v>
      </c>
      <c r="AF40" s="3">
        <v>70.042194092827003</v>
      </c>
      <c r="AG40" s="3">
        <v>3.9297703296730706</v>
      </c>
      <c r="AH40" s="3">
        <v>17.354309961311671</v>
      </c>
      <c r="AI40" s="3">
        <f t="shared" si="10"/>
        <v>25.196435195237886</v>
      </c>
      <c r="AJ40" s="65">
        <f t="shared" si="5"/>
        <v>47.628646312952057</v>
      </c>
      <c r="AK40" s="75">
        <f>AJ40*K值!M41</f>
        <v>50.24652710473972</v>
      </c>
      <c r="AL40" s="3">
        <v>50</v>
      </c>
      <c r="AM40" s="3">
        <v>0</v>
      </c>
      <c r="AN40" s="65">
        <f t="shared" si="6"/>
        <v>25</v>
      </c>
      <c r="AP40" s="76">
        <f t="shared" si="7"/>
        <v>58.476711457777398</v>
      </c>
    </row>
    <row r="41" spans="1:42" x14ac:dyDescent="0.25">
      <c r="A41" s="92" t="s">
        <v>60</v>
      </c>
      <c r="B41" s="3">
        <v>2</v>
      </c>
      <c r="C41" s="7">
        <v>100</v>
      </c>
      <c r="D41" s="7">
        <v>60</v>
      </c>
      <c r="E41" s="7">
        <v>75</v>
      </c>
      <c r="F41" s="6">
        <v>60</v>
      </c>
      <c r="G41" s="74">
        <f t="shared" si="2"/>
        <v>73.75</v>
      </c>
      <c r="H41" s="75">
        <f>G41*K值!M42</f>
        <v>77.803625776507474</v>
      </c>
      <c r="I41" s="6">
        <v>50</v>
      </c>
      <c r="J41" s="6">
        <v>40</v>
      </c>
      <c r="K41" s="6">
        <v>75</v>
      </c>
      <c r="L41" s="9">
        <v>100</v>
      </c>
      <c r="M41" s="74">
        <f t="shared" si="3"/>
        <v>66.25</v>
      </c>
      <c r="N41" s="6">
        <v>65</v>
      </c>
      <c r="O41" s="6">
        <v>35</v>
      </c>
      <c r="P41" s="6">
        <v>65</v>
      </c>
      <c r="Q41" s="6">
        <v>65</v>
      </c>
      <c r="R41" s="74">
        <f t="shared" si="4"/>
        <v>57.5</v>
      </c>
      <c r="S41" s="3">
        <v>52.938537032355924</v>
      </c>
      <c r="T41" s="3">
        <f t="shared" si="12"/>
        <v>52.938537032355924</v>
      </c>
      <c r="U41" s="3">
        <v>21.308970382470225</v>
      </c>
      <c r="V41" s="3">
        <v>54.044684685448566</v>
      </c>
      <c r="W41" s="3">
        <v>96.898557709515345</v>
      </c>
      <c r="X41" s="3">
        <f t="shared" si="0"/>
        <v>57.41740425914471</v>
      </c>
      <c r="Y41" s="3">
        <v>35.920034308799657</v>
      </c>
      <c r="Z41" s="3">
        <v>8.6025210488990709</v>
      </c>
      <c r="AA41" s="3">
        <v>32.915237904491555</v>
      </c>
      <c r="AB41" s="3">
        <v>28.396407580089804</v>
      </c>
      <c r="AC41" s="3">
        <f t="shared" si="9"/>
        <v>26.458550210570021</v>
      </c>
      <c r="AD41" s="3">
        <v>21.36993601793991</v>
      </c>
      <c r="AE41" s="87">
        <v>74.325464198466079</v>
      </c>
      <c r="AF41" s="3">
        <v>68.776371308016877</v>
      </c>
      <c r="AG41" s="3">
        <v>23.578621978038424</v>
      </c>
      <c r="AH41" s="3">
        <v>93.279416042050229</v>
      </c>
      <c r="AI41" s="3">
        <f t="shared" si="10"/>
        <v>56.265961908902305</v>
      </c>
      <c r="AJ41" s="65">
        <f t="shared" si="5"/>
        <v>48.270113352743245</v>
      </c>
      <c r="AK41" s="75">
        <f>AJ41*K值!M42</f>
        <v>50.923252006595689</v>
      </c>
      <c r="AL41" s="3">
        <v>50</v>
      </c>
      <c r="AM41" s="3">
        <v>75</v>
      </c>
      <c r="AN41" s="65">
        <f t="shared" si="6"/>
        <v>62.5</v>
      </c>
      <c r="AP41" s="76">
        <f t="shared" si="7"/>
        <v>61.180025957939776</v>
      </c>
    </row>
    <row r="42" spans="1:42" x14ac:dyDescent="0.25">
      <c r="A42" s="92" t="s">
        <v>61</v>
      </c>
      <c r="B42" s="3">
        <v>3</v>
      </c>
      <c r="C42" s="7">
        <v>65</v>
      </c>
      <c r="D42" s="7">
        <v>100</v>
      </c>
      <c r="E42" s="7">
        <v>100</v>
      </c>
      <c r="F42" s="6">
        <v>100</v>
      </c>
      <c r="G42" s="74">
        <f t="shared" si="2"/>
        <v>91.25</v>
      </c>
      <c r="H42" s="75">
        <f>G42*K值!M43</f>
        <v>96.265503079407551</v>
      </c>
      <c r="I42" s="6">
        <v>100</v>
      </c>
      <c r="J42" s="6">
        <v>60</v>
      </c>
      <c r="K42" s="6">
        <v>75</v>
      </c>
      <c r="L42" s="6">
        <v>50</v>
      </c>
      <c r="M42" s="74">
        <f t="shared" si="3"/>
        <v>71.25</v>
      </c>
      <c r="N42" s="6">
        <v>100</v>
      </c>
      <c r="O42" s="6">
        <v>65</v>
      </c>
      <c r="P42" s="6">
        <v>100</v>
      </c>
      <c r="Q42" s="6">
        <v>65</v>
      </c>
      <c r="R42" s="74">
        <f t="shared" si="4"/>
        <v>82.5</v>
      </c>
      <c r="S42" s="3">
        <v>86.74193594520257</v>
      </c>
      <c r="T42" s="3">
        <f t="shared" si="12"/>
        <v>86.74193594520257</v>
      </c>
      <c r="U42" s="3">
        <v>82.899990511019737</v>
      </c>
      <c r="V42" s="3">
        <v>73.901388507244647</v>
      </c>
      <c r="W42" s="3">
        <v>89.894176806285955</v>
      </c>
      <c r="X42" s="3">
        <f t="shared" si="0"/>
        <v>82.23185194151678</v>
      </c>
      <c r="Y42" s="3">
        <v>3.6555027748563438</v>
      </c>
      <c r="Z42" s="3">
        <v>1.4492274077319007</v>
      </c>
      <c r="AA42" s="3">
        <v>14.020841658633076</v>
      </c>
      <c r="AB42" s="3">
        <v>10.590561315776366</v>
      </c>
      <c r="AC42" s="3">
        <f t="shared" si="9"/>
        <v>7.4290332892494222</v>
      </c>
      <c r="AD42" s="3">
        <v>10.019560196319034</v>
      </c>
      <c r="AE42" s="87">
        <v>0</v>
      </c>
      <c r="AF42" s="3">
        <v>3.79746835443038</v>
      </c>
      <c r="AG42" s="3">
        <v>3.9297703296730706</v>
      </c>
      <c r="AH42" s="3">
        <v>13.015732470983751</v>
      </c>
      <c r="AI42" s="3">
        <f t="shared" si="10"/>
        <v>6.1525062702812479</v>
      </c>
      <c r="AJ42" s="65">
        <f t="shared" si="5"/>
        <v>45.638831861562501</v>
      </c>
      <c r="AK42" s="75">
        <f>AJ42*K值!M43</f>
        <v>48.14734366147735</v>
      </c>
      <c r="AL42" s="3">
        <v>25</v>
      </c>
      <c r="AM42" s="3">
        <v>0</v>
      </c>
      <c r="AN42" s="65">
        <f t="shared" si="6"/>
        <v>12.5</v>
      </c>
      <c r="AP42" s="76">
        <f t="shared" si="7"/>
        <v>62.26203808047245</v>
      </c>
    </row>
    <row r="43" spans="1:42" x14ac:dyDescent="0.25">
      <c r="A43" s="92" t="s">
        <v>62</v>
      </c>
      <c r="B43" s="3">
        <v>3</v>
      </c>
      <c r="C43" s="7">
        <v>100</v>
      </c>
      <c r="D43" s="7">
        <v>100</v>
      </c>
      <c r="E43" s="7">
        <v>75</v>
      </c>
      <c r="F43" s="6">
        <v>100</v>
      </c>
      <c r="G43" s="74">
        <f t="shared" si="2"/>
        <v>93.75</v>
      </c>
      <c r="H43" s="75">
        <f>G43*K值!M44</f>
        <v>98.902914122678993</v>
      </c>
      <c r="I43" s="6">
        <v>0</v>
      </c>
      <c r="J43" s="6">
        <v>40</v>
      </c>
      <c r="K43" s="6">
        <v>25</v>
      </c>
      <c r="L43" s="6">
        <v>50</v>
      </c>
      <c r="M43" s="74">
        <f t="shared" si="3"/>
        <v>28.75</v>
      </c>
      <c r="N43" s="6">
        <v>100</v>
      </c>
      <c r="O43" s="6">
        <v>65</v>
      </c>
      <c r="P43" s="6">
        <v>100</v>
      </c>
      <c r="Q43" s="6">
        <v>35</v>
      </c>
      <c r="R43" s="74">
        <f t="shared" si="4"/>
        <v>75</v>
      </c>
      <c r="S43" s="3">
        <v>79.708170912723062</v>
      </c>
      <c r="T43" s="3">
        <f t="shared" si="12"/>
        <v>79.708170912723062</v>
      </c>
      <c r="U43" s="3">
        <v>70.573739390741608</v>
      </c>
      <c r="V43" s="3">
        <v>83.444039082492566</v>
      </c>
      <c r="W43" s="3">
        <v>95.469803395921303</v>
      </c>
      <c r="X43" s="3">
        <f t="shared" si="0"/>
        <v>83.162527289718483</v>
      </c>
      <c r="Y43" s="3">
        <v>9.9833717633903643</v>
      </c>
      <c r="Z43" s="3">
        <v>1.2309003558163341</v>
      </c>
      <c r="AA43" s="3">
        <v>5.9982210304312629</v>
      </c>
      <c r="AB43" s="3">
        <v>47.944353509361051</v>
      </c>
      <c r="AC43" s="3">
        <f t="shared" si="9"/>
        <v>16.289211664749754</v>
      </c>
      <c r="AD43" s="3">
        <v>15.671619794242591</v>
      </c>
      <c r="AE43" s="87">
        <v>0</v>
      </c>
      <c r="AF43" s="3">
        <v>47.679324894514771</v>
      </c>
      <c r="AG43" s="3">
        <v>31.438162637384565</v>
      </c>
      <c r="AH43" s="3">
        <v>13.015732470983751</v>
      </c>
      <c r="AI43" s="3">
        <f t="shared" si="10"/>
        <v>21.560967959425135</v>
      </c>
      <c r="AJ43" s="65">
        <f t="shared" si="5"/>
        <v>50.180219456654108</v>
      </c>
      <c r="AK43" s="75">
        <f>AJ43*K值!M44</f>
        <v>52.938345979505563</v>
      </c>
      <c r="AL43" s="3">
        <v>25</v>
      </c>
      <c r="AM43" s="3">
        <v>50</v>
      </c>
      <c r="AN43" s="65">
        <f t="shared" si="6"/>
        <v>37.5</v>
      </c>
      <c r="AP43" s="76">
        <f t="shared" si="7"/>
        <v>57.955921216338027</v>
      </c>
    </row>
    <row r="44" spans="1:42" x14ac:dyDescent="0.25">
      <c r="A44" s="92" t="s">
        <v>309</v>
      </c>
      <c r="B44" s="3">
        <v>2</v>
      </c>
      <c r="C44" s="7">
        <v>65</v>
      </c>
      <c r="D44" s="7">
        <v>100</v>
      </c>
      <c r="E44" s="7">
        <v>45</v>
      </c>
      <c r="F44" s="6">
        <v>75</v>
      </c>
      <c r="G44" s="74">
        <f t="shared" si="2"/>
        <v>71.25</v>
      </c>
      <c r="H44" s="75">
        <f>G44*K值!M45</f>
        <v>75.166214733236032</v>
      </c>
      <c r="I44" s="6">
        <v>50</v>
      </c>
      <c r="J44" s="6">
        <v>60</v>
      </c>
      <c r="K44" s="6">
        <v>25</v>
      </c>
      <c r="L44" s="6">
        <v>0</v>
      </c>
      <c r="M44" s="74">
        <f t="shared" si="3"/>
        <v>33.75</v>
      </c>
      <c r="N44" s="6">
        <v>65</v>
      </c>
      <c r="O44" s="6">
        <v>65</v>
      </c>
      <c r="P44" s="6">
        <v>65</v>
      </c>
      <c r="Q44" s="6">
        <v>65</v>
      </c>
      <c r="R44" s="74">
        <f t="shared" si="4"/>
        <v>65</v>
      </c>
      <c r="S44" s="3">
        <v>68.812201491764398</v>
      </c>
      <c r="T44" s="3">
        <f t="shared" si="12"/>
        <v>68.812201491764398</v>
      </c>
      <c r="U44" s="3">
        <v>60.63962166698861</v>
      </c>
      <c r="V44" s="3">
        <v>50.820774716548378</v>
      </c>
      <c r="W44" s="3">
        <v>100</v>
      </c>
      <c r="X44" s="3">
        <f t="shared" si="0"/>
        <v>70.486798794512325</v>
      </c>
      <c r="Y44" s="3">
        <v>12.748903037728363</v>
      </c>
      <c r="Z44" s="3">
        <v>1.4743241386165471</v>
      </c>
      <c r="AA44" s="3">
        <v>31.19074935824257</v>
      </c>
      <c r="AB44" s="3">
        <v>20.438746652099315</v>
      </c>
      <c r="AC44" s="3">
        <f t="shared" si="9"/>
        <v>16.463180796671697</v>
      </c>
      <c r="AD44" s="3">
        <v>22.266001869922153</v>
      </c>
      <c r="AE44" s="87">
        <v>0</v>
      </c>
      <c r="AF44" s="3">
        <v>62.869198312236286</v>
      </c>
      <c r="AG44" s="3">
        <v>19.648851648365355</v>
      </c>
      <c r="AH44" s="3">
        <v>32.539331177459381</v>
      </c>
      <c r="AI44" s="3">
        <f t="shared" si="10"/>
        <v>27.464676601596636</v>
      </c>
      <c r="AJ44" s="65">
        <f t="shared" si="5"/>
        <v>45.80671442113627</v>
      </c>
      <c r="AK44" s="75">
        <f>AJ44*K值!M45</f>
        <v>48.324453788114369</v>
      </c>
      <c r="AL44" s="88">
        <v>50</v>
      </c>
      <c r="AM44" s="3">
        <v>0</v>
      </c>
      <c r="AN44" s="65">
        <f t="shared" si="6"/>
        <v>25</v>
      </c>
      <c r="AP44" s="76">
        <f t="shared" si="7"/>
        <v>50.113024461892955</v>
      </c>
    </row>
    <row r="45" spans="1:42" x14ac:dyDescent="0.25">
      <c r="A45" s="92" t="s">
        <v>63</v>
      </c>
      <c r="B45" s="3">
        <v>2</v>
      </c>
      <c r="C45" s="7">
        <v>0</v>
      </c>
      <c r="D45" s="7">
        <v>40</v>
      </c>
      <c r="E45" s="7">
        <v>15</v>
      </c>
      <c r="F45" s="6">
        <v>30</v>
      </c>
      <c r="G45" s="74">
        <f t="shared" si="2"/>
        <v>21.25</v>
      </c>
      <c r="H45" s="75">
        <f>G45*K值!M46</f>
        <v>22.417993867807237</v>
      </c>
      <c r="I45" s="6">
        <v>0</v>
      </c>
      <c r="J45" s="6">
        <v>40</v>
      </c>
      <c r="K45" s="6">
        <v>0</v>
      </c>
      <c r="L45" s="6">
        <v>0</v>
      </c>
      <c r="M45" s="74">
        <f t="shared" si="3"/>
        <v>10</v>
      </c>
      <c r="N45" s="6">
        <v>35</v>
      </c>
      <c r="O45" s="6">
        <v>65</v>
      </c>
      <c r="P45" s="6">
        <v>65</v>
      </c>
      <c r="Q45" s="6">
        <v>35</v>
      </c>
      <c r="R45" s="74">
        <f t="shared" si="4"/>
        <v>50</v>
      </c>
      <c r="S45" s="3">
        <v>71.151849791025398</v>
      </c>
      <c r="T45" s="3">
        <f t="shared" si="12"/>
        <v>71.151849791025398</v>
      </c>
      <c r="U45" s="3">
        <v>63.847059935074093</v>
      </c>
      <c r="V45" s="3">
        <v>76.166423442496736</v>
      </c>
      <c r="W45" s="3">
        <v>100</v>
      </c>
      <c r="X45" s="3">
        <f t="shared" si="0"/>
        <v>80.004494459190269</v>
      </c>
      <c r="Y45" s="3">
        <v>11.26806891565376</v>
      </c>
      <c r="Z45" s="3">
        <v>0.38087553143144198</v>
      </c>
      <c r="AA45" s="3">
        <v>25.117550564930912</v>
      </c>
      <c r="AB45" s="3">
        <v>33.927412439126414</v>
      </c>
      <c r="AC45" s="3">
        <f t="shared" si="9"/>
        <v>17.673476862785634</v>
      </c>
      <c r="AD45" s="3">
        <v>17.548451130536055</v>
      </c>
      <c r="AE45" s="87">
        <v>0</v>
      </c>
      <c r="AF45" s="3">
        <v>70.886075949367083</v>
      </c>
      <c r="AG45" s="3">
        <v>31.438162637384565</v>
      </c>
      <c r="AH45" s="3">
        <v>80.263683571066466</v>
      </c>
      <c r="AI45" s="3">
        <f t="shared" si="10"/>
        <v>40.02727465767083</v>
      </c>
      <c r="AJ45" s="65">
        <f t="shared" si="5"/>
        <v>52.214273942668036</v>
      </c>
      <c r="AK45" s="75">
        <f>AJ45*K值!M46</f>
        <v>55.084201085117144</v>
      </c>
      <c r="AL45" s="3">
        <v>50</v>
      </c>
      <c r="AM45" s="3">
        <v>0</v>
      </c>
      <c r="AN45" s="65">
        <f t="shared" si="6"/>
        <v>25</v>
      </c>
      <c r="AP45" s="76">
        <f t="shared" si="7"/>
        <v>36.017279207608304</v>
      </c>
    </row>
    <row r="46" spans="1:42" x14ac:dyDescent="0.25">
      <c r="A46" s="92" t="s">
        <v>64</v>
      </c>
      <c r="B46" s="3">
        <v>2</v>
      </c>
      <c r="C46" s="7">
        <v>100</v>
      </c>
      <c r="D46" s="7">
        <v>100</v>
      </c>
      <c r="E46" s="7">
        <v>75</v>
      </c>
      <c r="F46" s="6">
        <v>60</v>
      </c>
      <c r="G46" s="74">
        <f t="shared" si="2"/>
        <v>83.75</v>
      </c>
      <c r="H46" s="75">
        <f>G46*K值!M47</f>
        <v>88.353269949593241</v>
      </c>
      <c r="I46" s="6">
        <v>25</v>
      </c>
      <c r="J46" s="6">
        <v>40</v>
      </c>
      <c r="K46" s="6">
        <v>25</v>
      </c>
      <c r="L46" s="6">
        <v>50</v>
      </c>
      <c r="M46" s="74">
        <f t="shared" si="3"/>
        <v>35</v>
      </c>
      <c r="N46" s="6">
        <v>65</v>
      </c>
      <c r="O46" s="6">
        <v>65</v>
      </c>
      <c r="P46" s="6">
        <v>100</v>
      </c>
      <c r="Q46" s="6">
        <v>35</v>
      </c>
      <c r="R46" s="74">
        <f t="shared" si="4"/>
        <v>66.25</v>
      </c>
      <c r="S46" s="3">
        <v>53.085403617248986</v>
      </c>
      <c r="T46" s="3">
        <f t="shared" si="12"/>
        <v>53.085403617248986</v>
      </c>
      <c r="U46" s="3">
        <v>54.349040060515222</v>
      </c>
      <c r="V46" s="3">
        <v>59.53670290701637</v>
      </c>
      <c r="W46" s="3">
        <v>100</v>
      </c>
      <c r="X46" s="3">
        <f t="shared" si="0"/>
        <v>71.295247655843866</v>
      </c>
      <c r="Y46" s="3">
        <v>23.367268240882506</v>
      </c>
      <c r="Z46" s="3">
        <v>10.59898049755356</v>
      </c>
      <c r="AA46" s="3">
        <v>41.612658398616887</v>
      </c>
      <c r="AB46" s="3">
        <v>5.9960797658906353</v>
      </c>
      <c r="AC46" s="3">
        <f t="shared" si="9"/>
        <v>20.393746725735898</v>
      </c>
      <c r="AD46" s="3">
        <v>39.705374876167383</v>
      </c>
      <c r="AE46" s="87">
        <v>29.730185679386427</v>
      </c>
      <c r="AF46" s="3">
        <v>5.0632911392405067</v>
      </c>
      <c r="AG46" s="3">
        <v>0</v>
      </c>
      <c r="AH46" s="3">
        <v>34.708619922623342</v>
      </c>
      <c r="AI46" s="3">
        <f t="shared" si="10"/>
        <v>21.841494323483531</v>
      </c>
      <c r="AJ46" s="65">
        <f t="shared" si="5"/>
        <v>41.653973080578069</v>
      </c>
      <c r="AK46" s="75">
        <f>AJ46*K值!M47</f>
        <v>43.943459439539147</v>
      </c>
      <c r="AL46" s="3">
        <v>50</v>
      </c>
      <c r="AM46" s="3">
        <v>50</v>
      </c>
      <c r="AN46" s="65">
        <f t="shared" si="6"/>
        <v>50</v>
      </c>
      <c r="AP46" s="76">
        <f t="shared" si="7"/>
        <v>53.87303776573431</v>
      </c>
    </row>
    <row r="47" spans="1:42" x14ac:dyDescent="0.25">
      <c r="A47" s="92" t="s">
        <v>65</v>
      </c>
      <c r="B47" s="3">
        <v>1</v>
      </c>
      <c r="C47" s="7">
        <v>100</v>
      </c>
      <c r="D47" s="7">
        <v>40</v>
      </c>
      <c r="E47" s="7">
        <v>100</v>
      </c>
      <c r="F47" s="6">
        <v>75</v>
      </c>
      <c r="G47" s="74">
        <f t="shared" si="2"/>
        <v>78.75</v>
      </c>
      <c r="H47" s="75">
        <f>G47*K值!M48</f>
        <v>83.078447863050357</v>
      </c>
      <c r="I47" s="6">
        <v>0</v>
      </c>
      <c r="J47" s="6">
        <v>0</v>
      </c>
      <c r="K47" s="9">
        <v>50</v>
      </c>
      <c r="L47" s="9">
        <v>75</v>
      </c>
      <c r="M47" s="74">
        <f t="shared" si="3"/>
        <v>31.25</v>
      </c>
      <c r="N47" s="9">
        <v>65</v>
      </c>
      <c r="O47" s="6">
        <v>0</v>
      </c>
      <c r="P47" s="6">
        <v>35</v>
      </c>
      <c r="Q47" s="6">
        <v>0</v>
      </c>
      <c r="R47" s="74">
        <f t="shared" si="4"/>
        <v>25</v>
      </c>
      <c r="S47" s="3">
        <v>63.195637392477458</v>
      </c>
      <c r="T47" s="3">
        <f t="shared" si="12"/>
        <v>63.195637392477458</v>
      </c>
      <c r="U47" s="3">
        <v>44.661043710344792</v>
      </c>
      <c r="V47" s="3">
        <v>73.11154593145119</v>
      </c>
      <c r="W47" s="3">
        <v>87.315449508579633</v>
      </c>
      <c r="X47" s="3">
        <f t="shared" si="0"/>
        <v>68.362679716791874</v>
      </c>
      <c r="Y47" s="3">
        <v>70.893707738260261</v>
      </c>
      <c r="Z47" s="3">
        <v>12.260405842288447</v>
      </c>
      <c r="AA47" s="3">
        <v>30.515949492319049</v>
      </c>
      <c r="AB47" s="3">
        <v>55.169662878689607</v>
      </c>
      <c r="AC47" s="3">
        <f t="shared" si="9"/>
        <v>42.209931487889342</v>
      </c>
      <c r="AD47" s="3">
        <v>11.121280506133266</v>
      </c>
      <c r="AE47" s="87">
        <v>14.865092839693213</v>
      </c>
      <c r="AF47" s="3">
        <v>58.22784810126582</v>
      </c>
      <c r="AG47" s="3">
        <v>43.227473626403778</v>
      </c>
      <c r="AH47" s="3">
        <v>47.724352393607091</v>
      </c>
      <c r="AI47" s="3">
        <f t="shared" si="10"/>
        <v>35.033209493420635</v>
      </c>
      <c r="AJ47" s="65">
        <f t="shared" si="5"/>
        <v>52.200364522644826</v>
      </c>
      <c r="AK47" s="75">
        <f>AJ47*K值!M48</f>
        <v>55.06952714192726</v>
      </c>
      <c r="AL47" s="3">
        <v>25</v>
      </c>
      <c r="AM47" s="3">
        <v>0</v>
      </c>
      <c r="AN47" s="65">
        <f t="shared" si="6"/>
        <v>12.5</v>
      </c>
      <c r="AP47" s="76">
        <f t="shared" si="7"/>
        <v>48.643500429380978</v>
      </c>
    </row>
    <row r="48" spans="1:42" x14ac:dyDescent="0.25">
      <c r="A48" s="92" t="s">
        <v>310</v>
      </c>
      <c r="B48" s="3">
        <v>3</v>
      </c>
      <c r="C48" s="7">
        <v>35</v>
      </c>
      <c r="D48" s="7">
        <v>40</v>
      </c>
      <c r="E48" s="7">
        <v>75</v>
      </c>
      <c r="F48" s="6">
        <v>60</v>
      </c>
      <c r="G48" s="74">
        <f t="shared" si="2"/>
        <v>52.5</v>
      </c>
      <c r="H48" s="75">
        <f>G48*K值!M49</f>
        <v>55.385631908700233</v>
      </c>
      <c r="I48" s="6">
        <v>0</v>
      </c>
      <c r="J48" s="6">
        <v>0</v>
      </c>
      <c r="K48" s="6">
        <v>60</v>
      </c>
      <c r="L48" s="6">
        <v>0</v>
      </c>
      <c r="M48" s="74">
        <f t="shared" si="3"/>
        <v>15</v>
      </c>
      <c r="N48" s="6">
        <v>35</v>
      </c>
      <c r="O48" s="6">
        <v>100</v>
      </c>
      <c r="P48" s="6">
        <v>35</v>
      </c>
      <c r="Q48" s="6">
        <v>35</v>
      </c>
      <c r="R48" s="74">
        <f t="shared" si="4"/>
        <v>51.25</v>
      </c>
      <c r="S48" s="3">
        <v>83.893260198940567</v>
      </c>
      <c r="T48" s="3">
        <f t="shared" si="12"/>
        <v>83.893260198940567</v>
      </c>
      <c r="U48" s="3">
        <v>74.495857349633411</v>
      </c>
      <c r="V48" s="3">
        <v>68.421663555338995</v>
      </c>
      <c r="W48" s="3">
        <v>100</v>
      </c>
      <c r="X48" s="3">
        <f t="shared" si="0"/>
        <v>80.97250696832414</v>
      </c>
      <c r="Y48" s="3">
        <v>8.1225222623065498</v>
      </c>
      <c r="Z48" s="3">
        <v>0.62429931423165519</v>
      </c>
      <c r="AA48" s="3">
        <v>14.020841658633076</v>
      </c>
      <c r="AB48" s="3">
        <v>16.534446899580249</v>
      </c>
      <c r="AC48" s="3">
        <f t="shared" si="9"/>
        <v>9.8255275336878825</v>
      </c>
      <c r="AD48" s="3">
        <v>11.709177216136263</v>
      </c>
      <c r="AE48" s="87">
        <v>0</v>
      </c>
      <c r="AF48" s="3">
        <v>53.164556962025308</v>
      </c>
      <c r="AG48" s="3">
        <v>39.29770329673071</v>
      </c>
      <c r="AH48" s="3">
        <v>19.523598706475628</v>
      </c>
      <c r="AI48" s="3">
        <f t="shared" si="10"/>
        <v>24.739007236273583</v>
      </c>
      <c r="AJ48" s="65">
        <f t="shared" si="5"/>
        <v>49.857575484306544</v>
      </c>
      <c r="AK48" s="75">
        <f>AJ48*K值!M49</f>
        <v>52.597968069219796</v>
      </c>
      <c r="AL48" s="3">
        <v>50</v>
      </c>
      <c r="AM48" s="3">
        <v>0</v>
      </c>
      <c r="AN48" s="65">
        <f t="shared" si="6"/>
        <v>25</v>
      </c>
      <c r="AP48" s="76">
        <f t="shared" si="7"/>
        <v>42.741313609427962</v>
      </c>
    </row>
    <row r="49" spans="1:42" x14ac:dyDescent="0.25">
      <c r="A49" s="92" t="s">
        <v>66</v>
      </c>
      <c r="B49" s="3">
        <v>2</v>
      </c>
      <c r="C49" s="7">
        <v>65</v>
      </c>
      <c r="D49" s="7">
        <v>100</v>
      </c>
      <c r="E49" s="7">
        <v>75</v>
      </c>
      <c r="F49" s="6">
        <v>100</v>
      </c>
      <c r="G49" s="74">
        <f t="shared" si="2"/>
        <v>85</v>
      </c>
      <c r="H49" s="75">
        <f>G49*K值!M50</f>
        <v>89.671975471228947</v>
      </c>
      <c r="I49" s="6">
        <v>0</v>
      </c>
      <c r="J49" s="6">
        <v>40</v>
      </c>
      <c r="K49" s="6">
        <v>50</v>
      </c>
      <c r="L49" s="6">
        <v>0</v>
      </c>
      <c r="M49" s="74">
        <f t="shared" si="3"/>
        <v>22.5</v>
      </c>
      <c r="N49" s="6">
        <v>65</v>
      </c>
      <c r="O49" s="6">
        <v>35</v>
      </c>
      <c r="P49" s="6">
        <v>35</v>
      </c>
      <c r="Q49" s="6">
        <v>65</v>
      </c>
      <c r="R49" s="74">
        <f t="shared" si="4"/>
        <v>50</v>
      </c>
      <c r="S49" s="3">
        <v>76.056355889061606</v>
      </c>
      <c r="T49" s="3">
        <f t="shared" si="12"/>
        <v>76.056355889061606</v>
      </c>
      <c r="U49" s="3">
        <v>73.744293480185078</v>
      </c>
      <c r="V49" s="3">
        <v>66.307221173448312</v>
      </c>
      <c r="W49" s="3">
        <v>99.965152333814771</v>
      </c>
      <c r="X49" s="3">
        <f t="shared" si="0"/>
        <v>80.00555566248272</v>
      </c>
      <c r="Y49" s="3">
        <v>4.6484461845255725</v>
      </c>
      <c r="Z49" s="3">
        <v>0.17174577857995971</v>
      </c>
      <c r="AA49" s="3">
        <v>16.720041122327146</v>
      </c>
      <c r="AB49" s="3">
        <v>62.006460655180831</v>
      </c>
      <c r="AC49" s="3">
        <f t="shared" si="9"/>
        <v>20.886673435153376</v>
      </c>
      <c r="AD49" s="3">
        <v>10.113948716479007</v>
      </c>
      <c r="AE49" s="87">
        <v>0</v>
      </c>
      <c r="AF49" s="3">
        <v>51.898734177215189</v>
      </c>
      <c r="AG49" s="3">
        <v>0</v>
      </c>
      <c r="AH49" s="3">
        <v>23.862176196803546</v>
      </c>
      <c r="AI49" s="3">
        <f t="shared" si="10"/>
        <v>17.17497181809955</v>
      </c>
      <c r="AJ49" s="65">
        <f t="shared" si="5"/>
        <v>48.530889201199308</v>
      </c>
      <c r="AK49" s="75">
        <f>AJ49*K值!M50</f>
        <v>51.198361247610286</v>
      </c>
      <c r="AL49" s="3">
        <v>50</v>
      </c>
      <c r="AM49" s="3">
        <v>50</v>
      </c>
      <c r="AN49" s="65">
        <f t="shared" si="6"/>
        <v>50</v>
      </c>
      <c r="AP49" s="76">
        <f t="shared" si="7"/>
        <v>52.913739593289904</v>
      </c>
    </row>
    <row r="50" spans="1:42" x14ac:dyDescent="0.25">
      <c r="A50" s="92" t="s">
        <v>67</v>
      </c>
      <c r="B50" s="3">
        <v>2</v>
      </c>
      <c r="C50" s="7">
        <v>65</v>
      </c>
      <c r="D50" s="7">
        <v>100</v>
      </c>
      <c r="E50" s="7">
        <v>60</v>
      </c>
      <c r="F50" s="6">
        <v>100</v>
      </c>
      <c r="G50" s="74">
        <f t="shared" si="2"/>
        <v>81.25</v>
      </c>
      <c r="H50" s="75">
        <f>G50*K值!M51</f>
        <v>85.715858906321799</v>
      </c>
      <c r="I50" s="6">
        <v>75</v>
      </c>
      <c r="J50" s="6">
        <v>60</v>
      </c>
      <c r="K50" s="6">
        <v>25</v>
      </c>
      <c r="L50" s="6">
        <v>50</v>
      </c>
      <c r="M50" s="74">
        <f t="shared" si="3"/>
        <v>52.5</v>
      </c>
      <c r="N50" s="6">
        <v>100</v>
      </c>
      <c r="O50" s="6">
        <v>0</v>
      </c>
      <c r="P50" s="6">
        <v>100</v>
      </c>
      <c r="Q50" s="6">
        <v>65</v>
      </c>
      <c r="R50" s="74">
        <f t="shared" si="4"/>
        <v>66.25</v>
      </c>
      <c r="S50" s="3">
        <v>68.390912978222673</v>
      </c>
      <c r="T50" s="3">
        <f t="shared" si="12"/>
        <v>68.390912978222673</v>
      </c>
      <c r="U50" s="3">
        <v>56.837685048482037</v>
      </c>
      <c r="V50" s="3">
        <v>79.688445200704166</v>
      </c>
      <c r="W50" s="3">
        <v>92.960771430585424</v>
      </c>
      <c r="X50" s="3">
        <f t="shared" si="0"/>
        <v>76.495633893257207</v>
      </c>
      <c r="Y50" s="3">
        <v>23.708056225929475</v>
      </c>
      <c r="Z50" s="3">
        <v>15.825969482296387</v>
      </c>
      <c r="AA50" s="3">
        <v>28.266616605907323</v>
      </c>
      <c r="AB50" s="3">
        <v>30.868891431568446</v>
      </c>
      <c r="AC50" s="3">
        <f t="shared" si="9"/>
        <v>24.667383436425407</v>
      </c>
      <c r="AD50" s="3">
        <v>11.469455378511437</v>
      </c>
      <c r="AE50" s="87">
        <v>0</v>
      </c>
      <c r="AF50" s="3">
        <v>70.042194092827003</v>
      </c>
      <c r="AG50" s="3">
        <v>66.806095604442206</v>
      </c>
      <c r="AH50" s="3">
        <v>28.200753687131463</v>
      </c>
      <c r="AI50" s="3">
        <f t="shared" si="10"/>
        <v>35.303699752582418</v>
      </c>
      <c r="AJ50" s="65">
        <f t="shared" si="5"/>
        <v>51.214407515121927</v>
      </c>
      <c r="AK50" s="75">
        <f>AJ50*K值!M51</f>
        <v>54.029377581994552</v>
      </c>
      <c r="AL50" s="3">
        <v>50</v>
      </c>
      <c r="AM50" s="3">
        <v>0</v>
      </c>
      <c r="AN50" s="65">
        <f t="shared" si="6"/>
        <v>25</v>
      </c>
      <c r="AP50" s="76">
        <f t="shared" si="7"/>
        <v>58.379922814062184</v>
      </c>
    </row>
    <row r="51" spans="1:42" x14ac:dyDescent="0.25">
      <c r="A51" s="92" t="s">
        <v>68</v>
      </c>
      <c r="B51" s="3">
        <v>2</v>
      </c>
      <c r="C51" s="7">
        <v>65</v>
      </c>
      <c r="D51" s="7">
        <v>100</v>
      </c>
      <c r="E51" s="7">
        <v>100</v>
      </c>
      <c r="F51" s="6">
        <v>60</v>
      </c>
      <c r="G51" s="74">
        <f t="shared" si="2"/>
        <v>81.25</v>
      </c>
      <c r="H51" s="75">
        <f>G51*K值!M52</f>
        <v>85.715858906321799</v>
      </c>
      <c r="I51" s="6">
        <v>75</v>
      </c>
      <c r="J51" s="6">
        <v>40</v>
      </c>
      <c r="K51" s="6">
        <v>25</v>
      </c>
      <c r="L51" s="6">
        <v>25</v>
      </c>
      <c r="M51" s="74">
        <f t="shared" si="3"/>
        <v>41.25</v>
      </c>
      <c r="N51" s="6">
        <v>35</v>
      </c>
      <c r="O51" s="6">
        <v>35</v>
      </c>
      <c r="P51" s="6">
        <v>65</v>
      </c>
      <c r="Q51" s="6">
        <v>65</v>
      </c>
      <c r="R51" s="74">
        <f t="shared" si="4"/>
        <v>50</v>
      </c>
      <c r="S51" s="3">
        <v>34.2190969859505</v>
      </c>
      <c r="T51" s="3">
        <f t="shared" si="12"/>
        <v>34.2190969859505</v>
      </c>
      <c r="U51" s="3">
        <v>53.632955444316046</v>
      </c>
      <c r="V51" s="3">
        <v>69.429711667635715</v>
      </c>
      <c r="W51" s="3">
        <v>88.012402832284053</v>
      </c>
      <c r="X51" s="3">
        <f t="shared" si="0"/>
        <v>70.358356648078598</v>
      </c>
      <c r="Y51" s="3">
        <v>16.399502388339428</v>
      </c>
      <c r="Z51" s="3" t="s">
        <v>335</v>
      </c>
      <c r="AA51" s="3">
        <v>9.9720424630919755</v>
      </c>
      <c r="AB51" s="3">
        <v>32.261714876074542</v>
      </c>
      <c r="AC51" s="3">
        <f t="shared" si="9"/>
        <v>19.544419909168649</v>
      </c>
      <c r="AD51" s="3">
        <v>25.533657427115848</v>
      </c>
      <c r="AE51" s="87">
        <v>59.460371358772854</v>
      </c>
      <c r="AF51" s="3">
        <v>76.793248945147667</v>
      </c>
      <c r="AG51" s="3">
        <v>39.29770329673071</v>
      </c>
      <c r="AH51" s="3">
        <v>47.724352393607091</v>
      </c>
      <c r="AI51" s="3">
        <f t="shared" si="10"/>
        <v>49.761866684274835</v>
      </c>
      <c r="AJ51" s="65">
        <f t="shared" si="5"/>
        <v>43.470935056868143</v>
      </c>
      <c r="AK51" s="75">
        <f>AJ51*K值!M52</f>
        <v>45.860289672127848</v>
      </c>
      <c r="AL51" s="3">
        <v>25</v>
      </c>
      <c r="AM51" s="3">
        <v>0</v>
      </c>
      <c r="AN51" s="65">
        <f t="shared" si="6"/>
        <v>12.5</v>
      </c>
      <c r="AP51" s="76">
        <f t="shared" si="7"/>
        <v>49.987287650115505</v>
      </c>
    </row>
    <row r="52" spans="1:42" x14ac:dyDescent="0.25">
      <c r="A52" s="92" t="s">
        <v>69</v>
      </c>
      <c r="B52" s="3">
        <v>3</v>
      </c>
      <c r="C52" s="7">
        <v>100</v>
      </c>
      <c r="D52" s="7">
        <v>100</v>
      </c>
      <c r="E52" s="7">
        <v>75</v>
      </c>
      <c r="F52" s="6">
        <v>100</v>
      </c>
      <c r="G52" s="74">
        <f t="shared" si="2"/>
        <v>93.75</v>
      </c>
      <c r="H52" s="75">
        <f>G52*K值!M53</f>
        <v>98.902914122678993</v>
      </c>
      <c r="I52" s="6">
        <v>50</v>
      </c>
      <c r="J52" s="6">
        <v>80</v>
      </c>
      <c r="K52" s="6">
        <v>75</v>
      </c>
      <c r="L52" s="6">
        <v>50</v>
      </c>
      <c r="M52" s="74">
        <f t="shared" si="3"/>
        <v>63.75</v>
      </c>
      <c r="N52" s="6">
        <v>100</v>
      </c>
      <c r="O52" s="6">
        <v>35</v>
      </c>
      <c r="P52" s="6">
        <v>100</v>
      </c>
      <c r="Q52" s="6">
        <v>100</v>
      </c>
      <c r="R52" s="74">
        <f t="shared" si="4"/>
        <v>83.75</v>
      </c>
      <c r="S52" s="3">
        <v>70.471516305699481</v>
      </c>
      <c r="T52" s="3">
        <f t="shared" si="12"/>
        <v>70.471516305699481</v>
      </c>
      <c r="U52" s="3">
        <v>47.103728560410552</v>
      </c>
      <c r="V52" s="3">
        <v>34.341646734429425</v>
      </c>
      <c r="W52" s="3">
        <v>100</v>
      </c>
      <c r="X52" s="3">
        <f t="shared" si="0"/>
        <v>60.481791764946657</v>
      </c>
      <c r="Y52" s="3">
        <v>7.0143483828732398</v>
      </c>
      <c r="Z52" s="3">
        <v>0.34975123310022288</v>
      </c>
      <c r="AA52" s="3">
        <v>32.390393564328818</v>
      </c>
      <c r="AB52" s="3">
        <v>43.837496939793724</v>
      </c>
      <c r="AC52" s="3">
        <f t="shared" si="9"/>
        <v>20.897997530024</v>
      </c>
      <c r="AD52" s="3">
        <v>32.652177079975111</v>
      </c>
      <c r="AE52" s="87">
        <v>44.595278519079642</v>
      </c>
      <c r="AF52" s="3">
        <v>67.088607594936718</v>
      </c>
      <c r="AG52" s="3">
        <v>55.016784615422999</v>
      </c>
      <c r="AH52" s="3">
        <v>60.740084864590848</v>
      </c>
      <c r="AI52" s="3">
        <f t="shared" si="10"/>
        <v>52.018586534801067</v>
      </c>
      <c r="AJ52" s="65">
        <f t="shared" si="5"/>
        <v>50.967473033867797</v>
      </c>
      <c r="AK52" s="75">
        <f>AJ52*K值!M53</f>
        <v>53.768870490864899</v>
      </c>
      <c r="AL52" s="3">
        <v>75</v>
      </c>
      <c r="AM52" s="3">
        <v>50</v>
      </c>
      <c r="AN52" s="65">
        <f t="shared" si="6"/>
        <v>62.5</v>
      </c>
      <c r="AP52" s="76">
        <f t="shared" si="7"/>
        <v>68.663131020881764</v>
      </c>
    </row>
    <row r="53" spans="1:42" x14ac:dyDescent="0.25">
      <c r="A53" s="92" t="s">
        <v>70</v>
      </c>
      <c r="B53" s="3">
        <v>4</v>
      </c>
      <c r="C53" s="7">
        <v>65</v>
      </c>
      <c r="D53" s="7">
        <v>80</v>
      </c>
      <c r="E53" s="7">
        <v>100</v>
      </c>
      <c r="F53" s="6">
        <v>75</v>
      </c>
      <c r="G53" s="74">
        <f t="shared" si="2"/>
        <v>80</v>
      </c>
      <c r="H53" s="75">
        <f>G53*K值!M54</f>
        <v>84.397153384686078</v>
      </c>
      <c r="I53" s="6">
        <v>0</v>
      </c>
      <c r="J53" s="6">
        <v>60</v>
      </c>
      <c r="K53" s="6">
        <v>25</v>
      </c>
      <c r="L53" s="6">
        <v>50</v>
      </c>
      <c r="M53" s="74">
        <f t="shared" si="3"/>
        <v>33.75</v>
      </c>
      <c r="N53" s="6">
        <v>35</v>
      </c>
      <c r="O53" s="6">
        <v>0</v>
      </c>
      <c r="P53" s="6">
        <v>65</v>
      </c>
      <c r="Q53" s="6">
        <v>35</v>
      </c>
      <c r="R53" s="74">
        <f t="shared" si="4"/>
        <v>33.75</v>
      </c>
      <c r="S53" s="3">
        <v>82.628632268250925</v>
      </c>
      <c r="T53" s="3">
        <f t="shared" si="12"/>
        <v>82.628632268250925</v>
      </c>
      <c r="U53" s="3">
        <v>73.012908450094201</v>
      </c>
      <c r="V53" s="3">
        <v>63.618068434851885</v>
      </c>
      <c r="W53" s="3">
        <v>100</v>
      </c>
      <c r="X53" s="3">
        <f t="shared" si="0"/>
        <v>78.876992294982031</v>
      </c>
      <c r="Y53" s="3">
        <v>6.5301352386518259</v>
      </c>
      <c r="Z53" s="3" t="s">
        <v>335</v>
      </c>
      <c r="AA53" s="3">
        <v>5.6233322160293095</v>
      </c>
      <c r="AB53" s="3">
        <v>37.211840891339357</v>
      </c>
      <c r="AC53" s="3">
        <f t="shared" si="9"/>
        <v>16.455102782006829</v>
      </c>
      <c r="AD53" s="3">
        <v>14.618031378814573</v>
      </c>
      <c r="AE53" s="87">
        <v>0</v>
      </c>
      <c r="AF53" s="3">
        <v>50.632911392405063</v>
      </c>
      <c r="AG53" s="3">
        <v>19.648851648365355</v>
      </c>
      <c r="AH53" s="3">
        <v>13.015732470983751</v>
      </c>
      <c r="AI53" s="3">
        <f t="shared" si="10"/>
        <v>19.58310537811375</v>
      </c>
      <c r="AJ53" s="65">
        <f t="shared" si="5"/>
        <v>49.385958180838387</v>
      </c>
      <c r="AK53" s="75">
        <f>AJ53*K值!M54</f>
        <v>52.100428595473865</v>
      </c>
      <c r="AL53" s="3">
        <v>0</v>
      </c>
      <c r="AM53" s="3">
        <v>0</v>
      </c>
      <c r="AN53" s="65">
        <f t="shared" si="6"/>
        <v>0</v>
      </c>
      <c r="AP53" s="76">
        <f t="shared" si="7"/>
        <v>47.844602115126762</v>
      </c>
    </row>
    <row r="54" spans="1:42" x14ac:dyDescent="0.25">
      <c r="A54" s="92" t="s">
        <v>71</v>
      </c>
      <c r="B54" s="3">
        <v>2</v>
      </c>
      <c r="C54" s="7">
        <v>65</v>
      </c>
      <c r="D54" s="7">
        <v>100</v>
      </c>
      <c r="E54" s="7">
        <v>100</v>
      </c>
      <c r="F54" s="6">
        <v>45</v>
      </c>
      <c r="G54" s="74">
        <f t="shared" si="2"/>
        <v>77.5</v>
      </c>
      <c r="H54" s="75">
        <f>G54*K值!M55</f>
        <v>81.759742341414636</v>
      </c>
      <c r="I54" s="6">
        <v>50</v>
      </c>
      <c r="J54" s="6">
        <v>80</v>
      </c>
      <c r="K54" s="6">
        <v>0</v>
      </c>
      <c r="L54" s="6">
        <v>0</v>
      </c>
      <c r="M54" s="74">
        <f t="shared" si="3"/>
        <v>32.5</v>
      </c>
      <c r="N54" s="6">
        <v>35</v>
      </c>
      <c r="O54" s="6">
        <v>35</v>
      </c>
      <c r="P54" s="6">
        <v>65</v>
      </c>
      <c r="Q54" s="6">
        <v>35</v>
      </c>
      <c r="R54" s="74">
        <f t="shared" si="4"/>
        <v>42.5</v>
      </c>
      <c r="S54" s="3">
        <v>78.229897564541247</v>
      </c>
      <c r="T54" s="3">
        <f t="shared" si="12"/>
        <v>78.229897564541247</v>
      </c>
      <c r="U54" s="3">
        <v>66.639875868184134</v>
      </c>
      <c r="V54" s="3">
        <v>20.631577743710906</v>
      </c>
      <c r="W54" s="3">
        <v>100</v>
      </c>
      <c r="X54" s="3">
        <f t="shared" si="0"/>
        <v>62.423817870631673</v>
      </c>
      <c r="Y54" s="3">
        <v>3.8099606385826683</v>
      </c>
      <c r="Z54" s="3">
        <v>2.7911046371132904</v>
      </c>
      <c r="AA54" s="3">
        <v>13.046130741187998</v>
      </c>
      <c r="AB54" s="3">
        <v>57.225565350971685</v>
      </c>
      <c r="AC54" s="3">
        <f t="shared" si="9"/>
        <v>19.218190341963911</v>
      </c>
      <c r="AD54" s="3">
        <v>3.7364727103061344</v>
      </c>
      <c r="AE54" s="87">
        <v>0</v>
      </c>
      <c r="AF54" s="3">
        <v>65.822784810126578</v>
      </c>
      <c r="AG54" s="3">
        <v>19.648851648365355</v>
      </c>
      <c r="AH54" s="3">
        <v>58.57079611942688</v>
      </c>
      <c r="AI54" s="3">
        <f t="shared" si="10"/>
        <v>29.555781057644985</v>
      </c>
      <c r="AJ54" s="65">
        <f t="shared" si="5"/>
        <v>47.356921708695459</v>
      </c>
      <c r="AK54" s="75">
        <f>AJ54*K值!M55</f>
        <v>49.959867315941757</v>
      </c>
      <c r="AL54" s="3">
        <v>50</v>
      </c>
      <c r="AM54" s="3">
        <v>50</v>
      </c>
      <c r="AN54" s="65">
        <f t="shared" si="6"/>
        <v>50</v>
      </c>
      <c r="AP54" s="76">
        <f t="shared" si="7"/>
        <v>52.08589539465963</v>
      </c>
    </row>
    <row r="55" spans="1:42" x14ac:dyDescent="0.25">
      <c r="A55" s="92" t="s">
        <v>72</v>
      </c>
      <c r="B55" s="3">
        <v>3</v>
      </c>
      <c r="C55" s="7">
        <v>65</v>
      </c>
      <c r="D55" s="7">
        <v>80</v>
      </c>
      <c r="E55" s="7">
        <v>75</v>
      </c>
      <c r="F55" s="6">
        <v>45</v>
      </c>
      <c r="G55" s="74">
        <f t="shared" si="2"/>
        <v>66.25</v>
      </c>
      <c r="H55" s="75">
        <f>G55*K值!M56</f>
        <v>69.891392646693149</v>
      </c>
      <c r="I55" s="6">
        <v>0</v>
      </c>
      <c r="J55" s="6">
        <v>40</v>
      </c>
      <c r="K55" s="6">
        <v>25</v>
      </c>
      <c r="L55" s="6">
        <v>25</v>
      </c>
      <c r="M55" s="74">
        <f t="shared" si="3"/>
        <v>22.5</v>
      </c>
      <c r="N55" s="6">
        <v>65</v>
      </c>
      <c r="O55" s="6">
        <v>35</v>
      </c>
      <c r="P55" s="6">
        <v>65</v>
      </c>
      <c r="Q55" s="6">
        <v>0</v>
      </c>
      <c r="R55" s="74">
        <f t="shared" si="4"/>
        <v>41.25</v>
      </c>
      <c r="S55" s="3">
        <v>99.192658163642008</v>
      </c>
      <c r="T55" s="3">
        <f t="shared" si="12"/>
        <v>99.192658163642008</v>
      </c>
      <c r="U55" s="3">
        <v>100</v>
      </c>
      <c r="V55" s="3">
        <v>87.611457497963158</v>
      </c>
      <c r="W55" s="3">
        <v>50.655704681727379</v>
      </c>
      <c r="X55" s="3">
        <f t="shared" si="0"/>
        <v>79.422387393230181</v>
      </c>
      <c r="Y55" s="3">
        <v>12.381146219332352</v>
      </c>
      <c r="Z55" s="3" t="s">
        <v>335</v>
      </c>
      <c r="AA55" s="3">
        <v>14.095819421513466</v>
      </c>
      <c r="AB55" s="3">
        <v>74.515229733719238</v>
      </c>
      <c r="AC55" s="3">
        <f t="shared" si="9"/>
        <v>33.664065124855021</v>
      </c>
      <c r="AD55" s="3">
        <v>2.1084270099310065</v>
      </c>
      <c r="AE55" s="87">
        <v>0</v>
      </c>
      <c r="AF55" s="3">
        <v>47.257383966244724</v>
      </c>
      <c r="AG55" s="3">
        <v>3.9297703296730706</v>
      </c>
      <c r="AH55" s="3">
        <v>15.185021216147712</v>
      </c>
      <c r="AI55" s="3">
        <f t="shared" si="10"/>
        <v>13.696120504399303</v>
      </c>
      <c r="AJ55" s="65">
        <f t="shared" si="5"/>
        <v>56.493807796531627</v>
      </c>
      <c r="AK55" s="75">
        <f>AJ55*K值!M56</f>
        <v>59.598957023610673</v>
      </c>
      <c r="AL55" s="3">
        <v>25</v>
      </c>
      <c r="AM55" s="3">
        <v>0</v>
      </c>
      <c r="AN55" s="65">
        <f t="shared" si="6"/>
        <v>12.5</v>
      </c>
      <c r="AP55" s="76">
        <f t="shared" si="7"/>
        <v>47.692861338782905</v>
      </c>
    </row>
    <row r="56" spans="1:42" x14ac:dyDescent="0.25">
      <c r="A56" s="92" t="s">
        <v>73</v>
      </c>
      <c r="B56" s="3">
        <v>2</v>
      </c>
      <c r="C56" s="7">
        <v>65</v>
      </c>
      <c r="D56" s="7">
        <v>80</v>
      </c>
      <c r="E56" s="7">
        <v>100</v>
      </c>
      <c r="F56" s="6">
        <v>100</v>
      </c>
      <c r="G56" s="74">
        <f t="shared" si="2"/>
        <v>86.25</v>
      </c>
      <c r="H56" s="75">
        <f>G56*K值!M57</f>
        <v>90.990680992864668</v>
      </c>
      <c r="I56" s="6">
        <v>50</v>
      </c>
      <c r="J56" s="6">
        <v>60</v>
      </c>
      <c r="K56" s="6">
        <v>25</v>
      </c>
      <c r="L56" s="6">
        <v>0</v>
      </c>
      <c r="M56" s="74">
        <f t="shared" si="3"/>
        <v>33.75</v>
      </c>
      <c r="N56" s="6">
        <v>100</v>
      </c>
      <c r="O56" s="6">
        <v>35</v>
      </c>
      <c r="P56" s="6">
        <v>100</v>
      </c>
      <c r="Q56" s="6">
        <v>35</v>
      </c>
      <c r="R56" s="74">
        <f t="shared" si="4"/>
        <v>67.5</v>
      </c>
      <c r="S56" s="3">
        <v>61.179383018226318</v>
      </c>
      <c r="T56" s="3">
        <f t="shared" si="12"/>
        <v>61.179383018226318</v>
      </c>
      <c r="U56" s="3">
        <v>64.30639687195449</v>
      </c>
      <c r="V56" s="3">
        <v>75.047735903240621</v>
      </c>
      <c r="W56" s="3">
        <v>100</v>
      </c>
      <c r="X56" s="3">
        <f t="shared" si="0"/>
        <v>79.784710925065042</v>
      </c>
      <c r="Y56" s="3">
        <v>14.158637508246402</v>
      </c>
      <c r="Z56" s="3">
        <v>2.137791761165281</v>
      </c>
      <c r="AA56" s="3">
        <v>30.440971729438658</v>
      </c>
      <c r="AB56" s="3">
        <v>33.028830525178904</v>
      </c>
      <c r="AC56" s="3">
        <f t="shared" si="9"/>
        <v>19.941557881007313</v>
      </c>
      <c r="AD56" s="3">
        <v>8.8668950891999199</v>
      </c>
      <c r="AE56" s="87">
        <v>0</v>
      </c>
      <c r="AF56" s="3">
        <v>2.109704641350211</v>
      </c>
      <c r="AG56" s="3">
        <v>3.9297703296730706</v>
      </c>
      <c r="AH56" s="3">
        <v>21.692887451639585</v>
      </c>
      <c r="AI56" s="3">
        <f t="shared" si="10"/>
        <v>7.3198515023725577</v>
      </c>
      <c r="AJ56" s="65">
        <f t="shared" si="5"/>
        <v>42.056375831667808</v>
      </c>
      <c r="AK56" s="75">
        <f>AJ56*K值!M57</f>
        <v>44.367980023365902</v>
      </c>
      <c r="AL56" s="3">
        <v>75</v>
      </c>
      <c r="AM56" s="3">
        <v>0</v>
      </c>
      <c r="AN56" s="65">
        <f t="shared" si="6"/>
        <v>37.5</v>
      </c>
      <c r="AP56" s="76">
        <f t="shared" si="7"/>
        <v>53.195328207919296</v>
      </c>
    </row>
    <row r="57" spans="1:42" x14ac:dyDescent="0.25">
      <c r="A57" s="92" t="s">
        <v>74</v>
      </c>
      <c r="B57" s="3">
        <v>2</v>
      </c>
      <c r="C57" s="7">
        <v>35</v>
      </c>
      <c r="D57" s="7">
        <v>0</v>
      </c>
      <c r="E57" s="7">
        <v>15</v>
      </c>
      <c r="F57" s="6">
        <v>0</v>
      </c>
      <c r="G57" s="74">
        <f t="shared" si="2"/>
        <v>12.5</v>
      </c>
      <c r="H57" s="75">
        <f>G57*K值!M58</f>
        <v>13.1870552163572</v>
      </c>
      <c r="I57" s="6">
        <v>0</v>
      </c>
      <c r="J57" s="6">
        <v>40</v>
      </c>
      <c r="K57" s="6">
        <v>0</v>
      </c>
      <c r="L57" s="6">
        <v>0</v>
      </c>
      <c r="M57" s="74">
        <f t="shared" si="3"/>
        <v>10</v>
      </c>
      <c r="N57" s="6">
        <v>0</v>
      </c>
      <c r="O57" s="6">
        <v>35</v>
      </c>
      <c r="P57" s="6">
        <v>35</v>
      </c>
      <c r="Q57" s="6">
        <v>35</v>
      </c>
      <c r="R57" s="74">
        <f t="shared" si="4"/>
        <v>26.25</v>
      </c>
      <c r="S57" s="3">
        <v>75.922617055693863</v>
      </c>
      <c r="T57" s="3">
        <f t="shared" si="12"/>
        <v>75.922617055693863</v>
      </c>
      <c r="U57" s="3">
        <v>67.447027495591044</v>
      </c>
      <c r="V57" s="3">
        <v>53.749646213556844</v>
      </c>
      <c r="W57" s="3">
        <v>87.141211177653545</v>
      </c>
      <c r="X57" s="3">
        <f t="shared" si="0"/>
        <v>69.445961628933802</v>
      </c>
      <c r="Y57" s="3">
        <v>9.2368254220464632</v>
      </c>
      <c r="Z57" s="3" t="s">
        <v>335</v>
      </c>
      <c r="AA57" s="3">
        <v>8.6224427312449414</v>
      </c>
      <c r="AB57" s="3">
        <v>31.10847197325003</v>
      </c>
      <c r="AC57" s="3">
        <f t="shared" si="9"/>
        <v>16.322580042180476</v>
      </c>
      <c r="AD57" s="3">
        <v>5.1391736324185509</v>
      </c>
      <c r="AE57" s="87">
        <v>29.730185679386427</v>
      </c>
      <c r="AF57" s="3">
        <v>66.666666666666657</v>
      </c>
      <c r="AG57" s="3">
        <v>11.789310989019212</v>
      </c>
      <c r="AH57" s="3">
        <v>60.740084864590848</v>
      </c>
      <c r="AI57" s="3">
        <f t="shared" si="10"/>
        <v>34.813084366416334</v>
      </c>
      <c r="AJ57" s="65">
        <f t="shared" si="5"/>
        <v>49.126060773306122</v>
      </c>
      <c r="AK57" s="75">
        <f>AJ57*K值!M58</f>
        <v>51.826246078376585</v>
      </c>
      <c r="AL57" s="3">
        <v>0</v>
      </c>
      <c r="AM57" s="3">
        <v>0</v>
      </c>
      <c r="AN57" s="65">
        <f t="shared" si="6"/>
        <v>0</v>
      </c>
      <c r="AP57" s="76">
        <f t="shared" si="7"/>
        <v>27.992909474622074</v>
      </c>
    </row>
    <row r="58" spans="1:42" x14ac:dyDescent="0.25">
      <c r="A58" s="92" t="s">
        <v>75</v>
      </c>
      <c r="B58" s="3">
        <v>2</v>
      </c>
      <c r="C58" s="7">
        <v>65</v>
      </c>
      <c r="D58" s="7">
        <v>100</v>
      </c>
      <c r="E58" s="7">
        <v>60</v>
      </c>
      <c r="F58" s="6">
        <v>45</v>
      </c>
      <c r="G58" s="74">
        <f t="shared" si="2"/>
        <v>67.5</v>
      </c>
      <c r="H58" s="75">
        <f>G58*K值!M59</f>
        <v>71.210098168328869</v>
      </c>
      <c r="I58" s="6">
        <v>50</v>
      </c>
      <c r="J58" s="6">
        <v>40</v>
      </c>
      <c r="K58" s="6">
        <v>25</v>
      </c>
      <c r="L58" s="6">
        <v>25</v>
      </c>
      <c r="M58" s="74">
        <f t="shared" si="3"/>
        <v>35</v>
      </c>
      <c r="N58" s="6">
        <v>35</v>
      </c>
      <c r="O58" s="6">
        <v>65</v>
      </c>
      <c r="P58" s="6">
        <v>65</v>
      </c>
      <c r="Q58" s="6">
        <v>35</v>
      </c>
      <c r="R58" s="74">
        <f t="shared" si="4"/>
        <v>50</v>
      </c>
      <c r="S58" s="3">
        <v>69.772872676750168</v>
      </c>
      <c r="T58" s="3">
        <f t="shared" si="12"/>
        <v>69.772872676750168</v>
      </c>
      <c r="U58" s="3">
        <v>57.28986640617871</v>
      </c>
      <c r="V58" s="3">
        <v>41.324223902533532</v>
      </c>
      <c r="W58" s="3">
        <v>100</v>
      </c>
      <c r="X58" s="3">
        <f t="shared" si="0"/>
        <v>66.204696769570745</v>
      </c>
      <c r="Y58" s="3">
        <v>6.1905731096661762</v>
      </c>
      <c r="Z58" s="3">
        <v>1.7937634531136091</v>
      </c>
      <c r="AA58" s="3">
        <v>26.917016874060295</v>
      </c>
      <c r="AB58" s="3">
        <v>24.644107908868218</v>
      </c>
      <c r="AC58" s="3">
        <f t="shared" si="9"/>
        <v>14.886365336427076</v>
      </c>
      <c r="AD58" s="3">
        <v>32.391514742844599</v>
      </c>
      <c r="AE58" s="87">
        <v>0</v>
      </c>
      <c r="AF58" s="3">
        <v>60.337552742616026</v>
      </c>
      <c r="AG58" s="3">
        <v>58.946554945096061</v>
      </c>
      <c r="AH58" s="3">
        <v>58.57079611942688</v>
      </c>
      <c r="AI58" s="3">
        <f t="shared" si="10"/>
        <v>42.049283709996715</v>
      </c>
      <c r="AJ58" s="65">
        <f t="shared" si="5"/>
        <v>48.228304623186176</v>
      </c>
      <c r="AK58" s="75">
        <f>AJ58*K值!M59</f>
        <v>50.879145284580105</v>
      </c>
      <c r="AL58" s="3">
        <v>0</v>
      </c>
      <c r="AM58" s="3">
        <v>0</v>
      </c>
      <c r="AN58" s="65">
        <f t="shared" si="6"/>
        <v>0</v>
      </c>
      <c r="AP58" s="76">
        <f t="shared" si="7"/>
        <v>46.593677747497821</v>
      </c>
    </row>
    <row r="59" spans="1:42" x14ac:dyDescent="0.25">
      <c r="A59" s="92" t="s">
        <v>76</v>
      </c>
      <c r="B59" s="3">
        <v>2</v>
      </c>
      <c r="C59" s="7">
        <v>65</v>
      </c>
      <c r="D59" s="7">
        <v>100</v>
      </c>
      <c r="E59" s="7">
        <v>75</v>
      </c>
      <c r="F59" s="6">
        <v>75</v>
      </c>
      <c r="G59" s="74">
        <f t="shared" si="2"/>
        <v>78.75</v>
      </c>
      <c r="H59" s="75">
        <f>G59*K值!M60</f>
        <v>83.078447863050357</v>
      </c>
      <c r="I59" s="6">
        <v>0</v>
      </c>
      <c r="J59" s="6">
        <v>40</v>
      </c>
      <c r="K59" s="6">
        <v>25</v>
      </c>
      <c r="L59" s="6">
        <v>25</v>
      </c>
      <c r="M59" s="74">
        <f t="shared" si="3"/>
        <v>22.5</v>
      </c>
      <c r="N59" s="6">
        <v>35</v>
      </c>
      <c r="O59" s="6">
        <v>35</v>
      </c>
      <c r="P59" s="6">
        <v>35</v>
      </c>
      <c r="Q59" s="6">
        <v>65</v>
      </c>
      <c r="R59" s="74">
        <f t="shared" si="4"/>
        <v>42.5</v>
      </c>
      <c r="S59" s="3">
        <v>57.104345987520489</v>
      </c>
      <c r="T59" s="3">
        <f t="shared" si="12"/>
        <v>57.104345987520489</v>
      </c>
      <c r="U59" s="3">
        <v>26.566544973535272</v>
      </c>
      <c r="V59" s="3">
        <v>79.814451214741268</v>
      </c>
      <c r="W59" s="3">
        <v>15.285323503728263</v>
      </c>
      <c r="X59" s="3">
        <f t="shared" si="0"/>
        <v>40.555439897334935</v>
      </c>
      <c r="Y59" s="3">
        <v>37.957407082713559</v>
      </c>
      <c r="Z59" s="3" t="s">
        <v>335</v>
      </c>
      <c r="AA59" s="3">
        <v>22.643284389878019</v>
      </c>
      <c r="AB59" s="3">
        <v>27.618154074962675</v>
      </c>
      <c r="AC59" s="3">
        <f t="shared" si="9"/>
        <v>29.406281849184751</v>
      </c>
      <c r="AD59" s="3">
        <v>6.358723320048373</v>
      </c>
      <c r="AE59" s="87">
        <v>14.865092839693213</v>
      </c>
      <c r="AF59" s="3">
        <v>54.008438818565395</v>
      </c>
      <c r="AG59" s="3">
        <v>23.578621978038424</v>
      </c>
      <c r="AH59" s="3">
        <v>6.5078662354918757</v>
      </c>
      <c r="AI59" s="3">
        <f t="shared" si="10"/>
        <v>21.063748638367457</v>
      </c>
      <c r="AJ59" s="65">
        <f t="shared" si="5"/>
        <v>37.032454093101904</v>
      </c>
      <c r="AK59" s="75">
        <f>AJ59*K值!M60</f>
        <v>39.067921353835835</v>
      </c>
      <c r="AL59" s="3">
        <v>25</v>
      </c>
      <c r="AM59" s="3">
        <v>0</v>
      </c>
      <c r="AN59" s="65">
        <f t="shared" si="6"/>
        <v>12.5</v>
      </c>
      <c r="AP59" s="76">
        <f t="shared" si="7"/>
        <v>42.242858114144411</v>
      </c>
    </row>
    <row r="60" spans="1:42" x14ac:dyDescent="0.25">
      <c r="A60" s="92" t="s">
        <v>77</v>
      </c>
      <c r="B60" s="3">
        <v>3</v>
      </c>
      <c r="C60" s="7">
        <v>35</v>
      </c>
      <c r="D60" s="7">
        <v>100</v>
      </c>
      <c r="E60" s="7">
        <v>100</v>
      </c>
      <c r="F60" s="6">
        <v>60</v>
      </c>
      <c r="G60" s="74">
        <f t="shared" si="2"/>
        <v>73.75</v>
      </c>
      <c r="H60" s="75">
        <f>G60*K值!M61</f>
        <v>77.803625776507474</v>
      </c>
      <c r="I60" s="6">
        <v>0</v>
      </c>
      <c r="J60" s="6">
        <v>60</v>
      </c>
      <c r="K60" s="6">
        <v>0</v>
      </c>
      <c r="L60" s="6">
        <v>0</v>
      </c>
      <c r="M60" s="74">
        <f t="shared" si="3"/>
        <v>15</v>
      </c>
      <c r="N60" s="6">
        <v>0</v>
      </c>
      <c r="O60" s="6">
        <v>0</v>
      </c>
      <c r="P60" s="6">
        <v>35</v>
      </c>
      <c r="Q60" s="6">
        <v>0</v>
      </c>
      <c r="R60" s="74">
        <f t="shared" si="4"/>
        <v>8.75</v>
      </c>
      <c r="S60" s="3">
        <v>82.57818583437907</v>
      </c>
      <c r="T60" s="3">
        <f t="shared" si="12"/>
        <v>82.57818583437907</v>
      </c>
      <c r="U60" s="3">
        <v>73.444626287531605</v>
      </c>
      <c r="V60" s="3">
        <v>54.539488789350308</v>
      </c>
      <c r="W60" s="3">
        <v>84.109464219539305</v>
      </c>
      <c r="X60" s="3">
        <f t="shared" si="0"/>
        <v>70.697859765473751</v>
      </c>
      <c r="Y60" s="3">
        <v>6.7618220342413116</v>
      </c>
      <c r="Z60" s="3">
        <v>0.94852586641191516</v>
      </c>
      <c r="AA60" s="3">
        <v>7.0479097107567332</v>
      </c>
      <c r="AB60" s="3">
        <v>63.846750276587926</v>
      </c>
      <c r="AC60" s="3">
        <f t="shared" si="9"/>
        <v>19.651251971999471</v>
      </c>
      <c r="AD60" s="3">
        <v>3.5998906463660441</v>
      </c>
      <c r="AE60" s="87">
        <v>0</v>
      </c>
      <c r="AF60" s="3">
        <v>45.147679324894511</v>
      </c>
      <c r="AG60" s="3">
        <v>0</v>
      </c>
      <c r="AH60" s="3">
        <v>13.015732470983751</v>
      </c>
      <c r="AI60" s="3">
        <f t="shared" si="10"/>
        <v>12.35266048844886</v>
      </c>
      <c r="AJ60" s="65">
        <f t="shared" si="5"/>
        <v>46.319989515075285</v>
      </c>
      <c r="AK60" s="75">
        <f>AJ60*K值!M61</f>
        <v>48.865940748510745</v>
      </c>
      <c r="AL60" s="3">
        <v>25</v>
      </c>
      <c r="AM60" s="3">
        <v>0</v>
      </c>
      <c r="AN60" s="65">
        <f t="shared" si="6"/>
        <v>12.5</v>
      </c>
      <c r="AP60" s="76">
        <f t="shared" si="7"/>
        <v>40.232101454705798</v>
      </c>
    </row>
    <row r="61" spans="1:42" x14ac:dyDescent="0.25">
      <c r="A61" s="92" t="s">
        <v>78</v>
      </c>
      <c r="B61" s="3">
        <v>2</v>
      </c>
      <c r="C61" s="7">
        <v>65</v>
      </c>
      <c r="D61" s="7">
        <v>100</v>
      </c>
      <c r="E61" s="7">
        <v>75</v>
      </c>
      <c r="F61" s="6">
        <v>60</v>
      </c>
      <c r="G61" s="74">
        <f t="shared" si="2"/>
        <v>75</v>
      </c>
      <c r="H61" s="75">
        <f>G61*K值!M62</f>
        <v>79.122331298143195</v>
      </c>
      <c r="I61" s="6">
        <v>25</v>
      </c>
      <c r="J61" s="6">
        <v>60</v>
      </c>
      <c r="K61" s="6">
        <v>25</v>
      </c>
      <c r="L61" s="6">
        <v>50</v>
      </c>
      <c r="M61" s="74">
        <f t="shared" si="3"/>
        <v>40</v>
      </c>
      <c r="N61" s="6">
        <v>100</v>
      </c>
      <c r="O61" s="6">
        <v>35</v>
      </c>
      <c r="P61" s="6">
        <v>100</v>
      </c>
      <c r="Q61" s="6">
        <v>35</v>
      </c>
      <c r="R61" s="74">
        <f t="shared" si="4"/>
        <v>67.5</v>
      </c>
      <c r="S61" s="3">
        <v>83.03403233760119</v>
      </c>
      <c r="T61" s="3">
        <f t="shared" si="12"/>
        <v>83.03403233760119</v>
      </c>
      <c r="U61" s="3">
        <v>72.970735563530553</v>
      </c>
      <c r="V61" s="3">
        <v>59.570509398587305</v>
      </c>
      <c r="W61" s="3">
        <v>98.187921358368541</v>
      </c>
      <c r="X61" s="3">
        <f t="shared" si="0"/>
        <v>76.909722106828795</v>
      </c>
      <c r="Y61" s="3">
        <v>4.241461972167321</v>
      </c>
      <c r="Z61" s="3">
        <v>2.5594313468082008</v>
      </c>
      <c r="AA61" s="3">
        <v>8.4724872054841605</v>
      </c>
      <c r="AB61" s="3">
        <v>14.156503213352373</v>
      </c>
      <c r="AC61" s="3">
        <f t="shared" si="9"/>
        <v>7.3574709344530138</v>
      </c>
      <c r="AD61" s="3">
        <v>3.7302218149313018</v>
      </c>
      <c r="AE61" s="87">
        <v>0</v>
      </c>
      <c r="AF61" s="3">
        <v>28.691983122362867</v>
      </c>
      <c r="AG61" s="3">
        <v>3.9297703296730706</v>
      </c>
      <c r="AH61" s="3">
        <v>10.846443725819793</v>
      </c>
      <c r="AI61" s="3">
        <f t="shared" si="10"/>
        <v>9.4396837985574056</v>
      </c>
      <c r="AJ61" s="65">
        <f t="shared" si="5"/>
        <v>44.185227294360104</v>
      </c>
      <c r="AK61" s="75">
        <f>AJ61*K值!M62</f>
        <v>46.613842566241594</v>
      </c>
      <c r="AL61" s="3">
        <v>50</v>
      </c>
      <c r="AM61" s="3">
        <v>50</v>
      </c>
      <c r="AN61" s="65">
        <f t="shared" si="6"/>
        <v>50</v>
      </c>
      <c r="AP61" s="76">
        <f t="shared" si="7"/>
        <v>54.220003286125277</v>
      </c>
    </row>
    <row r="62" spans="1:42" x14ac:dyDescent="0.25">
      <c r="A62" s="92" t="s">
        <v>79</v>
      </c>
      <c r="B62" s="3">
        <v>2</v>
      </c>
      <c r="C62" s="7">
        <v>100</v>
      </c>
      <c r="D62" s="7">
        <v>100</v>
      </c>
      <c r="E62" s="7">
        <v>75</v>
      </c>
      <c r="F62" s="6">
        <v>100</v>
      </c>
      <c r="G62" s="74">
        <f t="shared" si="2"/>
        <v>93.75</v>
      </c>
      <c r="H62" s="75">
        <f>G62*K值!M63</f>
        <v>98.902914122678993</v>
      </c>
      <c r="I62" s="6">
        <v>50</v>
      </c>
      <c r="J62" s="6">
        <v>40</v>
      </c>
      <c r="K62" s="6">
        <v>50</v>
      </c>
      <c r="L62" s="6">
        <v>50</v>
      </c>
      <c r="M62" s="74">
        <f t="shared" si="3"/>
        <v>47.5</v>
      </c>
      <c r="N62" s="6">
        <v>65</v>
      </c>
      <c r="O62" s="6">
        <v>65</v>
      </c>
      <c r="P62" s="6">
        <v>100</v>
      </c>
      <c r="Q62" s="6">
        <v>35</v>
      </c>
      <c r="R62" s="74">
        <f t="shared" si="4"/>
        <v>66.25</v>
      </c>
      <c r="S62" s="3">
        <v>46.316559573769382</v>
      </c>
      <c r="T62" s="3">
        <f t="shared" si="12"/>
        <v>46.316559573769382</v>
      </c>
      <c r="U62" s="3">
        <v>32.469511392500003</v>
      </c>
      <c r="V62" s="3">
        <v>47.172746944303853</v>
      </c>
      <c r="W62" s="3">
        <v>93.030466762955839</v>
      </c>
      <c r="X62" s="3">
        <f t="shared" si="0"/>
        <v>57.557575033253237</v>
      </c>
      <c r="Y62" s="3">
        <v>26.377970727484513</v>
      </c>
      <c r="Z62" s="3">
        <v>18.857364437544522</v>
      </c>
      <c r="AA62" s="3">
        <v>22.118440049715282</v>
      </c>
      <c r="AB62" s="3">
        <v>23.378989706466736</v>
      </c>
      <c r="AC62" s="3">
        <f t="shared" si="9"/>
        <v>22.683191230302764</v>
      </c>
      <c r="AD62" s="3">
        <v>20.060373436912503</v>
      </c>
      <c r="AE62" s="87">
        <v>0</v>
      </c>
      <c r="AF62" s="3">
        <v>74.683544303797461</v>
      </c>
      <c r="AG62" s="3">
        <v>39.29770329673071</v>
      </c>
      <c r="AH62" s="3">
        <v>41.216486158115217</v>
      </c>
      <c r="AI62" s="3">
        <f t="shared" si="10"/>
        <v>35.05162143911118</v>
      </c>
      <c r="AJ62" s="65">
        <f t="shared" si="5"/>
        <v>40.402236819109142</v>
      </c>
      <c r="AK62" s="75">
        <f>AJ62*K值!M63</f>
        <v>42.622922223834571</v>
      </c>
      <c r="AL62" s="3">
        <v>50</v>
      </c>
      <c r="AM62" s="3">
        <v>0</v>
      </c>
      <c r="AN62" s="65">
        <f t="shared" si="6"/>
        <v>25</v>
      </c>
      <c r="AP62" s="76">
        <f t="shared" si="7"/>
        <v>55.45475171406963</v>
      </c>
    </row>
    <row r="63" spans="1:42" x14ac:dyDescent="0.25">
      <c r="A63" s="92" t="s">
        <v>80</v>
      </c>
      <c r="B63" s="3">
        <v>2</v>
      </c>
      <c r="C63" s="7">
        <v>35</v>
      </c>
      <c r="D63" s="7">
        <v>60</v>
      </c>
      <c r="E63" s="7">
        <v>15</v>
      </c>
      <c r="F63" s="6">
        <v>30</v>
      </c>
      <c r="G63" s="74">
        <f t="shared" si="2"/>
        <v>35</v>
      </c>
      <c r="H63" s="75">
        <f>G63*K值!M64</f>
        <v>36.923754605800156</v>
      </c>
      <c r="I63" s="6">
        <v>0</v>
      </c>
      <c r="J63" s="6">
        <v>40</v>
      </c>
      <c r="K63" s="6">
        <v>25</v>
      </c>
      <c r="L63" s="6">
        <v>25</v>
      </c>
      <c r="M63" s="74">
        <f t="shared" si="3"/>
        <v>22.5</v>
      </c>
      <c r="N63" s="6">
        <v>100</v>
      </c>
      <c r="O63" s="6">
        <v>35</v>
      </c>
      <c r="P63" s="6">
        <v>100</v>
      </c>
      <c r="Q63" s="6">
        <v>35</v>
      </c>
      <c r="R63" s="74">
        <f t="shared" si="4"/>
        <v>67.5</v>
      </c>
      <c r="S63" s="3">
        <v>71.626265448897954</v>
      </c>
      <c r="T63" s="3">
        <f t="shared" si="12"/>
        <v>71.626265448897954</v>
      </c>
      <c r="U63" s="3">
        <v>62.74676130214656</v>
      </c>
      <c r="V63" s="3">
        <v>71.163062689999592</v>
      </c>
      <c r="W63" s="3">
        <v>98.118226025998055</v>
      </c>
      <c r="X63" s="3">
        <f t="shared" si="0"/>
        <v>77.342683339381395</v>
      </c>
      <c r="Y63" s="3">
        <v>5.2981498970251906</v>
      </c>
      <c r="Z63" s="3">
        <v>1.8118969291863303</v>
      </c>
      <c r="AA63" s="3">
        <v>9.7471091744508023</v>
      </c>
      <c r="AB63" s="3">
        <v>52.201408875999519</v>
      </c>
      <c r="AC63" s="3">
        <f t="shared" si="9"/>
        <v>17.264641219165462</v>
      </c>
      <c r="AD63" s="3">
        <v>13.25033547080122</v>
      </c>
      <c r="AE63" s="87">
        <v>0</v>
      </c>
      <c r="AF63" s="3">
        <v>32.489451476793249</v>
      </c>
      <c r="AG63" s="3">
        <v>7.8595406593461412</v>
      </c>
      <c r="AH63" s="3">
        <v>13.015732470983751</v>
      </c>
      <c r="AI63" s="3">
        <f t="shared" si="10"/>
        <v>13.323012015584871</v>
      </c>
      <c r="AJ63" s="65">
        <f t="shared" si="5"/>
        <v>44.889150505757428</v>
      </c>
      <c r="AK63" s="75">
        <f>AJ63*K值!M64</f>
        <v>47.356456506783353</v>
      </c>
      <c r="AL63" s="3">
        <v>50</v>
      </c>
      <c r="AM63" s="3">
        <v>0</v>
      </c>
      <c r="AN63" s="65">
        <f t="shared" si="6"/>
        <v>25</v>
      </c>
      <c r="AP63" s="76">
        <f t="shared" si="7"/>
        <v>40.077333523873371</v>
      </c>
    </row>
    <row r="64" spans="1:42" x14ac:dyDescent="0.25">
      <c r="A64" s="92" t="s">
        <v>81</v>
      </c>
      <c r="B64" s="3">
        <v>3</v>
      </c>
      <c r="C64" s="7">
        <v>100</v>
      </c>
      <c r="D64" s="7">
        <v>100</v>
      </c>
      <c r="E64" s="7">
        <v>100</v>
      </c>
      <c r="F64" s="6">
        <v>60</v>
      </c>
      <c r="G64" s="74">
        <f t="shared" si="2"/>
        <v>90</v>
      </c>
      <c r="H64" s="75">
        <f>G64*K值!M65</f>
        <v>94.946797557771831</v>
      </c>
      <c r="I64" s="6">
        <v>0</v>
      </c>
      <c r="J64" s="6">
        <v>40</v>
      </c>
      <c r="K64" s="6">
        <v>25</v>
      </c>
      <c r="L64" s="6">
        <v>50</v>
      </c>
      <c r="M64" s="74">
        <f t="shared" si="3"/>
        <v>28.75</v>
      </c>
      <c r="N64" s="6">
        <v>35</v>
      </c>
      <c r="O64" s="6">
        <v>35</v>
      </c>
      <c r="P64" s="6">
        <v>65</v>
      </c>
      <c r="Q64" s="6">
        <v>35</v>
      </c>
      <c r="R64" s="74">
        <f t="shared" si="4"/>
        <v>42.5</v>
      </c>
      <c r="S64" s="3">
        <v>75.836272692461051</v>
      </c>
      <c r="T64" s="3">
        <f t="shared" si="12"/>
        <v>75.836272692461051</v>
      </c>
      <c r="U64" s="3">
        <v>64.107955048105254</v>
      </c>
      <c r="V64" s="3">
        <v>73.557176956704311</v>
      </c>
      <c r="W64" s="3">
        <v>100</v>
      </c>
      <c r="X64" s="3">
        <f t="shared" si="0"/>
        <v>79.22171066826985</v>
      </c>
      <c r="Y64" s="3">
        <v>3.0180576229699256</v>
      </c>
      <c r="Z64" s="3">
        <v>1.9047403266786642</v>
      </c>
      <c r="AA64" s="3">
        <v>6.5230653705939989</v>
      </c>
      <c r="AB64" s="3">
        <v>47.233218047955035</v>
      </c>
      <c r="AC64" s="3">
        <f t="shared" si="9"/>
        <v>14.669770342049405</v>
      </c>
      <c r="AD64" s="3">
        <v>4.4200081195440699</v>
      </c>
      <c r="AE64" s="87">
        <v>0</v>
      </c>
      <c r="AF64" s="3">
        <v>67.088607594936718</v>
      </c>
      <c r="AG64" s="3">
        <v>15.719081318692282</v>
      </c>
      <c r="AH64" s="3">
        <v>23.862176196803546</v>
      </c>
      <c r="AI64" s="3">
        <f t="shared" si="10"/>
        <v>22.217974645995319</v>
      </c>
      <c r="AJ64" s="65">
        <f t="shared" si="5"/>
        <v>47.986432087193911</v>
      </c>
      <c r="AK64" s="75">
        <f>AJ64*K值!M65</f>
        <v>50.623978365584072</v>
      </c>
      <c r="AL64" s="3">
        <v>25</v>
      </c>
      <c r="AM64" s="3">
        <v>0</v>
      </c>
      <c r="AN64" s="65">
        <f t="shared" si="6"/>
        <v>12.5</v>
      </c>
      <c r="AP64" s="76">
        <f t="shared" si="7"/>
        <v>50.488950857787998</v>
      </c>
    </row>
    <row r="65" spans="1:42" x14ac:dyDescent="0.25">
      <c r="A65" s="92" t="s">
        <v>82</v>
      </c>
      <c r="B65" s="3">
        <v>3</v>
      </c>
      <c r="C65" s="7">
        <v>65</v>
      </c>
      <c r="D65" s="7">
        <v>100</v>
      </c>
      <c r="E65" s="7">
        <v>75</v>
      </c>
      <c r="F65" s="6">
        <v>75</v>
      </c>
      <c r="G65" s="74">
        <f t="shared" si="2"/>
        <v>78.75</v>
      </c>
      <c r="H65" s="75">
        <f>G65*K值!M66</f>
        <v>83.078447863050357</v>
      </c>
      <c r="I65" s="6">
        <v>0</v>
      </c>
      <c r="J65" s="6">
        <v>40</v>
      </c>
      <c r="K65" s="6">
        <v>0</v>
      </c>
      <c r="L65" s="6">
        <v>0</v>
      </c>
      <c r="M65" s="74">
        <f t="shared" si="3"/>
        <v>10</v>
      </c>
      <c r="N65" s="6">
        <v>35</v>
      </c>
      <c r="O65" s="6">
        <v>35</v>
      </c>
      <c r="P65" s="6">
        <v>65</v>
      </c>
      <c r="Q65" s="6">
        <v>0</v>
      </c>
      <c r="R65" s="74">
        <f t="shared" si="4"/>
        <v>33.75</v>
      </c>
      <c r="S65" s="3">
        <v>82.003870037006692</v>
      </c>
      <c r="T65" s="3">
        <f t="shared" si="12"/>
        <v>82.003870037006692</v>
      </c>
      <c r="U65" s="3">
        <v>76.155799641697982</v>
      </c>
      <c r="V65" s="3">
        <v>61.933890491136623</v>
      </c>
      <c r="W65" s="3">
        <v>100</v>
      </c>
      <c r="X65" s="3">
        <f t="shared" si="0"/>
        <v>79.363230044278211</v>
      </c>
      <c r="Y65" s="3">
        <v>2.8672773274275616</v>
      </c>
      <c r="Z65" s="3">
        <v>1.0191013552869472</v>
      </c>
      <c r="AA65" s="3">
        <v>11.021731143417446</v>
      </c>
      <c r="AB65" s="3">
        <v>45.571140343289244</v>
      </c>
      <c r="AC65" s="3">
        <f t="shared" si="9"/>
        <v>15.1198125423553</v>
      </c>
      <c r="AD65" s="3">
        <v>4.3178059801655584</v>
      </c>
      <c r="AE65" s="87">
        <v>14.865092839693213</v>
      </c>
      <c r="AF65" s="3">
        <v>76.793248945147667</v>
      </c>
      <c r="AG65" s="3">
        <v>39.29770329673071</v>
      </c>
      <c r="AH65" s="3">
        <v>17.354309961311671</v>
      </c>
      <c r="AI65" s="3">
        <f t="shared" si="10"/>
        <v>30.525632204609757</v>
      </c>
      <c r="AJ65" s="65">
        <f t="shared" si="5"/>
        <v>51.753136207062489</v>
      </c>
      <c r="AK65" s="75">
        <f>AJ65*K值!M66</f>
        <v>54.597717182575046</v>
      </c>
      <c r="AL65" s="3">
        <v>0</v>
      </c>
      <c r="AM65" s="3">
        <v>0</v>
      </c>
      <c r="AN65" s="65">
        <f t="shared" si="6"/>
        <v>0</v>
      </c>
      <c r="AP65" s="76">
        <f t="shared" si="7"/>
        <v>43.829776445640093</v>
      </c>
    </row>
    <row r="66" spans="1:42" x14ac:dyDescent="0.25">
      <c r="A66" s="92" t="s">
        <v>83</v>
      </c>
      <c r="B66" s="3">
        <v>2</v>
      </c>
      <c r="C66" s="7">
        <v>65</v>
      </c>
      <c r="D66" s="7">
        <v>100</v>
      </c>
      <c r="E66" s="7">
        <v>100</v>
      </c>
      <c r="F66" s="6">
        <v>100</v>
      </c>
      <c r="G66" s="74">
        <f t="shared" si="2"/>
        <v>91.25</v>
      </c>
      <c r="H66" s="75">
        <f>G66*K值!M67</f>
        <v>96.265503079407551</v>
      </c>
      <c r="I66" s="6">
        <v>75</v>
      </c>
      <c r="J66" s="6">
        <v>60</v>
      </c>
      <c r="K66" s="6">
        <v>25</v>
      </c>
      <c r="L66" s="6">
        <v>0</v>
      </c>
      <c r="M66" s="74">
        <f t="shared" si="3"/>
        <v>40</v>
      </c>
      <c r="N66" s="6">
        <v>35</v>
      </c>
      <c r="O66" s="6">
        <v>65</v>
      </c>
      <c r="P66" s="6">
        <v>65</v>
      </c>
      <c r="Q66" s="6">
        <v>35</v>
      </c>
      <c r="R66" s="74">
        <f t="shared" si="4"/>
        <v>50</v>
      </c>
      <c r="S66" s="3">
        <v>47.313682043635318</v>
      </c>
      <c r="T66" s="3">
        <f t="shared" si="12"/>
        <v>47.313682043635318</v>
      </c>
      <c r="U66" s="3">
        <v>26.193488993121726</v>
      </c>
      <c r="V66" s="3">
        <v>59.877841140141172</v>
      </c>
      <c r="W66" s="3">
        <v>97.107643706626675</v>
      </c>
      <c r="X66" s="3">
        <f t="shared" si="0"/>
        <v>61.059657946629862</v>
      </c>
      <c r="Y66" s="3">
        <v>11.156516014073636</v>
      </c>
      <c r="Z66" s="3" t="s">
        <v>335</v>
      </c>
      <c r="AA66" s="3">
        <v>37.413903677315005</v>
      </c>
      <c r="AB66" s="3">
        <v>21.995245708695958</v>
      </c>
      <c r="AC66" s="3">
        <f t="shared" si="9"/>
        <v>23.521888466694865</v>
      </c>
      <c r="AD66" s="3">
        <v>15.464715157335638</v>
      </c>
      <c r="AE66" s="87">
        <v>100</v>
      </c>
      <c r="AF66" s="3">
        <v>59.493670886075947</v>
      </c>
      <c r="AG66" s="3">
        <v>15.719081318692282</v>
      </c>
      <c r="AH66" s="3">
        <v>28.200753687131463</v>
      </c>
      <c r="AI66" s="3">
        <f t="shared" si="10"/>
        <v>43.775644209847059</v>
      </c>
      <c r="AJ66" s="65">
        <f t="shared" si="5"/>
        <v>43.917718166701775</v>
      </c>
      <c r="AK66" s="75">
        <f>AJ66*K值!M67</f>
        <v>46.331629955256794</v>
      </c>
      <c r="AL66" s="3">
        <v>50</v>
      </c>
      <c r="AM66" s="3">
        <v>50</v>
      </c>
      <c r="AN66" s="65">
        <f t="shared" si="6"/>
        <v>50</v>
      </c>
      <c r="AP66" s="76">
        <f t="shared" si="7"/>
        <v>55.785752597984228</v>
      </c>
    </row>
    <row r="67" spans="1:42" x14ac:dyDescent="0.25">
      <c r="A67" s="92" t="s">
        <v>84</v>
      </c>
      <c r="B67" s="3">
        <v>2</v>
      </c>
      <c r="C67" s="7">
        <v>100</v>
      </c>
      <c r="D67" s="7">
        <v>60</v>
      </c>
      <c r="E67" s="7">
        <v>100</v>
      </c>
      <c r="F67" s="6">
        <v>60</v>
      </c>
      <c r="G67" s="74">
        <f t="shared" si="2"/>
        <v>80</v>
      </c>
      <c r="H67" s="75">
        <f>G67*K值!M68</f>
        <v>84.397153384686078</v>
      </c>
      <c r="I67" s="6">
        <v>75</v>
      </c>
      <c r="J67" s="6">
        <v>60</v>
      </c>
      <c r="K67" s="6">
        <v>50</v>
      </c>
      <c r="L67" s="6">
        <v>0</v>
      </c>
      <c r="M67" s="74">
        <f t="shared" si="3"/>
        <v>46.25</v>
      </c>
      <c r="N67" s="6">
        <v>100</v>
      </c>
      <c r="O67" s="6">
        <v>65</v>
      </c>
      <c r="P67" s="6">
        <v>65</v>
      </c>
      <c r="Q67" s="6">
        <v>65</v>
      </c>
      <c r="R67" s="74">
        <f t="shared" si="4"/>
        <v>73.75</v>
      </c>
      <c r="S67" s="3">
        <v>12.420231076466111</v>
      </c>
      <c r="T67" s="3">
        <f t="shared" si="12"/>
        <v>12.420231076466111</v>
      </c>
      <c r="U67" s="3">
        <v>0</v>
      </c>
      <c r="V67" s="3">
        <v>46.650282983662251</v>
      </c>
      <c r="W67" s="3">
        <v>93.76226775284546</v>
      </c>
      <c r="X67" s="3">
        <f t="shared" ref="X67:X130" si="13">AVERAGE(U67:W67)</f>
        <v>46.804183578835904</v>
      </c>
      <c r="Y67" s="3">
        <v>50.860767984168241</v>
      </c>
      <c r="Z67" s="3">
        <v>6.5077418929782844</v>
      </c>
      <c r="AA67" s="3">
        <v>23.018173204279972</v>
      </c>
      <c r="AB67" s="3">
        <v>64.367575949830794</v>
      </c>
      <c r="AC67" s="3">
        <f t="shared" ref="AC67:AC130" si="14">AVERAGE(Y67:AB67)</f>
        <v>36.188564757814319</v>
      </c>
      <c r="AD67" s="3">
        <v>22.240373198885337</v>
      </c>
      <c r="AE67" s="87">
        <v>0</v>
      </c>
      <c r="AF67" s="3">
        <v>6.3291139240506329</v>
      </c>
      <c r="AG67" s="3">
        <v>3.9297703296730706</v>
      </c>
      <c r="AH67" s="3">
        <v>8.6771549806558355</v>
      </c>
      <c r="AI67" s="3">
        <f t="shared" ref="AI67:AI130" si="15">AVERAGE(AD67:AH67)</f>
        <v>8.2352824866529737</v>
      </c>
      <c r="AJ67" s="65">
        <f t="shared" si="5"/>
        <v>25.912065474942327</v>
      </c>
      <c r="AK67" s="75">
        <f>AJ67*K值!M68</f>
        <v>27.336307055034201</v>
      </c>
      <c r="AL67" s="88">
        <v>75</v>
      </c>
      <c r="AM67" s="3">
        <v>50</v>
      </c>
      <c r="AN67" s="65">
        <f t="shared" si="6"/>
        <v>62.5</v>
      </c>
      <c r="AP67" s="76">
        <f t="shared" si="7"/>
        <v>50.688953498950902</v>
      </c>
    </row>
    <row r="68" spans="1:42" x14ac:dyDescent="0.25">
      <c r="A68" s="92" t="s">
        <v>85</v>
      </c>
      <c r="B68" s="3">
        <v>2</v>
      </c>
      <c r="C68" s="7">
        <v>65</v>
      </c>
      <c r="D68" s="7">
        <v>100</v>
      </c>
      <c r="E68" s="7">
        <v>100</v>
      </c>
      <c r="F68" s="6">
        <v>100</v>
      </c>
      <c r="G68" s="74">
        <f t="shared" ref="G68:G131" si="16">AVERAGE(C68:F68)</f>
        <v>91.25</v>
      </c>
      <c r="H68" s="75">
        <f>G68*K值!M69</f>
        <v>96.265503079407551</v>
      </c>
      <c r="I68" s="6">
        <v>25</v>
      </c>
      <c r="J68" s="6">
        <v>40</v>
      </c>
      <c r="K68" s="6">
        <v>25</v>
      </c>
      <c r="L68" s="6">
        <v>25</v>
      </c>
      <c r="M68" s="74">
        <f t="shared" ref="M68:M131" si="17">AVERAGE(I68:L68)</f>
        <v>28.75</v>
      </c>
      <c r="N68" s="6">
        <v>100</v>
      </c>
      <c r="O68" s="6">
        <v>35</v>
      </c>
      <c r="P68" s="6">
        <v>100</v>
      </c>
      <c r="Q68" s="6">
        <v>65</v>
      </c>
      <c r="R68" s="74">
        <f t="shared" ref="R68:R131" si="18">AVERAGE(N68:Q68)</f>
        <v>75</v>
      </c>
      <c r="S68" s="3">
        <v>80.699281225184109</v>
      </c>
      <c r="T68" s="3">
        <f t="shared" si="12"/>
        <v>80.699281225184109</v>
      </c>
      <c r="U68" s="3">
        <v>71.573842983107667</v>
      </c>
      <c r="V68" s="3">
        <v>92.590231711135985</v>
      </c>
      <c r="W68" s="3">
        <v>100</v>
      </c>
      <c r="X68" s="3">
        <f t="shared" si="13"/>
        <v>88.054691564747884</v>
      </c>
      <c r="Y68" s="3">
        <v>3.634663221813903</v>
      </c>
      <c r="Z68" s="3" t="s">
        <v>335</v>
      </c>
      <c r="AA68" s="3">
        <v>10.796797854776273</v>
      </c>
      <c r="AB68" s="3">
        <v>33.102877237337225</v>
      </c>
      <c r="AC68" s="3">
        <f t="shared" si="14"/>
        <v>15.8447794379758</v>
      </c>
      <c r="AD68" s="3">
        <v>12.557736263269778</v>
      </c>
      <c r="AE68" s="87">
        <v>0</v>
      </c>
      <c r="AF68" s="3">
        <v>6.7510548523206744</v>
      </c>
      <c r="AG68" s="3">
        <v>11.789310989019212</v>
      </c>
      <c r="AH68" s="3">
        <v>36.877908667787295</v>
      </c>
      <c r="AI68" s="3">
        <f t="shared" si="15"/>
        <v>13.595202154479392</v>
      </c>
      <c r="AJ68" s="65">
        <f t="shared" ref="AJ68:AJ131" si="19">AVERAGE(T68,X68,AC68,AI68)</f>
        <v>49.548488595596794</v>
      </c>
      <c r="AK68" s="75">
        <f>AJ68*K值!M69</f>
        <v>52.271892399774394</v>
      </c>
      <c r="AL68" s="3">
        <v>50</v>
      </c>
      <c r="AM68" s="3">
        <v>0</v>
      </c>
      <c r="AN68" s="65">
        <f t="shared" ref="AN68:AN131" si="20">AVERAGE(AL68:AM68)</f>
        <v>25</v>
      </c>
      <c r="AP68" s="76">
        <f t="shared" ref="AP68:AP131" si="21">(H68*0.2)+(M68*0.2)+(R68*0.1)+(AK68*0.4)+(AN68*0.1)</f>
        <v>55.911857575791267</v>
      </c>
    </row>
    <row r="69" spans="1:42" x14ac:dyDescent="0.25">
      <c r="A69" s="92" t="s">
        <v>86</v>
      </c>
      <c r="B69" s="3">
        <v>4</v>
      </c>
      <c r="C69" s="7">
        <v>35</v>
      </c>
      <c r="D69" s="7">
        <v>100</v>
      </c>
      <c r="E69" s="7">
        <v>75</v>
      </c>
      <c r="F69" s="6">
        <v>60</v>
      </c>
      <c r="G69" s="74">
        <f t="shared" si="16"/>
        <v>67.5</v>
      </c>
      <c r="H69" s="75">
        <f>G69*K值!M70</f>
        <v>71.210098168328869</v>
      </c>
      <c r="I69" s="6">
        <v>0</v>
      </c>
      <c r="J69" s="6">
        <v>40</v>
      </c>
      <c r="K69" s="6">
        <v>25</v>
      </c>
      <c r="L69" s="6">
        <v>50</v>
      </c>
      <c r="M69" s="74">
        <f t="shared" si="17"/>
        <v>28.75</v>
      </c>
      <c r="N69" s="6">
        <v>0</v>
      </c>
      <c r="O69" s="6">
        <v>0</v>
      </c>
      <c r="P69" s="6">
        <v>100</v>
      </c>
      <c r="Q69" s="6">
        <v>35</v>
      </c>
      <c r="R69" s="74">
        <f t="shared" si="18"/>
        <v>33.75</v>
      </c>
      <c r="S69" s="3">
        <v>79.708297579925713</v>
      </c>
      <c r="T69" s="3">
        <f t="shared" si="12"/>
        <v>79.708297579925713</v>
      </c>
      <c r="U69" s="3">
        <v>64.09584677437195</v>
      </c>
      <c r="V69" s="3">
        <v>40.036503905422791</v>
      </c>
      <c r="W69" s="3">
        <v>100</v>
      </c>
      <c r="X69" s="3">
        <f t="shared" si="13"/>
        <v>68.044116893264913</v>
      </c>
      <c r="Y69" s="3">
        <v>0.87771293990514498</v>
      </c>
      <c r="Z69" s="3">
        <v>1.6909176302195617</v>
      </c>
      <c r="AA69" s="3">
        <v>8.8473760198861129</v>
      </c>
      <c r="AB69" s="3">
        <v>38.738449974785887</v>
      </c>
      <c r="AC69" s="3">
        <f t="shared" si="14"/>
        <v>12.538614141199176</v>
      </c>
      <c r="AD69" s="3">
        <v>4.1871622668315585</v>
      </c>
      <c r="AE69" s="87">
        <v>0</v>
      </c>
      <c r="AF69" s="3">
        <v>37.974683544303801</v>
      </c>
      <c r="AG69" s="3">
        <v>15.719081318692282</v>
      </c>
      <c r="AH69" s="3">
        <v>13.015732470983751</v>
      </c>
      <c r="AI69" s="3">
        <f t="shared" si="15"/>
        <v>14.179331920162278</v>
      </c>
      <c r="AJ69" s="65">
        <f t="shared" si="19"/>
        <v>43.617590133638018</v>
      </c>
      <c r="AK69" s="75">
        <f>AJ69*K值!M70</f>
        <v>46.015005559737723</v>
      </c>
      <c r="AL69" s="3">
        <v>50</v>
      </c>
      <c r="AM69" s="3">
        <v>50</v>
      </c>
      <c r="AN69" s="65">
        <f t="shared" si="20"/>
        <v>50</v>
      </c>
      <c r="AP69" s="76">
        <f t="shared" si="21"/>
        <v>46.773021857560863</v>
      </c>
    </row>
    <row r="70" spans="1:42" x14ac:dyDescent="0.25">
      <c r="A70" s="92" t="s">
        <v>311</v>
      </c>
      <c r="B70" s="3">
        <v>3</v>
      </c>
      <c r="C70" s="7">
        <v>65</v>
      </c>
      <c r="D70" s="7">
        <v>100</v>
      </c>
      <c r="E70" s="7">
        <v>100</v>
      </c>
      <c r="F70" s="6">
        <v>60</v>
      </c>
      <c r="G70" s="74">
        <f t="shared" si="16"/>
        <v>81.25</v>
      </c>
      <c r="H70" s="75">
        <f>G70*K值!M71</f>
        <v>85.715858906321799</v>
      </c>
      <c r="I70" s="6">
        <v>0</v>
      </c>
      <c r="J70" s="6">
        <v>60</v>
      </c>
      <c r="K70" s="6">
        <v>25</v>
      </c>
      <c r="L70" s="6">
        <v>0</v>
      </c>
      <c r="M70" s="74">
        <f t="shared" si="17"/>
        <v>21.25</v>
      </c>
      <c r="N70" s="6">
        <v>100</v>
      </c>
      <c r="O70" s="6">
        <v>65</v>
      </c>
      <c r="P70" s="6">
        <v>100</v>
      </c>
      <c r="Q70" s="6">
        <v>35</v>
      </c>
      <c r="R70" s="74">
        <f t="shared" si="18"/>
        <v>75</v>
      </c>
      <c r="S70" s="3">
        <v>80.829047020913322</v>
      </c>
      <c r="T70" s="3">
        <f t="shared" ref="T70:T101" si="22">AVERAGE(S70)</f>
        <v>80.829047020913322</v>
      </c>
      <c r="U70" s="3">
        <v>70.258829164814458</v>
      </c>
      <c r="V70" s="3">
        <v>64.770562465678921</v>
      </c>
      <c r="W70" s="3">
        <v>99.651523338147811</v>
      </c>
      <c r="X70" s="3">
        <f t="shared" si="13"/>
        <v>78.226971656213721</v>
      </c>
      <c r="Y70" s="3">
        <v>1.898851038984734</v>
      </c>
      <c r="Z70" s="3">
        <v>1.4514034248606273</v>
      </c>
      <c r="AA70" s="3">
        <v>16.720041122327146</v>
      </c>
      <c r="AB70" s="3">
        <v>37.246280659250232</v>
      </c>
      <c r="AC70" s="3">
        <f t="shared" si="14"/>
        <v>14.329144061355684</v>
      </c>
      <c r="AD70" s="3">
        <v>6.0364896634757574</v>
      </c>
      <c r="AE70" s="87">
        <v>0</v>
      </c>
      <c r="AF70" s="3">
        <v>62.869198312236286</v>
      </c>
      <c r="AG70" s="3">
        <v>19.648851648365355</v>
      </c>
      <c r="AH70" s="3">
        <v>4.3385774903279177</v>
      </c>
      <c r="AI70" s="3">
        <f t="shared" si="15"/>
        <v>18.578623422881062</v>
      </c>
      <c r="AJ70" s="65">
        <f t="shared" si="19"/>
        <v>47.99094654034095</v>
      </c>
      <c r="AK70" s="75">
        <f>AJ70*K值!M71</f>
        <v>50.628740953017811</v>
      </c>
      <c r="AL70" s="3">
        <v>0</v>
      </c>
      <c r="AM70" s="3">
        <v>0</v>
      </c>
      <c r="AN70" s="65">
        <f t="shared" si="20"/>
        <v>0</v>
      </c>
      <c r="AP70" s="76">
        <f t="shared" si="21"/>
        <v>49.14466816247149</v>
      </c>
    </row>
    <row r="71" spans="1:42" x14ac:dyDescent="0.25">
      <c r="A71" s="92" t="s">
        <v>87</v>
      </c>
      <c r="B71" s="3">
        <v>3</v>
      </c>
      <c r="C71" s="7">
        <v>65</v>
      </c>
      <c r="D71" s="7">
        <v>100</v>
      </c>
      <c r="E71" s="7">
        <v>100</v>
      </c>
      <c r="F71" s="6">
        <v>60</v>
      </c>
      <c r="G71" s="74">
        <f t="shared" si="16"/>
        <v>81.25</v>
      </c>
      <c r="H71" s="75">
        <f>G71*K值!M72</f>
        <v>85.715858906321799</v>
      </c>
      <c r="I71" s="6">
        <v>0</v>
      </c>
      <c r="J71" s="6">
        <v>60</v>
      </c>
      <c r="K71" s="6">
        <v>0</v>
      </c>
      <c r="L71" s="6">
        <v>0</v>
      </c>
      <c r="M71" s="74">
        <f t="shared" si="17"/>
        <v>15</v>
      </c>
      <c r="N71" s="6">
        <v>0</v>
      </c>
      <c r="O71" s="6">
        <v>0</v>
      </c>
      <c r="P71" s="6">
        <v>35</v>
      </c>
      <c r="Q71" s="6">
        <v>35</v>
      </c>
      <c r="R71" s="74">
        <f t="shared" si="18"/>
        <v>17.5</v>
      </c>
      <c r="S71" s="3">
        <v>89.985660395442608</v>
      </c>
      <c r="T71" s="3">
        <f t="shared" si="22"/>
        <v>89.985660395442608</v>
      </c>
      <c r="U71" s="3">
        <v>80.642467195667052</v>
      </c>
      <c r="V71" s="3">
        <v>78.357698759775886</v>
      </c>
      <c r="W71" s="3">
        <v>0</v>
      </c>
      <c r="X71" s="3">
        <f>AVERAGE(U71:W71)</f>
        <v>53.000055318480975</v>
      </c>
      <c r="Y71" s="3">
        <v>14.617107675180099</v>
      </c>
      <c r="Z71" s="3" t="s">
        <v>335</v>
      </c>
      <c r="AA71" s="3">
        <v>14.545685998795813</v>
      </c>
      <c r="AB71" s="3">
        <v>33.200858904366676</v>
      </c>
      <c r="AC71" s="3">
        <f t="shared" si="14"/>
        <v>20.787884192780862</v>
      </c>
      <c r="AD71" s="3">
        <v>4.4659522005490881</v>
      </c>
      <c r="AE71" s="87">
        <v>0</v>
      </c>
      <c r="AF71" s="3">
        <v>58.22784810126582</v>
      </c>
      <c r="AG71" s="3">
        <v>47.157243956076847</v>
      </c>
      <c r="AH71" s="3">
        <v>8.6771549806558355</v>
      </c>
      <c r="AI71" s="3">
        <f t="shared" si="15"/>
        <v>23.705639847709516</v>
      </c>
      <c r="AJ71" s="65">
        <f t="shared" si="19"/>
        <v>46.869809938603488</v>
      </c>
      <c r="AK71" s="75">
        <f>AJ71*K值!M72</f>
        <v>49.445981731242533</v>
      </c>
      <c r="AL71" s="3">
        <v>0</v>
      </c>
      <c r="AM71" s="3">
        <v>0</v>
      </c>
      <c r="AN71" s="65">
        <f t="shared" si="20"/>
        <v>0</v>
      </c>
      <c r="AP71" s="76">
        <f t="shared" si="21"/>
        <v>41.671564473761379</v>
      </c>
    </row>
    <row r="72" spans="1:42" x14ac:dyDescent="0.25">
      <c r="A72" s="92" t="s">
        <v>88</v>
      </c>
      <c r="B72" s="3">
        <v>3</v>
      </c>
      <c r="C72" s="7">
        <v>65</v>
      </c>
      <c r="D72" s="7">
        <v>100</v>
      </c>
      <c r="E72" s="7">
        <v>75</v>
      </c>
      <c r="F72" s="6">
        <v>100</v>
      </c>
      <c r="G72" s="74">
        <f t="shared" si="16"/>
        <v>85</v>
      </c>
      <c r="H72" s="75">
        <f>G72*K值!M73</f>
        <v>89.671975471228947</v>
      </c>
      <c r="I72" s="6">
        <v>75</v>
      </c>
      <c r="J72" s="6">
        <v>40</v>
      </c>
      <c r="K72" s="6">
        <v>50</v>
      </c>
      <c r="L72" s="6">
        <v>50</v>
      </c>
      <c r="M72" s="74">
        <f t="shared" si="17"/>
        <v>53.75</v>
      </c>
      <c r="N72" s="6">
        <v>100</v>
      </c>
      <c r="O72" s="6">
        <v>35</v>
      </c>
      <c r="P72" s="6">
        <v>100</v>
      </c>
      <c r="Q72" s="6">
        <v>65</v>
      </c>
      <c r="R72" s="74">
        <f t="shared" si="18"/>
        <v>75</v>
      </c>
      <c r="S72" s="3">
        <v>73.271637485568391</v>
      </c>
      <c r="T72" s="3">
        <f t="shared" si="22"/>
        <v>73.271637485568391</v>
      </c>
      <c r="U72" s="3">
        <v>67.982131152400399</v>
      </c>
      <c r="V72" s="3">
        <v>84.756345618927625</v>
      </c>
      <c r="W72" s="3">
        <v>100</v>
      </c>
      <c r="X72" s="3">
        <f t="shared" si="13"/>
        <v>84.246158923776008</v>
      </c>
      <c r="Y72" s="3">
        <v>1.5372235008953237</v>
      </c>
      <c r="Z72" s="3">
        <v>0.42287266201586499</v>
      </c>
      <c r="AA72" s="3">
        <v>9.8220869373311928</v>
      </c>
      <c r="AB72" s="3">
        <v>86.770076274525493</v>
      </c>
      <c r="AC72" s="3">
        <f t="shared" si="14"/>
        <v>24.638064843691968</v>
      </c>
      <c r="AD72" s="3">
        <v>8.954095079678833</v>
      </c>
      <c r="AE72" s="87">
        <v>0</v>
      </c>
      <c r="AF72" s="3">
        <v>81.012658227848107</v>
      </c>
      <c r="AG72" s="3">
        <v>23.578621978038424</v>
      </c>
      <c r="AH72" s="3">
        <v>21.692887451639585</v>
      </c>
      <c r="AI72" s="3">
        <f t="shared" si="15"/>
        <v>27.047652547440993</v>
      </c>
      <c r="AJ72" s="65">
        <f t="shared" si="19"/>
        <v>52.300878450119342</v>
      </c>
      <c r="AK72" s="75">
        <f>AJ72*K值!M73</f>
        <v>55.175565758856806</v>
      </c>
      <c r="AL72" s="3">
        <v>50</v>
      </c>
      <c r="AM72" s="3">
        <v>0</v>
      </c>
      <c r="AN72" s="65">
        <f t="shared" si="20"/>
        <v>25</v>
      </c>
      <c r="AP72" s="76">
        <f t="shared" si="21"/>
        <v>60.754621397788512</v>
      </c>
    </row>
    <row r="73" spans="1:42" x14ac:dyDescent="0.25">
      <c r="A73" s="92" t="s">
        <v>89</v>
      </c>
      <c r="B73" s="3">
        <v>2</v>
      </c>
      <c r="C73" s="7">
        <v>65</v>
      </c>
      <c r="D73" s="7">
        <v>100</v>
      </c>
      <c r="E73" s="7">
        <v>100</v>
      </c>
      <c r="F73" s="6">
        <v>60</v>
      </c>
      <c r="G73" s="74">
        <f t="shared" si="16"/>
        <v>81.25</v>
      </c>
      <c r="H73" s="75">
        <f>G73*K值!M74</f>
        <v>85.715858906321799</v>
      </c>
      <c r="I73" s="6">
        <v>0</v>
      </c>
      <c r="J73" s="6">
        <v>20</v>
      </c>
      <c r="K73" s="6">
        <v>25</v>
      </c>
      <c r="L73" s="6">
        <v>25</v>
      </c>
      <c r="M73" s="74">
        <f t="shared" si="17"/>
        <v>17.5</v>
      </c>
      <c r="N73" s="6">
        <v>35</v>
      </c>
      <c r="O73" s="6">
        <v>35</v>
      </c>
      <c r="P73" s="6">
        <v>65</v>
      </c>
      <c r="Q73" s="6">
        <v>35</v>
      </c>
      <c r="R73" s="74">
        <f t="shared" si="18"/>
        <v>42.5</v>
      </c>
      <c r="S73" s="3">
        <v>68.573231355650961</v>
      </c>
      <c r="T73" s="3">
        <f t="shared" si="22"/>
        <v>68.573231355650961</v>
      </c>
      <c r="U73" s="3">
        <v>74.671463988524778</v>
      </c>
      <c r="V73" s="3">
        <v>68.000619069410178</v>
      </c>
      <c r="W73" s="3">
        <v>95.400108063550874</v>
      </c>
      <c r="X73" s="3">
        <f t="shared" si="13"/>
        <v>79.357397040495286</v>
      </c>
      <c r="Y73" s="3">
        <v>10.651463316809782</v>
      </c>
      <c r="Z73" s="3">
        <v>2.0248782323556589</v>
      </c>
      <c r="AA73" s="3">
        <v>4.5736435357038383</v>
      </c>
      <c r="AB73" s="3">
        <v>62.819797728747083</v>
      </c>
      <c r="AC73" s="3">
        <f t="shared" si="14"/>
        <v>20.017445703404093</v>
      </c>
      <c r="AD73" s="3">
        <v>3.5773874230166474</v>
      </c>
      <c r="AE73" s="87">
        <v>0</v>
      </c>
      <c r="AF73" s="3">
        <v>34.599156118143462</v>
      </c>
      <c r="AG73" s="3">
        <v>3.9297703296730706</v>
      </c>
      <c r="AH73" s="3">
        <v>13.015732470983751</v>
      </c>
      <c r="AI73" s="3">
        <f t="shared" si="15"/>
        <v>11.024409268363385</v>
      </c>
      <c r="AJ73" s="65">
        <f t="shared" si="19"/>
        <v>44.743120841978424</v>
      </c>
      <c r="AK73" s="75">
        <f>AJ73*K值!M74</f>
        <v>47.202400407624964</v>
      </c>
      <c r="AL73" s="3">
        <v>50</v>
      </c>
      <c r="AM73" s="3">
        <v>0</v>
      </c>
      <c r="AN73" s="65">
        <f t="shared" si="20"/>
        <v>25</v>
      </c>
      <c r="AP73" s="76">
        <f t="shared" si="21"/>
        <v>46.274131944314348</v>
      </c>
    </row>
    <row r="74" spans="1:42" x14ac:dyDescent="0.25">
      <c r="A74" s="92" t="s">
        <v>90</v>
      </c>
      <c r="B74" s="3">
        <v>3</v>
      </c>
      <c r="C74" s="7">
        <v>100</v>
      </c>
      <c r="D74" s="7">
        <v>80</v>
      </c>
      <c r="E74" s="7">
        <v>75</v>
      </c>
      <c r="F74" s="6">
        <v>60</v>
      </c>
      <c r="G74" s="74">
        <f t="shared" si="16"/>
        <v>78.75</v>
      </c>
      <c r="H74" s="75">
        <f>G74*K值!M75</f>
        <v>83.078447863050357</v>
      </c>
      <c r="I74" s="6">
        <v>0</v>
      </c>
      <c r="J74" s="6">
        <v>80</v>
      </c>
      <c r="K74" s="6">
        <v>25</v>
      </c>
      <c r="L74" s="6">
        <v>0</v>
      </c>
      <c r="M74" s="74">
        <f t="shared" si="17"/>
        <v>26.25</v>
      </c>
      <c r="N74" s="6">
        <v>35</v>
      </c>
      <c r="O74" s="6">
        <v>35</v>
      </c>
      <c r="P74" s="6">
        <v>35</v>
      </c>
      <c r="Q74" s="6">
        <v>0</v>
      </c>
      <c r="R74" s="74">
        <f t="shared" si="18"/>
        <v>26.25</v>
      </c>
      <c r="S74" s="3">
        <v>96.978155709461703</v>
      </c>
      <c r="T74" s="3">
        <f t="shared" si="22"/>
        <v>96.978155709461703</v>
      </c>
      <c r="U74" s="3">
        <v>100</v>
      </c>
      <c r="V74" s="3">
        <v>23.440589861513352</v>
      </c>
      <c r="W74" s="3">
        <v>92.75168543347408</v>
      </c>
      <c r="X74" s="3">
        <f t="shared" si="13"/>
        <v>72.064091764995808</v>
      </c>
      <c r="Y74" s="3">
        <v>1.6095490085132058</v>
      </c>
      <c r="Z74" s="3">
        <v>0.4760400138610843</v>
      </c>
      <c r="AA74" s="3">
        <v>15.520396916240895</v>
      </c>
      <c r="AB74" s="3">
        <v>24.680445521584975</v>
      </c>
      <c r="AC74" s="3">
        <f t="shared" si="14"/>
        <v>10.571607865050041</v>
      </c>
      <c r="AD74" s="3">
        <v>4.2256052733867788</v>
      </c>
      <c r="AE74" s="87">
        <v>0</v>
      </c>
      <c r="AF74" s="3">
        <v>43.881856540084392</v>
      </c>
      <c r="AG74" s="3">
        <v>19.648851648365355</v>
      </c>
      <c r="AH74" s="3">
        <v>8.6771549806558355</v>
      </c>
      <c r="AI74" s="3">
        <f t="shared" si="15"/>
        <v>15.286693688498474</v>
      </c>
      <c r="AJ74" s="65">
        <f t="shared" si="19"/>
        <v>48.725137257001506</v>
      </c>
      <c r="AK74" s="75">
        <f>AJ74*K值!M75</f>
        <v>51.403286034612975</v>
      </c>
      <c r="AL74" s="3">
        <v>0</v>
      </c>
      <c r="AM74" s="3">
        <v>0</v>
      </c>
      <c r="AN74" s="65">
        <f t="shared" si="20"/>
        <v>0</v>
      </c>
      <c r="AP74" s="76">
        <f t="shared" si="21"/>
        <v>45.052003986455261</v>
      </c>
    </row>
    <row r="75" spans="1:42" x14ac:dyDescent="0.25">
      <c r="A75" s="92" t="s">
        <v>91</v>
      </c>
      <c r="B75" s="3">
        <v>2</v>
      </c>
      <c r="C75" s="7">
        <v>65</v>
      </c>
      <c r="D75" s="7">
        <v>60</v>
      </c>
      <c r="E75" s="7">
        <v>100</v>
      </c>
      <c r="F75" s="6">
        <v>0</v>
      </c>
      <c r="G75" s="74">
        <f t="shared" si="16"/>
        <v>56.25</v>
      </c>
      <c r="H75" s="75">
        <f>G75*K值!M76</f>
        <v>59.341748473607396</v>
      </c>
      <c r="I75" s="6">
        <v>25</v>
      </c>
      <c r="J75" s="6">
        <v>40</v>
      </c>
      <c r="K75" s="6">
        <v>50</v>
      </c>
      <c r="L75" s="6">
        <v>0</v>
      </c>
      <c r="M75" s="74">
        <f t="shared" si="17"/>
        <v>28.75</v>
      </c>
      <c r="N75" s="6">
        <v>100</v>
      </c>
      <c r="O75" s="6">
        <v>35</v>
      </c>
      <c r="P75" s="6">
        <v>65</v>
      </c>
      <c r="Q75" s="6">
        <v>35</v>
      </c>
      <c r="R75" s="74">
        <f t="shared" si="18"/>
        <v>58.75</v>
      </c>
      <c r="S75" s="3">
        <v>53.702603205099933</v>
      </c>
      <c r="T75" s="3">
        <f t="shared" si="22"/>
        <v>53.702603205099933</v>
      </c>
      <c r="U75" s="3">
        <v>56.752341030125287</v>
      </c>
      <c r="V75" s="3">
        <v>61.097948154110071</v>
      </c>
      <c r="W75" s="3">
        <v>96.375842716737012</v>
      </c>
      <c r="X75" s="3">
        <f t="shared" si="13"/>
        <v>71.408710633657449</v>
      </c>
      <c r="Y75" s="3">
        <v>11.561048514309249</v>
      </c>
      <c r="Z75" s="3">
        <v>0.44006319733280497</v>
      </c>
      <c r="AA75" s="3">
        <v>11.546575483580181</v>
      </c>
      <c r="AB75" s="3">
        <v>50.64297083176055</v>
      </c>
      <c r="AC75" s="3">
        <f t="shared" si="14"/>
        <v>18.547664506745697</v>
      </c>
      <c r="AD75" s="3">
        <v>7.841748247727387</v>
      </c>
      <c r="AE75" s="87">
        <v>100</v>
      </c>
      <c r="AF75" s="3">
        <v>64.978902953586498</v>
      </c>
      <c r="AG75" s="3">
        <v>11.789310989019212</v>
      </c>
      <c r="AH75" s="3">
        <v>0</v>
      </c>
      <c r="AI75" s="3">
        <f t="shared" si="15"/>
        <v>36.921992438066617</v>
      </c>
      <c r="AJ75" s="65">
        <f t="shared" si="19"/>
        <v>45.145242695892421</v>
      </c>
      <c r="AK75" s="75">
        <f>AJ75*K值!M76</f>
        <v>47.626624654926388</v>
      </c>
      <c r="AL75" s="3">
        <v>25</v>
      </c>
      <c r="AM75" s="3">
        <v>0</v>
      </c>
      <c r="AN75" s="65">
        <f t="shared" si="20"/>
        <v>12.5</v>
      </c>
      <c r="AP75" s="76">
        <f t="shared" si="21"/>
        <v>43.793999556692036</v>
      </c>
    </row>
    <row r="76" spans="1:42" x14ac:dyDescent="0.25">
      <c r="A76" s="92" t="s">
        <v>92</v>
      </c>
      <c r="B76" s="3">
        <v>3</v>
      </c>
      <c r="C76" s="7">
        <v>65</v>
      </c>
      <c r="D76" s="7">
        <v>100</v>
      </c>
      <c r="E76" s="7">
        <v>100</v>
      </c>
      <c r="F76" s="6">
        <v>100</v>
      </c>
      <c r="G76" s="74">
        <f t="shared" si="16"/>
        <v>91.25</v>
      </c>
      <c r="H76" s="75">
        <f>G76*K值!M77</f>
        <v>96.265503079407551</v>
      </c>
      <c r="I76" s="6">
        <v>0</v>
      </c>
      <c r="J76" s="6">
        <v>60</v>
      </c>
      <c r="K76" s="6">
        <v>50</v>
      </c>
      <c r="L76" s="6">
        <v>50</v>
      </c>
      <c r="M76" s="74">
        <f t="shared" si="17"/>
        <v>40</v>
      </c>
      <c r="N76" s="6">
        <v>100</v>
      </c>
      <c r="O76" s="6">
        <v>0</v>
      </c>
      <c r="P76" s="6">
        <v>65</v>
      </c>
      <c r="Q76" s="6">
        <v>35</v>
      </c>
      <c r="R76" s="74">
        <f t="shared" si="18"/>
        <v>50</v>
      </c>
      <c r="S76" s="3">
        <v>78.083453106485933</v>
      </c>
      <c r="T76" s="3">
        <f t="shared" si="22"/>
        <v>78.083453106485933</v>
      </c>
      <c r="U76" s="3">
        <v>71.703943031226231</v>
      </c>
      <c r="V76" s="3">
        <v>60.953502235579748</v>
      </c>
      <c r="W76" s="3">
        <v>98.640941018776388</v>
      </c>
      <c r="X76" s="3">
        <f t="shared" si="13"/>
        <v>77.099462095194113</v>
      </c>
      <c r="Y76" s="3">
        <v>5.6095173366004794</v>
      </c>
      <c r="Z76" s="3">
        <v>1.2069641674003417</v>
      </c>
      <c r="AA76" s="3">
        <v>6.4480876077136084</v>
      </c>
      <c r="AB76" s="3">
        <v>45.151389777921722</v>
      </c>
      <c r="AC76" s="3">
        <f t="shared" si="14"/>
        <v>14.603989722409038</v>
      </c>
      <c r="AD76" s="3">
        <v>9.5554312147377214</v>
      </c>
      <c r="AE76" s="87">
        <v>44.595278519079642</v>
      </c>
      <c r="AF76" s="3">
        <v>61.603375527426167</v>
      </c>
      <c r="AG76" s="3">
        <v>35.367932967057634</v>
      </c>
      <c r="AH76" s="3">
        <v>62.909373609754802</v>
      </c>
      <c r="AI76" s="3">
        <f t="shared" si="15"/>
        <v>42.806278367611192</v>
      </c>
      <c r="AJ76" s="65">
        <f t="shared" si="19"/>
        <v>53.148295822925064</v>
      </c>
      <c r="AK76" s="75">
        <f>AJ76*K值!M77</f>
        <v>56.069560933775961</v>
      </c>
      <c r="AL76" s="3">
        <v>50</v>
      </c>
      <c r="AM76" s="3">
        <v>0</v>
      </c>
      <c r="AN76" s="65">
        <f t="shared" si="20"/>
        <v>25</v>
      </c>
      <c r="AP76" s="76">
        <f t="shared" si="21"/>
        <v>57.180924989391897</v>
      </c>
    </row>
    <row r="77" spans="1:42" x14ac:dyDescent="0.25">
      <c r="A77" s="92" t="s">
        <v>93</v>
      </c>
      <c r="B77" s="3">
        <v>2</v>
      </c>
      <c r="C77" s="7">
        <v>65</v>
      </c>
      <c r="D77" s="7">
        <v>100</v>
      </c>
      <c r="E77" s="7">
        <v>100</v>
      </c>
      <c r="F77" s="6">
        <v>60</v>
      </c>
      <c r="G77" s="74">
        <f t="shared" si="16"/>
        <v>81.25</v>
      </c>
      <c r="H77" s="75">
        <f>G77*K值!M78</f>
        <v>85.715858906321799</v>
      </c>
      <c r="I77" s="6">
        <v>0</v>
      </c>
      <c r="J77" s="6">
        <v>40</v>
      </c>
      <c r="K77" s="6">
        <v>25</v>
      </c>
      <c r="L77" s="6">
        <v>0</v>
      </c>
      <c r="M77" s="74">
        <f t="shared" si="17"/>
        <v>16.25</v>
      </c>
      <c r="N77" s="6">
        <v>65</v>
      </c>
      <c r="O77" s="6">
        <v>0</v>
      </c>
      <c r="P77" s="6">
        <v>65</v>
      </c>
      <c r="Q77" s="6">
        <v>35</v>
      </c>
      <c r="R77" s="74">
        <f t="shared" si="18"/>
        <v>41.25</v>
      </c>
      <c r="S77" s="3">
        <v>76.435832998496011</v>
      </c>
      <c r="T77" s="3">
        <f t="shared" si="22"/>
        <v>76.435832998496011</v>
      </c>
      <c r="U77" s="3">
        <v>64.311053789503475</v>
      </c>
      <c r="V77" s="3">
        <v>90.189970809600197</v>
      </c>
      <c r="W77" s="3">
        <v>100</v>
      </c>
      <c r="X77" s="3">
        <f t="shared" si="13"/>
        <v>84.8336748663679</v>
      </c>
      <c r="Y77" s="3">
        <v>5.1755642908931874</v>
      </c>
      <c r="Z77" s="3" t="s">
        <v>335</v>
      </c>
      <c r="AA77" s="3">
        <v>14.845597050317377</v>
      </c>
      <c r="AB77" s="3">
        <v>18.364085433550219</v>
      </c>
      <c r="AC77" s="3">
        <f t="shared" si="14"/>
        <v>12.795082258253595</v>
      </c>
      <c r="AD77" s="3">
        <v>4.3265572336903233</v>
      </c>
      <c r="AE77" s="87">
        <v>0</v>
      </c>
      <c r="AF77" s="3">
        <v>17.299578059071731</v>
      </c>
      <c r="AG77" s="3">
        <v>3.9297703296730706</v>
      </c>
      <c r="AH77" s="3">
        <v>6.5078662354918757</v>
      </c>
      <c r="AI77" s="3">
        <f t="shared" si="15"/>
        <v>6.4127543715854003</v>
      </c>
      <c r="AJ77" s="65">
        <f t="shared" si="19"/>
        <v>45.119336123675723</v>
      </c>
      <c r="AK77" s="75">
        <f>AJ77*K值!M78</f>
        <v>47.599294143063339</v>
      </c>
      <c r="AL77" s="3">
        <v>50</v>
      </c>
      <c r="AM77" s="3">
        <v>0</v>
      </c>
      <c r="AN77" s="65">
        <f t="shared" si="20"/>
        <v>25</v>
      </c>
      <c r="AP77" s="76">
        <f t="shared" si="21"/>
        <v>46.057889438489696</v>
      </c>
    </row>
    <row r="78" spans="1:42" x14ac:dyDescent="0.25">
      <c r="A78" s="92" t="s">
        <v>94</v>
      </c>
      <c r="B78" s="3">
        <v>3</v>
      </c>
      <c r="C78" s="7">
        <v>65</v>
      </c>
      <c r="D78" s="7">
        <v>100</v>
      </c>
      <c r="E78" s="7">
        <v>45</v>
      </c>
      <c r="F78" s="6">
        <v>75</v>
      </c>
      <c r="G78" s="74">
        <f t="shared" si="16"/>
        <v>71.25</v>
      </c>
      <c r="H78" s="75">
        <f>G78*K值!M79</f>
        <v>75.166214733236032</v>
      </c>
      <c r="I78" s="6">
        <v>0</v>
      </c>
      <c r="J78" s="6">
        <v>40</v>
      </c>
      <c r="K78" s="6">
        <v>0</v>
      </c>
      <c r="L78" s="6">
        <v>0</v>
      </c>
      <c r="M78" s="74">
        <f t="shared" si="17"/>
        <v>10</v>
      </c>
      <c r="N78" s="6">
        <v>0</v>
      </c>
      <c r="O78" s="6">
        <v>0</v>
      </c>
      <c r="P78" s="6">
        <v>35</v>
      </c>
      <c r="Q78" s="6">
        <v>0</v>
      </c>
      <c r="R78" s="74">
        <f t="shared" si="18"/>
        <v>8.75</v>
      </c>
      <c r="S78" s="3">
        <v>38.627329027037312</v>
      </c>
      <c r="T78" s="3">
        <f t="shared" si="22"/>
        <v>38.627329027037312</v>
      </c>
      <c r="U78" s="3">
        <v>40.703351371092324</v>
      </c>
      <c r="V78" s="3">
        <v>83.18588041958732</v>
      </c>
      <c r="W78" s="3">
        <v>100</v>
      </c>
      <c r="X78" s="3">
        <f t="shared" si="13"/>
        <v>74.629743930226553</v>
      </c>
      <c r="Y78" s="3">
        <v>1.6745193797631674</v>
      </c>
      <c r="Z78" s="3">
        <v>0.54117545991429983</v>
      </c>
      <c r="AA78" s="3">
        <v>22.943195441399581</v>
      </c>
      <c r="AB78" s="3">
        <v>28.036925061668132</v>
      </c>
      <c r="AC78" s="3">
        <f t="shared" si="14"/>
        <v>13.298953835686294</v>
      </c>
      <c r="AD78" s="3">
        <v>10.709033956163061</v>
      </c>
      <c r="AE78" s="87">
        <v>74.325464198466079</v>
      </c>
      <c r="AF78" s="3">
        <v>70.886075949367083</v>
      </c>
      <c r="AG78" s="3">
        <v>11.789310989019212</v>
      </c>
      <c r="AH78" s="3">
        <v>15.185021216147712</v>
      </c>
      <c r="AI78" s="3">
        <f t="shared" si="15"/>
        <v>36.578981261832624</v>
      </c>
      <c r="AJ78" s="65">
        <f t="shared" si="19"/>
        <v>40.78375201369569</v>
      </c>
      <c r="AK78" s="75">
        <f>AJ78*K值!M79</f>
        <v>43.025407178785933</v>
      </c>
      <c r="AL78" s="3">
        <v>0</v>
      </c>
      <c r="AM78" s="3">
        <v>0</v>
      </c>
      <c r="AN78" s="65">
        <f t="shared" si="20"/>
        <v>0</v>
      </c>
      <c r="AP78" s="76">
        <f t="shared" si="21"/>
        <v>35.118405818161577</v>
      </c>
    </row>
    <row r="79" spans="1:42" x14ac:dyDescent="0.25">
      <c r="A79" s="92" t="s">
        <v>95</v>
      </c>
      <c r="B79" s="3">
        <v>3</v>
      </c>
      <c r="C79" s="7">
        <v>100</v>
      </c>
      <c r="D79" s="7">
        <v>100</v>
      </c>
      <c r="E79" s="7">
        <v>60</v>
      </c>
      <c r="F79" s="6">
        <v>100</v>
      </c>
      <c r="G79" s="74">
        <f t="shared" si="16"/>
        <v>90</v>
      </c>
      <c r="H79" s="75">
        <f>G79*K值!M80</f>
        <v>94.946797557771831</v>
      </c>
      <c r="I79" s="6">
        <v>25</v>
      </c>
      <c r="J79" s="6">
        <v>40</v>
      </c>
      <c r="K79" s="6">
        <v>50</v>
      </c>
      <c r="L79" s="6">
        <v>0</v>
      </c>
      <c r="M79" s="74">
        <f t="shared" si="17"/>
        <v>28.75</v>
      </c>
      <c r="N79" s="6">
        <v>100</v>
      </c>
      <c r="O79" s="6">
        <v>35</v>
      </c>
      <c r="P79" s="6">
        <v>100</v>
      </c>
      <c r="Q79" s="6">
        <v>35</v>
      </c>
      <c r="R79" s="74">
        <f t="shared" si="18"/>
        <v>67.5</v>
      </c>
      <c r="S79" s="3">
        <v>62.819373663912529</v>
      </c>
      <c r="T79" s="3">
        <f t="shared" si="22"/>
        <v>62.819373663912529</v>
      </c>
      <c r="U79" s="3">
        <v>42.827701713969383</v>
      </c>
      <c r="V79" s="3">
        <v>60.169806294617366</v>
      </c>
      <c r="W79" s="3">
        <v>100</v>
      </c>
      <c r="X79" s="3">
        <f t="shared" si="13"/>
        <v>67.66583600286225</v>
      </c>
      <c r="Y79" s="3">
        <v>5.8350748518833662</v>
      </c>
      <c r="Z79" s="3">
        <v>8.1991237401853088</v>
      </c>
      <c r="AA79" s="3">
        <v>35.989326182587575</v>
      </c>
      <c r="AB79" s="3">
        <v>33.921171103751441</v>
      </c>
      <c r="AC79" s="3">
        <f t="shared" si="14"/>
        <v>20.986173969601921</v>
      </c>
      <c r="AD79" s="3">
        <v>26.108739801600439</v>
      </c>
      <c r="AE79" s="87">
        <v>14.865092839693213</v>
      </c>
      <c r="AF79" s="3">
        <v>67.088607594936718</v>
      </c>
      <c r="AG79" s="3">
        <v>39.29770329673071</v>
      </c>
      <c r="AH79" s="3">
        <v>62.909373609754802</v>
      </c>
      <c r="AI79" s="3">
        <f t="shared" si="15"/>
        <v>42.053903428543173</v>
      </c>
      <c r="AJ79" s="65">
        <f t="shared" si="19"/>
        <v>48.381321766229966</v>
      </c>
      <c r="AK79" s="75">
        <f>AJ79*K值!M80</f>
        <v>51.040572925729521</v>
      </c>
      <c r="AL79" s="3">
        <v>50</v>
      </c>
      <c r="AM79" s="3">
        <v>50</v>
      </c>
      <c r="AN79" s="65">
        <f t="shared" si="20"/>
        <v>50</v>
      </c>
      <c r="AP79" s="76">
        <f t="shared" si="21"/>
        <v>56.905588681846176</v>
      </c>
    </row>
    <row r="80" spans="1:42" x14ac:dyDescent="0.25">
      <c r="A80" s="92" t="s">
        <v>96</v>
      </c>
      <c r="B80" s="3">
        <v>3</v>
      </c>
      <c r="C80" s="7">
        <v>65</v>
      </c>
      <c r="D80" s="7">
        <v>100</v>
      </c>
      <c r="E80" s="7">
        <v>75</v>
      </c>
      <c r="F80" s="6">
        <v>45</v>
      </c>
      <c r="G80" s="74">
        <f t="shared" si="16"/>
        <v>71.25</v>
      </c>
      <c r="H80" s="75">
        <f>G80*K值!M81</f>
        <v>75.166214733236032</v>
      </c>
      <c r="I80" s="6">
        <v>25</v>
      </c>
      <c r="J80" s="6">
        <v>40</v>
      </c>
      <c r="K80" s="6">
        <v>25</v>
      </c>
      <c r="L80" s="6">
        <v>50</v>
      </c>
      <c r="M80" s="74">
        <f t="shared" si="17"/>
        <v>35</v>
      </c>
      <c r="N80" s="6">
        <v>35</v>
      </c>
      <c r="O80" s="6">
        <v>0</v>
      </c>
      <c r="P80" s="6">
        <v>35</v>
      </c>
      <c r="Q80" s="6">
        <v>0</v>
      </c>
      <c r="R80" s="74">
        <f t="shared" si="18"/>
        <v>17.5</v>
      </c>
      <c r="S80" s="3">
        <v>90.213327444002928</v>
      </c>
      <c r="T80" s="3">
        <f t="shared" si="22"/>
        <v>90.213327444002928</v>
      </c>
      <c r="U80" s="3">
        <v>88.542329875901785</v>
      </c>
      <c r="V80" s="3">
        <v>87.328712295733595</v>
      </c>
      <c r="W80" s="3">
        <v>96.515233381477913</v>
      </c>
      <c r="X80" s="3">
        <f t="shared" si="13"/>
        <v>90.795425184371098</v>
      </c>
      <c r="Y80" s="3">
        <v>17.105595479659765</v>
      </c>
      <c r="Z80" s="3">
        <v>1.7227890277649771</v>
      </c>
      <c r="AA80" s="3">
        <v>1.7244885462489881</v>
      </c>
      <c r="AB80" s="3">
        <v>55.910133653068343</v>
      </c>
      <c r="AC80" s="3">
        <f t="shared" si="14"/>
        <v>19.11575167668552</v>
      </c>
      <c r="AD80" s="3">
        <v>1.5258435609966163</v>
      </c>
      <c r="AE80" s="87">
        <v>0</v>
      </c>
      <c r="AF80" s="3">
        <v>47.257383966244724</v>
      </c>
      <c r="AG80" s="3">
        <v>7.8595406593461412</v>
      </c>
      <c r="AH80" s="3">
        <v>10.846443725819793</v>
      </c>
      <c r="AI80" s="3">
        <f t="shared" si="15"/>
        <v>13.497842382481455</v>
      </c>
      <c r="AJ80" s="65">
        <f t="shared" si="19"/>
        <v>53.405586671885246</v>
      </c>
      <c r="AK80" s="75">
        <f>AJ80*K值!M81</f>
        <v>56.340993624328064</v>
      </c>
      <c r="AL80" s="3">
        <v>75</v>
      </c>
      <c r="AM80" s="3">
        <v>0</v>
      </c>
      <c r="AN80" s="65">
        <f t="shared" si="20"/>
        <v>37.5</v>
      </c>
      <c r="AP80" s="76">
        <f t="shared" si="21"/>
        <v>50.069640396378432</v>
      </c>
    </row>
    <row r="81" spans="1:42" x14ac:dyDescent="0.25">
      <c r="A81" s="92" t="s">
        <v>97</v>
      </c>
      <c r="B81" s="3">
        <v>3</v>
      </c>
      <c r="C81" s="7">
        <v>65</v>
      </c>
      <c r="D81" s="7">
        <v>80</v>
      </c>
      <c r="E81" s="7">
        <v>100</v>
      </c>
      <c r="F81" s="6">
        <v>75</v>
      </c>
      <c r="G81" s="74">
        <f t="shared" si="16"/>
        <v>80</v>
      </c>
      <c r="H81" s="75">
        <f>G81*K值!M82</f>
        <v>84.397153384686078</v>
      </c>
      <c r="I81" s="6">
        <v>50</v>
      </c>
      <c r="J81" s="6">
        <v>40</v>
      </c>
      <c r="K81" s="6">
        <v>50</v>
      </c>
      <c r="L81" s="6">
        <v>0</v>
      </c>
      <c r="M81" s="74">
        <f t="shared" si="17"/>
        <v>35</v>
      </c>
      <c r="N81" s="6">
        <v>100</v>
      </c>
      <c r="O81" s="6">
        <v>35</v>
      </c>
      <c r="P81" s="6">
        <v>100</v>
      </c>
      <c r="Q81" s="6">
        <v>0</v>
      </c>
      <c r="R81" s="74">
        <f t="shared" si="18"/>
        <v>58.75</v>
      </c>
      <c r="S81" s="3">
        <v>83.375395660532774</v>
      </c>
      <c r="T81" s="3">
        <f t="shared" si="22"/>
        <v>83.375395660532774</v>
      </c>
      <c r="U81" s="3">
        <v>76.813716832230526</v>
      </c>
      <c r="V81" s="3">
        <v>59.542849541847453</v>
      </c>
      <c r="W81" s="3">
        <v>100</v>
      </c>
      <c r="X81" s="3">
        <f t="shared" si="13"/>
        <v>78.785522124692662</v>
      </c>
      <c r="Y81" s="3">
        <v>2.4627448271919499</v>
      </c>
      <c r="Z81" s="3">
        <v>0.94149007769569937</v>
      </c>
      <c r="AA81" s="3">
        <v>6.8229764221155618</v>
      </c>
      <c r="AB81" s="3">
        <v>33.372645425616454</v>
      </c>
      <c r="AC81" s="3">
        <f t="shared" si="14"/>
        <v>10.899964188154916</v>
      </c>
      <c r="AD81" s="3">
        <v>5.5511076376200137</v>
      </c>
      <c r="AE81" s="87">
        <v>14.865092839693213</v>
      </c>
      <c r="AF81" s="3">
        <v>77.215189873417728</v>
      </c>
      <c r="AG81" s="3">
        <v>43.227473626403778</v>
      </c>
      <c r="AH81" s="3">
        <v>6.5078662354918757</v>
      </c>
      <c r="AI81" s="3">
        <f t="shared" si="15"/>
        <v>29.473346042525321</v>
      </c>
      <c r="AJ81" s="65">
        <f t="shared" si="19"/>
        <v>50.633557003976414</v>
      </c>
      <c r="AK81" s="75">
        <f>AJ81*K值!M82</f>
        <v>53.416600960960544</v>
      </c>
      <c r="AL81" s="3">
        <v>50</v>
      </c>
      <c r="AM81" s="3">
        <v>0</v>
      </c>
      <c r="AN81" s="65">
        <f t="shared" si="20"/>
        <v>25</v>
      </c>
      <c r="AP81" s="76">
        <f t="shared" si="21"/>
        <v>53.62107106132143</v>
      </c>
    </row>
    <row r="82" spans="1:42" x14ac:dyDescent="0.25">
      <c r="A82" s="92" t="s">
        <v>98</v>
      </c>
      <c r="B82" s="3">
        <v>2</v>
      </c>
      <c r="C82" s="7">
        <v>65</v>
      </c>
      <c r="D82" s="7">
        <v>40</v>
      </c>
      <c r="E82" s="7">
        <v>100</v>
      </c>
      <c r="F82" s="6">
        <v>45</v>
      </c>
      <c r="G82" s="74">
        <f t="shared" si="16"/>
        <v>62.5</v>
      </c>
      <c r="H82" s="75">
        <f>G82*K值!M83</f>
        <v>65.935276081786</v>
      </c>
      <c r="I82" s="6">
        <v>75</v>
      </c>
      <c r="J82" s="6">
        <v>60</v>
      </c>
      <c r="K82" s="6">
        <v>25</v>
      </c>
      <c r="L82" s="9">
        <v>100</v>
      </c>
      <c r="M82" s="74">
        <f t="shared" si="17"/>
        <v>65</v>
      </c>
      <c r="N82" s="6">
        <v>100</v>
      </c>
      <c r="O82" s="6">
        <v>65</v>
      </c>
      <c r="P82" s="6">
        <v>100</v>
      </c>
      <c r="Q82" s="6">
        <v>35</v>
      </c>
      <c r="R82" s="74">
        <f t="shared" si="18"/>
        <v>75</v>
      </c>
      <c r="S82" s="3">
        <v>21.675814112128734</v>
      </c>
      <c r="T82" s="3">
        <f t="shared" si="22"/>
        <v>21.675814112128734</v>
      </c>
      <c r="U82" s="3">
        <v>20.372308252530683</v>
      </c>
      <c r="V82" s="3">
        <v>72.493809130927886</v>
      </c>
      <c r="W82" s="3">
        <v>100</v>
      </c>
      <c r="X82" s="3">
        <f t="shared" si="13"/>
        <v>64.288705794486191</v>
      </c>
      <c r="Y82" s="3">
        <v>25.859433613546134</v>
      </c>
      <c r="Z82" s="3">
        <v>2.8411530310740019</v>
      </c>
      <c r="AA82" s="3">
        <v>42.662347078942361</v>
      </c>
      <c r="AB82" s="3">
        <v>38.261471125286654</v>
      </c>
      <c r="AC82" s="3">
        <f t="shared" si="14"/>
        <v>27.406101212212285</v>
      </c>
      <c r="AD82" s="3">
        <v>32.860956985494525</v>
      </c>
      <c r="AE82" s="87">
        <v>0</v>
      </c>
      <c r="AF82" s="3">
        <v>53.164556962025308</v>
      </c>
      <c r="AG82" s="3">
        <v>31.438162637384565</v>
      </c>
      <c r="AH82" s="3">
        <v>100</v>
      </c>
      <c r="AI82" s="3">
        <f t="shared" si="15"/>
        <v>43.492735316980884</v>
      </c>
      <c r="AJ82" s="65">
        <f t="shared" si="19"/>
        <v>39.215839108952025</v>
      </c>
      <c r="AK82" s="75">
        <f>AJ82*K值!M83</f>
        <v>41.371314854842439</v>
      </c>
      <c r="AL82" s="88">
        <v>75</v>
      </c>
      <c r="AM82" s="88">
        <v>50</v>
      </c>
      <c r="AN82" s="65">
        <f t="shared" si="20"/>
        <v>62.5</v>
      </c>
      <c r="AP82" s="76">
        <f t="shared" si="21"/>
        <v>56.485581158294181</v>
      </c>
    </row>
    <row r="83" spans="1:42" x14ac:dyDescent="0.25">
      <c r="A83" s="92" t="s">
        <v>99</v>
      </c>
      <c r="B83" s="3">
        <v>3</v>
      </c>
      <c r="C83" s="7">
        <v>65</v>
      </c>
      <c r="D83" s="7">
        <v>100</v>
      </c>
      <c r="E83" s="7">
        <v>100</v>
      </c>
      <c r="F83" s="6">
        <v>75</v>
      </c>
      <c r="G83" s="74">
        <f t="shared" si="16"/>
        <v>85</v>
      </c>
      <c r="H83" s="75">
        <f>G83*K值!M84</f>
        <v>89.671975471228947</v>
      </c>
      <c r="I83" s="6">
        <v>0</v>
      </c>
      <c r="J83" s="6">
        <v>60</v>
      </c>
      <c r="K83" s="6">
        <v>25</v>
      </c>
      <c r="L83" s="6">
        <v>50</v>
      </c>
      <c r="M83" s="74">
        <f t="shared" si="17"/>
        <v>33.75</v>
      </c>
      <c r="N83" s="6">
        <v>0</v>
      </c>
      <c r="O83" s="6">
        <v>35</v>
      </c>
      <c r="P83" s="6">
        <v>35</v>
      </c>
      <c r="Q83" s="6">
        <v>35</v>
      </c>
      <c r="R83" s="74">
        <f t="shared" si="18"/>
        <v>26.25</v>
      </c>
      <c r="S83" s="3">
        <v>78.172319670565244</v>
      </c>
      <c r="T83" s="3">
        <f t="shared" si="22"/>
        <v>78.172319670565244</v>
      </c>
      <c r="U83" s="3">
        <v>65.892041813480105</v>
      </c>
      <c r="V83" s="3">
        <v>11.221079817331152</v>
      </c>
      <c r="W83" s="3">
        <v>93.413791090993271</v>
      </c>
      <c r="X83" s="3">
        <f t="shared" si="13"/>
        <v>56.842304240601514</v>
      </c>
      <c r="Y83" s="3">
        <v>10.630623763767343</v>
      </c>
      <c r="Z83" s="3" t="s">
        <v>335</v>
      </c>
      <c r="AA83" s="3">
        <v>5.3234211645077458</v>
      </c>
      <c r="AB83" s="3">
        <v>56.789109542046944</v>
      </c>
      <c r="AC83" s="3">
        <f t="shared" si="14"/>
        <v>24.24771815677401</v>
      </c>
      <c r="AD83" s="3">
        <v>2.6103739085300575</v>
      </c>
      <c r="AE83" s="87">
        <v>0</v>
      </c>
      <c r="AF83" s="3">
        <v>12.236286919831224</v>
      </c>
      <c r="AG83" s="3">
        <v>0</v>
      </c>
      <c r="AH83" s="3">
        <v>0</v>
      </c>
      <c r="AI83" s="3">
        <f t="shared" si="15"/>
        <v>2.9693321656722564</v>
      </c>
      <c r="AJ83" s="65">
        <f t="shared" si="19"/>
        <v>40.557918558403252</v>
      </c>
      <c r="AK83" s="75">
        <f>AJ83*K值!M84</f>
        <v>42.787160919214564</v>
      </c>
      <c r="AL83" s="3">
        <v>50</v>
      </c>
      <c r="AM83" s="3">
        <v>0</v>
      </c>
      <c r="AN83" s="65">
        <f t="shared" si="20"/>
        <v>25</v>
      </c>
      <c r="AP83" s="76">
        <f t="shared" si="21"/>
        <v>46.924259461931612</v>
      </c>
    </row>
    <row r="84" spans="1:42" x14ac:dyDescent="0.25">
      <c r="A84" s="92" t="s">
        <v>100</v>
      </c>
      <c r="B84" s="3">
        <v>3</v>
      </c>
      <c r="C84" s="7">
        <v>35</v>
      </c>
      <c r="D84" s="7">
        <v>40</v>
      </c>
      <c r="E84" s="7">
        <v>15</v>
      </c>
      <c r="F84" s="6">
        <v>15</v>
      </c>
      <c r="G84" s="74">
        <f t="shared" si="16"/>
        <v>26.25</v>
      </c>
      <c r="H84" s="75">
        <f>G84*K值!M85</f>
        <v>27.692815954350117</v>
      </c>
      <c r="I84" s="6">
        <v>0</v>
      </c>
      <c r="J84" s="6">
        <v>40</v>
      </c>
      <c r="K84" s="6">
        <v>25</v>
      </c>
      <c r="L84" s="6">
        <v>0</v>
      </c>
      <c r="M84" s="74">
        <f t="shared" si="17"/>
        <v>16.25</v>
      </c>
      <c r="N84" s="6">
        <v>0</v>
      </c>
      <c r="O84" s="6">
        <v>65</v>
      </c>
      <c r="P84" s="6">
        <v>35</v>
      </c>
      <c r="Q84" s="6">
        <v>35</v>
      </c>
      <c r="R84" s="74">
        <f t="shared" si="18"/>
        <v>33.75</v>
      </c>
      <c r="S84" s="3">
        <v>79.488994194308248</v>
      </c>
      <c r="T84" s="3">
        <f t="shared" si="22"/>
        <v>79.488994194308248</v>
      </c>
      <c r="U84" s="3">
        <v>74.793195619869252</v>
      </c>
      <c r="V84" s="3">
        <v>50.365923739048647</v>
      </c>
      <c r="W84" s="3">
        <v>93.309248092437599</v>
      </c>
      <c r="X84" s="3">
        <f t="shared" si="13"/>
        <v>72.82278915045184</v>
      </c>
      <c r="Y84" s="3">
        <v>9.4930293388623497</v>
      </c>
      <c r="Z84" s="3">
        <v>2.2231641665156539</v>
      </c>
      <c r="AA84" s="3">
        <v>7.197865236517516</v>
      </c>
      <c r="AB84" s="3">
        <v>39.697220108130708</v>
      </c>
      <c r="AC84" s="3">
        <f t="shared" si="14"/>
        <v>14.652819712506556</v>
      </c>
      <c r="AD84" s="3">
        <v>4.2652984590169654</v>
      </c>
      <c r="AE84" s="87">
        <v>14.865092839693213</v>
      </c>
      <c r="AF84" s="3">
        <v>68.35443037974683</v>
      </c>
      <c r="AG84" s="3">
        <v>51.087014285749923</v>
      </c>
      <c r="AH84" s="3">
        <v>13.015732470983751</v>
      </c>
      <c r="AI84" s="3">
        <f t="shared" si="15"/>
        <v>30.317513687038137</v>
      </c>
      <c r="AJ84" s="65">
        <f t="shared" si="19"/>
        <v>49.3205291860762</v>
      </c>
      <c r="AK84" s="75">
        <f>AJ84*K值!M85</f>
        <v>52.03140333413949</v>
      </c>
      <c r="AL84" s="3">
        <v>50</v>
      </c>
      <c r="AM84" s="3">
        <v>50</v>
      </c>
      <c r="AN84" s="65">
        <f t="shared" si="20"/>
        <v>50</v>
      </c>
      <c r="AP84" s="76">
        <f t="shared" si="21"/>
        <v>37.976124524525822</v>
      </c>
    </row>
    <row r="85" spans="1:42" x14ac:dyDescent="0.25">
      <c r="A85" s="92" t="s">
        <v>101</v>
      </c>
      <c r="B85" s="3">
        <v>2</v>
      </c>
      <c r="C85" s="7">
        <v>35</v>
      </c>
      <c r="D85" s="7">
        <v>100</v>
      </c>
      <c r="E85" s="7">
        <v>60</v>
      </c>
      <c r="F85" s="6">
        <v>75</v>
      </c>
      <c r="G85" s="74">
        <f t="shared" si="16"/>
        <v>67.5</v>
      </c>
      <c r="H85" s="75">
        <f>G85*K值!M86</f>
        <v>71.210098168328869</v>
      </c>
      <c r="I85" s="6">
        <v>50</v>
      </c>
      <c r="J85" s="6">
        <v>0</v>
      </c>
      <c r="K85" s="6">
        <v>0</v>
      </c>
      <c r="L85" s="6">
        <v>0</v>
      </c>
      <c r="M85" s="74">
        <f t="shared" si="17"/>
        <v>12.5</v>
      </c>
      <c r="N85" s="6">
        <v>0</v>
      </c>
      <c r="O85" s="6">
        <v>0</v>
      </c>
      <c r="P85" s="6">
        <v>35</v>
      </c>
      <c r="Q85" s="6">
        <v>35</v>
      </c>
      <c r="R85" s="74">
        <f t="shared" si="18"/>
        <v>17.5</v>
      </c>
      <c r="S85" s="3">
        <v>55.910976226559391</v>
      </c>
      <c r="T85" s="3">
        <f t="shared" si="22"/>
        <v>55.910976226559391</v>
      </c>
      <c r="U85" s="3">
        <v>50.158240158665457</v>
      </c>
      <c r="V85" s="3">
        <v>43.122114590623731</v>
      </c>
      <c r="W85" s="3">
        <v>100</v>
      </c>
      <c r="X85" s="3">
        <f t="shared" si="13"/>
        <v>64.426784916429725</v>
      </c>
      <c r="Y85" s="3">
        <v>14.623236955486696</v>
      </c>
      <c r="Z85" s="3">
        <v>2.3908625532361816</v>
      </c>
      <c r="AA85" s="3">
        <v>38.313636831879691</v>
      </c>
      <c r="AB85" s="3">
        <v>14.780484355504047</v>
      </c>
      <c r="AC85" s="3">
        <f t="shared" si="14"/>
        <v>17.527055174026653</v>
      </c>
      <c r="AD85" s="3">
        <v>20.562007790742808</v>
      </c>
      <c r="AE85" s="87">
        <v>0</v>
      </c>
      <c r="AF85" s="3">
        <v>80.168776371308013</v>
      </c>
      <c r="AG85" s="3">
        <v>7.8595406593461412</v>
      </c>
      <c r="AH85" s="3">
        <v>34.708619922623342</v>
      </c>
      <c r="AI85" s="3">
        <f t="shared" si="15"/>
        <v>28.65978894880406</v>
      </c>
      <c r="AJ85" s="65">
        <f t="shared" si="19"/>
        <v>41.631151316454954</v>
      </c>
      <c r="AK85" s="75">
        <f>AJ85*K值!M86</f>
        <v>43.919383290449055</v>
      </c>
      <c r="AL85" s="3">
        <v>50</v>
      </c>
      <c r="AM85" s="3">
        <v>0</v>
      </c>
      <c r="AN85" s="65">
        <f t="shared" si="20"/>
        <v>25</v>
      </c>
      <c r="AP85" s="76">
        <f t="shared" si="21"/>
        <v>38.559772949845396</v>
      </c>
    </row>
    <row r="86" spans="1:42" x14ac:dyDescent="0.25">
      <c r="A86" s="92" t="s">
        <v>102</v>
      </c>
      <c r="B86" s="3">
        <v>2</v>
      </c>
      <c r="C86" s="7">
        <v>65</v>
      </c>
      <c r="D86" s="7">
        <v>100</v>
      </c>
      <c r="E86" s="7">
        <v>75</v>
      </c>
      <c r="F86" s="6">
        <v>100</v>
      </c>
      <c r="G86" s="74">
        <f t="shared" si="16"/>
        <v>85</v>
      </c>
      <c r="H86" s="75">
        <f>G86*K值!M87</f>
        <v>89.671975471228947</v>
      </c>
      <c r="I86" s="6">
        <v>25</v>
      </c>
      <c r="J86" s="6">
        <v>40</v>
      </c>
      <c r="K86" s="6">
        <v>25</v>
      </c>
      <c r="L86" s="6">
        <v>50</v>
      </c>
      <c r="M86" s="74">
        <f t="shared" si="17"/>
        <v>35</v>
      </c>
      <c r="N86" s="6">
        <v>65</v>
      </c>
      <c r="O86" s="6">
        <v>65</v>
      </c>
      <c r="P86" s="6">
        <v>65</v>
      </c>
      <c r="Q86" s="6">
        <v>100</v>
      </c>
      <c r="R86" s="74">
        <f t="shared" si="18"/>
        <v>73.75</v>
      </c>
      <c r="S86" s="3">
        <v>55.842344616718641</v>
      </c>
      <c r="T86" s="3">
        <f t="shared" si="22"/>
        <v>55.842344616718641</v>
      </c>
      <c r="U86" s="3">
        <v>44.260556362268765</v>
      </c>
      <c r="V86" s="3">
        <v>51.269479059217048</v>
      </c>
      <c r="W86" s="3">
        <v>100</v>
      </c>
      <c r="X86" s="3">
        <f t="shared" si="13"/>
        <v>65.176678473828602</v>
      </c>
      <c r="Y86" s="3">
        <v>13.833785651996594</v>
      </c>
      <c r="Z86" s="3">
        <v>0.60582492880876659</v>
      </c>
      <c r="AA86" s="3">
        <v>17.169907699609492</v>
      </c>
      <c r="AB86" s="3">
        <v>41.214957623962952</v>
      </c>
      <c r="AC86" s="3">
        <f t="shared" si="14"/>
        <v>18.206118976094452</v>
      </c>
      <c r="AD86" s="3">
        <v>16.567060556687348</v>
      </c>
      <c r="AE86" s="87">
        <v>0</v>
      </c>
      <c r="AF86" s="3">
        <v>82.278481012658233</v>
      </c>
      <c r="AG86" s="3">
        <v>66.806095604442206</v>
      </c>
      <c r="AH86" s="3">
        <v>54.232218629098973</v>
      </c>
      <c r="AI86" s="3">
        <f t="shared" si="15"/>
        <v>43.97677116057735</v>
      </c>
      <c r="AJ86" s="65">
        <f t="shared" si="19"/>
        <v>45.800478306804763</v>
      </c>
      <c r="AK86" s="75">
        <f>AJ86*K值!M87</f>
        <v>48.317874909392359</v>
      </c>
      <c r="AL86" s="3">
        <v>50</v>
      </c>
      <c r="AM86" s="3">
        <v>50</v>
      </c>
      <c r="AN86" s="65">
        <f t="shared" si="20"/>
        <v>50</v>
      </c>
      <c r="AP86" s="76">
        <f t="shared" si="21"/>
        <v>56.636545058002731</v>
      </c>
    </row>
    <row r="87" spans="1:42" x14ac:dyDescent="0.25">
      <c r="A87" s="92" t="s">
        <v>103</v>
      </c>
      <c r="B87" s="3">
        <v>2</v>
      </c>
      <c r="C87" s="7">
        <v>65</v>
      </c>
      <c r="D87" s="7">
        <v>100</v>
      </c>
      <c r="E87" s="7">
        <v>100</v>
      </c>
      <c r="F87" s="6">
        <v>100</v>
      </c>
      <c r="G87" s="74">
        <f t="shared" si="16"/>
        <v>91.25</v>
      </c>
      <c r="H87" s="75">
        <f>G87*K值!M88</f>
        <v>96.265503079407551</v>
      </c>
      <c r="I87" s="6">
        <v>100</v>
      </c>
      <c r="J87" s="6">
        <v>100</v>
      </c>
      <c r="K87" s="6">
        <v>50</v>
      </c>
      <c r="L87" s="6">
        <v>50</v>
      </c>
      <c r="M87" s="74">
        <f t="shared" si="17"/>
        <v>75</v>
      </c>
      <c r="N87" s="6">
        <v>100</v>
      </c>
      <c r="O87" s="6">
        <v>35</v>
      </c>
      <c r="P87" s="6">
        <v>100</v>
      </c>
      <c r="Q87" s="6">
        <v>65</v>
      </c>
      <c r="R87" s="74">
        <f t="shared" si="18"/>
        <v>75</v>
      </c>
      <c r="S87" s="3">
        <v>73.355187354808862</v>
      </c>
      <c r="T87" s="3">
        <f t="shared" si="22"/>
        <v>73.355187354808862</v>
      </c>
      <c r="U87" s="3">
        <v>71.070713686952374</v>
      </c>
      <c r="V87" s="3">
        <v>81.901233739892106</v>
      </c>
      <c r="W87" s="3">
        <v>100</v>
      </c>
      <c r="X87" s="3">
        <f t="shared" si="13"/>
        <v>84.323982475614827</v>
      </c>
      <c r="Y87" s="3">
        <v>17.888917502843267</v>
      </c>
      <c r="Z87" s="3">
        <v>1.6642541670022319</v>
      </c>
      <c r="AA87" s="3">
        <v>15.895285730642847</v>
      </c>
      <c r="AB87" s="3">
        <v>33.785700927968215</v>
      </c>
      <c r="AC87" s="3">
        <f t="shared" si="14"/>
        <v>17.30853958211414</v>
      </c>
      <c r="AD87" s="3">
        <v>6.2680853371133018</v>
      </c>
      <c r="AE87" s="87">
        <v>29.730185679386427</v>
      </c>
      <c r="AF87" s="3">
        <v>61.603375527426167</v>
      </c>
      <c r="AG87" s="3">
        <v>35.367932967057634</v>
      </c>
      <c r="AH87" s="3">
        <v>32.539331177459381</v>
      </c>
      <c r="AI87" s="3">
        <f t="shared" si="15"/>
        <v>33.101782137688581</v>
      </c>
      <c r="AJ87" s="65">
        <f t="shared" si="19"/>
        <v>52.022372887556607</v>
      </c>
      <c r="AK87" s="75">
        <f>AJ87*K值!M88</f>
        <v>54.881752300330618</v>
      </c>
      <c r="AL87" s="3">
        <v>50</v>
      </c>
      <c r="AM87" s="3">
        <v>0</v>
      </c>
      <c r="AN87" s="65">
        <f t="shared" si="20"/>
        <v>25</v>
      </c>
      <c r="AP87" s="76">
        <f t="shared" si="21"/>
        <v>66.205801536013752</v>
      </c>
    </row>
    <row r="88" spans="1:42" x14ac:dyDescent="0.25">
      <c r="A88" s="92" t="s">
        <v>104</v>
      </c>
      <c r="B88" s="3">
        <v>3</v>
      </c>
      <c r="C88" s="7">
        <v>65</v>
      </c>
      <c r="D88" s="7">
        <v>80</v>
      </c>
      <c r="E88" s="7">
        <v>100</v>
      </c>
      <c r="F88" s="6">
        <v>45</v>
      </c>
      <c r="G88" s="74">
        <f t="shared" si="16"/>
        <v>72.5</v>
      </c>
      <c r="H88" s="75">
        <f>G88*K值!M89</f>
        <v>76.484920254871753</v>
      </c>
      <c r="I88" s="6">
        <v>75</v>
      </c>
      <c r="J88" s="6">
        <v>60</v>
      </c>
      <c r="K88" s="6">
        <v>50</v>
      </c>
      <c r="L88" s="6">
        <v>50</v>
      </c>
      <c r="M88" s="74">
        <f t="shared" si="17"/>
        <v>58.75</v>
      </c>
      <c r="N88" s="6">
        <v>100</v>
      </c>
      <c r="O88" s="6">
        <v>100</v>
      </c>
      <c r="P88" s="6">
        <v>100</v>
      </c>
      <c r="Q88" s="6">
        <v>65</v>
      </c>
      <c r="R88" s="74">
        <f t="shared" si="18"/>
        <v>91.25</v>
      </c>
      <c r="S88" s="3">
        <v>71.143639080288935</v>
      </c>
      <c r="T88" s="3">
        <f t="shared" si="22"/>
        <v>71.143639080288935</v>
      </c>
      <c r="U88" s="3">
        <v>57.905488939921781</v>
      </c>
      <c r="V88" s="3">
        <v>54.379676283742299</v>
      </c>
      <c r="W88" s="3">
        <v>99.51213267340691</v>
      </c>
      <c r="X88" s="3">
        <f t="shared" si="13"/>
        <v>70.599099299023663</v>
      </c>
      <c r="Y88" s="3">
        <v>11.9619034463609</v>
      </c>
      <c r="Z88" s="3">
        <v>1.9805600168339277</v>
      </c>
      <c r="AA88" s="3">
        <v>3.8988436697803213</v>
      </c>
      <c r="AB88" s="3">
        <v>56.94750493818411</v>
      </c>
      <c r="AC88" s="3">
        <f t="shared" si="14"/>
        <v>18.697203017789814</v>
      </c>
      <c r="AD88" s="3">
        <v>3.8021071117418757</v>
      </c>
      <c r="AE88" s="87">
        <v>0</v>
      </c>
      <c r="AF88" s="3">
        <v>9.7046413502109701</v>
      </c>
      <c r="AG88" s="3">
        <v>7.8595406593461412</v>
      </c>
      <c r="AH88" s="3">
        <v>13.015732470983751</v>
      </c>
      <c r="AI88" s="3">
        <f t="shared" si="15"/>
        <v>6.8764043184565482</v>
      </c>
      <c r="AJ88" s="65">
        <f t="shared" si="19"/>
        <v>41.829086428889731</v>
      </c>
      <c r="AK88" s="75">
        <f>AJ88*K值!M89</f>
        <v>44.128197791003714</v>
      </c>
      <c r="AL88" s="3">
        <v>50</v>
      </c>
      <c r="AM88" s="3">
        <v>0</v>
      </c>
      <c r="AN88" s="65">
        <f t="shared" si="20"/>
        <v>25</v>
      </c>
      <c r="AP88" s="76">
        <f t="shared" si="21"/>
        <v>56.323263167375842</v>
      </c>
    </row>
    <row r="89" spans="1:42" s="89" customFormat="1" x14ac:dyDescent="0.25">
      <c r="A89" s="93" t="s">
        <v>312</v>
      </c>
      <c r="B89" s="89">
        <v>2</v>
      </c>
      <c r="C89" s="6">
        <v>35</v>
      </c>
      <c r="D89" s="6">
        <v>40</v>
      </c>
      <c r="E89" s="6">
        <v>15</v>
      </c>
      <c r="F89" s="6">
        <v>15</v>
      </c>
      <c r="G89" s="74">
        <f t="shared" si="16"/>
        <v>26.25</v>
      </c>
      <c r="H89" s="75">
        <f>G89*K值!M90</f>
        <v>27.692815954350117</v>
      </c>
      <c r="I89" s="6">
        <v>50</v>
      </c>
      <c r="J89" s="6">
        <v>40</v>
      </c>
      <c r="K89" s="6">
        <v>25</v>
      </c>
      <c r="L89" s="9">
        <v>75</v>
      </c>
      <c r="M89" s="74">
        <f t="shared" si="17"/>
        <v>47.5</v>
      </c>
      <c r="N89" s="9">
        <v>100</v>
      </c>
      <c r="O89" s="9">
        <v>65</v>
      </c>
      <c r="P89" s="9">
        <v>100</v>
      </c>
      <c r="Q89" s="6">
        <v>65</v>
      </c>
      <c r="R89" s="74">
        <f t="shared" si="18"/>
        <v>82.5</v>
      </c>
      <c r="S89" s="89">
        <v>39.144935604917322</v>
      </c>
      <c r="T89" s="3">
        <f t="shared" si="22"/>
        <v>39.144935604917322</v>
      </c>
      <c r="U89" s="89">
        <v>4.6713376252478831</v>
      </c>
      <c r="V89" s="89">
        <v>58.817546631780296</v>
      </c>
      <c r="W89" s="89">
        <v>97.734901697960623</v>
      </c>
      <c r="X89" s="3">
        <f t="shared" si="13"/>
        <v>53.741261984996264</v>
      </c>
      <c r="Y89" s="89">
        <v>65.669109204914264</v>
      </c>
      <c r="Z89" s="89">
        <v>12.329313051364789</v>
      </c>
      <c r="AA89" s="89">
        <v>29.841149626395534</v>
      </c>
      <c r="AB89" s="89">
        <v>27.919690625150402</v>
      </c>
      <c r="AC89" s="3">
        <f t="shared" si="14"/>
        <v>33.939815626956246</v>
      </c>
      <c r="AD89" s="89">
        <v>31.567646732441673</v>
      </c>
      <c r="AE89" s="87">
        <v>44.595278519079642</v>
      </c>
      <c r="AF89" s="89">
        <v>69.198312236286924</v>
      </c>
      <c r="AG89" s="89">
        <v>90.384717582480633</v>
      </c>
      <c r="AH89" s="89">
        <v>43.38577490327917</v>
      </c>
      <c r="AI89" s="3">
        <f t="shared" si="15"/>
        <v>55.826345994713606</v>
      </c>
      <c r="AJ89" s="65">
        <f t="shared" si="19"/>
        <v>45.663089802895861</v>
      </c>
      <c r="AK89" s="75">
        <f>AJ89*K值!M90</f>
        <v>48.172934926421206</v>
      </c>
      <c r="AL89" s="89">
        <v>50</v>
      </c>
      <c r="AM89" s="90">
        <v>25</v>
      </c>
      <c r="AN89" s="65">
        <f t="shared" si="20"/>
        <v>37.5</v>
      </c>
      <c r="AP89" s="76">
        <f t="shared" si="21"/>
        <v>46.30773716143851</v>
      </c>
    </row>
    <row r="90" spans="1:42" s="89" customFormat="1" x14ac:dyDescent="0.25">
      <c r="A90" s="93" t="s">
        <v>105</v>
      </c>
      <c r="B90" s="89">
        <v>4</v>
      </c>
      <c r="C90" s="6">
        <v>65</v>
      </c>
      <c r="D90" s="6">
        <v>80</v>
      </c>
      <c r="E90" s="6">
        <v>75</v>
      </c>
      <c r="F90" s="6">
        <v>30</v>
      </c>
      <c r="G90" s="74">
        <f t="shared" si="16"/>
        <v>62.5</v>
      </c>
      <c r="H90" s="75">
        <f>G90*K值!M91</f>
        <v>65.935276081786</v>
      </c>
      <c r="I90" s="6">
        <v>0</v>
      </c>
      <c r="J90" s="6">
        <v>40</v>
      </c>
      <c r="K90" s="6">
        <v>25</v>
      </c>
      <c r="L90" s="6">
        <v>0</v>
      </c>
      <c r="M90" s="74">
        <f t="shared" si="17"/>
        <v>16.25</v>
      </c>
      <c r="N90" s="6">
        <v>0</v>
      </c>
      <c r="O90" s="6">
        <v>65</v>
      </c>
      <c r="P90" s="6">
        <v>35</v>
      </c>
      <c r="Q90" s="6">
        <v>65</v>
      </c>
      <c r="R90" s="74">
        <f t="shared" si="18"/>
        <v>41.25</v>
      </c>
      <c r="S90" s="89">
        <v>89.566070438518679</v>
      </c>
      <c r="T90" s="3">
        <f t="shared" si="22"/>
        <v>89.566070438518679</v>
      </c>
      <c r="U90" s="89">
        <v>79.43225349545429</v>
      </c>
      <c r="V90" s="89">
        <v>81.541655602274062</v>
      </c>
      <c r="W90" s="89">
        <v>20.129149103473956</v>
      </c>
      <c r="X90" s="3">
        <f t="shared" si="13"/>
        <v>60.367686067067439</v>
      </c>
      <c r="Y90" s="89">
        <v>2.7508210016021581</v>
      </c>
      <c r="Z90" s="89" t="s">
        <v>335</v>
      </c>
      <c r="AA90" s="89">
        <v>7.3478207622782969</v>
      </c>
      <c r="AB90" s="89">
        <v>20.026508322523323</v>
      </c>
      <c r="AC90" s="3">
        <f t="shared" si="14"/>
        <v>10.041716695467926</v>
      </c>
      <c r="AD90" s="89">
        <v>1.6589876324805488</v>
      </c>
      <c r="AE90" s="87">
        <v>0</v>
      </c>
      <c r="AF90" s="89">
        <v>45.991561181434598</v>
      </c>
      <c r="AG90" s="89">
        <v>39.29770329673071</v>
      </c>
      <c r="AH90" s="89">
        <v>6.5078662354918757</v>
      </c>
      <c r="AI90" s="3">
        <f t="shared" si="15"/>
        <v>18.691223669227547</v>
      </c>
      <c r="AJ90" s="65">
        <f t="shared" si="19"/>
        <v>44.666674217570403</v>
      </c>
      <c r="AK90" s="75">
        <f>AJ90*K值!M91</f>
        <v>47.121751939051151</v>
      </c>
      <c r="AL90" s="89">
        <v>25</v>
      </c>
      <c r="AM90" s="89">
        <v>0</v>
      </c>
      <c r="AN90" s="65">
        <f t="shared" si="20"/>
        <v>12.5</v>
      </c>
      <c r="AP90" s="76">
        <f t="shared" si="21"/>
        <v>40.660755991977666</v>
      </c>
    </row>
    <row r="91" spans="1:42" s="89" customFormat="1" x14ac:dyDescent="0.25">
      <c r="A91" s="93" t="s">
        <v>313</v>
      </c>
      <c r="B91" s="89">
        <v>3</v>
      </c>
      <c r="C91" s="6">
        <v>65</v>
      </c>
      <c r="D91" s="6">
        <v>100</v>
      </c>
      <c r="E91" s="6">
        <v>100</v>
      </c>
      <c r="F91" s="6">
        <v>100</v>
      </c>
      <c r="G91" s="74">
        <f t="shared" si="16"/>
        <v>91.25</v>
      </c>
      <c r="H91" s="75">
        <f>G91*K值!M92</f>
        <v>96.265503079407551</v>
      </c>
      <c r="I91" s="6">
        <v>50</v>
      </c>
      <c r="J91" s="6">
        <v>60</v>
      </c>
      <c r="K91" s="6">
        <v>0</v>
      </c>
      <c r="L91" s="6">
        <v>0</v>
      </c>
      <c r="M91" s="74">
        <f t="shared" si="17"/>
        <v>27.5</v>
      </c>
      <c r="N91" s="6">
        <v>65</v>
      </c>
      <c r="O91" s="6">
        <v>35</v>
      </c>
      <c r="P91" s="6">
        <v>35</v>
      </c>
      <c r="Q91" s="6">
        <v>65</v>
      </c>
      <c r="R91" s="74">
        <f t="shared" si="18"/>
        <v>50</v>
      </c>
      <c r="S91" s="89">
        <v>71.013544322208972</v>
      </c>
      <c r="T91" s="3">
        <f t="shared" si="22"/>
        <v>71.013544322208972</v>
      </c>
      <c r="U91" s="89">
        <v>49.503747605927472</v>
      </c>
      <c r="V91" s="89">
        <v>46.511983699963011</v>
      </c>
      <c r="W91" s="89">
        <v>98.01368302744244</v>
      </c>
      <c r="X91" s="3">
        <f t="shared" si="13"/>
        <v>64.676471444444303</v>
      </c>
      <c r="Y91" s="89">
        <v>3.8197674870732286</v>
      </c>
      <c r="Z91" s="89">
        <v>0.85238217627434598</v>
      </c>
      <c r="AA91" s="89">
        <v>17.769729802652616</v>
      </c>
      <c r="AB91" s="89">
        <v>20.016703958078466</v>
      </c>
      <c r="AC91" s="3">
        <f t="shared" si="14"/>
        <v>10.614645856019663</v>
      </c>
      <c r="AD91" s="89">
        <v>4.86225896731347</v>
      </c>
      <c r="AE91" s="87">
        <v>0</v>
      </c>
      <c r="AF91" s="89">
        <v>61.181434599156113</v>
      </c>
      <c r="AG91" s="89">
        <v>100</v>
      </c>
      <c r="AH91" s="89">
        <v>15.185021216147712</v>
      </c>
      <c r="AI91" s="3">
        <f t="shared" si="15"/>
        <v>36.245742956523458</v>
      </c>
      <c r="AJ91" s="65">
        <f t="shared" si="19"/>
        <v>45.637601144799099</v>
      </c>
      <c r="AK91" s="75">
        <f>AJ91*K值!M92</f>
        <v>48.146045299084179</v>
      </c>
      <c r="AL91" s="89">
        <v>50</v>
      </c>
      <c r="AM91" s="89">
        <v>0</v>
      </c>
      <c r="AN91" s="65">
        <f t="shared" si="20"/>
        <v>25</v>
      </c>
      <c r="AP91" s="76">
        <f t="shared" si="21"/>
        <v>51.511518735515182</v>
      </c>
    </row>
    <row r="92" spans="1:42" x14ac:dyDescent="0.25">
      <c r="A92" s="92" t="s">
        <v>106</v>
      </c>
      <c r="B92" s="3">
        <v>2</v>
      </c>
      <c r="C92" s="7">
        <v>65</v>
      </c>
      <c r="D92" s="7">
        <v>100</v>
      </c>
      <c r="E92" s="7">
        <v>75</v>
      </c>
      <c r="F92" s="6">
        <v>45</v>
      </c>
      <c r="G92" s="74">
        <f t="shared" si="16"/>
        <v>71.25</v>
      </c>
      <c r="H92" s="75">
        <f>G92*K值!M93</f>
        <v>75.166214733236032</v>
      </c>
      <c r="I92" s="6">
        <v>25</v>
      </c>
      <c r="J92" s="6">
        <v>40</v>
      </c>
      <c r="K92" s="6">
        <v>25</v>
      </c>
      <c r="L92" s="6">
        <v>25</v>
      </c>
      <c r="M92" s="74">
        <f t="shared" si="17"/>
        <v>28.75</v>
      </c>
      <c r="N92" s="6">
        <v>35</v>
      </c>
      <c r="O92" s="6">
        <v>35</v>
      </c>
      <c r="P92" s="6">
        <v>35</v>
      </c>
      <c r="Q92" s="6">
        <v>35</v>
      </c>
      <c r="R92" s="74">
        <f t="shared" si="18"/>
        <v>35</v>
      </c>
      <c r="S92" s="3">
        <v>66.556489227998895</v>
      </c>
      <c r="T92" s="3">
        <f t="shared" si="22"/>
        <v>66.556489227998895</v>
      </c>
      <c r="U92" s="3">
        <v>66.524593685075985</v>
      </c>
      <c r="V92" s="3">
        <v>54.355089744417981</v>
      </c>
      <c r="W92" s="3">
        <v>99.51213267340691</v>
      </c>
      <c r="X92" s="3">
        <f t="shared" si="13"/>
        <v>73.463938700966949</v>
      </c>
      <c r="Y92" s="3">
        <v>14.874537448057303</v>
      </c>
      <c r="Z92" s="3">
        <v>3.0504423585149238</v>
      </c>
      <c r="AA92" s="3">
        <v>6.0731987933116534</v>
      </c>
      <c r="AB92" s="3">
        <v>41.80288070951697</v>
      </c>
      <c r="AC92" s="3">
        <f t="shared" si="14"/>
        <v>16.450264827350214</v>
      </c>
      <c r="AD92" s="3">
        <v>4.7094245753988151</v>
      </c>
      <c r="AE92" s="87">
        <v>0</v>
      </c>
      <c r="AF92" s="3">
        <v>60.75949367088608</v>
      </c>
      <c r="AG92" s="3">
        <v>19.648851648365355</v>
      </c>
      <c r="AH92" s="3">
        <v>0</v>
      </c>
      <c r="AI92" s="3">
        <f t="shared" si="15"/>
        <v>17.02355397893005</v>
      </c>
      <c r="AJ92" s="65">
        <f t="shared" si="19"/>
        <v>43.373561683811523</v>
      </c>
      <c r="AK92" s="75">
        <f>AJ92*K值!M93</f>
        <v>45.757564228359797</v>
      </c>
      <c r="AL92" s="3">
        <v>50</v>
      </c>
      <c r="AM92" s="3">
        <v>0</v>
      </c>
      <c r="AN92" s="65">
        <f t="shared" si="20"/>
        <v>25</v>
      </c>
      <c r="AP92" s="76">
        <f t="shared" si="21"/>
        <v>45.086268637991125</v>
      </c>
    </row>
    <row r="93" spans="1:42" x14ac:dyDescent="0.25">
      <c r="A93" s="92" t="s">
        <v>107</v>
      </c>
      <c r="B93" s="3">
        <v>3</v>
      </c>
      <c r="C93" s="7">
        <v>65</v>
      </c>
      <c r="D93" s="7">
        <v>100</v>
      </c>
      <c r="E93" s="7">
        <v>100</v>
      </c>
      <c r="F93" s="6">
        <v>75</v>
      </c>
      <c r="G93" s="74">
        <f t="shared" si="16"/>
        <v>85</v>
      </c>
      <c r="H93" s="75">
        <f>G93*K值!M94</f>
        <v>89.671975471228947</v>
      </c>
      <c r="I93" s="6">
        <v>50</v>
      </c>
      <c r="J93" s="6">
        <v>40</v>
      </c>
      <c r="K93" s="6">
        <v>25</v>
      </c>
      <c r="L93" s="6">
        <v>25</v>
      </c>
      <c r="M93" s="74">
        <f t="shared" si="17"/>
        <v>35</v>
      </c>
      <c r="N93" s="6">
        <v>65</v>
      </c>
      <c r="O93" s="6">
        <v>35</v>
      </c>
      <c r="P93" s="6">
        <v>65</v>
      </c>
      <c r="Q93" s="6">
        <v>35</v>
      </c>
      <c r="R93" s="74">
        <f t="shared" si="18"/>
        <v>50</v>
      </c>
      <c r="S93" s="3">
        <v>77.890823733824405</v>
      </c>
      <c r="T93" s="3">
        <f t="shared" si="22"/>
        <v>77.890823733824405</v>
      </c>
      <c r="U93" s="3">
        <v>71.068413282019122</v>
      </c>
      <c r="V93" s="3">
        <v>73.428097625251681</v>
      </c>
      <c r="W93" s="3">
        <v>94.807697738402112</v>
      </c>
      <c r="X93" s="3">
        <f t="shared" si="13"/>
        <v>79.768069548557648</v>
      </c>
      <c r="Y93" s="3">
        <v>4.3959198358936451</v>
      </c>
      <c r="Z93" s="3">
        <v>0.84574532403172997</v>
      </c>
      <c r="AA93" s="3">
        <v>5.6983099789097</v>
      </c>
      <c r="AB93" s="3">
        <v>24.779823456311238</v>
      </c>
      <c r="AC93" s="3">
        <f t="shared" si="14"/>
        <v>8.9299496487865788</v>
      </c>
      <c r="AD93" s="3">
        <v>4.1702848493195113</v>
      </c>
      <c r="AE93" s="87">
        <v>0</v>
      </c>
      <c r="AF93" s="3">
        <v>62.025316455696199</v>
      </c>
      <c r="AG93" s="3">
        <v>39.29770329673071</v>
      </c>
      <c r="AH93" s="3">
        <v>32.539331177459381</v>
      </c>
      <c r="AI93" s="3">
        <f t="shared" si="15"/>
        <v>27.60652715584116</v>
      </c>
      <c r="AJ93" s="65">
        <f t="shared" si="19"/>
        <v>48.548842521752448</v>
      </c>
      <c r="AK93" s="75">
        <f>AJ93*K值!M94</f>
        <v>51.217301361966385</v>
      </c>
      <c r="AL93" s="3">
        <v>50</v>
      </c>
      <c r="AM93" s="3">
        <v>75</v>
      </c>
      <c r="AN93" s="65">
        <f t="shared" si="20"/>
        <v>62.5</v>
      </c>
      <c r="AP93" s="76">
        <f t="shared" si="21"/>
        <v>56.671315639032343</v>
      </c>
    </row>
    <row r="94" spans="1:42" x14ac:dyDescent="0.25">
      <c r="A94" s="92" t="s">
        <v>108</v>
      </c>
      <c r="B94" s="3">
        <v>3</v>
      </c>
      <c r="C94" s="7">
        <v>65</v>
      </c>
      <c r="D94" s="7">
        <v>100</v>
      </c>
      <c r="E94" s="7">
        <v>45</v>
      </c>
      <c r="F94" s="6">
        <v>30</v>
      </c>
      <c r="G94" s="74">
        <f t="shared" si="16"/>
        <v>60</v>
      </c>
      <c r="H94" s="75">
        <f>G94*K值!M95</f>
        <v>63.297865038514558</v>
      </c>
      <c r="I94" s="6">
        <v>75</v>
      </c>
      <c r="J94" s="6">
        <v>40</v>
      </c>
      <c r="K94" s="6">
        <v>25</v>
      </c>
      <c r="L94" s="6">
        <v>50</v>
      </c>
      <c r="M94" s="74">
        <f t="shared" si="17"/>
        <v>47.5</v>
      </c>
      <c r="N94" s="6">
        <v>100</v>
      </c>
      <c r="O94" s="6">
        <v>35</v>
      </c>
      <c r="P94" s="6">
        <v>65</v>
      </c>
      <c r="Q94" s="6">
        <v>65</v>
      </c>
      <c r="R94" s="74">
        <f t="shared" si="18"/>
        <v>66.25</v>
      </c>
      <c r="S94" s="3">
        <v>84.967336868660126</v>
      </c>
      <c r="T94" s="3">
        <f t="shared" si="22"/>
        <v>84.967336868660126</v>
      </c>
      <c r="U94" s="3">
        <v>79.18392476531487</v>
      </c>
      <c r="V94" s="3">
        <v>58.608561047523658</v>
      </c>
      <c r="W94" s="3">
        <v>98.954570014443391</v>
      </c>
      <c r="X94" s="3">
        <f t="shared" si="13"/>
        <v>78.915685275760637</v>
      </c>
      <c r="Y94" s="3">
        <v>1.507802955423643</v>
      </c>
      <c r="Z94" s="3">
        <v>0.60275674465726203</v>
      </c>
      <c r="AA94" s="3">
        <v>8.3975094426037682</v>
      </c>
      <c r="AB94" s="3">
        <v>40.465436484870871</v>
      </c>
      <c r="AC94" s="3">
        <f t="shared" si="14"/>
        <v>12.743376406888887</v>
      </c>
      <c r="AD94" s="3">
        <v>7.7251690489867615</v>
      </c>
      <c r="AE94" s="87">
        <v>0</v>
      </c>
      <c r="AF94" s="3">
        <v>77.215189873417728</v>
      </c>
      <c r="AG94" s="3">
        <v>47.157243956076847</v>
      </c>
      <c r="AH94" s="3">
        <v>6.5078662354918757</v>
      </c>
      <c r="AI94" s="3">
        <f t="shared" si="15"/>
        <v>27.721093822794643</v>
      </c>
      <c r="AJ94" s="65">
        <f t="shared" si="19"/>
        <v>51.086873093526073</v>
      </c>
      <c r="AK94" s="75">
        <f>AJ94*K值!M95</f>
        <v>53.8948333052289</v>
      </c>
      <c r="AL94" s="3">
        <v>25</v>
      </c>
      <c r="AM94" s="3">
        <v>0</v>
      </c>
      <c r="AN94" s="65">
        <f t="shared" si="20"/>
        <v>12.5</v>
      </c>
      <c r="AP94" s="76">
        <f t="shared" si="21"/>
        <v>51.592506329794475</v>
      </c>
    </row>
    <row r="95" spans="1:42" x14ac:dyDescent="0.25">
      <c r="A95" s="92" t="s">
        <v>109</v>
      </c>
      <c r="B95" s="3">
        <v>3</v>
      </c>
      <c r="C95" s="7">
        <v>100</v>
      </c>
      <c r="D95" s="7">
        <v>100</v>
      </c>
      <c r="E95" s="7">
        <v>75</v>
      </c>
      <c r="F95" s="6">
        <v>75</v>
      </c>
      <c r="G95" s="74">
        <f t="shared" si="16"/>
        <v>87.5</v>
      </c>
      <c r="H95" s="75">
        <f>G95*K值!M96</f>
        <v>92.309386514500389</v>
      </c>
      <c r="I95" s="6">
        <v>0</v>
      </c>
      <c r="J95" s="6">
        <v>40</v>
      </c>
      <c r="K95" s="6">
        <v>0</v>
      </c>
      <c r="L95" s="6">
        <v>0</v>
      </c>
      <c r="M95" s="74">
        <f t="shared" si="17"/>
        <v>10</v>
      </c>
      <c r="N95" s="6">
        <v>65</v>
      </c>
      <c r="O95" s="6">
        <v>0</v>
      </c>
      <c r="P95" s="6">
        <v>35</v>
      </c>
      <c r="Q95" s="6">
        <v>35</v>
      </c>
      <c r="R95" s="74">
        <f t="shared" si="18"/>
        <v>33.75</v>
      </c>
      <c r="S95" s="3">
        <v>74.808798500978241</v>
      </c>
      <c r="T95" s="3">
        <f t="shared" si="22"/>
        <v>74.808798500978241</v>
      </c>
      <c r="U95" s="3">
        <v>67.123993242835596</v>
      </c>
      <c r="V95" s="3">
        <v>73.360484642109824</v>
      </c>
      <c r="W95" s="3">
        <v>96.619776380033585</v>
      </c>
      <c r="X95" s="3">
        <f t="shared" si="13"/>
        <v>79.034751421659664</v>
      </c>
      <c r="Y95" s="3">
        <v>5.2344053818365488</v>
      </c>
      <c r="Z95" s="3">
        <v>1.1590917905683571</v>
      </c>
      <c r="AA95" s="3">
        <v>5.9232432675508724</v>
      </c>
      <c r="AB95" s="3">
        <v>30.015477807262258</v>
      </c>
      <c r="AC95" s="3">
        <f t="shared" si="14"/>
        <v>10.583054561804509</v>
      </c>
      <c r="AD95" s="3">
        <v>6.7684695118686449</v>
      </c>
      <c r="AE95" s="87">
        <v>0</v>
      </c>
      <c r="AF95" s="3">
        <v>51.054852320675103</v>
      </c>
      <c r="AG95" s="3">
        <v>7.8595406593461412</v>
      </c>
      <c r="AH95" s="3">
        <v>8.6771549806558355</v>
      </c>
      <c r="AI95" s="3">
        <f t="shared" si="15"/>
        <v>14.872003494509148</v>
      </c>
      <c r="AJ95" s="65">
        <f t="shared" si="19"/>
        <v>44.824651994737899</v>
      </c>
      <c r="AK95" s="75">
        <f>AJ95*K值!M96</f>
        <v>47.288412872688362</v>
      </c>
      <c r="AL95" s="3">
        <v>25</v>
      </c>
      <c r="AM95" s="3">
        <v>0</v>
      </c>
      <c r="AN95" s="65">
        <f t="shared" si="20"/>
        <v>12.5</v>
      </c>
      <c r="AP95" s="76">
        <f t="shared" si="21"/>
        <v>44.00224245197542</v>
      </c>
    </row>
    <row r="96" spans="1:42" x14ac:dyDescent="0.25">
      <c r="A96" s="92" t="s">
        <v>110</v>
      </c>
      <c r="B96" s="3">
        <v>3</v>
      </c>
      <c r="C96" s="7">
        <v>65</v>
      </c>
      <c r="D96" s="7">
        <v>80</v>
      </c>
      <c r="E96" s="7">
        <v>75</v>
      </c>
      <c r="F96" s="6">
        <v>60</v>
      </c>
      <c r="G96" s="74">
        <f t="shared" si="16"/>
        <v>70</v>
      </c>
      <c r="H96" s="75">
        <f>G96*K值!M97</f>
        <v>73.847509211600311</v>
      </c>
      <c r="I96" s="6">
        <v>50</v>
      </c>
      <c r="J96" s="6">
        <v>60</v>
      </c>
      <c r="K96" s="6">
        <v>25</v>
      </c>
      <c r="L96" s="6">
        <v>50</v>
      </c>
      <c r="M96" s="74">
        <f t="shared" si="17"/>
        <v>46.25</v>
      </c>
      <c r="N96" s="6">
        <v>100</v>
      </c>
      <c r="O96" s="6">
        <v>35</v>
      </c>
      <c r="P96" s="6">
        <v>100</v>
      </c>
      <c r="Q96" s="6">
        <v>100</v>
      </c>
      <c r="R96" s="74">
        <f t="shared" si="18"/>
        <v>83.75</v>
      </c>
      <c r="S96" s="3">
        <v>77.232632112702746</v>
      </c>
      <c r="T96" s="3">
        <f t="shared" si="22"/>
        <v>77.232632112702746</v>
      </c>
      <c r="U96" s="3">
        <v>66.941238158359027</v>
      </c>
      <c r="V96" s="3">
        <v>80.137149543372843</v>
      </c>
      <c r="W96" s="3">
        <v>100</v>
      </c>
      <c r="X96" s="3">
        <f t="shared" si="13"/>
        <v>82.359462567243952</v>
      </c>
      <c r="Y96" s="3">
        <v>16.123684774542419</v>
      </c>
      <c r="Z96" s="3">
        <v>0.21832705191556664</v>
      </c>
      <c r="AA96" s="3">
        <v>16.120219019284018</v>
      </c>
      <c r="AB96" s="3">
        <v>17.745625668426243</v>
      </c>
      <c r="AC96" s="3">
        <f t="shared" si="14"/>
        <v>12.55196412854206</v>
      </c>
      <c r="AD96" s="3">
        <v>6.0961857143054088</v>
      </c>
      <c r="AE96" s="87">
        <v>0</v>
      </c>
      <c r="AF96" s="3">
        <v>68.35443037974683</v>
      </c>
      <c r="AG96" s="3">
        <v>47.157243956076847</v>
      </c>
      <c r="AH96" s="3">
        <v>8.6771549806558355</v>
      </c>
      <c r="AI96" s="3">
        <f t="shared" si="15"/>
        <v>26.057003006156986</v>
      </c>
      <c r="AJ96" s="65">
        <f t="shared" si="19"/>
        <v>49.550265453661432</v>
      </c>
      <c r="AK96" s="75">
        <f>AJ96*K值!M97</f>
        <v>52.273766921807194</v>
      </c>
      <c r="AL96" s="3">
        <v>50</v>
      </c>
      <c r="AM96" s="3">
        <v>0</v>
      </c>
      <c r="AN96" s="65">
        <f t="shared" si="20"/>
        <v>25</v>
      </c>
      <c r="AP96" s="76">
        <f t="shared" si="21"/>
        <v>55.804008611042939</v>
      </c>
    </row>
    <row r="97" spans="1:42" x14ac:dyDescent="0.25">
      <c r="A97" s="92" t="s">
        <v>111</v>
      </c>
      <c r="B97" s="3">
        <v>2</v>
      </c>
      <c r="C97" s="7">
        <v>65</v>
      </c>
      <c r="D97" s="7">
        <v>100</v>
      </c>
      <c r="E97" s="7">
        <v>75</v>
      </c>
      <c r="F97" s="6">
        <v>60</v>
      </c>
      <c r="G97" s="74">
        <f t="shared" si="16"/>
        <v>75</v>
      </c>
      <c r="H97" s="75">
        <f>G97*K值!M98</f>
        <v>79.122331298143195</v>
      </c>
      <c r="I97" s="6">
        <v>50</v>
      </c>
      <c r="J97" s="6">
        <v>60</v>
      </c>
      <c r="K97" s="6">
        <v>50</v>
      </c>
      <c r="L97" s="6">
        <v>50</v>
      </c>
      <c r="M97" s="74">
        <f t="shared" si="17"/>
        <v>52.5</v>
      </c>
      <c r="N97" s="6">
        <v>65</v>
      </c>
      <c r="O97" s="6">
        <v>35</v>
      </c>
      <c r="P97" s="6">
        <v>65</v>
      </c>
      <c r="Q97" s="6">
        <v>65</v>
      </c>
      <c r="R97" s="74">
        <f t="shared" si="18"/>
        <v>57.5</v>
      </c>
      <c r="S97" s="3">
        <v>48.034584901809382</v>
      </c>
      <c r="T97" s="3">
        <f t="shared" si="22"/>
        <v>48.034584901809382</v>
      </c>
      <c r="U97" s="3">
        <v>51.151488527399302</v>
      </c>
      <c r="V97" s="3">
        <v>51.862629320416033</v>
      </c>
      <c r="W97" s="3">
        <v>98.083378359812869</v>
      </c>
      <c r="X97" s="3">
        <f t="shared" si="13"/>
        <v>67.032498735876061</v>
      </c>
      <c r="Y97" s="3">
        <v>6.9432487313166771</v>
      </c>
      <c r="Z97" s="3">
        <v>1.0727764444622028</v>
      </c>
      <c r="AA97" s="3">
        <v>9.7471091744508023</v>
      </c>
      <c r="AB97" s="3">
        <v>95.01261115358588</v>
      </c>
      <c r="AC97" s="3">
        <f t="shared" si="14"/>
        <v>28.193936375953889</v>
      </c>
      <c r="AD97" s="3">
        <v>5.0663507013017517</v>
      </c>
      <c r="AE97" s="87">
        <v>0</v>
      </c>
      <c r="AF97" s="3">
        <v>28.691983122362867</v>
      </c>
      <c r="AG97" s="3">
        <v>7.8595406593461412</v>
      </c>
      <c r="AH97" s="3">
        <v>6.5078662354918757</v>
      </c>
      <c r="AI97" s="3">
        <f t="shared" si="15"/>
        <v>9.6251481437005282</v>
      </c>
      <c r="AJ97" s="65">
        <f t="shared" si="19"/>
        <v>38.221542039334963</v>
      </c>
      <c r="AK97" s="75">
        <f>AJ97*K值!M98</f>
        <v>40.322366826162245</v>
      </c>
      <c r="AL97" s="3">
        <v>50</v>
      </c>
      <c r="AM97" s="3">
        <v>0</v>
      </c>
      <c r="AN97" s="65">
        <f t="shared" si="20"/>
        <v>25</v>
      </c>
      <c r="AP97" s="76">
        <f t="shared" si="21"/>
        <v>50.70341299009354</v>
      </c>
    </row>
    <row r="98" spans="1:42" x14ac:dyDescent="0.25">
      <c r="A98" s="92" t="s">
        <v>112</v>
      </c>
      <c r="B98" s="3">
        <v>2</v>
      </c>
      <c r="C98" s="7">
        <v>65</v>
      </c>
      <c r="D98" s="7">
        <v>100</v>
      </c>
      <c r="E98" s="7">
        <v>75</v>
      </c>
      <c r="F98" s="6">
        <v>75</v>
      </c>
      <c r="G98" s="74">
        <f t="shared" si="16"/>
        <v>78.75</v>
      </c>
      <c r="H98" s="75">
        <f>G98*K值!M99</f>
        <v>83.078447863050357</v>
      </c>
      <c r="I98" s="6">
        <v>0</v>
      </c>
      <c r="J98" s="6">
        <v>40</v>
      </c>
      <c r="K98" s="6">
        <v>25</v>
      </c>
      <c r="L98" s="6">
        <v>0</v>
      </c>
      <c r="M98" s="74">
        <f t="shared" si="17"/>
        <v>16.25</v>
      </c>
      <c r="N98" s="6">
        <v>0</v>
      </c>
      <c r="O98" s="6">
        <v>35</v>
      </c>
      <c r="P98" s="6">
        <v>65</v>
      </c>
      <c r="Q98" s="6">
        <v>35</v>
      </c>
      <c r="R98" s="74">
        <f t="shared" si="18"/>
        <v>33.75</v>
      </c>
      <c r="S98" s="3">
        <v>91.975465604372857</v>
      </c>
      <c r="T98" s="3">
        <f t="shared" si="22"/>
        <v>91.975465604372857</v>
      </c>
      <c r="U98" s="3">
        <v>99.900378353627232</v>
      </c>
      <c r="V98" s="3">
        <v>37.129145630323102</v>
      </c>
      <c r="W98" s="3">
        <v>95.191022066439544</v>
      </c>
      <c r="X98" s="3">
        <f t="shared" si="13"/>
        <v>77.406848683463295</v>
      </c>
      <c r="Y98" s="3">
        <v>11.854028112964738</v>
      </c>
      <c r="Z98" s="3">
        <v>1.2171696877340694</v>
      </c>
      <c r="AA98" s="3">
        <v>12.071419823742916</v>
      </c>
      <c r="AB98" s="3">
        <v>42.334765561339857</v>
      </c>
      <c r="AC98" s="3">
        <f t="shared" si="14"/>
        <v>16.869345796445394</v>
      </c>
      <c r="AD98" s="3">
        <v>12.042662484383577</v>
      </c>
      <c r="AE98" s="87">
        <v>0</v>
      </c>
      <c r="AF98" s="3">
        <v>52.320675105485236</v>
      </c>
      <c r="AG98" s="3">
        <v>15.719081318692282</v>
      </c>
      <c r="AH98" s="3">
        <v>15.185021216147712</v>
      </c>
      <c r="AI98" s="3">
        <f t="shared" si="15"/>
        <v>19.053488024941764</v>
      </c>
      <c r="AJ98" s="65">
        <f t="shared" si="19"/>
        <v>51.326287027305831</v>
      </c>
      <c r="AK98" s="75">
        <f>AJ98*K值!M99</f>
        <v>54.147406486374415</v>
      </c>
      <c r="AL98" s="3">
        <v>25</v>
      </c>
      <c r="AM98" s="3">
        <v>0</v>
      </c>
      <c r="AN98" s="65">
        <f t="shared" si="20"/>
        <v>12.5</v>
      </c>
      <c r="AP98" s="76">
        <f t="shared" si="21"/>
        <v>46.149652167159843</v>
      </c>
    </row>
    <row r="99" spans="1:42" x14ac:dyDescent="0.25">
      <c r="A99" s="92" t="s">
        <v>113</v>
      </c>
      <c r="B99" s="3">
        <v>2</v>
      </c>
      <c r="C99" s="7">
        <v>100</v>
      </c>
      <c r="D99" s="7">
        <v>100</v>
      </c>
      <c r="E99" s="7">
        <v>60</v>
      </c>
      <c r="F99" s="6">
        <v>60</v>
      </c>
      <c r="G99" s="74">
        <f t="shared" si="16"/>
        <v>80</v>
      </c>
      <c r="H99" s="75">
        <f>G99*K值!M100</f>
        <v>84.397153384686078</v>
      </c>
      <c r="I99" s="6">
        <v>25</v>
      </c>
      <c r="J99" s="6">
        <v>60</v>
      </c>
      <c r="K99" s="6">
        <v>50</v>
      </c>
      <c r="L99" s="6">
        <v>50</v>
      </c>
      <c r="M99" s="74">
        <f t="shared" si="17"/>
        <v>46.25</v>
      </c>
      <c r="N99" s="6">
        <v>65</v>
      </c>
      <c r="O99" s="6">
        <v>65</v>
      </c>
      <c r="P99" s="6">
        <v>100</v>
      </c>
      <c r="Q99" s="6">
        <v>100</v>
      </c>
      <c r="R99" s="74">
        <f t="shared" si="18"/>
        <v>82.5</v>
      </c>
      <c r="S99" s="3">
        <v>51.804709448853636</v>
      </c>
      <c r="T99" s="3">
        <f t="shared" si="22"/>
        <v>51.804709448853636</v>
      </c>
      <c r="U99" s="3">
        <v>64.939151359761254</v>
      </c>
      <c r="V99" s="3">
        <v>57.403820620632459</v>
      </c>
      <c r="W99" s="3">
        <v>99.407589674851238</v>
      </c>
      <c r="X99" s="3">
        <f t="shared" si="13"/>
        <v>73.91685388508165</v>
      </c>
      <c r="Y99" s="3">
        <v>13.924499000534277</v>
      </c>
      <c r="Z99" s="3">
        <v>0.63780512721061811</v>
      </c>
      <c r="AA99" s="3">
        <v>12.896175215427217</v>
      </c>
      <c r="AB99" s="3">
        <v>53.819446301575049</v>
      </c>
      <c r="AC99" s="3">
        <f t="shared" si="14"/>
        <v>20.319481411186789</v>
      </c>
      <c r="AD99" s="3">
        <v>6.0771204834121688</v>
      </c>
      <c r="AE99" s="87">
        <v>14.865092839693213</v>
      </c>
      <c r="AF99" s="3">
        <v>66.244725738396625</v>
      </c>
      <c r="AG99" s="3">
        <v>11.789310989019212</v>
      </c>
      <c r="AH99" s="3">
        <v>15.185021216147712</v>
      </c>
      <c r="AI99" s="3">
        <f t="shared" si="15"/>
        <v>22.832254253333787</v>
      </c>
      <c r="AJ99" s="65">
        <f t="shared" si="19"/>
        <v>42.218324749613963</v>
      </c>
      <c r="AK99" s="75">
        <f>AJ99*K值!M100</f>
        <v>44.538830369220726</v>
      </c>
      <c r="AL99" s="3">
        <v>50</v>
      </c>
      <c r="AM99" s="3">
        <v>0</v>
      </c>
      <c r="AN99" s="65">
        <f t="shared" si="20"/>
        <v>25</v>
      </c>
      <c r="AP99" s="76">
        <f t="shared" si="21"/>
        <v>54.694962824625506</v>
      </c>
    </row>
    <row r="100" spans="1:42" x14ac:dyDescent="0.25">
      <c r="A100" s="92" t="s">
        <v>114</v>
      </c>
      <c r="B100" s="3">
        <v>2</v>
      </c>
      <c r="C100" s="7">
        <v>65</v>
      </c>
      <c r="D100" s="7">
        <v>100</v>
      </c>
      <c r="E100" s="7">
        <v>100</v>
      </c>
      <c r="F100" s="6">
        <v>75</v>
      </c>
      <c r="G100" s="74">
        <f t="shared" si="16"/>
        <v>85</v>
      </c>
      <c r="H100" s="75">
        <f>G100*K值!M101</f>
        <v>89.671975471228947</v>
      </c>
      <c r="I100" s="6">
        <v>50</v>
      </c>
      <c r="J100" s="6">
        <v>60</v>
      </c>
      <c r="K100" s="6">
        <v>25</v>
      </c>
      <c r="L100" s="6">
        <v>0</v>
      </c>
      <c r="M100" s="74">
        <f t="shared" si="17"/>
        <v>33.75</v>
      </c>
      <c r="N100" s="6">
        <v>65</v>
      </c>
      <c r="O100" s="6">
        <v>65</v>
      </c>
      <c r="P100" s="6">
        <v>35</v>
      </c>
      <c r="Q100" s="6">
        <v>65</v>
      </c>
      <c r="R100" s="74">
        <f t="shared" si="18"/>
        <v>57.5</v>
      </c>
      <c r="S100" s="3">
        <v>74.750266577323472</v>
      </c>
      <c r="T100" s="3">
        <f t="shared" si="22"/>
        <v>74.750266577323472</v>
      </c>
      <c r="U100" s="3">
        <v>75.070036911753306</v>
      </c>
      <c r="V100" s="3">
        <v>69.125453243497375</v>
      </c>
      <c r="W100" s="3">
        <v>98.745484017332046</v>
      </c>
      <c r="X100" s="3">
        <f t="shared" si="13"/>
        <v>80.980324724194247</v>
      </c>
      <c r="Y100" s="3">
        <v>4.7820644952094558</v>
      </c>
      <c r="Z100" s="3">
        <v>1.1656198419545369</v>
      </c>
      <c r="AA100" s="3">
        <v>6.5980431334743894</v>
      </c>
      <c r="AB100" s="3">
        <v>48.886566684056149</v>
      </c>
      <c r="AC100" s="3">
        <f t="shared" si="14"/>
        <v>15.358073538673633</v>
      </c>
      <c r="AD100" s="3">
        <v>8.7525037038404854</v>
      </c>
      <c r="AE100" s="87">
        <v>0</v>
      </c>
      <c r="AF100" s="3">
        <v>70.886075949367083</v>
      </c>
      <c r="AG100" s="3">
        <v>23.578621978038424</v>
      </c>
      <c r="AH100" s="3">
        <v>8.6771549806558355</v>
      </c>
      <c r="AI100" s="3">
        <f t="shared" si="15"/>
        <v>22.378871322380366</v>
      </c>
      <c r="AJ100" s="65">
        <f t="shared" si="19"/>
        <v>48.366884040642937</v>
      </c>
      <c r="AK100" s="75">
        <f>AJ100*K值!M101</f>
        <v>51.025341638968335</v>
      </c>
      <c r="AL100" s="3">
        <v>50</v>
      </c>
      <c r="AM100" s="3">
        <v>0</v>
      </c>
      <c r="AN100" s="65">
        <f t="shared" si="20"/>
        <v>25</v>
      </c>
      <c r="AP100" s="76">
        <f t="shared" si="21"/>
        <v>53.344531749833124</v>
      </c>
    </row>
    <row r="101" spans="1:42" x14ac:dyDescent="0.25">
      <c r="A101" s="92" t="s">
        <v>115</v>
      </c>
      <c r="B101" s="3">
        <v>2</v>
      </c>
      <c r="C101" s="7">
        <v>65</v>
      </c>
      <c r="D101" s="7">
        <v>100</v>
      </c>
      <c r="E101" s="7">
        <v>75</v>
      </c>
      <c r="F101" s="6">
        <v>75</v>
      </c>
      <c r="G101" s="74">
        <f t="shared" si="16"/>
        <v>78.75</v>
      </c>
      <c r="H101" s="75">
        <f>G101*K值!M102</f>
        <v>83.078447863050357</v>
      </c>
      <c r="I101" s="6">
        <v>0</v>
      </c>
      <c r="J101" s="6">
        <v>40</v>
      </c>
      <c r="K101" s="6">
        <v>50</v>
      </c>
      <c r="L101" s="6">
        <v>25</v>
      </c>
      <c r="M101" s="74">
        <f t="shared" si="17"/>
        <v>28.75</v>
      </c>
      <c r="N101" s="6">
        <v>0</v>
      </c>
      <c r="O101" s="6">
        <v>35</v>
      </c>
      <c r="P101" s="6">
        <v>35</v>
      </c>
      <c r="Q101" s="6">
        <v>35</v>
      </c>
      <c r="R101" s="74">
        <f t="shared" si="18"/>
        <v>26.25</v>
      </c>
      <c r="S101" s="3">
        <v>63.830079273409169</v>
      </c>
      <c r="T101" s="3">
        <f t="shared" si="22"/>
        <v>63.830079273409169</v>
      </c>
      <c r="U101" s="3">
        <v>44.208305425425181</v>
      </c>
      <c r="V101" s="3">
        <v>35.678539810188788</v>
      </c>
      <c r="W101" s="3">
        <v>97.421272702293678</v>
      </c>
      <c r="X101" s="3">
        <f t="shared" si="13"/>
        <v>59.102705979302549</v>
      </c>
      <c r="Y101" s="3">
        <v>6.5742660568593472</v>
      </c>
      <c r="Z101" s="3">
        <v>1.233511576370806</v>
      </c>
      <c r="AA101" s="3">
        <v>28.041683317266152</v>
      </c>
      <c r="AB101" s="3">
        <v>12.477982974657175</v>
      </c>
      <c r="AC101" s="3">
        <f t="shared" si="14"/>
        <v>12.08186098128837</v>
      </c>
      <c r="AD101" s="3">
        <v>9.8682885282480886</v>
      </c>
      <c r="AE101" s="87">
        <v>0</v>
      </c>
      <c r="AF101" s="3">
        <v>45.569620253164558</v>
      </c>
      <c r="AG101" s="3">
        <v>31.438162637384565</v>
      </c>
      <c r="AH101" s="3">
        <v>13.015732470983751</v>
      </c>
      <c r="AI101" s="3">
        <f t="shared" si="15"/>
        <v>19.97836077795619</v>
      </c>
      <c r="AJ101" s="65">
        <f t="shared" si="19"/>
        <v>38.74825175298907</v>
      </c>
      <c r="AK101" s="75">
        <f>AJ101*K值!M102</f>
        <v>40.87802683231812</v>
      </c>
      <c r="AL101" s="3">
        <v>50</v>
      </c>
      <c r="AM101" s="3">
        <v>0</v>
      </c>
      <c r="AN101" s="65">
        <f t="shared" si="20"/>
        <v>25</v>
      </c>
      <c r="AP101" s="76">
        <f t="shared" si="21"/>
        <v>43.841900305537322</v>
      </c>
    </row>
    <row r="102" spans="1:42" x14ac:dyDescent="0.25">
      <c r="A102" s="92" t="s">
        <v>116</v>
      </c>
      <c r="B102" s="3">
        <v>3</v>
      </c>
      <c r="C102" s="7">
        <v>65</v>
      </c>
      <c r="D102" s="7">
        <v>100</v>
      </c>
      <c r="E102" s="7">
        <v>75</v>
      </c>
      <c r="F102" s="6">
        <v>75</v>
      </c>
      <c r="G102" s="74">
        <f t="shared" si="16"/>
        <v>78.75</v>
      </c>
      <c r="H102" s="75">
        <f>G102*K值!M103</f>
        <v>83.078447863050357</v>
      </c>
      <c r="I102" s="6">
        <v>50</v>
      </c>
      <c r="J102" s="6">
        <v>40</v>
      </c>
      <c r="K102" s="6">
        <v>25</v>
      </c>
      <c r="L102" s="6">
        <v>50</v>
      </c>
      <c r="M102" s="74">
        <f t="shared" si="17"/>
        <v>41.25</v>
      </c>
      <c r="N102" s="6">
        <v>100</v>
      </c>
      <c r="O102" s="6">
        <v>35</v>
      </c>
      <c r="P102" s="6">
        <v>65</v>
      </c>
      <c r="Q102" s="6">
        <v>0</v>
      </c>
      <c r="R102" s="74">
        <f t="shared" si="18"/>
        <v>50</v>
      </c>
      <c r="S102" s="3">
        <v>73.325929092259798</v>
      </c>
      <c r="T102" s="3">
        <f t="shared" ref="T102:T133" si="23">AVERAGE(S102)</f>
        <v>73.325929092259798</v>
      </c>
      <c r="U102" s="3">
        <v>66.18452765410359</v>
      </c>
      <c r="V102" s="3">
        <v>77.653909071617505</v>
      </c>
      <c r="W102" s="3">
        <v>100</v>
      </c>
      <c r="X102" s="3">
        <f t="shared" si="13"/>
        <v>81.279478908573694</v>
      </c>
      <c r="Y102" s="3">
        <v>8.9279096945938132</v>
      </c>
      <c r="Z102" s="3">
        <v>0.40822081334910598</v>
      </c>
      <c r="AA102" s="3">
        <v>8.3225316797233777</v>
      </c>
      <c r="AB102" s="3">
        <v>42.531550754555489</v>
      </c>
      <c r="AC102" s="3">
        <f t="shared" si="14"/>
        <v>15.047553235555446</v>
      </c>
      <c r="AD102" s="3">
        <v>8.1883603962618494</v>
      </c>
      <c r="AE102" s="87">
        <v>0</v>
      </c>
      <c r="AF102" s="3">
        <v>53.586497890295362</v>
      </c>
      <c r="AG102" s="3">
        <v>70.735865934115267</v>
      </c>
      <c r="AH102" s="3">
        <v>0</v>
      </c>
      <c r="AI102" s="3">
        <f t="shared" si="15"/>
        <v>26.502144844134495</v>
      </c>
      <c r="AJ102" s="65">
        <f t="shared" si="19"/>
        <v>49.038776520130867</v>
      </c>
      <c r="AK102" s="75">
        <f>AJ102*K值!M103</f>
        <v>51.734164297085336</v>
      </c>
      <c r="AL102" s="3">
        <v>50</v>
      </c>
      <c r="AM102" s="3">
        <v>0</v>
      </c>
      <c r="AN102" s="65">
        <f t="shared" si="20"/>
        <v>25</v>
      </c>
      <c r="AP102" s="76">
        <f t="shared" si="21"/>
        <v>53.059355291444206</v>
      </c>
    </row>
    <row r="103" spans="1:42" x14ac:dyDescent="0.25">
      <c r="A103" s="92" t="s">
        <v>117</v>
      </c>
      <c r="B103" s="3">
        <v>2</v>
      </c>
      <c r="C103" s="7">
        <v>100</v>
      </c>
      <c r="D103" s="7">
        <v>100</v>
      </c>
      <c r="E103" s="7">
        <v>100</v>
      </c>
      <c r="F103" s="6">
        <v>100</v>
      </c>
      <c r="G103" s="74">
        <f t="shared" si="16"/>
        <v>100</v>
      </c>
      <c r="H103" s="75">
        <f>G103*K值!M104</f>
        <v>105.4964417308576</v>
      </c>
      <c r="I103" s="6">
        <v>50</v>
      </c>
      <c r="J103" s="6">
        <v>60</v>
      </c>
      <c r="K103" s="6">
        <v>25</v>
      </c>
      <c r="L103" s="6">
        <v>25</v>
      </c>
      <c r="M103" s="74">
        <f t="shared" si="17"/>
        <v>40</v>
      </c>
      <c r="N103" s="6">
        <v>100</v>
      </c>
      <c r="O103" s="6">
        <v>35</v>
      </c>
      <c r="P103" s="6">
        <v>65</v>
      </c>
      <c r="Q103" s="6">
        <v>35</v>
      </c>
      <c r="R103" s="74">
        <f t="shared" si="18"/>
        <v>58.75</v>
      </c>
      <c r="S103" s="3">
        <v>51.536434479487667</v>
      </c>
      <c r="T103" s="3">
        <f t="shared" si="23"/>
        <v>51.536434479487667</v>
      </c>
      <c r="U103" s="3">
        <v>50.344772903853126</v>
      </c>
      <c r="V103" s="3">
        <v>84.375254259400805</v>
      </c>
      <c r="W103" s="3">
        <v>100</v>
      </c>
      <c r="X103" s="3">
        <f t="shared" si="13"/>
        <v>78.240009054417968</v>
      </c>
      <c r="Y103" s="3">
        <v>7.7731532848303404</v>
      </c>
      <c r="Z103" s="3">
        <v>8.3413989934518817E-2</v>
      </c>
      <c r="AA103" s="3">
        <v>20.468929266346684</v>
      </c>
      <c r="AB103" s="3">
        <v>32.332041545446039</v>
      </c>
      <c r="AC103" s="3">
        <f t="shared" si="14"/>
        <v>15.164384521639395</v>
      </c>
      <c r="AD103" s="3">
        <v>12.092669647382239</v>
      </c>
      <c r="AE103" s="87">
        <v>44.595278519079642</v>
      </c>
      <c r="AF103" s="3">
        <v>68.35443037974683</v>
      </c>
      <c r="AG103" s="3">
        <v>11.789310989019212</v>
      </c>
      <c r="AH103" s="3">
        <v>52.062929883935006</v>
      </c>
      <c r="AI103" s="3">
        <f t="shared" si="15"/>
        <v>37.778923883832583</v>
      </c>
      <c r="AJ103" s="65">
        <f t="shared" si="19"/>
        <v>45.679937984844408</v>
      </c>
      <c r="AK103" s="75">
        <f>AJ103*K值!M104</f>
        <v>48.190709158873261</v>
      </c>
      <c r="AL103" s="3">
        <v>25</v>
      </c>
      <c r="AM103" s="3">
        <v>0</v>
      </c>
      <c r="AN103" s="65">
        <f t="shared" si="20"/>
        <v>12.5</v>
      </c>
      <c r="AP103" s="76">
        <f t="shared" si="21"/>
        <v>55.500572009720827</v>
      </c>
    </row>
    <row r="104" spans="1:42" x14ac:dyDescent="0.25">
      <c r="A104" s="92" t="s">
        <v>118</v>
      </c>
      <c r="B104" s="3">
        <v>4</v>
      </c>
      <c r="C104" s="7">
        <v>65</v>
      </c>
      <c r="D104" s="7">
        <v>60</v>
      </c>
      <c r="E104" s="7">
        <v>75</v>
      </c>
      <c r="F104" s="6">
        <v>15</v>
      </c>
      <c r="G104" s="74">
        <f t="shared" si="16"/>
        <v>53.75</v>
      </c>
      <c r="H104" s="75">
        <f>G104*K值!M105</f>
        <v>56.704337430335954</v>
      </c>
      <c r="I104" s="6">
        <v>0</v>
      </c>
      <c r="J104" s="6">
        <v>60</v>
      </c>
      <c r="K104" s="6">
        <v>25</v>
      </c>
      <c r="L104" s="6">
        <v>0</v>
      </c>
      <c r="M104" s="74">
        <f t="shared" si="17"/>
        <v>21.25</v>
      </c>
      <c r="N104" s="6">
        <v>35</v>
      </c>
      <c r="O104" s="6">
        <v>65</v>
      </c>
      <c r="P104" s="6">
        <v>35</v>
      </c>
      <c r="Q104" s="6">
        <v>0</v>
      </c>
      <c r="R104" s="74">
        <f t="shared" si="18"/>
        <v>33.75</v>
      </c>
      <c r="S104" s="3">
        <v>75.589892344766966</v>
      </c>
      <c r="T104" s="3">
        <f t="shared" si="23"/>
        <v>75.589892344766966</v>
      </c>
      <c r="U104" s="3">
        <v>83.228449144534991</v>
      </c>
      <c r="V104" s="3">
        <v>75.361214279625571</v>
      </c>
      <c r="W104" s="3">
        <v>91.044149790398279</v>
      </c>
      <c r="X104" s="3">
        <f t="shared" si="13"/>
        <v>83.211271071519619</v>
      </c>
      <c r="Y104" s="3">
        <v>2.1195051300223402</v>
      </c>
      <c r="Z104" s="3">
        <v>0.94149007769569937</v>
      </c>
      <c r="AA104" s="3">
        <v>6.2231543190724352</v>
      </c>
      <c r="AB104" s="3">
        <v>64.92771660683546</v>
      </c>
      <c r="AC104" s="3">
        <f t="shared" si="14"/>
        <v>18.552966533406483</v>
      </c>
      <c r="AD104" s="3">
        <v>3.1617028805902851</v>
      </c>
      <c r="AE104" s="87">
        <v>0</v>
      </c>
      <c r="AF104" s="3">
        <v>13.502109704641349</v>
      </c>
      <c r="AG104" s="3">
        <v>11.789310989019212</v>
      </c>
      <c r="AH104" s="3">
        <v>36.877908667787295</v>
      </c>
      <c r="AI104" s="3">
        <f t="shared" si="15"/>
        <v>13.066206448407627</v>
      </c>
      <c r="AJ104" s="65">
        <f t="shared" si="19"/>
        <v>47.605084099525172</v>
      </c>
      <c r="AK104" s="75">
        <f>AJ104*K值!M105</f>
        <v>50.221669807981328</v>
      </c>
      <c r="AL104" s="3">
        <v>0</v>
      </c>
      <c r="AM104" s="3">
        <v>0</v>
      </c>
      <c r="AN104" s="65">
        <f t="shared" si="20"/>
        <v>0</v>
      </c>
      <c r="AP104" s="76">
        <f t="shared" si="21"/>
        <v>39.054535409259721</v>
      </c>
    </row>
    <row r="105" spans="1:42" x14ac:dyDescent="0.25">
      <c r="A105" s="92" t="s">
        <v>119</v>
      </c>
      <c r="B105" s="3">
        <v>3</v>
      </c>
      <c r="C105" s="7">
        <v>65</v>
      </c>
      <c r="D105" s="7">
        <v>100</v>
      </c>
      <c r="E105" s="7">
        <v>75</v>
      </c>
      <c r="F105" s="6">
        <v>60</v>
      </c>
      <c r="G105" s="74">
        <f t="shared" si="16"/>
        <v>75</v>
      </c>
      <c r="H105" s="75">
        <f>G105*K值!M106</f>
        <v>79.122331298143195</v>
      </c>
      <c r="I105" s="6">
        <v>0</v>
      </c>
      <c r="J105" s="6">
        <v>40</v>
      </c>
      <c r="K105" s="6">
        <v>25</v>
      </c>
      <c r="L105" s="6">
        <v>25</v>
      </c>
      <c r="M105" s="74">
        <f t="shared" si="17"/>
        <v>22.5</v>
      </c>
      <c r="N105" s="6">
        <v>35</v>
      </c>
      <c r="O105" s="6">
        <v>35</v>
      </c>
      <c r="P105" s="6">
        <v>35</v>
      </c>
      <c r="Q105" s="6">
        <v>0</v>
      </c>
      <c r="R105" s="74">
        <f t="shared" si="18"/>
        <v>26.25</v>
      </c>
      <c r="S105" s="3">
        <v>76.107676659637107</v>
      </c>
      <c r="T105" s="3">
        <f t="shared" si="23"/>
        <v>76.107676659637107</v>
      </c>
      <c r="U105" s="3">
        <v>72.408971305469706</v>
      </c>
      <c r="V105" s="3">
        <v>46.51813033479408</v>
      </c>
      <c r="W105" s="3">
        <v>91.49716945080614</v>
      </c>
      <c r="X105" s="3">
        <f t="shared" si="13"/>
        <v>70.141423697023313</v>
      </c>
      <c r="Y105" s="3">
        <v>17.320120290390772</v>
      </c>
      <c r="Z105" s="3">
        <v>1.4101171265382551</v>
      </c>
      <c r="AA105" s="3">
        <v>7.7976873395606425</v>
      </c>
      <c r="AB105" s="3">
        <v>50.670471830826081</v>
      </c>
      <c r="AC105" s="3">
        <f t="shared" si="14"/>
        <v>19.299599146828939</v>
      </c>
      <c r="AD105" s="3">
        <v>3.4795609104005183</v>
      </c>
      <c r="AE105" s="87">
        <v>0</v>
      </c>
      <c r="AF105" s="3">
        <v>18.9873417721519</v>
      </c>
      <c r="AG105" s="3">
        <v>11.789310989019212</v>
      </c>
      <c r="AH105" s="3">
        <v>19.523598706475628</v>
      </c>
      <c r="AI105" s="3">
        <f t="shared" si="15"/>
        <v>10.755962475609451</v>
      </c>
      <c r="AJ105" s="65">
        <f t="shared" si="19"/>
        <v>44.076165494774699</v>
      </c>
      <c r="AK105" s="75">
        <f>AJ105*K值!M106</f>
        <v>46.498786248391347</v>
      </c>
      <c r="AL105" s="3">
        <v>50</v>
      </c>
      <c r="AM105" s="3">
        <v>0</v>
      </c>
      <c r="AN105" s="65">
        <f t="shared" si="20"/>
        <v>25</v>
      </c>
      <c r="AP105" s="76">
        <f t="shared" si="21"/>
        <v>44.048980758985181</v>
      </c>
    </row>
    <row r="106" spans="1:42" x14ac:dyDescent="0.25">
      <c r="A106" s="92" t="s">
        <v>120</v>
      </c>
      <c r="B106" s="3">
        <v>3</v>
      </c>
      <c r="C106" s="7">
        <v>65</v>
      </c>
      <c r="D106" s="7">
        <v>100</v>
      </c>
      <c r="E106" s="7">
        <v>75</v>
      </c>
      <c r="F106" s="6">
        <v>75</v>
      </c>
      <c r="G106" s="74">
        <f t="shared" si="16"/>
        <v>78.75</v>
      </c>
      <c r="H106" s="75">
        <f>G106*K值!M107</f>
        <v>83.078447863050357</v>
      </c>
      <c r="I106" s="6">
        <v>25</v>
      </c>
      <c r="J106" s="6">
        <v>40</v>
      </c>
      <c r="K106" s="6">
        <v>25</v>
      </c>
      <c r="L106" s="6">
        <v>50</v>
      </c>
      <c r="M106" s="74">
        <f t="shared" si="17"/>
        <v>35</v>
      </c>
      <c r="N106" s="6">
        <v>65</v>
      </c>
      <c r="O106" s="6">
        <v>0</v>
      </c>
      <c r="P106" s="6">
        <v>65</v>
      </c>
      <c r="Q106" s="6">
        <v>0</v>
      </c>
      <c r="R106" s="74">
        <f t="shared" si="18"/>
        <v>32.5</v>
      </c>
      <c r="S106" s="3">
        <v>69.064623274346744</v>
      </c>
      <c r="T106" s="3">
        <f t="shared" si="23"/>
        <v>69.064623274346744</v>
      </c>
      <c r="U106" s="3">
        <v>55.012157020009276</v>
      </c>
      <c r="V106" s="3">
        <v>47.738237348762979</v>
      </c>
      <c r="W106" s="3">
        <v>96.515233381477913</v>
      </c>
      <c r="X106" s="3">
        <f t="shared" si="13"/>
        <v>66.421875916750054</v>
      </c>
      <c r="Y106" s="3">
        <v>6.7704030266705519</v>
      </c>
      <c r="Z106" s="3">
        <v>2.5916364003133538</v>
      </c>
      <c r="AA106" s="3">
        <v>10.346931277493928</v>
      </c>
      <c r="AB106" s="3">
        <v>34.408208585863434</v>
      </c>
      <c r="AC106" s="3">
        <f t="shared" si="14"/>
        <v>13.529294822585317</v>
      </c>
      <c r="AD106" s="3">
        <v>7.7164177954619957</v>
      </c>
      <c r="AE106" s="87">
        <v>14.865092839693213</v>
      </c>
      <c r="AF106" s="3">
        <v>65.400843881856545</v>
      </c>
      <c r="AG106" s="3">
        <v>15.719081318692282</v>
      </c>
      <c r="AH106" s="3">
        <v>10.846443725819793</v>
      </c>
      <c r="AI106" s="3">
        <f t="shared" si="15"/>
        <v>22.909575912304767</v>
      </c>
      <c r="AJ106" s="65">
        <f t="shared" si="19"/>
        <v>42.981342481496725</v>
      </c>
      <c r="AK106" s="75">
        <f>AJ106*K值!M107</f>
        <v>45.34378692613253</v>
      </c>
      <c r="AL106" s="3">
        <v>25</v>
      </c>
      <c r="AM106" s="3">
        <v>50</v>
      </c>
      <c r="AN106" s="65">
        <f t="shared" si="20"/>
        <v>37.5</v>
      </c>
      <c r="AP106" s="76">
        <f t="shared" si="21"/>
        <v>48.753204343063089</v>
      </c>
    </row>
    <row r="107" spans="1:42" x14ac:dyDescent="0.25">
      <c r="A107" s="92" t="s">
        <v>121</v>
      </c>
      <c r="B107" s="3">
        <v>2</v>
      </c>
      <c r="C107" s="7">
        <v>65</v>
      </c>
      <c r="D107" s="7">
        <v>60</v>
      </c>
      <c r="E107" s="7">
        <v>75</v>
      </c>
      <c r="F107" s="6">
        <v>100</v>
      </c>
      <c r="G107" s="74">
        <f t="shared" si="16"/>
        <v>75</v>
      </c>
      <c r="H107" s="75">
        <f>G107*K值!M108</f>
        <v>79.122331298143195</v>
      </c>
      <c r="I107" s="6">
        <v>0</v>
      </c>
      <c r="J107" s="6">
        <v>40</v>
      </c>
      <c r="K107" s="6">
        <v>25</v>
      </c>
      <c r="L107" s="6">
        <v>25</v>
      </c>
      <c r="M107" s="74">
        <f t="shared" si="17"/>
        <v>22.5</v>
      </c>
      <c r="N107" s="6">
        <v>35</v>
      </c>
      <c r="O107" s="6">
        <v>35</v>
      </c>
      <c r="P107" s="6">
        <v>65</v>
      </c>
      <c r="Q107" s="6">
        <v>0</v>
      </c>
      <c r="R107" s="74">
        <f t="shared" si="18"/>
        <v>33.75</v>
      </c>
      <c r="S107" s="3">
        <v>59.653293818436268</v>
      </c>
      <c r="T107" s="3">
        <f t="shared" si="23"/>
        <v>59.653293818436268</v>
      </c>
      <c r="U107" s="3">
        <v>62.746558184769555</v>
      </c>
      <c r="V107" s="3">
        <v>48.316021022884279</v>
      </c>
      <c r="W107" s="3">
        <v>100</v>
      </c>
      <c r="X107" s="3">
        <f t="shared" si="13"/>
        <v>70.354193069217942</v>
      </c>
      <c r="Y107" s="3">
        <v>11.660342855276172</v>
      </c>
      <c r="Z107" s="3">
        <v>0.96832762228332703</v>
      </c>
      <c r="AA107" s="3">
        <v>10.047020225972366</v>
      </c>
      <c r="AB107" s="3">
        <v>33.272935015413637</v>
      </c>
      <c r="AC107" s="3">
        <f t="shared" si="14"/>
        <v>13.987156429736375</v>
      </c>
      <c r="AD107" s="3">
        <v>8.5293467389589637</v>
      </c>
      <c r="AE107" s="87">
        <v>0</v>
      </c>
      <c r="AF107" s="3">
        <v>51.898734177215189</v>
      </c>
      <c r="AG107" s="3">
        <v>3.9297703296730706</v>
      </c>
      <c r="AH107" s="3">
        <v>36.877908667787295</v>
      </c>
      <c r="AI107" s="3">
        <f t="shared" si="15"/>
        <v>20.247151982726905</v>
      </c>
      <c r="AJ107" s="65">
        <f t="shared" si="19"/>
        <v>41.060448825029376</v>
      </c>
      <c r="AK107" s="75">
        <f>AJ107*K值!M108</f>
        <v>43.317312469125717</v>
      </c>
      <c r="AL107" s="3">
        <v>25</v>
      </c>
      <c r="AM107" s="3">
        <v>0</v>
      </c>
      <c r="AN107" s="65">
        <f t="shared" si="20"/>
        <v>12.5</v>
      </c>
      <c r="AP107" s="76">
        <f t="shared" si="21"/>
        <v>42.276391247278923</v>
      </c>
    </row>
    <row r="108" spans="1:42" x14ac:dyDescent="0.25">
      <c r="A108" s="92" t="s">
        <v>122</v>
      </c>
      <c r="B108" s="3">
        <v>2</v>
      </c>
      <c r="C108" s="7">
        <v>65</v>
      </c>
      <c r="D108" s="7">
        <v>60</v>
      </c>
      <c r="E108" s="7">
        <v>75</v>
      </c>
      <c r="F108" s="6">
        <v>60</v>
      </c>
      <c r="G108" s="74">
        <f t="shared" si="16"/>
        <v>65</v>
      </c>
      <c r="H108" s="75">
        <f>G108*K值!M109</f>
        <v>68.572687125057442</v>
      </c>
      <c r="I108" s="6">
        <v>0</v>
      </c>
      <c r="J108" s="6">
        <v>40</v>
      </c>
      <c r="K108" s="6">
        <v>50</v>
      </c>
      <c r="L108" s="6">
        <v>50</v>
      </c>
      <c r="M108" s="74">
        <f t="shared" si="17"/>
        <v>35</v>
      </c>
      <c r="N108" s="6">
        <v>0</v>
      </c>
      <c r="O108" s="6">
        <v>35</v>
      </c>
      <c r="P108" s="6">
        <v>35</v>
      </c>
      <c r="Q108" s="6">
        <v>0</v>
      </c>
      <c r="R108" s="74">
        <f t="shared" si="18"/>
        <v>17.5</v>
      </c>
      <c r="S108" s="3">
        <v>49.681472372290379</v>
      </c>
      <c r="T108" s="3">
        <f t="shared" si="23"/>
        <v>49.681472372290379</v>
      </c>
      <c r="U108" s="3">
        <v>72.007558447000292</v>
      </c>
      <c r="V108" s="3">
        <v>84.077142470093563</v>
      </c>
      <c r="W108" s="3">
        <v>80.450459270091145</v>
      </c>
      <c r="X108" s="3">
        <f t="shared" si="13"/>
        <v>78.845053395728328</v>
      </c>
      <c r="Y108" s="3">
        <v>14.212575174944483</v>
      </c>
      <c r="Z108" s="3">
        <v>2.8993107155344338</v>
      </c>
      <c r="AA108" s="3">
        <v>4.6486212985842288</v>
      </c>
      <c r="AB108" s="3">
        <v>71.400464985040401</v>
      </c>
      <c r="AC108" s="3">
        <f t="shared" si="14"/>
        <v>23.290243043525887</v>
      </c>
      <c r="AD108" s="3">
        <v>3.0945057553108355</v>
      </c>
      <c r="AE108" s="87">
        <v>0</v>
      </c>
      <c r="AF108" s="3">
        <v>45.147679324894511</v>
      </c>
      <c r="AG108" s="3">
        <v>7.8595406593461412</v>
      </c>
      <c r="AH108" s="3">
        <v>13.015732470983751</v>
      </c>
      <c r="AI108" s="3">
        <f t="shared" si="15"/>
        <v>13.823491642107047</v>
      </c>
      <c r="AJ108" s="65">
        <f t="shared" si="19"/>
        <v>41.410065113412912</v>
      </c>
      <c r="AK108" s="75">
        <f>AJ108*K值!M109</f>
        <v>43.686145213081844</v>
      </c>
      <c r="AL108" s="3">
        <v>25</v>
      </c>
      <c r="AM108" s="3">
        <v>0</v>
      </c>
      <c r="AN108" s="65">
        <f t="shared" si="20"/>
        <v>12.5</v>
      </c>
      <c r="AP108" s="76">
        <f t="shared" si="21"/>
        <v>41.188995510244226</v>
      </c>
    </row>
    <row r="109" spans="1:42" x14ac:dyDescent="0.25">
      <c r="A109" s="92" t="s">
        <v>123</v>
      </c>
      <c r="B109" s="3">
        <v>3</v>
      </c>
      <c r="C109" s="7">
        <v>65</v>
      </c>
      <c r="D109" s="7">
        <v>100</v>
      </c>
      <c r="E109" s="7">
        <v>60</v>
      </c>
      <c r="F109" s="6">
        <v>60</v>
      </c>
      <c r="G109" s="74">
        <f t="shared" si="16"/>
        <v>71.25</v>
      </c>
      <c r="H109" s="75">
        <f>G109*K值!M110</f>
        <v>75.166214733236032</v>
      </c>
      <c r="I109" s="6">
        <v>0</v>
      </c>
      <c r="J109" s="6">
        <v>40</v>
      </c>
      <c r="K109" s="6">
        <v>25</v>
      </c>
      <c r="L109" s="6">
        <v>0</v>
      </c>
      <c r="M109" s="74">
        <f t="shared" si="17"/>
        <v>16.25</v>
      </c>
      <c r="N109" s="6">
        <v>35</v>
      </c>
      <c r="O109" s="6">
        <v>35</v>
      </c>
      <c r="P109" s="6">
        <v>35</v>
      </c>
      <c r="Q109" s="6">
        <v>35</v>
      </c>
      <c r="R109" s="74">
        <f t="shared" si="18"/>
        <v>35</v>
      </c>
      <c r="S109" s="3">
        <v>74.186304088067587</v>
      </c>
      <c r="T109" s="3">
        <f t="shared" si="23"/>
        <v>74.186304088067587</v>
      </c>
      <c r="U109" s="3">
        <v>57.668876506521926</v>
      </c>
      <c r="V109" s="3">
        <v>58.946625963232925</v>
      </c>
      <c r="W109" s="3">
        <v>86.235171856837781</v>
      </c>
      <c r="X109" s="3">
        <f t="shared" si="13"/>
        <v>67.616891442197542</v>
      </c>
      <c r="Y109" s="3">
        <v>5.2687293515535094</v>
      </c>
      <c r="Z109" s="3">
        <v>0.73186709429503893</v>
      </c>
      <c r="AA109" s="3">
        <v>4.348710247062666</v>
      </c>
      <c r="AB109" s="3">
        <v>59.190078205286852</v>
      </c>
      <c r="AC109" s="3">
        <f t="shared" si="14"/>
        <v>17.384846224549516</v>
      </c>
      <c r="AD109" s="3">
        <v>2.4419122781783211</v>
      </c>
      <c r="AE109" s="87">
        <v>0</v>
      </c>
      <c r="AF109" s="3">
        <v>16.033755274261605</v>
      </c>
      <c r="AG109" s="3">
        <v>11.789310989019212</v>
      </c>
      <c r="AH109" s="3">
        <v>6.5078662354918757</v>
      </c>
      <c r="AI109" s="3">
        <f t="shared" si="15"/>
        <v>7.3545689553902021</v>
      </c>
      <c r="AJ109" s="65">
        <f t="shared" si="19"/>
        <v>41.635652677551207</v>
      </c>
      <c r="AK109" s="75">
        <f>AJ109*K值!M110</f>
        <v>43.92413206623506</v>
      </c>
      <c r="AL109" s="3">
        <v>25</v>
      </c>
      <c r="AM109" s="3">
        <v>0</v>
      </c>
      <c r="AN109" s="65">
        <f t="shared" si="20"/>
        <v>12.5</v>
      </c>
      <c r="AP109" s="76">
        <f t="shared" si="21"/>
        <v>40.602895773141228</v>
      </c>
    </row>
    <row r="110" spans="1:42" x14ac:dyDescent="0.25">
      <c r="A110" s="92" t="s">
        <v>124</v>
      </c>
      <c r="B110" s="3">
        <v>2</v>
      </c>
      <c r="C110" s="7">
        <v>65</v>
      </c>
      <c r="D110" s="7">
        <v>100</v>
      </c>
      <c r="E110" s="7">
        <v>100</v>
      </c>
      <c r="F110" s="6">
        <v>100</v>
      </c>
      <c r="G110" s="74">
        <f t="shared" si="16"/>
        <v>91.25</v>
      </c>
      <c r="H110" s="75">
        <f>G110*K值!M111</f>
        <v>96.265503079407551</v>
      </c>
      <c r="I110" s="6">
        <v>75</v>
      </c>
      <c r="J110" s="6">
        <v>60</v>
      </c>
      <c r="K110" s="6">
        <v>75</v>
      </c>
      <c r="L110" s="6">
        <v>50</v>
      </c>
      <c r="M110" s="74">
        <f t="shared" si="17"/>
        <v>65</v>
      </c>
      <c r="N110" s="6">
        <v>65</v>
      </c>
      <c r="O110" s="6">
        <v>65</v>
      </c>
      <c r="P110" s="6">
        <v>100</v>
      </c>
      <c r="Q110" s="6">
        <v>65</v>
      </c>
      <c r="R110" s="74">
        <f t="shared" si="18"/>
        <v>73.75</v>
      </c>
      <c r="S110" s="3">
        <v>52.997585837143113</v>
      </c>
      <c r="T110" s="3">
        <f t="shared" si="23"/>
        <v>52.997585837143113</v>
      </c>
      <c r="U110" s="3">
        <v>41.577390941405987</v>
      </c>
      <c r="V110" s="3">
        <v>56.546365061697138</v>
      </c>
      <c r="W110" s="3">
        <v>97.978835361257197</v>
      </c>
      <c r="X110" s="3">
        <f t="shared" si="13"/>
        <v>65.367530454786774</v>
      </c>
      <c r="Y110" s="3">
        <v>14.623236955486696</v>
      </c>
      <c r="Z110" s="3">
        <v>0.4826913728845586</v>
      </c>
      <c r="AA110" s="3">
        <v>18.669462957217306</v>
      </c>
      <c r="AB110" s="3">
        <v>28.410173050359251</v>
      </c>
      <c r="AC110" s="3">
        <f t="shared" si="14"/>
        <v>15.546391083986954</v>
      </c>
      <c r="AD110" s="3">
        <v>10.31460245801113</v>
      </c>
      <c r="AE110" s="87">
        <v>29.730185679386427</v>
      </c>
      <c r="AF110" s="3">
        <v>67.932489451476798</v>
      </c>
      <c r="AG110" s="3">
        <v>23.578621978038424</v>
      </c>
      <c r="AH110" s="3">
        <v>2.1692887451639589</v>
      </c>
      <c r="AI110" s="3">
        <f t="shared" si="15"/>
        <v>26.745037662415349</v>
      </c>
      <c r="AJ110" s="65">
        <f t="shared" si="19"/>
        <v>40.164136259583046</v>
      </c>
      <c r="AK110" s="75">
        <f>AJ110*K值!M111</f>
        <v>42.371734605793272</v>
      </c>
      <c r="AL110" s="3">
        <v>50</v>
      </c>
      <c r="AM110" s="3">
        <v>0</v>
      </c>
      <c r="AN110" s="65">
        <f t="shared" si="20"/>
        <v>25</v>
      </c>
      <c r="AP110" s="76">
        <f t="shared" si="21"/>
        <v>59.076794458198819</v>
      </c>
    </row>
    <row r="111" spans="1:42" x14ac:dyDescent="0.25">
      <c r="A111" s="92" t="s">
        <v>125</v>
      </c>
      <c r="B111" s="3">
        <v>2</v>
      </c>
      <c r="C111" s="7">
        <v>65</v>
      </c>
      <c r="D111" s="7">
        <v>80</v>
      </c>
      <c r="E111" s="7">
        <v>75</v>
      </c>
      <c r="F111" s="6">
        <v>100</v>
      </c>
      <c r="G111" s="74">
        <f t="shared" si="16"/>
        <v>80</v>
      </c>
      <c r="H111" s="75">
        <f>G111*K值!M112</f>
        <v>84.397153384686078</v>
      </c>
      <c r="I111" s="6">
        <v>0</v>
      </c>
      <c r="J111" s="6">
        <v>40</v>
      </c>
      <c r="K111" s="6">
        <v>0</v>
      </c>
      <c r="L111" s="6">
        <v>25</v>
      </c>
      <c r="M111" s="74">
        <f t="shared" si="17"/>
        <v>16.25</v>
      </c>
      <c r="N111" s="6">
        <v>0</v>
      </c>
      <c r="O111" s="6">
        <v>35</v>
      </c>
      <c r="P111" s="6">
        <v>65</v>
      </c>
      <c r="Q111" s="6">
        <v>35</v>
      </c>
      <c r="R111" s="74">
        <f t="shared" si="18"/>
        <v>33.75</v>
      </c>
      <c r="S111" s="3">
        <v>54.602741586005223</v>
      </c>
      <c r="T111" s="3">
        <f t="shared" si="23"/>
        <v>54.602741586005223</v>
      </c>
      <c r="U111" s="3">
        <v>57.121422859241399</v>
      </c>
      <c r="V111" s="3">
        <v>66.4332271874854</v>
      </c>
      <c r="W111" s="3">
        <v>100</v>
      </c>
      <c r="X111" s="3">
        <f t="shared" si="13"/>
        <v>74.518216682242269</v>
      </c>
      <c r="Y111" s="3">
        <v>33.940276769767799</v>
      </c>
      <c r="Z111" s="3">
        <v>0.71873845761838862</v>
      </c>
      <c r="AA111" s="3">
        <v>14.17079718439386</v>
      </c>
      <c r="AB111" s="3">
        <v>27.391774701070947</v>
      </c>
      <c r="AC111" s="3">
        <f t="shared" si="14"/>
        <v>19.055396778212749</v>
      </c>
      <c r="AD111" s="3">
        <v>8.4568363526109067</v>
      </c>
      <c r="AE111" s="87">
        <v>0</v>
      </c>
      <c r="AF111" s="3">
        <v>55.274261603375528</v>
      </c>
      <c r="AG111" s="3">
        <v>0</v>
      </c>
      <c r="AH111" s="3">
        <v>28.200753687131463</v>
      </c>
      <c r="AI111" s="3">
        <f t="shared" si="15"/>
        <v>18.386370328623578</v>
      </c>
      <c r="AJ111" s="65">
        <f t="shared" si="19"/>
        <v>41.64068134377095</v>
      </c>
      <c r="AK111" s="75">
        <f>AJ111*K值!M112</f>
        <v>43.929437130163407</v>
      </c>
      <c r="AL111" s="3">
        <v>50</v>
      </c>
      <c r="AM111" s="3">
        <v>0</v>
      </c>
      <c r="AN111" s="65">
        <f t="shared" si="20"/>
        <v>25</v>
      </c>
      <c r="AP111" s="76">
        <f t="shared" si="21"/>
        <v>43.576205529002578</v>
      </c>
    </row>
    <row r="112" spans="1:42" x14ac:dyDescent="0.25">
      <c r="A112" s="92" t="s">
        <v>126</v>
      </c>
      <c r="B112" s="3">
        <v>3</v>
      </c>
      <c r="C112" s="7">
        <v>65</v>
      </c>
      <c r="D112" s="7">
        <v>80</v>
      </c>
      <c r="E112" s="7">
        <v>100</v>
      </c>
      <c r="F112" s="6">
        <v>60</v>
      </c>
      <c r="G112" s="74">
        <f t="shared" si="16"/>
        <v>76.25</v>
      </c>
      <c r="H112" s="75">
        <f>G112*K值!M113</f>
        <v>80.441036819778915</v>
      </c>
      <c r="I112" s="6">
        <v>0</v>
      </c>
      <c r="J112" s="6">
        <v>40</v>
      </c>
      <c r="K112" s="6">
        <v>25</v>
      </c>
      <c r="L112" s="6">
        <v>25</v>
      </c>
      <c r="M112" s="74">
        <f t="shared" si="17"/>
        <v>22.5</v>
      </c>
      <c r="N112" s="6">
        <v>0</v>
      </c>
      <c r="O112" s="6">
        <v>35</v>
      </c>
      <c r="P112" s="6">
        <v>35</v>
      </c>
      <c r="Q112" s="6">
        <v>65</v>
      </c>
      <c r="R112" s="74">
        <f t="shared" si="18"/>
        <v>33.75</v>
      </c>
      <c r="S112" s="3">
        <v>69.93278641514344</v>
      </c>
      <c r="T112" s="3">
        <f t="shared" si="23"/>
        <v>69.93278641514344</v>
      </c>
      <c r="U112" s="3">
        <v>60.136298021265688</v>
      </c>
      <c r="V112" s="3">
        <v>60.409525053029391</v>
      </c>
      <c r="W112" s="3">
        <v>100</v>
      </c>
      <c r="X112" s="3">
        <f t="shared" si="13"/>
        <v>73.515274358098353</v>
      </c>
      <c r="Y112" s="3">
        <v>19.06696517777182</v>
      </c>
      <c r="Z112" s="3">
        <v>0.31893157716702542</v>
      </c>
      <c r="AA112" s="3">
        <v>21.068751369389812</v>
      </c>
      <c r="AB112" s="3">
        <v>23.583640174572619</v>
      </c>
      <c r="AC112" s="3">
        <f t="shared" si="14"/>
        <v>16.00957207472532</v>
      </c>
      <c r="AD112" s="3">
        <v>9.6038756538926719</v>
      </c>
      <c r="AE112" s="87">
        <v>14.865092839693213</v>
      </c>
      <c r="AF112" s="3">
        <v>43.459915611814345</v>
      </c>
      <c r="AG112" s="3">
        <v>51.087014285749923</v>
      </c>
      <c r="AH112" s="3">
        <v>6.5078662354918757</v>
      </c>
      <c r="AI112" s="3">
        <f t="shared" si="15"/>
        <v>25.104752925328405</v>
      </c>
      <c r="AJ112" s="65">
        <f t="shared" si="19"/>
        <v>46.140596443323879</v>
      </c>
      <c r="AK112" s="75">
        <f>AJ112*K值!M113</f>
        <v>48.676687441101329</v>
      </c>
      <c r="AL112" s="3">
        <v>75</v>
      </c>
      <c r="AM112" s="3">
        <v>0</v>
      </c>
      <c r="AN112" s="65">
        <f t="shared" si="20"/>
        <v>37.5</v>
      </c>
      <c r="AP112" s="76">
        <f t="shared" si="21"/>
        <v>47.183882340396323</v>
      </c>
    </row>
    <row r="113" spans="1:42" x14ac:dyDescent="0.25">
      <c r="A113" s="92" t="s">
        <v>127</v>
      </c>
      <c r="B113" s="3">
        <v>4</v>
      </c>
      <c r="C113" s="7">
        <v>65</v>
      </c>
      <c r="D113" s="7">
        <v>100</v>
      </c>
      <c r="E113" s="7">
        <v>100</v>
      </c>
      <c r="F113" s="6">
        <v>75</v>
      </c>
      <c r="G113" s="74">
        <f t="shared" si="16"/>
        <v>85</v>
      </c>
      <c r="H113" s="75">
        <f>G113*K值!M114</f>
        <v>89.671975471228947</v>
      </c>
      <c r="I113" s="6">
        <v>0</v>
      </c>
      <c r="J113" s="6">
        <v>60</v>
      </c>
      <c r="K113" s="6">
        <v>25</v>
      </c>
      <c r="L113" s="6">
        <v>50</v>
      </c>
      <c r="M113" s="74">
        <f t="shared" si="17"/>
        <v>33.75</v>
      </c>
      <c r="N113" s="6">
        <v>35</v>
      </c>
      <c r="O113" s="6">
        <v>65</v>
      </c>
      <c r="P113" s="6">
        <v>100</v>
      </c>
      <c r="Q113" s="6">
        <v>35</v>
      </c>
      <c r="R113" s="74">
        <f t="shared" si="18"/>
        <v>58.75</v>
      </c>
      <c r="S113" s="3">
        <v>82.324222431866986</v>
      </c>
      <c r="T113" s="3">
        <f t="shared" si="23"/>
        <v>82.324222431866986</v>
      </c>
      <c r="U113" s="3">
        <v>71.910080772007191</v>
      </c>
      <c r="V113" s="3">
        <v>72.936366838765466</v>
      </c>
      <c r="W113" s="3">
        <v>94.041049082327262</v>
      </c>
      <c r="X113" s="3">
        <f t="shared" si="13"/>
        <v>79.629165564366645</v>
      </c>
      <c r="Y113" s="3">
        <v>5.1804677151384668</v>
      </c>
      <c r="Z113" s="3">
        <v>0.96470092706878274</v>
      </c>
      <c r="AA113" s="3">
        <v>6.0731987933116534</v>
      </c>
      <c r="AB113" s="3">
        <v>48.14307921057182</v>
      </c>
      <c r="AC113" s="3">
        <f t="shared" si="14"/>
        <v>15.090361661522682</v>
      </c>
      <c r="AD113" s="3">
        <v>2.8816627677977884</v>
      </c>
      <c r="AE113" s="87">
        <v>0</v>
      </c>
      <c r="AF113" s="3">
        <v>48.52320675105485</v>
      </c>
      <c r="AG113" s="3">
        <v>55.016784615422999</v>
      </c>
      <c r="AH113" s="3">
        <v>0</v>
      </c>
      <c r="AI113" s="3">
        <f t="shared" si="15"/>
        <v>21.284330826855125</v>
      </c>
      <c r="AJ113" s="65">
        <f t="shared" si="19"/>
        <v>49.582020121152858</v>
      </c>
      <c r="AK113" s="75">
        <f>AJ113*K值!M114</f>
        <v>52.307266966094112</v>
      </c>
      <c r="AL113" s="3">
        <v>50</v>
      </c>
      <c r="AM113" s="3">
        <v>50</v>
      </c>
      <c r="AN113" s="65">
        <f t="shared" si="20"/>
        <v>50</v>
      </c>
      <c r="AP113" s="76">
        <f t="shared" si="21"/>
        <v>56.482301880683437</v>
      </c>
    </row>
    <row r="114" spans="1:42" x14ac:dyDescent="0.25">
      <c r="A114" s="92" t="s">
        <v>128</v>
      </c>
      <c r="B114" s="3">
        <v>2</v>
      </c>
      <c r="C114" s="7">
        <v>65</v>
      </c>
      <c r="D114" s="7">
        <v>100</v>
      </c>
      <c r="E114" s="7">
        <v>75</v>
      </c>
      <c r="F114" s="7">
        <v>75</v>
      </c>
      <c r="G114" s="74">
        <f t="shared" si="16"/>
        <v>78.75</v>
      </c>
      <c r="H114" s="75">
        <f>G114*K值!M115</f>
        <v>83.078447863050357</v>
      </c>
      <c r="I114" s="7">
        <v>25</v>
      </c>
      <c r="J114" s="7">
        <v>80</v>
      </c>
      <c r="K114" s="7">
        <v>25</v>
      </c>
      <c r="L114" s="7">
        <v>25</v>
      </c>
      <c r="M114" s="74">
        <f t="shared" si="17"/>
        <v>38.75</v>
      </c>
      <c r="N114" s="7">
        <v>100</v>
      </c>
      <c r="O114" s="7">
        <v>65</v>
      </c>
      <c r="P114" s="7">
        <v>100</v>
      </c>
      <c r="Q114" s="7">
        <v>65</v>
      </c>
      <c r="R114" s="74">
        <f t="shared" si="18"/>
        <v>82.5</v>
      </c>
      <c r="S114" s="3">
        <v>79.057333635850128</v>
      </c>
      <c r="T114" s="3">
        <f t="shared" si="23"/>
        <v>79.057333635850128</v>
      </c>
      <c r="U114" s="3">
        <v>70.307414113283485</v>
      </c>
      <c r="V114" s="3">
        <v>44.747899503443747</v>
      </c>
      <c r="W114" s="3">
        <v>99.965152333814771</v>
      </c>
      <c r="X114" s="3">
        <f t="shared" si="13"/>
        <v>71.673488650180673</v>
      </c>
      <c r="Y114" s="3" t="s">
        <v>335</v>
      </c>
      <c r="Z114" s="3">
        <v>0.45116088468931048</v>
      </c>
      <c r="AA114" s="3">
        <v>28.791460946070064</v>
      </c>
      <c r="AB114" s="3">
        <v>56.440193407042685</v>
      </c>
      <c r="AC114" s="3">
        <f t="shared" si="14"/>
        <v>28.560938412600688</v>
      </c>
      <c r="AD114" s="3">
        <v>19.0377269535899</v>
      </c>
      <c r="AE114" s="87">
        <v>0</v>
      </c>
      <c r="AF114" s="3">
        <v>74.261603375527429</v>
      </c>
      <c r="AG114" s="3">
        <v>74.665636263788343</v>
      </c>
      <c r="AH114" s="3">
        <v>23.862176196803546</v>
      </c>
      <c r="AI114" s="3">
        <f t="shared" si="15"/>
        <v>38.365428557941847</v>
      </c>
      <c r="AJ114" s="65">
        <f t="shared" si="19"/>
        <v>54.414297314143326</v>
      </c>
      <c r="AK114" s="75">
        <f>AJ114*K值!M115</f>
        <v>57.405147459270822</v>
      </c>
      <c r="AL114" s="3">
        <v>50</v>
      </c>
      <c r="AM114" s="3">
        <v>50</v>
      </c>
      <c r="AN114" s="65">
        <f t="shared" si="20"/>
        <v>50</v>
      </c>
      <c r="AP114" s="76">
        <f t="shared" si="21"/>
        <v>60.577748556318404</v>
      </c>
    </row>
    <row r="115" spans="1:42" x14ac:dyDescent="0.25">
      <c r="A115" s="92" t="s">
        <v>129</v>
      </c>
      <c r="B115" s="3">
        <v>3</v>
      </c>
      <c r="C115" s="7">
        <v>35</v>
      </c>
      <c r="D115" s="7">
        <v>100</v>
      </c>
      <c r="E115" s="7">
        <v>75</v>
      </c>
      <c r="F115" s="7">
        <v>75</v>
      </c>
      <c r="G115" s="74">
        <f t="shared" si="16"/>
        <v>71.25</v>
      </c>
      <c r="H115" s="75">
        <f>G115*K值!M116</f>
        <v>75.166214733236032</v>
      </c>
      <c r="I115" s="7">
        <v>75</v>
      </c>
      <c r="J115" s="7">
        <v>40</v>
      </c>
      <c r="K115" s="7">
        <v>50</v>
      </c>
      <c r="L115" s="7">
        <v>25</v>
      </c>
      <c r="M115" s="74">
        <f t="shared" si="17"/>
        <v>47.5</v>
      </c>
      <c r="N115" s="7">
        <v>65</v>
      </c>
      <c r="O115" s="7">
        <v>65</v>
      </c>
      <c r="P115" s="7">
        <v>100</v>
      </c>
      <c r="Q115" s="7">
        <v>65</v>
      </c>
      <c r="R115" s="74">
        <f t="shared" si="18"/>
        <v>73.75</v>
      </c>
      <c r="S115" s="3">
        <v>81.992406777360301</v>
      </c>
      <c r="T115" s="3">
        <f t="shared" si="23"/>
        <v>81.992406777360301</v>
      </c>
      <c r="U115" s="3">
        <v>78.746396858892766</v>
      </c>
      <c r="V115" s="3">
        <v>39.738392116115534</v>
      </c>
      <c r="W115" s="3">
        <v>95.400108063550874</v>
      </c>
      <c r="X115" s="3">
        <f t="shared" si="13"/>
        <v>71.294965679519734</v>
      </c>
      <c r="Y115" s="3">
        <v>5.228276101529949</v>
      </c>
      <c r="Z115" s="3">
        <v>0.87838558096262864</v>
      </c>
      <c r="AA115" s="3">
        <v>7.9476428653214235</v>
      </c>
      <c r="AB115" s="3">
        <v>27.815823646354531</v>
      </c>
      <c r="AC115" s="3">
        <f t="shared" si="14"/>
        <v>10.467532048542132</v>
      </c>
      <c r="AD115" s="3">
        <v>3.8489888270531196</v>
      </c>
      <c r="AE115" s="87">
        <v>0</v>
      </c>
      <c r="AF115" s="3">
        <v>74.683544303797461</v>
      </c>
      <c r="AG115" s="3">
        <v>0</v>
      </c>
      <c r="AH115" s="3">
        <v>30.370042432295424</v>
      </c>
      <c r="AI115" s="3">
        <f t="shared" si="15"/>
        <v>21.7805151126292</v>
      </c>
      <c r="AJ115" s="65">
        <f t="shared" si="19"/>
        <v>46.383854904512837</v>
      </c>
      <c r="AK115" s="75">
        <f>AJ115*K值!M116</f>
        <v>48.933316461864919</v>
      </c>
      <c r="AL115" s="3">
        <v>25</v>
      </c>
      <c r="AM115" s="3">
        <v>0</v>
      </c>
      <c r="AN115" s="65">
        <f t="shared" si="20"/>
        <v>12.5</v>
      </c>
      <c r="AP115" s="76">
        <f t="shared" si="21"/>
        <v>52.731569531393177</v>
      </c>
    </row>
    <row r="116" spans="1:42" x14ac:dyDescent="0.25">
      <c r="A116" s="92" t="s">
        <v>130</v>
      </c>
      <c r="B116" s="3">
        <v>3</v>
      </c>
      <c r="C116" s="7">
        <v>65</v>
      </c>
      <c r="D116" s="7">
        <v>80</v>
      </c>
      <c r="E116" s="7">
        <v>60</v>
      </c>
      <c r="F116" s="7">
        <v>75</v>
      </c>
      <c r="G116" s="74">
        <f t="shared" si="16"/>
        <v>70</v>
      </c>
      <c r="H116" s="75">
        <f>G116*K值!M117</f>
        <v>73.847509211600311</v>
      </c>
      <c r="I116" s="7">
        <v>0</v>
      </c>
      <c r="J116" s="7">
        <v>0</v>
      </c>
      <c r="K116" s="7">
        <v>50</v>
      </c>
      <c r="L116" s="7">
        <v>25</v>
      </c>
      <c r="M116" s="74">
        <f t="shared" si="17"/>
        <v>18.75</v>
      </c>
      <c r="N116" s="7">
        <v>0</v>
      </c>
      <c r="O116" s="7">
        <v>0</v>
      </c>
      <c r="P116" s="7">
        <v>35</v>
      </c>
      <c r="Q116" s="7">
        <v>0</v>
      </c>
      <c r="R116" s="74">
        <f t="shared" si="18"/>
        <v>8.75</v>
      </c>
      <c r="S116" s="3">
        <v>62.961465809517868</v>
      </c>
      <c r="T116" s="3">
        <f t="shared" si="23"/>
        <v>62.961465809517868</v>
      </c>
      <c r="U116" s="3">
        <v>52.552186551077838</v>
      </c>
      <c r="V116" s="3">
        <v>79.8083045799102</v>
      </c>
      <c r="W116" s="3">
        <v>96.131909053440495</v>
      </c>
      <c r="X116" s="3">
        <f t="shared" si="13"/>
        <v>76.164133394809511</v>
      </c>
      <c r="Y116" s="3">
        <v>5.2515673666950295</v>
      </c>
      <c r="Z116" s="3">
        <v>0.66368522426160625</v>
      </c>
      <c r="AA116" s="3">
        <v>8.4724872054841605</v>
      </c>
      <c r="AB116" s="3">
        <v>21.057680689089604</v>
      </c>
      <c r="AC116" s="3">
        <f t="shared" si="14"/>
        <v>8.8613551213825996</v>
      </c>
      <c r="AD116" s="3">
        <v>10.280535078218293</v>
      </c>
      <c r="AE116" s="87">
        <v>0</v>
      </c>
      <c r="AF116" s="3">
        <v>14.767932489451477</v>
      </c>
      <c r="AG116" s="3">
        <v>31.438162637384565</v>
      </c>
      <c r="AH116" s="3">
        <v>45.555063648443131</v>
      </c>
      <c r="AI116" s="3">
        <f t="shared" si="15"/>
        <v>20.408338770699494</v>
      </c>
      <c r="AJ116" s="65">
        <f t="shared" si="19"/>
        <v>42.098823274102365</v>
      </c>
      <c r="AK116" s="75">
        <f>AJ116*K值!M117</f>
        <v>44.412760564740118</v>
      </c>
      <c r="AL116" s="3">
        <v>50</v>
      </c>
      <c r="AM116" s="3">
        <v>0</v>
      </c>
      <c r="AN116" s="65">
        <f t="shared" si="20"/>
        <v>25</v>
      </c>
      <c r="AP116" s="76">
        <f t="shared" si="21"/>
        <v>39.659606068216107</v>
      </c>
    </row>
    <row r="117" spans="1:42" x14ac:dyDescent="0.25">
      <c r="A117" s="92" t="s">
        <v>131</v>
      </c>
      <c r="B117" s="3">
        <v>2</v>
      </c>
      <c r="C117" s="7">
        <v>65</v>
      </c>
      <c r="D117" s="7">
        <v>80</v>
      </c>
      <c r="E117" s="7">
        <v>100</v>
      </c>
      <c r="F117" s="7">
        <v>75</v>
      </c>
      <c r="G117" s="74">
        <f t="shared" si="16"/>
        <v>80</v>
      </c>
      <c r="H117" s="75">
        <f>G117*K值!M118</f>
        <v>84.397153384686078</v>
      </c>
      <c r="I117" s="7">
        <v>0</v>
      </c>
      <c r="J117" s="7">
        <v>40</v>
      </c>
      <c r="K117" s="7">
        <v>25</v>
      </c>
      <c r="L117" s="7">
        <v>0</v>
      </c>
      <c r="M117" s="74">
        <f t="shared" si="17"/>
        <v>16.25</v>
      </c>
      <c r="N117" s="7">
        <v>100</v>
      </c>
      <c r="O117" s="7">
        <v>35</v>
      </c>
      <c r="P117" s="7">
        <v>100</v>
      </c>
      <c r="Q117" s="7">
        <v>35</v>
      </c>
      <c r="R117" s="74">
        <f t="shared" si="18"/>
        <v>67.5</v>
      </c>
      <c r="S117" s="3">
        <v>11.888453995242417</v>
      </c>
      <c r="T117" s="3">
        <f t="shared" si="23"/>
        <v>11.888453995242417</v>
      </c>
      <c r="U117" s="3">
        <v>42.826023734360476</v>
      </c>
      <c r="V117" s="3">
        <v>74.208720248798528</v>
      </c>
      <c r="W117" s="3">
        <v>97.943987695071968</v>
      </c>
      <c r="X117" s="3">
        <f t="shared" si="13"/>
        <v>71.659577226076991</v>
      </c>
      <c r="Y117" s="3">
        <v>73.108829641065554</v>
      </c>
      <c r="Z117" s="3">
        <v>4.651599282174514</v>
      </c>
      <c r="AA117" s="3">
        <v>10.496886803254709</v>
      </c>
      <c r="AB117" s="3">
        <v>38.152642941479954</v>
      </c>
      <c r="AC117" s="3">
        <f t="shared" si="14"/>
        <v>31.602489666993684</v>
      </c>
      <c r="AD117" s="3">
        <v>6.93849386606409</v>
      </c>
      <c r="AE117" s="87">
        <v>0</v>
      </c>
      <c r="AF117" s="3">
        <v>68.35443037974683</v>
      </c>
      <c r="AG117" s="3">
        <v>23.578621978038424</v>
      </c>
      <c r="AH117" s="3">
        <v>54.232218629098973</v>
      </c>
      <c r="AI117" s="3">
        <f t="shared" si="15"/>
        <v>30.620752970589667</v>
      </c>
      <c r="AJ117" s="65">
        <f t="shared" si="19"/>
        <v>36.44281846472569</v>
      </c>
      <c r="AK117" s="75">
        <f>AJ117*K值!M118</f>
        <v>38.445876746721552</v>
      </c>
      <c r="AL117" s="3">
        <v>50</v>
      </c>
      <c r="AM117" s="3">
        <v>0</v>
      </c>
      <c r="AN117" s="65">
        <f t="shared" si="20"/>
        <v>25</v>
      </c>
      <c r="AP117" s="76">
        <f t="shared" si="21"/>
        <v>44.757781375625839</v>
      </c>
    </row>
    <row r="118" spans="1:42" x14ac:dyDescent="0.25">
      <c r="A118" s="92" t="s">
        <v>132</v>
      </c>
      <c r="B118" s="3">
        <v>3</v>
      </c>
      <c r="C118" s="7">
        <v>65</v>
      </c>
      <c r="D118" s="7">
        <v>100</v>
      </c>
      <c r="E118" s="7">
        <v>100</v>
      </c>
      <c r="F118" s="7">
        <v>75</v>
      </c>
      <c r="G118" s="74">
        <f t="shared" si="16"/>
        <v>85</v>
      </c>
      <c r="H118" s="75">
        <f>G118*K值!M119</f>
        <v>89.671975471228947</v>
      </c>
      <c r="I118" s="7">
        <v>0</v>
      </c>
      <c r="J118" s="7">
        <v>40</v>
      </c>
      <c r="K118" s="7">
        <v>0</v>
      </c>
      <c r="L118" s="7">
        <v>0</v>
      </c>
      <c r="M118" s="74">
        <f t="shared" si="17"/>
        <v>10</v>
      </c>
      <c r="N118" s="7">
        <v>0</v>
      </c>
      <c r="O118" s="7">
        <v>0</v>
      </c>
      <c r="P118" s="7">
        <v>35</v>
      </c>
      <c r="Q118" s="7">
        <v>35</v>
      </c>
      <c r="R118" s="74">
        <f t="shared" si="18"/>
        <v>17.5</v>
      </c>
      <c r="S118" s="3">
        <v>76.019534325447154</v>
      </c>
      <c r="T118" s="3">
        <f t="shared" si="23"/>
        <v>76.019534325447154</v>
      </c>
      <c r="U118" s="3">
        <v>63.094874416439048</v>
      </c>
      <c r="V118" s="3">
        <v>52.197620918709767</v>
      </c>
      <c r="W118" s="3">
        <v>100</v>
      </c>
      <c r="X118" s="3">
        <f t="shared" si="13"/>
        <v>71.764165111716281</v>
      </c>
      <c r="Y118" s="3">
        <v>1.3263762583482777</v>
      </c>
      <c r="Z118" s="3">
        <v>1.064848488723209</v>
      </c>
      <c r="AA118" s="3">
        <v>10.047020225972366</v>
      </c>
      <c r="AB118" s="3">
        <v>10.82243638219674</v>
      </c>
      <c r="AC118" s="3">
        <f t="shared" si="14"/>
        <v>5.8151703388101481</v>
      </c>
      <c r="AD118" s="3">
        <v>3.3745458681033318</v>
      </c>
      <c r="AE118" s="87">
        <v>14.865092839693213</v>
      </c>
      <c r="AF118" s="3">
        <v>57.805907172995788</v>
      </c>
      <c r="AG118" s="3">
        <v>55.016784615422999</v>
      </c>
      <c r="AH118" s="3">
        <v>8.6771549806558355</v>
      </c>
      <c r="AI118" s="3">
        <f t="shared" si="15"/>
        <v>27.947897095374238</v>
      </c>
      <c r="AJ118" s="65">
        <f t="shared" si="19"/>
        <v>45.386691717836953</v>
      </c>
      <c r="AK118" s="75">
        <f>AJ118*K值!M119</f>
        <v>47.881344781671828</v>
      </c>
      <c r="AL118" s="3">
        <v>0</v>
      </c>
      <c r="AM118" s="3">
        <v>0</v>
      </c>
      <c r="AN118" s="65">
        <f t="shared" si="20"/>
        <v>0</v>
      </c>
      <c r="AP118" s="76">
        <f t="shared" si="21"/>
        <v>40.836933006914521</v>
      </c>
    </row>
    <row r="119" spans="1:42" x14ac:dyDescent="0.25">
      <c r="A119" s="92" t="s">
        <v>133</v>
      </c>
      <c r="B119" s="3">
        <v>3</v>
      </c>
      <c r="C119" s="7">
        <v>0</v>
      </c>
      <c r="D119" s="7">
        <v>60</v>
      </c>
      <c r="E119" s="7">
        <v>30</v>
      </c>
      <c r="F119" s="7">
        <v>30</v>
      </c>
      <c r="G119" s="74">
        <f t="shared" si="16"/>
        <v>30</v>
      </c>
      <c r="H119" s="75">
        <f>G119*K值!M120</f>
        <v>31.648932519257279</v>
      </c>
      <c r="I119" s="7">
        <v>0</v>
      </c>
      <c r="J119" s="7">
        <v>40</v>
      </c>
      <c r="K119" s="7">
        <v>0</v>
      </c>
      <c r="L119" s="7">
        <v>0</v>
      </c>
      <c r="M119" s="74">
        <f t="shared" si="17"/>
        <v>10</v>
      </c>
      <c r="N119" s="7">
        <v>0</v>
      </c>
      <c r="O119" s="7">
        <v>0</v>
      </c>
      <c r="P119" s="7">
        <v>35</v>
      </c>
      <c r="Q119" s="7">
        <v>35</v>
      </c>
      <c r="R119" s="74">
        <f t="shared" si="18"/>
        <v>17.5</v>
      </c>
      <c r="S119" s="3">
        <v>72.765252732507804</v>
      </c>
      <c r="T119" s="3">
        <f t="shared" si="23"/>
        <v>72.765252732507804</v>
      </c>
      <c r="U119" s="3">
        <v>57.524504141434228</v>
      </c>
      <c r="V119" s="3">
        <v>55.811842199383364</v>
      </c>
      <c r="W119" s="3">
        <v>95.539498728291733</v>
      </c>
      <c r="X119" s="3">
        <f t="shared" si="13"/>
        <v>69.625281689703101</v>
      </c>
      <c r="Y119" s="3">
        <v>1.4023793341501198</v>
      </c>
      <c r="Z119" s="3" t="s">
        <v>372</v>
      </c>
      <c r="AA119" s="3">
        <v>5.6983099789097</v>
      </c>
      <c r="AB119" s="3">
        <v>38.050312079870316</v>
      </c>
      <c r="AC119" s="3">
        <f t="shared" si="14"/>
        <v>15.050333797643377</v>
      </c>
      <c r="AD119" s="3">
        <v>2.0931123162626668</v>
      </c>
      <c r="AE119" s="87">
        <v>0</v>
      </c>
      <c r="AF119" s="3">
        <v>65.400843881856545</v>
      </c>
      <c r="AG119" s="3">
        <v>7.8595406593461412</v>
      </c>
      <c r="AH119" s="3">
        <v>45.555063648443131</v>
      </c>
      <c r="AI119" s="3">
        <f t="shared" si="15"/>
        <v>24.181712101181695</v>
      </c>
      <c r="AJ119" s="65">
        <f t="shared" si="19"/>
        <v>45.405645080258999</v>
      </c>
      <c r="AK119" s="75">
        <f>AJ119*K值!M120</f>
        <v>47.90133990461544</v>
      </c>
      <c r="AL119" s="3">
        <v>25</v>
      </c>
      <c r="AM119" s="3">
        <v>0</v>
      </c>
      <c r="AN119" s="65">
        <f t="shared" si="20"/>
        <v>12.5</v>
      </c>
      <c r="AP119" s="76">
        <f t="shared" si="21"/>
        <v>30.490322465697631</v>
      </c>
    </row>
    <row r="120" spans="1:42" x14ac:dyDescent="0.25">
      <c r="A120" s="92" t="s">
        <v>134</v>
      </c>
      <c r="B120" s="3">
        <v>3</v>
      </c>
      <c r="C120" s="7">
        <v>65</v>
      </c>
      <c r="D120" s="7">
        <v>80</v>
      </c>
      <c r="E120" s="7">
        <v>75</v>
      </c>
      <c r="F120" s="7">
        <v>45</v>
      </c>
      <c r="G120" s="74">
        <f t="shared" si="16"/>
        <v>66.25</v>
      </c>
      <c r="H120" s="75">
        <f>G120*K值!M121</f>
        <v>69.891392646693149</v>
      </c>
      <c r="I120" s="7">
        <v>0</v>
      </c>
      <c r="J120" s="7">
        <v>0</v>
      </c>
      <c r="K120" s="7">
        <v>25</v>
      </c>
      <c r="L120" s="7">
        <v>50</v>
      </c>
      <c r="M120" s="74">
        <f t="shared" si="17"/>
        <v>18.75</v>
      </c>
      <c r="N120" s="7">
        <v>65</v>
      </c>
      <c r="O120" s="7">
        <v>0</v>
      </c>
      <c r="P120" s="7">
        <v>35</v>
      </c>
      <c r="Q120" s="7">
        <v>65</v>
      </c>
      <c r="R120" s="74">
        <f t="shared" si="18"/>
        <v>41.25</v>
      </c>
      <c r="S120" s="3">
        <v>68.607287211445083</v>
      </c>
      <c r="T120" s="3">
        <f t="shared" si="23"/>
        <v>68.607287211445083</v>
      </c>
      <c r="U120" s="3">
        <v>73.277649341515556</v>
      </c>
      <c r="V120" s="3">
        <v>78.228619428323256</v>
      </c>
      <c r="W120" s="3">
        <v>92.786533099659323</v>
      </c>
      <c r="X120" s="3">
        <f t="shared" si="13"/>
        <v>81.430933956499373</v>
      </c>
      <c r="Y120" s="3">
        <v>20.395793148242738</v>
      </c>
      <c r="Z120" s="3">
        <v>2.6328501647314355</v>
      </c>
      <c r="AA120" s="3">
        <v>3.6739103811391485</v>
      </c>
      <c r="AB120" s="3">
        <v>64.59646527327385</v>
      </c>
      <c r="AC120" s="3">
        <f t="shared" si="14"/>
        <v>22.824754741846792</v>
      </c>
      <c r="AD120" s="3">
        <v>2.4353488380347472</v>
      </c>
      <c r="AE120" s="87">
        <v>0</v>
      </c>
      <c r="AF120" s="3">
        <v>73.417721518987349</v>
      </c>
      <c r="AG120" s="3">
        <v>35.367932967057634</v>
      </c>
      <c r="AH120" s="3">
        <v>0</v>
      </c>
      <c r="AI120" s="3">
        <f t="shared" si="15"/>
        <v>22.244200664815946</v>
      </c>
      <c r="AJ120" s="65">
        <f t="shared" si="19"/>
        <v>48.776794143651799</v>
      </c>
      <c r="AK120" s="75">
        <f>AJ120*K值!M121</f>
        <v>51.457782211937982</v>
      </c>
      <c r="AL120" s="3">
        <v>50</v>
      </c>
      <c r="AM120" s="3">
        <v>0</v>
      </c>
      <c r="AN120" s="65">
        <f t="shared" si="20"/>
        <v>25</v>
      </c>
      <c r="AP120" s="76">
        <f t="shared" si="21"/>
        <v>44.936391414113828</v>
      </c>
    </row>
    <row r="121" spans="1:42" x14ac:dyDescent="0.25">
      <c r="A121" s="92" t="s">
        <v>135</v>
      </c>
      <c r="B121" s="3">
        <v>3</v>
      </c>
      <c r="C121" s="7">
        <v>35</v>
      </c>
      <c r="D121" s="7">
        <v>100</v>
      </c>
      <c r="E121" s="7">
        <v>100</v>
      </c>
      <c r="F121" s="7">
        <v>100</v>
      </c>
      <c r="G121" s="74">
        <f t="shared" si="16"/>
        <v>83.75</v>
      </c>
      <c r="H121" s="75">
        <f>G121*K值!M122</f>
        <v>88.353269949593241</v>
      </c>
      <c r="I121" s="7">
        <v>0</v>
      </c>
      <c r="J121" s="7">
        <v>60</v>
      </c>
      <c r="K121" s="7">
        <v>25</v>
      </c>
      <c r="L121" s="7">
        <v>0</v>
      </c>
      <c r="M121" s="74">
        <f t="shared" si="17"/>
        <v>21.25</v>
      </c>
      <c r="N121" s="7">
        <v>35</v>
      </c>
      <c r="O121" s="7">
        <v>65</v>
      </c>
      <c r="P121" s="7">
        <v>35</v>
      </c>
      <c r="Q121" s="7">
        <v>35</v>
      </c>
      <c r="R121" s="74">
        <f t="shared" si="18"/>
        <v>42.5</v>
      </c>
      <c r="S121" s="3">
        <v>77.668170112454177</v>
      </c>
      <c r="T121" s="3">
        <f t="shared" si="23"/>
        <v>77.668170112454177</v>
      </c>
      <c r="U121" s="3">
        <v>72.065453604595021</v>
      </c>
      <c r="V121" s="3">
        <v>86.984500745193245</v>
      </c>
      <c r="W121" s="3">
        <v>100</v>
      </c>
      <c r="X121" s="3">
        <f t="shared" si="13"/>
        <v>86.349984783262755</v>
      </c>
      <c r="Y121" s="3">
        <v>3.3024562291961739</v>
      </c>
      <c r="Z121" s="3">
        <v>3.4663735258901514</v>
      </c>
      <c r="AA121" s="3">
        <v>7.1228874736371255</v>
      </c>
      <c r="AB121" s="3">
        <v>45.901947230865197</v>
      </c>
      <c r="AC121" s="3">
        <f t="shared" si="14"/>
        <v>14.948416114897162</v>
      </c>
      <c r="AD121" s="3">
        <v>4.5459636613469447</v>
      </c>
      <c r="AE121" s="87">
        <v>0</v>
      </c>
      <c r="AF121" s="3">
        <v>60.337552742616026</v>
      </c>
      <c r="AG121" s="3">
        <v>66.806095604442206</v>
      </c>
      <c r="AH121" s="3">
        <v>13.015732470983751</v>
      </c>
      <c r="AI121" s="3">
        <f t="shared" si="15"/>
        <v>28.941068895877784</v>
      </c>
      <c r="AJ121" s="65">
        <f t="shared" si="19"/>
        <v>51.976909976622963</v>
      </c>
      <c r="AK121" s="75">
        <f>AJ121*K值!M122</f>
        <v>54.833790546988354</v>
      </c>
      <c r="AL121" s="3">
        <v>50</v>
      </c>
      <c r="AM121" s="3">
        <v>0</v>
      </c>
      <c r="AN121" s="65">
        <f t="shared" si="20"/>
        <v>25</v>
      </c>
      <c r="AP121" s="76">
        <f t="shared" si="21"/>
        <v>50.604170208713995</v>
      </c>
    </row>
    <row r="122" spans="1:42" x14ac:dyDescent="0.25">
      <c r="A122" s="92" t="s">
        <v>136</v>
      </c>
      <c r="B122" s="3">
        <v>3</v>
      </c>
      <c r="C122" s="7">
        <v>65</v>
      </c>
      <c r="D122" s="7">
        <v>100</v>
      </c>
      <c r="E122" s="7">
        <v>60</v>
      </c>
      <c r="F122" s="7">
        <v>75</v>
      </c>
      <c r="G122" s="74">
        <f t="shared" si="16"/>
        <v>75</v>
      </c>
      <c r="H122" s="75">
        <f>G122*K值!M123</f>
        <v>79.122331298143195</v>
      </c>
      <c r="I122" s="7">
        <v>50</v>
      </c>
      <c r="J122" s="7">
        <v>40</v>
      </c>
      <c r="K122" s="7">
        <v>75</v>
      </c>
      <c r="L122" s="7">
        <v>50</v>
      </c>
      <c r="M122" s="74">
        <f t="shared" si="17"/>
        <v>53.75</v>
      </c>
      <c r="N122" s="7">
        <v>100</v>
      </c>
      <c r="O122" s="7">
        <v>35</v>
      </c>
      <c r="P122" s="7">
        <v>100</v>
      </c>
      <c r="Q122" s="7">
        <v>65</v>
      </c>
      <c r="R122" s="74">
        <f t="shared" si="18"/>
        <v>75</v>
      </c>
      <c r="S122" s="3">
        <v>83.353456701236979</v>
      </c>
      <c r="T122" s="3">
        <f t="shared" si="23"/>
        <v>83.353456701236979</v>
      </c>
      <c r="U122" s="3">
        <v>76.610605840776074</v>
      </c>
      <c r="V122" s="3">
        <v>69.924515771537457</v>
      </c>
      <c r="W122" s="3">
        <v>97.560663367034536</v>
      </c>
      <c r="X122" s="3">
        <f t="shared" si="13"/>
        <v>81.365261659782689</v>
      </c>
      <c r="Y122" s="3">
        <v>3.7364092749034663</v>
      </c>
      <c r="Z122" s="3">
        <v>0.40256316881441695</v>
      </c>
      <c r="AA122" s="3">
        <v>8.5474649683645509</v>
      </c>
      <c r="AB122" s="3">
        <v>29.209351766457086</v>
      </c>
      <c r="AC122" s="3">
        <f t="shared" si="14"/>
        <v>10.473947294634879</v>
      </c>
      <c r="AD122" s="3">
        <v>4.327494867996549</v>
      </c>
      <c r="AE122" s="87">
        <v>14.865092839693213</v>
      </c>
      <c r="AF122" s="3">
        <v>62.025316455696199</v>
      </c>
      <c r="AG122" s="3">
        <v>0</v>
      </c>
      <c r="AH122" s="3">
        <v>0</v>
      </c>
      <c r="AI122" s="3">
        <f t="shared" si="15"/>
        <v>16.243580832677189</v>
      </c>
      <c r="AJ122" s="65">
        <f t="shared" si="19"/>
        <v>47.85906162208294</v>
      </c>
      <c r="AK122" s="75">
        <f>AJ122*K值!M123</f>
        <v>50.489607057075958</v>
      </c>
      <c r="AL122" s="3">
        <v>50</v>
      </c>
      <c r="AM122" s="3">
        <v>75</v>
      </c>
      <c r="AN122" s="65">
        <f t="shared" si="20"/>
        <v>62.5</v>
      </c>
      <c r="AP122" s="76">
        <f t="shared" si="21"/>
        <v>60.520309082459022</v>
      </c>
    </row>
    <row r="123" spans="1:42" x14ac:dyDescent="0.25">
      <c r="A123" s="92" t="s">
        <v>137</v>
      </c>
      <c r="B123" s="3">
        <v>2</v>
      </c>
      <c r="C123" s="7">
        <v>100</v>
      </c>
      <c r="D123" s="7">
        <v>100</v>
      </c>
      <c r="E123" s="7">
        <v>100</v>
      </c>
      <c r="F123" s="7">
        <v>100</v>
      </c>
      <c r="G123" s="74">
        <f t="shared" si="16"/>
        <v>100</v>
      </c>
      <c r="H123" s="75">
        <f>G123*K值!M124</f>
        <v>105.4964417308576</v>
      </c>
      <c r="I123" s="7">
        <v>0</v>
      </c>
      <c r="J123" s="7">
        <v>60</v>
      </c>
      <c r="K123" s="7">
        <v>25</v>
      </c>
      <c r="L123" s="7">
        <v>50</v>
      </c>
      <c r="M123" s="74">
        <f t="shared" si="17"/>
        <v>33.75</v>
      </c>
      <c r="N123" s="7">
        <v>35</v>
      </c>
      <c r="O123" s="7">
        <v>35</v>
      </c>
      <c r="P123" s="7">
        <v>65</v>
      </c>
      <c r="Q123" s="7">
        <v>0</v>
      </c>
      <c r="R123" s="74">
        <f t="shared" si="18"/>
        <v>33.75</v>
      </c>
      <c r="S123" s="3">
        <v>50.542584852253128</v>
      </c>
      <c r="T123" s="3">
        <f t="shared" si="23"/>
        <v>50.542584852253128</v>
      </c>
      <c r="U123" s="3">
        <v>26.19402209288495</v>
      </c>
      <c r="V123" s="3">
        <v>39.277394503784713</v>
      </c>
      <c r="W123" s="3">
        <v>96.863710043330116</v>
      </c>
      <c r="X123" s="3">
        <f t="shared" si="13"/>
        <v>54.111708879999924</v>
      </c>
      <c r="Y123" s="3">
        <v>11.752282059875174</v>
      </c>
      <c r="Z123" s="3">
        <v>0.66441056330451509</v>
      </c>
      <c r="AA123" s="3">
        <v>24.067861884605442</v>
      </c>
      <c r="AB123" s="3">
        <v>38.723965328577812</v>
      </c>
      <c r="AC123" s="3">
        <f t="shared" si="14"/>
        <v>18.802129959090735</v>
      </c>
      <c r="AD123" s="3">
        <v>38.373934161328052</v>
      </c>
      <c r="AE123" s="87">
        <v>0</v>
      </c>
      <c r="AF123" s="3">
        <v>38.396624472573833</v>
      </c>
      <c r="AG123" s="3">
        <v>27.5083923077115</v>
      </c>
      <c r="AH123" s="3">
        <v>4.3385774903279177</v>
      </c>
      <c r="AI123" s="3">
        <f t="shared" si="15"/>
        <v>21.723505686388261</v>
      </c>
      <c r="AJ123" s="65">
        <f t="shared" si="19"/>
        <v>36.294982344433009</v>
      </c>
      <c r="AK123" s="75">
        <f>AJ123*K值!M124</f>
        <v>38.28991490021982</v>
      </c>
      <c r="AL123" s="3">
        <v>75</v>
      </c>
      <c r="AM123" s="3">
        <v>0</v>
      </c>
      <c r="AN123" s="65">
        <f t="shared" si="20"/>
        <v>37.5</v>
      </c>
      <c r="AP123" s="76">
        <f t="shared" si="21"/>
        <v>50.290254306259449</v>
      </c>
    </row>
    <row r="124" spans="1:42" x14ac:dyDescent="0.25">
      <c r="A124" s="92" t="s">
        <v>138</v>
      </c>
      <c r="B124" s="3">
        <v>2</v>
      </c>
      <c r="C124" s="7">
        <v>65</v>
      </c>
      <c r="D124" s="7">
        <v>100</v>
      </c>
      <c r="E124" s="7">
        <v>60</v>
      </c>
      <c r="F124" s="7">
        <v>30</v>
      </c>
      <c r="G124" s="74">
        <f t="shared" si="16"/>
        <v>63.75</v>
      </c>
      <c r="H124" s="75">
        <f>G124*K值!M125</f>
        <v>67.253981603421721</v>
      </c>
      <c r="I124" s="7">
        <v>50</v>
      </c>
      <c r="J124" s="7">
        <v>80</v>
      </c>
      <c r="K124" s="7">
        <v>25</v>
      </c>
      <c r="L124" s="7">
        <v>25</v>
      </c>
      <c r="M124" s="74">
        <f t="shared" si="17"/>
        <v>45</v>
      </c>
      <c r="N124" s="7">
        <v>35</v>
      </c>
      <c r="O124" s="7">
        <v>35</v>
      </c>
      <c r="P124" s="7">
        <v>65</v>
      </c>
      <c r="Q124" s="7">
        <v>0</v>
      </c>
      <c r="R124" s="74">
        <f t="shared" si="18"/>
        <v>33.75</v>
      </c>
      <c r="S124" s="3">
        <v>75.628167443690685</v>
      </c>
      <c r="T124" s="3">
        <f t="shared" si="23"/>
        <v>75.628167443690685</v>
      </c>
      <c r="U124" s="3">
        <v>62.555041748423136</v>
      </c>
      <c r="V124" s="3">
        <v>85.773613683470955</v>
      </c>
      <c r="W124" s="3">
        <v>98.571245686405959</v>
      </c>
      <c r="X124" s="3">
        <f t="shared" si="13"/>
        <v>82.299967039433355</v>
      </c>
      <c r="Y124" s="3">
        <v>10.010340596739404</v>
      </c>
      <c r="Z124" s="3">
        <v>0.26794024245053261</v>
      </c>
      <c r="AA124" s="3">
        <v>13.271064029829169</v>
      </c>
      <c r="AB124" s="3">
        <v>36.263058991355571</v>
      </c>
      <c r="AC124" s="3">
        <f t="shared" si="14"/>
        <v>14.953100965093668</v>
      </c>
      <c r="AD124" s="3">
        <v>2.0649832870759206</v>
      </c>
      <c r="AE124" s="87">
        <v>14.865092839693213</v>
      </c>
      <c r="AF124" s="3">
        <v>7.1729957805907167</v>
      </c>
      <c r="AG124" s="3">
        <v>0</v>
      </c>
      <c r="AH124" s="3">
        <v>10.846443725819793</v>
      </c>
      <c r="AI124" s="3">
        <f t="shared" si="15"/>
        <v>6.9899031266359284</v>
      </c>
      <c r="AJ124" s="65">
        <f t="shared" si="19"/>
        <v>44.967784643713408</v>
      </c>
      <c r="AK124" s="75">
        <f>AJ124*K值!M125</f>
        <v>47.439412724312646</v>
      </c>
      <c r="AL124" s="3">
        <v>25</v>
      </c>
      <c r="AM124" s="3">
        <v>0</v>
      </c>
      <c r="AN124" s="65">
        <f t="shared" si="20"/>
        <v>12.5</v>
      </c>
      <c r="AP124" s="76">
        <f t="shared" si="21"/>
        <v>46.051561410409406</v>
      </c>
    </row>
    <row r="125" spans="1:42" x14ac:dyDescent="0.25">
      <c r="A125" s="92" t="s">
        <v>139</v>
      </c>
      <c r="B125" s="3">
        <v>3</v>
      </c>
      <c r="C125" s="7">
        <v>65</v>
      </c>
      <c r="D125" s="7">
        <v>80</v>
      </c>
      <c r="E125" s="7">
        <v>100</v>
      </c>
      <c r="F125" s="7">
        <v>15</v>
      </c>
      <c r="G125" s="74">
        <f t="shared" si="16"/>
        <v>65</v>
      </c>
      <c r="H125" s="75">
        <f>G125*K值!M126</f>
        <v>68.572687125057442</v>
      </c>
      <c r="I125" s="7">
        <v>50</v>
      </c>
      <c r="J125" s="7">
        <v>40</v>
      </c>
      <c r="K125" s="7">
        <v>75</v>
      </c>
      <c r="L125" s="7">
        <v>50</v>
      </c>
      <c r="M125" s="74">
        <f t="shared" si="17"/>
        <v>53.75</v>
      </c>
      <c r="N125" s="7">
        <v>65</v>
      </c>
      <c r="O125" s="7">
        <v>35</v>
      </c>
      <c r="P125" s="7">
        <v>100</v>
      </c>
      <c r="Q125" s="7">
        <v>0</v>
      </c>
      <c r="R125" s="74">
        <f t="shared" si="18"/>
        <v>50</v>
      </c>
      <c r="S125" s="3">
        <v>72.864401929843751</v>
      </c>
      <c r="T125" s="3">
        <f t="shared" si="23"/>
        <v>72.864401929843751</v>
      </c>
      <c r="U125" s="3">
        <v>58.657228879943524</v>
      </c>
      <c r="V125" s="3">
        <v>30.103542018401434</v>
      </c>
      <c r="W125" s="3">
        <v>95.469803395921303</v>
      </c>
      <c r="X125" s="3">
        <f t="shared" si="13"/>
        <v>61.410191431422085</v>
      </c>
      <c r="Y125" s="3">
        <v>5.9257882004210485</v>
      </c>
      <c r="Z125" s="3">
        <v>0.58859812653968113</v>
      </c>
      <c r="AA125" s="3">
        <v>20.918795843629027</v>
      </c>
      <c r="AB125" s="3">
        <v>56.530877576751536</v>
      </c>
      <c r="AC125" s="3">
        <f t="shared" si="14"/>
        <v>20.991014936835324</v>
      </c>
      <c r="AD125" s="3">
        <v>4.2518590339610753</v>
      </c>
      <c r="AE125" s="87">
        <v>0</v>
      </c>
      <c r="AF125" s="3">
        <v>83.544303797468359</v>
      </c>
      <c r="AG125" s="3">
        <v>100</v>
      </c>
      <c r="AH125" s="3">
        <v>4.3385774903279177</v>
      </c>
      <c r="AI125" s="3">
        <f t="shared" si="15"/>
        <v>38.426948064351464</v>
      </c>
      <c r="AJ125" s="65">
        <f t="shared" si="19"/>
        <v>48.423139090613148</v>
      </c>
      <c r="AK125" s="75">
        <f>AJ125*K值!M126</f>
        <v>51.084688714980828</v>
      </c>
      <c r="AL125" s="3">
        <v>50</v>
      </c>
      <c r="AM125" s="3">
        <v>50</v>
      </c>
      <c r="AN125" s="65">
        <f t="shared" si="20"/>
        <v>50</v>
      </c>
      <c r="AP125" s="76">
        <f t="shared" si="21"/>
        <v>54.898412911003817</v>
      </c>
    </row>
    <row r="126" spans="1:42" x14ac:dyDescent="0.25">
      <c r="A126" s="92" t="s">
        <v>314</v>
      </c>
      <c r="B126" s="3">
        <v>2</v>
      </c>
      <c r="C126" s="7">
        <v>65</v>
      </c>
      <c r="D126" s="7">
        <v>100</v>
      </c>
      <c r="E126" s="7">
        <v>75</v>
      </c>
      <c r="F126" s="7">
        <v>100</v>
      </c>
      <c r="G126" s="74">
        <f t="shared" si="16"/>
        <v>85</v>
      </c>
      <c r="H126" s="75">
        <f>G126*K值!M127</f>
        <v>89.671975471228947</v>
      </c>
      <c r="I126" s="7">
        <v>0</v>
      </c>
      <c r="J126" s="7">
        <v>60</v>
      </c>
      <c r="K126" s="7">
        <v>0</v>
      </c>
      <c r="L126" s="7">
        <v>0</v>
      </c>
      <c r="M126" s="74">
        <f t="shared" si="17"/>
        <v>15</v>
      </c>
      <c r="N126" s="7">
        <v>35</v>
      </c>
      <c r="O126" s="7">
        <v>35</v>
      </c>
      <c r="P126" s="7">
        <v>100</v>
      </c>
      <c r="Q126" s="7">
        <v>35</v>
      </c>
      <c r="R126" s="74">
        <f t="shared" si="18"/>
        <v>51.25</v>
      </c>
      <c r="S126" s="3">
        <v>72.336690107483591</v>
      </c>
      <c r="T126" s="3">
        <f t="shared" si="23"/>
        <v>72.336690107483591</v>
      </c>
      <c r="U126" s="3">
        <v>58.830444501698601</v>
      </c>
      <c r="V126" s="3">
        <v>90.549548947218241</v>
      </c>
      <c r="W126" s="3">
        <v>94.633459407475968</v>
      </c>
      <c r="X126" s="3">
        <f t="shared" si="13"/>
        <v>81.337817618797601</v>
      </c>
      <c r="Y126" s="3">
        <v>4.1777174569786784</v>
      </c>
      <c r="Z126" s="3">
        <v>0.50483597386456602</v>
      </c>
      <c r="AA126" s="3">
        <v>1.049688680325471</v>
      </c>
      <c r="AB126" s="3">
        <v>29.604931114405268</v>
      </c>
      <c r="AC126" s="3">
        <f t="shared" si="14"/>
        <v>8.8342933063934961</v>
      </c>
      <c r="AD126" s="3">
        <v>0.35473831252174509</v>
      </c>
      <c r="AE126" s="87">
        <v>0</v>
      </c>
      <c r="AF126" s="3">
        <v>36.286919831223628</v>
      </c>
      <c r="AG126" s="3">
        <v>7.8595406593461412</v>
      </c>
      <c r="AH126" s="3">
        <v>28.200753687131463</v>
      </c>
      <c r="AI126" s="3">
        <f t="shared" si="15"/>
        <v>14.540390498044596</v>
      </c>
      <c r="AJ126" s="65">
        <f t="shared" si="19"/>
        <v>44.262297882679825</v>
      </c>
      <c r="AK126" s="75">
        <f>AJ126*K值!M127</f>
        <v>46.695149294539938</v>
      </c>
      <c r="AL126" s="3">
        <v>0</v>
      </c>
      <c r="AM126" s="3">
        <v>0</v>
      </c>
      <c r="AN126" s="65">
        <f t="shared" si="20"/>
        <v>0</v>
      </c>
      <c r="AP126" s="76">
        <f t="shared" si="21"/>
        <v>44.73745481206177</v>
      </c>
    </row>
    <row r="127" spans="1:42" x14ac:dyDescent="0.25">
      <c r="A127" s="92" t="s">
        <v>387</v>
      </c>
      <c r="B127" s="3">
        <v>2</v>
      </c>
      <c r="C127" s="7">
        <v>65</v>
      </c>
      <c r="D127" s="7">
        <v>80</v>
      </c>
      <c r="E127" s="7">
        <v>60</v>
      </c>
      <c r="F127" s="7">
        <v>60</v>
      </c>
      <c r="G127" s="74">
        <f t="shared" si="16"/>
        <v>66.25</v>
      </c>
      <c r="H127" s="75">
        <f>G127*K值!M128</f>
        <v>69.891392646693149</v>
      </c>
      <c r="I127" s="7">
        <v>0</v>
      </c>
      <c r="J127" s="7">
        <v>40</v>
      </c>
      <c r="K127" s="7">
        <v>0</v>
      </c>
      <c r="L127" s="36">
        <v>75</v>
      </c>
      <c r="M127" s="74">
        <f t="shared" si="17"/>
        <v>28.75</v>
      </c>
      <c r="N127" s="7">
        <v>0</v>
      </c>
      <c r="O127" s="7">
        <v>35</v>
      </c>
      <c r="P127" s="7">
        <v>35</v>
      </c>
      <c r="Q127" s="7">
        <v>0</v>
      </c>
      <c r="R127" s="74">
        <f t="shared" si="18"/>
        <v>17.5</v>
      </c>
      <c r="S127" s="3">
        <v>0</v>
      </c>
      <c r="T127" s="3">
        <v>0</v>
      </c>
      <c r="U127" s="3">
        <v>46.784919554437614</v>
      </c>
      <c r="V127" s="3">
        <v>81.046851498372334</v>
      </c>
      <c r="W127" s="3">
        <v>100</v>
      </c>
      <c r="X127" s="3">
        <f>AVERAGE(U127:W127)</f>
        <v>75.94392368426999</v>
      </c>
      <c r="Y127" s="3">
        <v>53.734174591902409</v>
      </c>
      <c r="Z127" s="3">
        <v>2.2195374713011091</v>
      </c>
      <c r="AA127" s="3">
        <v>6.8229764221155618</v>
      </c>
      <c r="AB127" s="3">
        <v>4.0067183213291928</v>
      </c>
      <c r="AC127" s="3">
        <f t="shared" si="14"/>
        <v>16.695851701662068</v>
      </c>
      <c r="AD127" s="3">
        <v>3.5395695059989101</v>
      </c>
      <c r="AE127" s="87">
        <v>59.460371358772854</v>
      </c>
      <c r="AF127" s="3">
        <v>27.426160337552741</v>
      </c>
      <c r="AG127" s="3">
        <v>3.9297703296730706</v>
      </c>
      <c r="AH127" s="3">
        <v>17.354309961311671</v>
      </c>
      <c r="AI127" s="3">
        <f t="shared" si="15"/>
        <v>22.342036298661849</v>
      </c>
      <c r="AJ127" s="65">
        <f t="shared" si="19"/>
        <v>28.745452921148477</v>
      </c>
      <c r="AK127" s="75">
        <f>AJ127*K值!M128</f>
        <v>30.325429991230504</v>
      </c>
      <c r="AL127" s="3">
        <v>0</v>
      </c>
      <c r="AM127" s="3">
        <v>0</v>
      </c>
      <c r="AN127" s="65">
        <f t="shared" si="20"/>
        <v>0</v>
      </c>
      <c r="AP127" s="76">
        <f t="shared" si="21"/>
        <v>33.608450525830833</v>
      </c>
    </row>
    <row r="128" spans="1:42" x14ac:dyDescent="0.25">
      <c r="A128" s="92" t="s">
        <v>315</v>
      </c>
      <c r="B128" s="3">
        <v>2</v>
      </c>
      <c r="C128" s="7">
        <v>35</v>
      </c>
      <c r="D128" s="7">
        <v>100</v>
      </c>
      <c r="E128" s="7">
        <v>60</v>
      </c>
      <c r="F128" s="7">
        <v>60</v>
      </c>
      <c r="G128" s="74">
        <f t="shared" si="16"/>
        <v>63.75</v>
      </c>
      <c r="H128" s="75">
        <f>G128*K值!M129</f>
        <v>67.253981603421721</v>
      </c>
      <c r="I128" s="7">
        <v>50</v>
      </c>
      <c r="J128" s="7">
        <v>60</v>
      </c>
      <c r="K128" s="7">
        <v>0</v>
      </c>
      <c r="L128" s="7">
        <v>0</v>
      </c>
      <c r="M128" s="74">
        <f t="shared" si="17"/>
        <v>27.5</v>
      </c>
      <c r="N128" s="7">
        <v>35</v>
      </c>
      <c r="O128" s="7">
        <v>35</v>
      </c>
      <c r="P128" s="7">
        <v>65</v>
      </c>
      <c r="Q128" s="7">
        <v>35</v>
      </c>
      <c r="R128" s="74">
        <f t="shared" si="18"/>
        <v>42.5</v>
      </c>
      <c r="S128" s="3">
        <v>75.823671010995724</v>
      </c>
      <c r="T128" s="3">
        <f t="shared" si="23"/>
        <v>75.823671010995724</v>
      </c>
      <c r="U128" s="3">
        <v>64.351565700040666</v>
      </c>
      <c r="V128" s="3">
        <v>81.71376137754423</v>
      </c>
      <c r="W128" s="3">
        <v>95.50465106210649</v>
      </c>
      <c r="X128" s="3">
        <f t="shared" si="13"/>
        <v>80.523326046563795</v>
      </c>
      <c r="Y128" s="3">
        <v>5.7946216018598049</v>
      </c>
      <c r="Z128" s="3">
        <v>0.3976308633226367</v>
      </c>
      <c r="AA128" s="3">
        <v>0.67479986592351704</v>
      </c>
      <c r="AB128" s="3">
        <v>44.309576642699973</v>
      </c>
      <c r="AC128" s="3">
        <f t="shared" si="14"/>
        <v>12.794157243451483</v>
      </c>
      <c r="AD128" s="3">
        <v>0.93919703006858501</v>
      </c>
      <c r="AE128" s="87">
        <v>0</v>
      </c>
      <c r="AF128" s="3">
        <v>51.898734177215189</v>
      </c>
      <c r="AG128" s="3">
        <v>55.016784615422999</v>
      </c>
      <c r="AH128" s="3">
        <v>15.185021216147712</v>
      </c>
      <c r="AI128" s="3">
        <f t="shared" si="15"/>
        <v>24.607947407770897</v>
      </c>
      <c r="AJ128" s="65">
        <f t="shared" si="19"/>
        <v>48.437275427195473</v>
      </c>
      <c r="AK128" s="75">
        <f>AJ128*K值!M129</f>
        <v>51.099602047066277</v>
      </c>
      <c r="AL128" s="3">
        <v>75</v>
      </c>
      <c r="AM128" s="3">
        <v>50</v>
      </c>
      <c r="AN128" s="65">
        <f t="shared" si="20"/>
        <v>62.5</v>
      </c>
      <c r="AP128" s="76">
        <f t="shared" si="21"/>
        <v>49.890637139510858</v>
      </c>
    </row>
    <row r="129" spans="1:42" x14ac:dyDescent="0.25">
      <c r="A129" s="92" t="s">
        <v>141</v>
      </c>
      <c r="B129" s="3">
        <v>4</v>
      </c>
      <c r="C129" s="7">
        <v>65</v>
      </c>
      <c r="D129" s="7">
        <v>100</v>
      </c>
      <c r="E129" s="7">
        <v>75</v>
      </c>
      <c r="F129" s="7">
        <v>45</v>
      </c>
      <c r="G129" s="74">
        <f t="shared" si="16"/>
        <v>71.25</v>
      </c>
      <c r="H129" s="75">
        <f>G129*K值!M130</f>
        <v>75.166214733236032</v>
      </c>
      <c r="I129" s="7">
        <v>50</v>
      </c>
      <c r="J129" s="7">
        <v>40</v>
      </c>
      <c r="K129" s="7">
        <v>25</v>
      </c>
      <c r="L129" s="7">
        <v>50</v>
      </c>
      <c r="M129" s="74">
        <f t="shared" si="17"/>
        <v>41.25</v>
      </c>
      <c r="N129" s="7">
        <v>100</v>
      </c>
      <c r="O129" s="7">
        <v>0</v>
      </c>
      <c r="P129" s="7">
        <v>100</v>
      </c>
      <c r="Q129" s="7">
        <v>35</v>
      </c>
      <c r="R129" s="74">
        <f t="shared" si="18"/>
        <v>58.75</v>
      </c>
      <c r="S129" s="3">
        <v>78.405063994572004</v>
      </c>
      <c r="T129" s="3">
        <f t="shared" si="23"/>
        <v>78.405063994572004</v>
      </c>
      <c r="U129" s="3">
        <v>71.329213620819829</v>
      </c>
      <c r="V129" s="3">
        <v>67.991399117163567</v>
      </c>
      <c r="W129" s="3">
        <v>100</v>
      </c>
      <c r="X129" s="3">
        <f t="shared" si="13"/>
        <v>79.773537579327794</v>
      </c>
      <c r="Y129" s="3">
        <v>4.5013434571671684</v>
      </c>
      <c r="Z129" s="3" t="s">
        <v>335</v>
      </c>
      <c r="AA129" s="3">
        <v>10.496886803254709</v>
      </c>
      <c r="AB129" s="3">
        <v>23.51874779383877</v>
      </c>
      <c r="AC129" s="3">
        <f t="shared" si="14"/>
        <v>12.838992684753549</v>
      </c>
      <c r="AD129" s="3">
        <v>4.0808970454594053</v>
      </c>
      <c r="AE129" s="87">
        <v>0</v>
      </c>
      <c r="AF129" s="3">
        <v>77.215189873417728</v>
      </c>
      <c r="AG129" s="3">
        <v>7.8595406593461412</v>
      </c>
      <c r="AH129" s="3">
        <v>10.846443725819793</v>
      </c>
      <c r="AI129" s="3">
        <f t="shared" si="15"/>
        <v>20.000414260808615</v>
      </c>
      <c r="AJ129" s="65">
        <f t="shared" si="19"/>
        <v>47.754502129865493</v>
      </c>
      <c r="AK129" s="75">
        <f>AJ129*K值!M130</f>
        <v>50.379300513294702</v>
      </c>
      <c r="AL129" s="3">
        <v>50</v>
      </c>
      <c r="AM129" s="3">
        <v>0</v>
      </c>
      <c r="AN129" s="65">
        <f t="shared" si="20"/>
        <v>25</v>
      </c>
      <c r="AP129" s="76">
        <f t="shared" si="21"/>
        <v>51.809963151965093</v>
      </c>
    </row>
    <row r="130" spans="1:42" x14ac:dyDescent="0.25">
      <c r="A130" s="92" t="s">
        <v>142</v>
      </c>
      <c r="B130" s="3">
        <v>3</v>
      </c>
      <c r="C130" s="7">
        <v>65</v>
      </c>
      <c r="D130" s="7">
        <v>100</v>
      </c>
      <c r="E130" s="7">
        <v>100</v>
      </c>
      <c r="F130" s="7">
        <v>75</v>
      </c>
      <c r="G130" s="74">
        <f t="shared" si="16"/>
        <v>85</v>
      </c>
      <c r="H130" s="75">
        <f>G130*K值!M131</f>
        <v>89.671975471228947</v>
      </c>
      <c r="I130" s="7">
        <v>75</v>
      </c>
      <c r="J130" s="7">
        <v>0</v>
      </c>
      <c r="K130" s="7">
        <v>25</v>
      </c>
      <c r="L130" s="7">
        <v>25</v>
      </c>
      <c r="M130" s="74">
        <f t="shared" si="17"/>
        <v>31.25</v>
      </c>
      <c r="N130" s="7">
        <v>0</v>
      </c>
      <c r="O130" s="7">
        <v>35</v>
      </c>
      <c r="P130" s="7">
        <v>0</v>
      </c>
      <c r="Q130" s="7">
        <v>0</v>
      </c>
      <c r="R130" s="74">
        <f t="shared" si="18"/>
        <v>8.75</v>
      </c>
      <c r="S130" s="3">
        <v>79.403033222908576</v>
      </c>
      <c r="T130" s="3">
        <f t="shared" si="23"/>
        <v>79.403033222908576</v>
      </c>
      <c r="U130" s="3">
        <v>65.222162524271951</v>
      </c>
      <c r="V130" s="3">
        <v>90.039378256238805</v>
      </c>
      <c r="W130" s="3">
        <v>95.713737059217834</v>
      </c>
      <c r="X130" s="3">
        <f t="shared" si="13"/>
        <v>83.658425946576202</v>
      </c>
      <c r="Y130" s="3">
        <v>2.260478577074144</v>
      </c>
      <c r="Z130" s="3" t="s">
        <v>335</v>
      </c>
      <c r="AA130" s="3">
        <v>11.621553246460573</v>
      </c>
      <c r="AB130" s="3">
        <v>34.200847367705428</v>
      </c>
      <c r="AC130" s="3">
        <f t="shared" si="14"/>
        <v>16.027626397080049</v>
      </c>
      <c r="AD130" s="3">
        <v>6.8237899359359133</v>
      </c>
      <c r="AE130" s="87">
        <v>14.865092839693213</v>
      </c>
      <c r="AF130" s="3">
        <v>24.894514767932492</v>
      </c>
      <c r="AG130" s="3">
        <v>15.719081318692282</v>
      </c>
      <c r="AH130" s="3">
        <v>2.1692887451639589</v>
      </c>
      <c r="AI130" s="3">
        <f t="shared" si="15"/>
        <v>12.894353521483572</v>
      </c>
      <c r="AJ130" s="65">
        <f t="shared" si="19"/>
        <v>47.995859772012096</v>
      </c>
      <c r="AK130" s="75">
        <f>AJ130*K值!M131</f>
        <v>50.633924237604859</v>
      </c>
      <c r="AL130" s="3">
        <v>75</v>
      </c>
      <c r="AM130" s="3">
        <v>0</v>
      </c>
      <c r="AN130" s="65">
        <f t="shared" si="20"/>
        <v>37.5</v>
      </c>
      <c r="AP130" s="76">
        <f t="shared" si="21"/>
        <v>49.062964789287733</v>
      </c>
    </row>
    <row r="131" spans="1:42" x14ac:dyDescent="0.25">
      <c r="A131" s="92" t="s">
        <v>143</v>
      </c>
      <c r="B131" s="3">
        <v>3</v>
      </c>
      <c r="C131" s="7">
        <v>65</v>
      </c>
      <c r="D131" s="7">
        <v>100</v>
      </c>
      <c r="E131" s="7">
        <v>100</v>
      </c>
      <c r="F131" s="7">
        <v>60</v>
      </c>
      <c r="G131" s="74">
        <f t="shared" si="16"/>
        <v>81.25</v>
      </c>
      <c r="H131" s="75">
        <f>G131*K值!M132</f>
        <v>85.715858906321799</v>
      </c>
      <c r="I131" s="7">
        <v>0</v>
      </c>
      <c r="J131" s="7">
        <v>40</v>
      </c>
      <c r="K131" s="7">
        <v>50</v>
      </c>
      <c r="L131" s="7">
        <v>0</v>
      </c>
      <c r="M131" s="74">
        <f t="shared" si="17"/>
        <v>22.5</v>
      </c>
      <c r="N131" s="7">
        <v>65</v>
      </c>
      <c r="O131" s="7">
        <v>65</v>
      </c>
      <c r="P131" s="7">
        <v>65</v>
      </c>
      <c r="Q131" s="7">
        <v>0</v>
      </c>
      <c r="R131" s="74">
        <f t="shared" si="18"/>
        <v>48.75</v>
      </c>
      <c r="S131" s="3">
        <v>62.571068399698923</v>
      </c>
      <c r="T131" s="3">
        <f t="shared" si="23"/>
        <v>62.571068399698923</v>
      </c>
      <c r="U131" s="3">
        <v>47.222980503594279</v>
      </c>
      <c r="V131" s="3">
        <v>0</v>
      </c>
      <c r="W131" s="3">
        <v>99.059113012999063</v>
      </c>
      <c r="X131" s="3">
        <f t="shared" ref="X131:X194" si="24">AVERAGE(U131:W131)</f>
        <v>48.760697838864445</v>
      </c>
      <c r="Y131" s="3">
        <v>3.1467725094085299</v>
      </c>
      <c r="Z131" s="3">
        <v>0.80795515989617839</v>
      </c>
      <c r="AA131" s="3">
        <v>17.019952173848711</v>
      </c>
      <c r="AB131" s="3">
        <v>68.463671826966149</v>
      </c>
      <c r="AC131" s="3">
        <f t="shared" ref="AC131:AC194" si="25">AVERAGE(Y131:AB131)</f>
        <v>22.359587917529893</v>
      </c>
      <c r="AD131" s="3">
        <v>5.2054331233917752</v>
      </c>
      <c r="AE131" s="87">
        <v>29.730185679386427</v>
      </c>
      <c r="AF131" s="3">
        <v>67.510548523206751</v>
      </c>
      <c r="AG131" s="3">
        <v>43.227473626403778</v>
      </c>
      <c r="AH131" s="3">
        <v>8.6771549806558355</v>
      </c>
      <c r="AI131" s="3">
        <f t="shared" ref="AI131:AI194" si="26">AVERAGE(AD131:AH131)</f>
        <v>30.870159186608912</v>
      </c>
      <c r="AJ131" s="65">
        <f t="shared" si="19"/>
        <v>41.140378335675543</v>
      </c>
      <c r="AK131" s="75">
        <f>AJ131*K值!M132</f>
        <v>43.401635258750311</v>
      </c>
      <c r="AL131" s="3">
        <v>25</v>
      </c>
      <c r="AM131" s="3">
        <v>0</v>
      </c>
      <c r="AN131" s="65">
        <f t="shared" si="20"/>
        <v>12.5</v>
      </c>
      <c r="AP131" s="76">
        <f t="shared" si="21"/>
        <v>45.128825884764481</v>
      </c>
    </row>
    <row r="132" spans="1:42" x14ac:dyDescent="0.25">
      <c r="A132" s="92" t="s">
        <v>144</v>
      </c>
      <c r="B132" s="3">
        <v>3</v>
      </c>
      <c r="C132" s="7">
        <v>65</v>
      </c>
      <c r="D132" s="7">
        <v>100</v>
      </c>
      <c r="E132" s="7">
        <v>100</v>
      </c>
      <c r="F132" s="7">
        <v>75</v>
      </c>
      <c r="G132" s="74">
        <f t="shared" ref="G132:G195" si="27">AVERAGE(C132:F132)</f>
        <v>85</v>
      </c>
      <c r="H132" s="75">
        <f>G132*K值!M133</f>
        <v>89.671975471228947</v>
      </c>
      <c r="I132" s="7">
        <v>0</v>
      </c>
      <c r="J132" s="7">
        <v>40</v>
      </c>
      <c r="K132" s="7">
        <v>0</v>
      </c>
      <c r="L132" s="7">
        <v>25</v>
      </c>
      <c r="M132" s="74">
        <f t="shared" ref="M132:M195" si="28">AVERAGE(I132:L132)</f>
        <v>16.25</v>
      </c>
      <c r="N132" s="7">
        <v>0</v>
      </c>
      <c r="O132" s="7">
        <v>0</v>
      </c>
      <c r="P132" s="7">
        <v>35</v>
      </c>
      <c r="Q132" s="7">
        <v>0</v>
      </c>
      <c r="R132" s="74">
        <f t="shared" ref="R132:R195" si="29">AVERAGE(N132:Q132)</f>
        <v>8.75</v>
      </c>
      <c r="S132" s="3">
        <v>66.507545782695104</v>
      </c>
      <c r="T132" s="3">
        <f t="shared" si="23"/>
        <v>66.507545782695104</v>
      </c>
      <c r="U132" s="3">
        <v>61.023353480536379</v>
      </c>
      <c r="V132" s="3">
        <v>65.336052870138062</v>
      </c>
      <c r="W132" s="3">
        <v>100</v>
      </c>
      <c r="X132" s="3">
        <f t="shared" si="24"/>
        <v>75.453135450224821</v>
      </c>
      <c r="Y132" s="3">
        <v>1.1155290158012316</v>
      </c>
      <c r="Z132" s="3">
        <v>0.11605424686541747</v>
      </c>
      <c r="AA132" s="3">
        <v>8.022620628201814</v>
      </c>
      <c r="AB132" s="3">
        <v>25.110141678399948</v>
      </c>
      <c r="AC132" s="3">
        <f t="shared" si="25"/>
        <v>8.5910863923171021</v>
      </c>
      <c r="AD132" s="3">
        <v>10.602143645253426</v>
      </c>
      <c r="AE132" s="87">
        <v>14.865092839693213</v>
      </c>
      <c r="AF132" s="3">
        <v>56.118143459915615</v>
      </c>
      <c r="AG132" s="3">
        <v>19.648851648365355</v>
      </c>
      <c r="AH132" s="3">
        <v>2.1692887451639589</v>
      </c>
      <c r="AI132" s="3">
        <f t="shared" si="26"/>
        <v>20.680704067678313</v>
      </c>
      <c r="AJ132" s="65">
        <f t="shared" ref="AJ132:AJ195" si="30">AVERAGE(T132,X132,AC132,AI132)</f>
        <v>42.808117923228828</v>
      </c>
      <c r="AK132" s="75">
        <f>AJ132*K值!M133</f>
        <v>45.161041180955905</v>
      </c>
      <c r="AL132" s="3">
        <v>0</v>
      </c>
      <c r="AM132" s="3">
        <v>0</v>
      </c>
      <c r="AN132" s="65">
        <f t="shared" ref="AN132:AN195" si="31">AVERAGE(AL132:AM132)</f>
        <v>0</v>
      </c>
      <c r="AP132" s="76">
        <f t="shared" ref="AP132:AP195" si="32">(H132*0.2)+(M132*0.2)+(R132*0.1)+(AK132*0.4)+(AN132*0.1)</f>
        <v>40.123811566628149</v>
      </c>
    </row>
    <row r="133" spans="1:42" x14ac:dyDescent="0.25">
      <c r="A133" s="92" t="s">
        <v>145</v>
      </c>
      <c r="B133" s="3">
        <v>2</v>
      </c>
      <c r="C133" s="7">
        <v>100</v>
      </c>
      <c r="D133" s="7">
        <v>100</v>
      </c>
      <c r="E133" s="7">
        <v>60</v>
      </c>
      <c r="F133" s="7">
        <v>45</v>
      </c>
      <c r="G133" s="74">
        <f t="shared" si="27"/>
        <v>76.25</v>
      </c>
      <c r="H133" s="75">
        <f>G133*K值!M134</f>
        <v>80.441036819778915</v>
      </c>
      <c r="I133" s="7">
        <v>0</v>
      </c>
      <c r="J133" s="7">
        <v>40</v>
      </c>
      <c r="K133" s="7">
        <v>25</v>
      </c>
      <c r="L133" s="7">
        <v>25</v>
      </c>
      <c r="M133" s="74">
        <f t="shared" si="28"/>
        <v>22.5</v>
      </c>
      <c r="N133" s="7">
        <v>35</v>
      </c>
      <c r="O133" s="7">
        <v>35</v>
      </c>
      <c r="P133" s="7">
        <v>65</v>
      </c>
      <c r="Q133" s="7">
        <v>35</v>
      </c>
      <c r="R133" s="74">
        <f t="shared" si="29"/>
        <v>42.5</v>
      </c>
      <c r="S133" s="3">
        <v>54.696274601603378</v>
      </c>
      <c r="T133" s="3">
        <f t="shared" si="23"/>
        <v>54.696274601603378</v>
      </c>
      <c r="U133" s="3">
        <v>49.786340779552482</v>
      </c>
      <c r="V133" s="3">
        <v>52.839944258557367</v>
      </c>
      <c r="W133" s="3">
        <v>91.880493778843558</v>
      </c>
      <c r="X133" s="3">
        <f t="shared" si="24"/>
        <v>64.835592938984462</v>
      </c>
      <c r="Y133" s="3">
        <v>11.711828809851612</v>
      </c>
      <c r="Z133" s="3" t="s">
        <v>335</v>
      </c>
      <c r="AA133" s="3">
        <v>7.7227095766802503</v>
      </c>
      <c r="AB133" s="3">
        <v>32.484310142307429</v>
      </c>
      <c r="AC133" s="3">
        <f t="shared" si="25"/>
        <v>17.30628284294643</v>
      </c>
      <c r="AD133" s="3">
        <v>4.4084439631006296</v>
      </c>
      <c r="AE133" s="87">
        <v>100</v>
      </c>
      <c r="AF133" s="3">
        <v>54.430379746835442</v>
      </c>
      <c r="AG133" s="3">
        <v>0</v>
      </c>
      <c r="AH133" s="3">
        <v>34.708619922623342</v>
      </c>
      <c r="AI133" s="3">
        <f t="shared" si="26"/>
        <v>38.709488726511879</v>
      </c>
      <c r="AJ133" s="65">
        <f t="shared" si="30"/>
        <v>43.886909777511534</v>
      </c>
      <c r="AK133" s="75">
        <f>AJ133*K值!M134</f>
        <v>46.299128200906502</v>
      </c>
      <c r="AL133" s="3">
        <v>0</v>
      </c>
      <c r="AM133" s="3">
        <v>0</v>
      </c>
      <c r="AN133" s="65">
        <f t="shared" si="31"/>
        <v>0</v>
      </c>
      <c r="AP133" s="76">
        <f t="shared" si="32"/>
        <v>43.357858644318384</v>
      </c>
    </row>
    <row r="134" spans="1:42" x14ac:dyDescent="0.25">
      <c r="A134" s="92" t="s">
        <v>146</v>
      </c>
      <c r="B134" s="3">
        <v>3</v>
      </c>
      <c r="C134" s="7">
        <v>65</v>
      </c>
      <c r="D134" s="7">
        <v>100</v>
      </c>
      <c r="E134" s="7">
        <v>100</v>
      </c>
      <c r="F134" s="7">
        <v>60</v>
      </c>
      <c r="G134" s="74">
        <f t="shared" si="27"/>
        <v>81.25</v>
      </c>
      <c r="H134" s="75">
        <f>G134*K值!M135</f>
        <v>85.715858906321799</v>
      </c>
      <c r="I134" s="7">
        <v>25</v>
      </c>
      <c r="J134" s="7">
        <v>80</v>
      </c>
      <c r="K134" s="7">
        <v>25</v>
      </c>
      <c r="L134" s="7">
        <v>50</v>
      </c>
      <c r="M134" s="74">
        <f t="shared" si="28"/>
        <v>45</v>
      </c>
      <c r="N134" s="7">
        <v>65</v>
      </c>
      <c r="O134" s="7">
        <v>65</v>
      </c>
      <c r="P134" s="7">
        <v>100</v>
      </c>
      <c r="Q134" s="7">
        <v>65</v>
      </c>
      <c r="R134" s="74">
        <f t="shared" si="29"/>
        <v>73.75</v>
      </c>
      <c r="S134" s="3">
        <v>73.89256501214949</v>
      </c>
      <c r="T134" s="3">
        <f t="shared" ref="T134:T165" si="33">AVERAGE(S134)</f>
        <v>73.89256501214949</v>
      </c>
      <c r="U134" s="3">
        <v>57.843116446106535</v>
      </c>
      <c r="V134" s="3">
        <v>41.89893425923929</v>
      </c>
      <c r="W134" s="3">
        <v>100</v>
      </c>
      <c r="X134" s="3">
        <f t="shared" si="24"/>
        <v>66.580683568448606</v>
      </c>
      <c r="Y134" s="3">
        <v>5.4477043365062352</v>
      </c>
      <c r="Z134" s="3">
        <v>0.24516459650319442</v>
      </c>
      <c r="AA134" s="3">
        <v>21.068751369389812</v>
      </c>
      <c r="AB134" s="3">
        <v>40.848131683350779</v>
      </c>
      <c r="AC134" s="3">
        <f t="shared" si="25"/>
        <v>16.902437996437506</v>
      </c>
      <c r="AD134" s="3">
        <v>4.0061988457301574</v>
      </c>
      <c r="AE134" s="87">
        <v>14.865092839693213</v>
      </c>
      <c r="AF134" s="3">
        <v>66.666666666666657</v>
      </c>
      <c r="AG134" s="3">
        <v>100</v>
      </c>
      <c r="AH134" s="3">
        <v>39.047197412951256</v>
      </c>
      <c r="AI134" s="3">
        <f t="shared" si="26"/>
        <v>44.917031153008253</v>
      </c>
      <c r="AJ134" s="65">
        <f t="shared" si="30"/>
        <v>50.573179432510962</v>
      </c>
      <c r="AK134" s="75">
        <f>AJ134*K值!M135</f>
        <v>53.352904771460985</v>
      </c>
      <c r="AL134" s="3">
        <v>50</v>
      </c>
      <c r="AM134" s="3">
        <v>0</v>
      </c>
      <c r="AN134" s="65">
        <f t="shared" si="31"/>
        <v>25</v>
      </c>
      <c r="AP134" s="76">
        <f t="shared" si="32"/>
        <v>57.359333689848754</v>
      </c>
    </row>
    <row r="135" spans="1:42" x14ac:dyDescent="0.25">
      <c r="A135" s="92" t="s">
        <v>147</v>
      </c>
      <c r="B135" s="3">
        <v>2</v>
      </c>
      <c r="C135" s="7">
        <v>65</v>
      </c>
      <c r="D135" s="7">
        <v>100</v>
      </c>
      <c r="E135" s="7">
        <v>60</v>
      </c>
      <c r="F135" s="7">
        <v>100</v>
      </c>
      <c r="G135" s="74">
        <f t="shared" si="27"/>
        <v>81.25</v>
      </c>
      <c r="H135" s="75">
        <f>G135*K值!M136</f>
        <v>85.715858906321799</v>
      </c>
      <c r="I135" s="7">
        <v>25</v>
      </c>
      <c r="J135" s="7">
        <v>40</v>
      </c>
      <c r="K135" s="7">
        <v>50</v>
      </c>
      <c r="L135" s="7">
        <v>50</v>
      </c>
      <c r="M135" s="74">
        <f t="shared" si="28"/>
        <v>41.25</v>
      </c>
      <c r="N135" s="7">
        <v>65</v>
      </c>
      <c r="O135" s="7">
        <v>65</v>
      </c>
      <c r="P135" s="7">
        <v>100</v>
      </c>
      <c r="Q135" s="7">
        <v>65</v>
      </c>
      <c r="R135" s="74">
        <f t="shared" si="29"/>
        <v>73.75</v>
      </c>
      <c r="S135" s="3">
        <v>73.660870626478854</v>
      </c>
      <c r="T135" s="3">
        <f t="shared" si="33"/>
        <v>73.660870626478854</v>
      </c>
      <c r="U135" s="3">
        <v>62.16926693824395</v>
      </c>
      <c r="V135" s="3">
        <v>90.100844604549579</v>
      </c>
      <c r="W135" s="3">
        <v>99.651523338147811</v>
      </c>
      <c r="X135" s="3">
        <f t="shared" si="24"/>
        <v>83.973878293647104</v>
      </c>
      <c r="Y135" s="3">
        <v>5.3153118818836713</v>
      </c>
      <c r="Z135" s="3" t="s">
        <v>335</v>
      </c>
      <c r="AA135" s="3">
        <v>8.8473760198861129</v>
      </c>
      <c r="AB135" s="3">
        <v>41.724312067388659</v>
      </c>
      <c r="AC135" s="3">
        <f t="shared" si="25"/>
        <v>18.628999989719482</v>
      </c>
      <c r="AD135" s="3">
        <v>10.228340101838441</v>
      </c>
      <c r="AE135" s="87">
        <v>0</v>
      </c>
      <c r="AF135" s="3">
        <v>57.383966244725734</v>
      </c>
      <c r="AG135" s="3">
        <v>23.578621978038424</v>
      </c>
      <c r="AH135" s="3">
        <v>19.523598706475628</v>
      </c>
      <c r="AI135" s="3">
        <f t="shared" si="26"/>
        <v>22.142905406215643</v>
      </c>
      <c r="AJ135" s="65">
        <f t="shared" si="30"/>
        <v>49.601663579015273</v>
      </c>
      <c r="AK135" s="75">
        <f>AJ135*K值!M136</f>
        <v>52.327990115171858</v>
      </c>
      <c r="AL135" s="3">
        <v>50</v>
      </c>
      <c r="AM135" s="3">
        <v>0</v>
      </c>
      <c r="AN135" s="65">
        <f t="shared" si="31"/>
        <v>25</v>
      </c>
      <c r="AP135" s="76">
        <f t="shared" si="32"/>
        <v>56.199367827333106</v>
      </c>
    </row>
    <row r="136" spans="1:42" x14ac:dyDescent="0.25">
      <c r="A136" s="92" t="s">
        <v>148</v>
      </c>
      <c r="B136" s="3">
        <v>3</v>
      </c>
      <c r="C136" s="7">
        <v>100</v>
      </c>
      <c r="D136" s="7">
        <v>100</v>
      </c>
      <c r="E136" s="7">
        <v>75</v>
      </c>
      <c r="F136" s="7">
        <v>45</v>
      </c>
      <c r="G136" s="74">
        <f t="shared" si="27"/>
        <v>80</v>
      </c>
      <c r="H136" s="75">
        <f>G136*K值!M137</f>
        <v>84.397153384686078</v>
      </c>
      <c r="I136" s="7">
        <v>0</v>
      </c>
      <c r="J136" s="7">
        <v>60</v>
      </c>
      <c r="K136" s="7">
        <v>25</v>
      </c>
      <c r="L136" s="7">
        <v>0</v>
      </c>
      <c r="M136" s="74">
        <f t="shared" si="28"/>
        <v>21.25</v>
      </c>
      <c r="N136" s="7">
        <v>35</v>
      </c>
      <c r="O136" s="7">
        <v>35</v>
      </c>
      <c r="P136" s="7">
        <v>35</v>
      </c>
      <c r="Q136" s="7">
        <v>35</v>
      </c>
      <c r="R136" s="74">
        <f t="shared" si="29"/>
        <v>35</v>
      </c>
      <c r="S136" s="3">
        <v>78.705390830391593</v>
      </c>
      <c r="T136" s="3">
        <f t="shared" si="33"/>
        <v>78.705390830391593</v>
      </c>
      <c r="U136" s="3">
        <v>72.45122740671755</v>
      </c>
      <c r="V136" s="3">
        <v>52.065468269841588</v>
      </c>
      <c r="W136" s="3">
        <v>98.571245686405959</v>
      </c>
      <c r="X136" s="3">
        <f t="shared" si="24"/>
        <v>74.36264712098837</v>
      </c>
      <c r="Y136" s="3">
        <v>8.120070550183911</v>
      </c>
      <c r="Z136" s="3" t="s">
        <v>335</v>
      </c>
      <c r="AA136" s="3">
        <v>4.7985768243450106</v>
      </c>
      <c r="AB136" s="3">
        <v>88.066975183582116</v>
      </c>
      <c r="AC136" s="3">
        <f t="shared" si="25"/>
        <v>33.661874186037011</v>
      </c>
      <c r="AD136" s="3">
        <v>2.4309732112723643</v>
      </c>
      <c r="AE136" s="87">
        <v>14.865092839693213</v>
      </c>
      <c r="AF136" s="3">
        <v>5.9071729957805905</v>
      </c>
      <c r="AG136" s="3">
        <v>7.8595406593461412</v>
      </c>
      <c r="AH136" s="3">
        <v>15.185021216147712</v>
      </c>
      <c r="AI136" s="3">
        <f t="shared" si="26"/>
        <v>9.2495601844480042</v>
      </c>
      <c r="AJ136" s="65">
        <f t="shared" si="30"/>
        <v>48.99486808046624</v>
      </c>
      <c r="AK136" s="75">
        <f>AJ136*K值!M137</f>
        <v>51.687842455619617</v>
      </c>
      <c r="AL136" s="3">
        <v>50</v>
      </c>
      <c r="AM136" s="3">
        <v>0</v>
      </c>
      <c r="AN136" s="65">
        <f t="shared" si="31"/>
        <v>25</v>
      </c>
      <c r="AP136" s="76">
        <f t="shared" si="32"/>
        <v>47.804567659185068</v>
      </c>
    </row>
    <row r="137" spans="1:42" x14ac:dyDescent="0.25">
      <c r="A137" s="92" t="s">
        <v>149</v>
      </c>
      <c r="B137" s="3">
        <v>3</v>
      </c>
      <c r="C137" s="7">
        <v>65</v>
      </c>
      <c r="D137" s="7">
        <v>100</v>
      </c>
      <c r="E137" s="7">
        <v>75</v>
      </c>
      <c r="F137" s="7">
        <v>60</v>
      </c>
      <c r="G137" s="74">
        <f t="shared" si="27"/>
        <v>75</v>
      </c>
      <c r="H137" s="75">
        <f>G137*K值!M138</f>
        <v>79.122331298143195</v>
      </c>
      <c r="I137" s="7">
        <v>0</v>
      </c>
      <c r="J137" s="7">
        <v>40</v>
      </c>
      <c r="K137" s="7">
        <v>25</v>
      </c>
      <c r="L137" s="7">
        <v>0</v>
      </c>
      <c r="M137" s="74">
        <f t="shared" si="28"/>
        <v>16.25</v>
      </c>
      <c r="N137" s="7">
        <v>35</v>
      </c>
      <c r="O137" s="7">
        <v>35</v>
      </c>
      <c r="P137" s="7">
        <v>65</v>
      </c>
      <c r="Q137" s="7">
        <v>35</v>
      </c>
      <c r="R137" s="74">
        <f t="shared" si="29"/>
        <v>42.5</v>
      </c>
      <c r="S137" s="3">
        <v>74.363517191041723</v>
      </c>
      <c r="T137" s="3">
        <f t="shared" si="33"/>
        <v>74.363517191041723</v>
      </c>
      <c r="U137" s="3">
        <v>66.017219699868406</v>
      </c>
      <c r="V137" s="3">
        <v>49.880339587393514</v>
      </c>
      <c r="W137" s="3">
        <v>97.386425036108434</v>
      </c>
      <c r="X137" s="3">
        <f t="shared" si="24"/>
        <v>71.094661441123449</v>
      </c>
      <c r="Y137" s="3" t="s">
        <v>335</v>
      </c>
      <c r="Z137" s="3" t="s">
        <v>335</v>
      </c>
      <c r="AA137" s="3">
        <v>6.0731987933116534</v>
      </c>
      <c r="AB137" s="3">
        <v>41.153789736053717</v>
      </c>
      <c r="AC137" s="3">
        <f t="shared" si="25"/>
        <v>23.613494264682686</v>
      </c>
      <c r="AD137" s="3">
        <v>2.3903423913359529</v>
      </c>
      <c r="AE137" s="87">
        <v>14.865092839693213</v>
      </c>
      <c r="AF137" s="3">
        <v>2.109704641350211</v>
      </c>
      <c r="AG137" s="3">
        <v>3.9297703296730706</v>
      </c>
      <c r="AH137" s="3">
        <v>15.185021216147712</v>
      </c>
      <c r="AI137" s="3">
        <f t="shared" si="26"/>
        <v>7.6959862836400319</v>
      </c>
      <c r="AJ137" s="65">
        <f t="shared" si="30"/>
        <v>44.191914795121974</v>
      </c>
      <c r="AK137" s="75">
        <f>AJ137*K值!M138</f>
        <v>46.62089764158609</v>
      </c>
      <c r="AL137" s="3">
        <v>50</v>
      </c>
      <c r="AM137" s="3">
        <v>50</v>
      </c>
      <c r="AN137" s="65">
        <f t="shared" si="31"/>
        <v>50</v>
      </c>
      <c r="AP137" s="76">
        <f t="shared" si="32"/>
        <v>46.972825316263076</v>
      </c>
    </row>
    <row r="138" spans="1:42" x14ac:dyDescent="0.25">
      <c r="A138" s="92" t="s">
        <v>316</v>
      </c>
      <c r="B138" s="3">
        <v>3</v>
      </c>
      <c r="C138" s="7">
        <v>65</v>
      </c>
      <c r="D138" s="7">
        <v>100</v>
      </c>
      <c r="E138" s="7">
        <v>60</v>
      </c>
      <c r="F138" s="7">
        <v>75</v>
      </c>
      <c r="G138" s="74">
        <f t="shared" si="27"/>
        <v>75</v>
      </c>
      <c r="H138" s="75">
        <f>G138*K值!M139</f>
        <v>79.122331298143195</v>
      </c>
      <c r="I138" s="7">
        <v>50</v>
      </c>
      <c r="J138" s="7">
        <v>60</v>
      </c>
      <c r="K138" s="7">
        <v>25</v>
      </c>
      <c r="L138" s="7">
        <v>25</v>
      </c>
      <c r="M138" s="74">
        <f t="shared" si="28"/>
        <v>40</v>
      </c>
      <c r="N138" s="7">
        <v>0</v>
      </c>
      <c r="O138" s="7">
        <v>35</v>
      </c>
      <c r="P138" s="7">
        <v>65</v>
      </c>
      <c r="Q138" s="7">
        <v>0</v>
      </c>
      <c r="R138" s="74">
        <f t="shared" si="29"/>
        <v>25</v>
      </c>
      <c r="S138" s="3">
        <v>76.672484536291805</v>
      </c>
      <c r="T138" s="3">
        <f t="shared" si="33"/>
        <v>76.672484536291805</v>
      </c>
      <c r="U138" s="3">
        <v>72.159459525991394</v>
      </c>
      <c r="V138" s="3">
        <v>67.828513294140009</v>
      </c>
      <c r="W138" s="3">
        <v>100</v>
      </c>
      <c r="X138" s="3">
        <f t="shared" si="24"/>
        <v>79.995990940043797</v>
      </c>
      <c r="Y138" s="3">
        <v>2.3585470619797473</v>
      </c>
      <c r="Z138" s="3">
        <v>0.64047437488852277</v>
      </c>
      <c r="AA138" s="3">
        <v>13.495997318470343</v>
      </c>
      <c r="AB138" s="3">
        <v>49.001302261161626</v>
      </c>
      <c r="AC138" s="3">
        <f t="shared" si="25"/>
        <v>16.374080254125062</v>
      </c>
      <c r="AD138" s="3">
        <v>11.901079704143621</v>
      </c>
      <c r="AE138" s="87">
        <v>0</v>
      </c>
      <c r="AF138" s="3">
        <v>72.995780590717303</v>
      </c>
      <c r="AG138" s="3">
        <v>82.525176923134495</v>
      </c>
      <c r="AH138" s="3">
        <v>8.6771549806558355</v>
      </c>
      <c r="AI138" s="3">
        <f t="shared" si="26"/>
        <v>35.219838439730253</v>
      </c>
      <c r="AJ138" s="65">
        <f t="shared" si="30"/>
        <v>52.065598542547733</v>
      </c>
      <c r="AK138" s="75">
        <f>AJ138*K值!M139</f>
        <v>54.927353828261111</v>
      </c>
      <c r="AL138" s="3">
        <v>50</v>
      </c>
      <c r="AM138" s="3">
        <v>0</v>
      </c>
      <c r="AN138" s="65">
        <f t="shared" si="31"/>
        <v>25</v>
      </c>
      <c r="AP138" s="76">
        <f t="shared" si="32"/>
        <v>50.795407790933083</v>
      </c>
    </row>
    <row r="139" spans="1:42" x14ac:dyDescent="0.25">
      <c r="A139" s="92" t="s">
        <v>150</v>
      </c>
      <c r="B139" s="3">
        <v>2</v>
      </c>
      <c r="C139" s="7">
        <v>65</v>
      </c>
      <c r="D139" s="7">
        <v>100</v>
      </c>
      <c r="E139" s="7">
        <v>100</v>
      </c>
      <c r="F139" s="7">
        <v>75</v>
      </c>
      <c r="G139" s="74">
        <f t="shared" si="27"/>
        <v>85</v>
      </c>
      <c r="H139" s="75">
        <f>G139*K值!M140</f>
        <v>89.671975471228947</v>
      </c>
      <c r="I139" s="7">
        <v>50</v>
      </c>
      <c r="J139" s="7">
        <v>60</v>
      </c>
      <c r="K139" s="7">
        <v>75</v>
      </c>
      <c r="L139" s="7">
        <v>0</v>
      </c>
      <c r="M139" s="74">
        <f t="shared" si="28"/>
        <v>46.25</v>
      </c>
      <c r="N139" s="7">
        <v>100</v>
      </c>
      <c r="O139" s="7">
        <v>65</v>
      </c>
      <c r="P139" s="7">
        <v>100</v>
      </c>
      <c r="Q139" s="7">
        <v>65</v>
      </c>
      <c r="R139" s="74">
        <f t="shared" si="29"/>
        <v>82.5</v>
      </c>
      <c r="S139" s="3">
        <v>57.482381867070174</v>
      </c>
      <c r="T139" s="3">
        <f t="shared" si="33"/>
        <v>57.482381867070174</v>
      </c>
      <c r="U139" s="3">
        <v>49.821507908646922</v>
      </c>
      <c r="V139" s="3">
        <v>51.549150944031076</v>
      </c>
      <c r="W139" s="3">
        <v>96.863710043330116</v>
      </c>
      <c r="X139" s="3">
        <f t="shared" si="24"/>
        <v>66.078122965336036</v>
      </c>
      <c r="Y139" s="3">
        <v>9.7394264071876755</v>
      </c>
      <c r="Z139" s="3" t="s">
        <v>335</v>
      </c>
      <c r="AA139" s="3">
        <v>20.768840317868246</v>
      </c>
      <c r="AB139" s="3">
        <v>32.221966638263339</v>
      </c>
      <c r="AC139" s="3">
        <f t="shared" si="25"/>
        <v>20.910077787773087</v>
      </c>
      <c r="AD139" s="3">
        <v>6.0236753279573509</v>
      </c>
      <c r="AE139" s="87">
        <v>100</v>
      </c>
      <c r="AF139" s="3">
        <v>71.308016877637129</v>
      </c>
      <c r="AG139" s="3">
        <v>51.087014285749923</v>
      </c>
      <c r="AH139" s="3">
        <v>6.5078662354918757</v>
      </c>
      <c r="AI139" s="3">
        <f t="shared" si="26"/>
        <v>46.98531454536726</v>
      </c>
      <c r="AJ139" s="65">
        <f t="shared" si="30"/>
        <v>47.86397429138664</v>
      </c>
      <c r="AK139" s="75">
        <f>AJ139*K值!M140</f>
        <v>50.494789748385365</v>
      </c>
      <c r="AL139" s="3">
        <v>25</v>
      </c>
      <c r="AM139" s="3">
        <v>50</v>
      </c>
      <c r="AN139" s="65">
        <f t="shared" si="31"/>
        <v>37.5</v>
      </c>
      <c r="AP139" s="76">
        <f t="shared" si="32"/>
        <v>59.38231099359993</v>
      </c>
    </row>
    <row r="140" spans="1:42" x14ac:dyDescent="0.25">
      <c r="A140" s="92" t="s">
        <v>317</v>
      </c>
      <c r="B140" s="3">
        <v>4</v>
      </c>
      <c r="C140" s="7">
        <v>35</v>
      </c>
      <c r="D140" s="7">
        <v>60</v>
      </c>
      <c r="E140" s="7">
        <v>30</v>
      </c>
      <c r="F140" s="7">
        <v>0</v>
      </c>
      <c r="G140" s="74">
        <f t="shared" si="27"/>
        <v>31.25</v>
      </c>
      <c r="H140" s="75">
        <f>G140*K值!M141</f>
        <v>32.967638040893</v>
      </c>
      <c r="I140" s="7">
        <v>0</v>
      </c>
      <c r="J140" s="7">
        <v>40</v>
      </c>
      <c r="K140" s="7">
        <v>25</v>
      </c>
      <c r="L140" s="7">
        <v>50</v>
      </c>
      <c r="M140" s="74">
        <f t="shared" si="28"/>
        <v>28.75</v>
      </c>
      <c r="N140" s="7">
        <v>65</v>
      </c>
      <c r="O140" s="7">
        <v>35</v>
      </c>
      <c r="P140" s="7">
        <v>65</v>
      </c>
      <c r="Q140" s="7">
        <v>0</v>
      </c>
      <c r="R140" s="74">
        <f t="shared" si="29"/>
        <v>41.25</v>
      </c>
      <c r="S140" s="3">
        <v>85.089596440779744</v>
      </c>
      <c r="T140" s="3">
        <f t="shared" si="33"/>
        <v>85.089596440779744</v>
      </c>
      <c r="U140" s="3">
        <v>71.577618669241829</v>
      </c>
      <c r="V140" s="3">
        <v>89.289488806847331</v>
      </c>
      <c r="W140" s="3">
        <v>93.901658417586361</v>
      </c>
      <c r="X140" s="3">
        <f t="shared" si="24"/>
        <v>84.922921964558512</v>
      </c>
      <c r="Y140" s="3">
        <v>1.7836205692206508</v>
      </c>
      <c r="Z140" s="3">
        <v>0.73186709429503893</v>
      </c>
      <c r="AA140" s="3">
        <v>1.049688680325471</v>
      </c>
      <c r="AB140" s="3">
        <v>100</v>
      </c>
      <c r="AC140" s="3">
        <f t="shared" si="25"/>
        <v>25.89129408596029</v>
      </c>
      <c r="AD140" s="3">
        <v>0.26941359065528131</v>
      </c>
      <c r="AE140" s="87">
        <v>0</v>
      </c>
      <c r="AF140" s="3">
        <v>25.738396624472575</v>
      </c>
      <c r="AG140" s="3">
        <v>3.9297703296730706</v>
      </c>
      <c r="AH140" s="3">
        <v>10.846443725819793</v>
      </c>
      <c r="AI140" s="3">
        <f t="shared" si="26"/>
        <v>8.1568048541241431</v>
      </c>
      <c r="AJ140" s="65">
        <f t="shared" si="30"/>
        <v>51.015154336355671</v>
      </c>
      <c r="AK140" s="75">
        <f>AJ140*K值!M141</f>
        <v>53.819172568360528</v>
      </c>
      <c r="AL140" s="3">
        <v>50</v>
      </c>
      <c r="AM140" s="3">
        <v>50</v>
      </c>
      <c r="AN140" s="65">
        <f t="shared" si="31"/>
        <v>50</v>
      </c>
      <c r="AP140" s="76">
        <f t="shared" si="32"/>
        <v>42.996196635522814</v>
      </c>
    </row>
    <row r="141" spans="1:42" x14ac:dyDescent="0.25">
      <c r="A141" s="92" t="s">
        <v>151</v>
      </c>
      <c r="B141" s="3">
        <v>2</v>
      </c>
      <c r="C141" s="7">
        <v>65</v>
      </c>
      <c r="D141" s="7">
        <v>40</v>
      </c>
      <c r="E141" s="7">
        <v>100</v>
      </c>
      <c r="F141" s="7">
        <v>0</v>
      </c>
      <c r="G141" s="74">
        <f t="shared" si="27"/>
        <v>51.25</v>
      </c>
      <c r="H141" s="75">
        <f>G141*K值!M142</f>
        <v>54.06692638706452</v>
      </c>
      <c r="I141" s="7">
        <v>50</v>
      </c>
      <c r="J141" s="7">
        <v>60</v>
      </c>
      <c r="K141" s="7">
        <v>75</v>
      </c>
      <c r="L141" s="7">
        <v>50</v>
      </c>
      <c r="M141" s="74">
        <f t="shared" si="28"/>
        <v>58.75</v>
      </c>
      <c r="N141" s="7">
        <v>100</v>
      </c>
      <c r="O141" s="7">
        <v>100</v>
      </c>
      <c r="P141" s="7">
        <v>65</v>
      </c>
      <c r="Q141" s="7">
        <v>65</v>
      </c>
      <c r="R141" s="74">
        <f t="shared" si="29"/>
        <v>82.5</v>
      </c>
      <c r="S141" s="3">
        <v>58.306330110825542</v>
      </c>
      <c r="T141" s="3">
        <f t="shared" si="33"/>
        <v>58.306330110825542</v>
      </c>
      <c r="U141" s="3">
        <v>64.347472809807343</v>
      </c>
      <c r="V141" s="3">
        <v>71.089303072026667</v>
      </c>
      <c r="W141" s="3">
        <v>99.442437341036481</v>
      </c>
      <c r="X141" s="3">
        <f t="shared" si="24"/>
        <v>78.293071074290168</v>
      </c>
      <c r="Y141" s="3">
        <v>10.103505657399726</v>
      </c>
      <c r="Z141" s="3">
        <v>0.21208913614655045</v>
      </c>
      <c r="AA141" s="3">
        <v>10.121997988852756</v>
      </c>
      <c r="AB141" s="3">
        <v>47.801670673737085</v>
      </c>
      <c r="AC141" s="3">
        <f t="shared" si="25"/>
        <v>17.059815864034029</v>
      </c>
      <c r="AD141" s="3">
        <v>13.418797101152954</v>
      </c>
      <c r="AE141" s="87">
        <v>0</v>
      </c>
      <c r="AF141" s="3">
        <v>70.46413502109705</v>
      </c>
      <c r="AG141" s="3">
        <v>19.648851648365355</v>
      </c>
      <c r="AH141" s="3">
        <v>17.354309961311671</v>
      </c>
      <c r="AI141" s="3">
        <f t="shared" si="26"/>
        <v>24.177218746385403</v>
      </c>
      <c r="AJ141" s="65">
        <f t="shared" si="30"/>
        <v>44.459108948883781</v>
      </c>
      <c r="AK141" s="75">
        <f>AJ141*K值!M142</f>
        <v>46.902777966317672</v>
      </c>
      <c r="AL141" s="3">
        <v>50</v>
      </c>
      <c r="AM141" s="3">
        <v>50</v>
      </c>
      <c r="AN141" s="65">
        <f t="shared" si="31"/>
        <v>50</v>
      </c>
      <c r="AP141" s="76">
        <f t="shared" si="32"/>
        <v>54.57449646393998</v>
      </c>
    </row>
    <row r="142" spans="1:42" x14ac:dyDescent="0.25">
      <c r="A142" s="92" t="s">
        <v>152</v>
      </c>
      <c r="B142" s="3">
        <v>3</v>
      </c>
      <c r="C142" s="7">
        <v>65</v>
      </c>
      <c r="D142" s="7">
        <v>40</v>
      </c>
      <c r="E142" s="7">
        <v>100</v>
      </c>
      <c r="F142" s="7">
        <v>15</v>
      </c>
      <c r="G142" s="74">
        <f t="shared" si="27"/>
        <v>55</v>
      </c>
      <c r="H142" s="75">
        <f>G142*K值!M143</f>
        <v>58.023042951971675</v>
      </c>
      <c r="I142" s="7">
        <v>0</v>
      </c>
      <c r="J142" s="7">
        <v>60</v>
      </c>
      <c r="K142" s="7">
        <v>25</v>
      </c>
      <c r="L142" s="7">
        <v>50</v>
      </c>
      <c r="M142" s="74">
        <f t="shared" si="28"/>
        <v>33.75</v>
      </c>
      <c r="N142" s="7">
        <v>65</v>
      </c>
      <c r="O142" s="7">
        <v>35</v>
      </c>
      <c r="P142" s="7">
        <v>65</v>
      </c>
      <c r="Q142" s="7">
        <v>65</v>
      </c>
      <c r="R142" s="74">
        <f t="shared" si="29"/>
        <v>57.5</v>
      </c>
      <c r="S142" s="3">
        <v>29.49790506763345</v>
      </c>
      <c r="T142" s="3">
        <f t="shared" si="33"/>
        <v>29.49790506763345</v>
      </c>
      <c r="U142" s="3">
        <v>70.994700466814209</v>
      </c>
      <c r="V142" s="3">
        <v>84.531993447593294</v>
      </c>
      <c r="W142" s="3">
        <v>62.503911184702417</v>
      </c>
      <c r="X142" s="3">
        <f t="shared" si="24"/>
        <v>72.676868366369973</v>
      </c>
      <c r="Y142" s="3">
        <v>8.2181390350895143</v>
      </c>
      <c r="Z142" s="3">
        <v>0.27229227670798578</v>
      </c>
      <c r="AA142" s="3">
        <v>3.2990215667371947</v>
      </c>
      <c r="AB142" s="3">
        <v>35.757058669669782</v>
      </c>
      <c r="AC142" s="3">
        <f t="shared" si="25"/>
        <v>11.88662788705112</v>
      </c>
      <c r="AD142" s="3">
        <v>3.3882978379279636</v>
      </c>
      <c r="AE142" s="87">
        <v>0</v>
      </c>
      <c r="AF142" s="3">
        <v>35.443037974683541</v>
      </c>
      <c r="AG142" s="3">
        <v>55.016784615422999</v>
      </c>
      <c r="AH142" s="3">
        <v>21.692887451639585</v>
      </c>
      <c r="AI142" s="3">
        <f t="shared" si="26"/>
        <v>23.108201575934817</v>
      </c>
      <c r="AJ142" s="65">
        <f t="shared" si="30"/>
        <v>34.292400724247344</v>
      </c>
      <c r="AK142" s="75">
        <f>AJ142*K值!M143</f>
        <v>36.177262548167789</v>
      </c>
      <c r="AL142" s="3">
        <v>50</v>
      </c>
      <c r="AM142" s="3">
        <v>0</v>
      </c>
      <c r="AN142" s="65">
        <f t="shared" si="31"/>
        <v>25</v>
      </c>
      <c r="AP142" s="76">
        <f t="shared" si="32"/>
        <v>41.075513609661449</v>
      </c>
    </row>
    <row r="143" spans="1:42" x14ac:dyDescent="0.25">
      <c r="A143" s="92" t="s">
        <v>153</v>
      </c>
      <c r="B143" s="3">
        <v>2</v>
      </c>
      <c r="C143" s="7">
        <v>65</v>
      </c>
      <c r="D143" s="7">
        <v>100</v>
      </c>
      <c r="E143" s="7">
        <v>100</v>
      </c>
      <c r="F143" s="7">
        <v>75</v>
      </c>
      <c r="G143" s="74">
        <f t="shared" si="27"/>
        <v>85</v>
      </c>
      <c r="H143" s="75">
        <f>G143*K值!M144</f>
        <v>89.671975471228947</v>
      </c>
      <c r="I143" s="36">
        <v>75</v>
      </c>
      <c r="J143" s="7">
        <v>100</v>
      </c>
      <c r="K143" s="7">
        <v>75</v>
      </c>
      <c r="L143" s="7">
        <v>50</v>
      </c>
      <c r="M143" s="74">
        <f t="shared" si="28"/>
        <v>75</v>
      </c>
      <c r="N143" s="36">
        <v>65</v>
      </c>
      <c r="O143" s="7">
        <v>100</v>
      </c>
      <c r="P143" s="7">
        <v>100</v>
      </c>
      <c r="Q143" s="7">
        <v>100</v>
      </c>
      <c r="R143" s="74">
        <f t="shared" si="29"/>
        <v>91.25</v>
      </c>
      <c r="S143" s="3">
        <v>65.787385978041158</v>
      </c>
      <c r="T143" s="3">
        <f t="shared" si="33"/>
        <v>65.787385978041158</v>
      </c>
      <c r="U143" s="3">
        <v>59.672869215937354</v>
      </c>
      <c r="V143" s="3">
        <v>88.324467138368163</v>
      </c>
      <c r="W143" s="3">
        <v>98.466702687850301</v>
      </c>
      <c r="X143" s="3">
        <f t="shared" si="24"/>
        <v>82.154679680718601</v>
      </c>
      <c r="Y143" s="3">
        <v>17.952662018031909</v>
      </c>
      <c r="Z143" s="3">
        <v>14.940533605836684</v>
      </c>
      <c r="AA143" s="3">
        <v>1.799466309129379</v>
      </c>
      <c r="AB143" s="3">
        <v>100</v>
      </c>
      <c r="AC143" s="3">
        <f t="shared" si="25"/>
        <v>33.673165483249491</v>
      </c>
      <c r="AD143" s="3">
        <v>0.77823647416664787</v>
      </c>
      <c r="AE143" s="87">
        <v>0</v>
      </c>
      <c r="AF143" s="3">
        <v>43.037974683544306</v>
      </c>
      <c r="AG143" s="3">
        <v>27.5083923077115</v>
      </c>
      <c r="AH143" s="3">
        <v>0</v>
      </c>
      <c r="AI143" s="3">
        <f t="shared" si="26"/>
        <v>14.264920693084491</v>
      </c>
      <c r="AJ143" s="65">
        <f t="shared" si="30"/>
        <v>48.970037958773432</v>
      </c>
      <c r="AK143" s="75">
        <f>AJ143*K值!M144</f>
        <v>51.661647560756258</v>
      </c>
      <c r="AL143" s="3">
        <v>50</v>
      </c>
      <c r="AM143" s="3">
        <v>0</v>
      </c>
      <c r="AN143" s="65">
        <f t="shared" si="31"/>
        <v>25</v>
      </c>
      <c r="AP143" s="76">
        <f t="shared" si="32"/>
        <v>65.224054118548295</v>
      </c>
    </row>
    <row r="144" spans="1:42" x14ac:dyDescent="0.25">
      <c r="A144" s="92" t="s">
        <v>154</v>
      </c>
      <c r="B144" s="3">
        <v>3</v>
      </c>
      <c r="C144" s="7">
        <v>35</v>
      </c>
      <c r="D144" s="7">
        <v>80</v>
      </c>
      <c r="E144" s="7">
        <v>60</v>
      </c>
      <c r="F144" s="7">
        <v>30</v>
      </c>
      <c r="G144" s="74">
        <f t="shared" si="27"/>
        <v>51.25</v>
      </c>
      <c r="H144" s="75">
        <f>G144*K值!M145</f>
        <v>54.06692638706452</v>
      </c>
      <c r="I144" s="7">
        <v>25</v>
      </c>
      <c r="J144" s="7">
        <v>60</v>
      </c>
      <c r="K144" s="7">
        <v>25</v>
      </c>
      <c r="L144" s="7">
        <v>50</v>
      </c>
      <c r="M144" s="74">
        <f t="shared" si="28"/>
        <v>40</v>
      </c>
      <c r="N144" s="7">
        <v>65</v>
      </c>
      <c r="O144" s="7">
        <v>0</v>
      </c>
      <c r="P144" s="7">
        <v>100</v>
      </c>
      <c r="Q144" s="7">
        <v>65</v>
      </c>
      <c r="R144" s="74">
        <f t="shared" si="29"/>
        <v>57.5</v>
      </c>
      <c r="S144" s="3">
        <v>73.635124372839172</v>
      </c>
      <c r="T144" s="3">
        <f t="shared" si="33"/>
        <v>73.635124372839172</v>
      </c>
      <c r="U144" s="3">
        <v>65.709682049904387</v>
      </c>
      <c r="V144" s="3">
        <v>61.506699370376737</v>
      </c>
      <c r="W144" s="3">
        <v>98.919722348258148</v>
      </c>
      <c r="X144" s="3">
        <f t="shared" si="24"/>
        <v>75.378701256179752</v>
      </c>
      <c r="Y144" s="3">
        <v>13.269891863789377</v>
      </c>
      <c r="Z144" s="3" t="s">
        <v>335</v>
      </c>
      <c r="AA144" s="3">
        <v>5.7732877417900905</v>
      </c>
      <c r="AB144" s="3">
        <v>51.349992732642903</v>
      </c>
      <c r="AC144" s="3">
        <f t="shared" si="25"/>
        <v>23.464390779407456</v>
      </c>
      <c r="AD144" s="3">
        <v>3.0507494876870078</v>
      </c>
      <c r="AE144" s="87">
        <v>0</v>
      </c>
      <c r="AF144" s="3">
        <v>24.894514767932492</v>
      </c>
      <c r="AG144" s="3">
        <v>15.719081318692282</v>
      </c>
      <c r="AH144" s="3">
        <v>26.031464941967503</v>
      </c>
      <c r="AI144" s="3">
        <f t="shared" si="26"/>
        <v>13.939162103255857</v>
      </c>
      <c r="AJ144" s="65">
        <f t="shared" si="30"/>
        <v>46.604344627920561</v>
      </c>
      <c r="AK144" s="75">
        <f>AJ144*K值!M145</f>
        <v>49.165925274442273</v>
      </c>
      <c r="AL144" s="3">
        <v>100</v>
      </c>
      <c r="AM144" s="3">
        <v>0</v>
      </c>
      <c r="AN144" s="65">
        <f t="shared" si="31"/>
        <v>50</v>
      </c>
      <c r="AP144" s="76">
        <f t="shared" si="32"/>
        <v>49.229755387189812</v>
      </c>
    </row>
    <row r="145" spans="1:42" x14ac:dyDescent="0.25">
      <c r="A145" s="92" t="s">
        <v>155</v>
      </c>
      <c r="B145" s="3">
        <v>4</v>
      </c>
      <c r="C145" s="7">
        <v>65</v>
      </c>
      <c r="D145" s="7">
        <v>100</v>
      </c>
      <c r="E145" s="7">
        <v>60</v>
      </c>
      <c r="F145" s="7">
        <v>45</v>
      </c>
      <c r="G145" s="74">
        <f t="shared" si="27"/>
        <v>67.5</v>
      </c>
      <c r="H145" s="75">
        <f>G145*K值!M146</f>
        <v>71.210098168328869</v>
      </c>
      <c r="I145" s="7">
        <v>0</v>
      </c>
      <c r="J145" s="7">
        <v>0</v>
      </c>
      <c r="K145" s="7">
        <v>25</v>
      </c>
      <c r="L145" s="7">
        <v>0</v>
      </c>
      <c r="M145" s="74">
        <f t="shared" si="28"/>
        <v>6.25</v>
      </c>
      <c r="N145" s="7">
        <v>0</v>
      </c>
      <c r="O145" s="7">
        <v>35</v>
      </c>
      <c r="P145" s="7">
        <v>0</v>
      </c>
      <c r="Q145" s="7">
        <v>35</v>
      </c>
      <c r="R145" s="74">
        <f t="shared" si="29"/>
        <v>17.5</v>
      </c>
      <c r="S145" s="3">
        <v>75.201454957583877</v>
      </c>
      <c r="T145" s="3">
        <f t="shared" si="33"/>
        <v>75.201454957583877</v>
      </c>
      <c r="U145" s="3">
        <v>58.362052694258878</v>
      </c>
      <c r="V145" s="3">
        <v>42.273878983935035</v>
      </c>
      <c r="W145" s="3">
        <v>97.839444696516296</v>
      </c>
      <c r="X145" s="3">
        <f t="shared" si="24"/>
        <v>66.158458791570069</v>
      </c>
      <c r="Y145" s="3">
        <v>0.89610078082494549</v>
      </c>
      <c r="Z145" s="3">
        <v>1.9919043194650221</v>
      </c>
      <c r="AA145" s="3">
        <v>8.1725761539625967</v>
      </c>
      <c r="AB145" s="3">
        <v>41.888813657466208</v>
      </c>
      <c r="AC145" s="3">
        <f t="shared" si="25"/>
        <v>13.237348727929692</v>
      </c>
      <c r="AD145" s="3">
        <v>3.1535767166030029</v>
      </c>
      <c r="AE145" s="87">
        <v>0</v>
      </c>
      <c r="AF145" s="3">
        <v>50.632911392405063</v>
      </c>
      <c r="AG145" s="3">
        <v>23.578621978038424</v>
      </c>
      <c r="AH145" s="3">
        <v>2.1692887451639589</v>
      </c>
      <c r="AI145" s="3">
        <f t="shared" si="26"/>
        <v>15.906879766442088</v>
      </c>
      <c r="AJ145" s="65">
        <f t="shared" si="30"/>
        <v>42.626035560881434</v>
      </c>
      <c r="AK145" s="75">
        <f>AJ145*K值!M146</f>
        <v>44.968950767659919</v>
      </c>
      <c r="AL145" s="3">
        <v>0</v>
      </c>
      <c r="AM145" s="3">
        <v>0</v>
      </c>
      <c r="AN145" s="65">
        <f t="shared" si="31"/>
        <v>0</v>
      </c>
      <c r="AP145" s="76">
        <f t="shared" si="32"/>
        <v>35.229599940729742</v>
      </c>
    </row>
    <row r="146" spans="1:42" x14ac:dyDescent="0.25">
      <c r="A146" s="92" t="s">
        <v>156</v>
      </c>
      <c r="B146" s="3">
        <v>3</v>
      </c>
      <c r="C146" s="7">
        <v>65</v>
      </c>
      <c r="D146" s="7">
        <v>100</v>
      </c>
      <c r="E146" s="7">
        <v>75</v>
      </c>
      <c r="F146" s="7">
        <v>75</v>
      </c>
      <c r="G146" s="74">
        <f t="shared" si="27"/>
        <v>78.75</v>
      </c>
      <c r="H146" s="75">
        <f>G146*K值!M147</f>
        <v>83.078447863050357</v>
      </c>
      <c r="I146" s="7">
        <v>0</v>
      </c>
      <c r="J146" s="7">
        <v>40</v>
      </c>
      <c r="K146" s="7">
        <v>50</v>
      </c>
      <c r="L146" s="7">
        <v>50</v>
      </c>
      <c r="M146" s="74">
        <f t="shared" si="28"/>
        <v>35</v>
      </c>
      <c r="N146" s="7">
        <v>65</v>
      </c>
      <c r="O146" s="7">
        <v>35</v>
      </c>
      <c r="P146" s="7">
        <v>100</v>
      </c>
      <c r="Q146" s="7">
        <v>100</v>
      </c>
      <c r="R146" s="74">
        <f t="shared" si="29"/>
        <v>75</v>
      </c>
      <c r="S146" s="3">
        <v>71.959361748701284</v>
      </c>
      <c r="T146" s="3">
        <f t="shared" si="33"/>
        <v>71.959361748701284</v>
      </c>
      <c r="U146" s="3">
        <v>67.529868731872085</v>
      </c>
      <c r="V146" s="3">
        <v>81.074511355112151</v>
      </c>
      <c r="W146" s="3">
        <v>97.490968034664107</v>
      </c>
      <c r="X146" s="3">
        <f t="shared" si="24"/>
        <v>82.031782707216109</v>
      </c>
      <c r="Y146" s="3">
        <v>5.3717012607043921</v>
      </c>
      <c r="Z146" s="3" t="s">
        <v>335</v>
      </c>
      <c r="AA146" s="3">
        <v>11.246664432058619</v>
      </c>
      <c r="AB146" s="3">
        <v>38.254337063105623</v>
      </c>
      <c r="AC146" s="3">
        <f t="shared" si="25"/>
        <v>18.290900918622878</v>
      </c>
      <c r="AD146" s="3">
        <v>9.9533007053458107</v>
      </c>
      <c r="AE146" s="87">
        <v>29.730185679386427</v>
      </c>
      <c r="AF146" s="3">
        <v>61.603375527426167</v>
      </c>
      <c r="AG146" s="3">
        <v>35.367932967057634</v>
      </c>
      <c r="AH146" s="3">
        <v>2.1692887451639589</v>
      </c>
      <c r="AI146" s="3">
        <f t="shared" si="26"/>
        <v>27.764816724875999</v>
      </c>
      <c r="AJ146" s="65">
        <f t="shared" si="30"/>
        <v>50.011715524854061</v>
      </c>
      <c r="AK146" s="75">
        <f>AJ146*K值!M147</f>
        <v>52.760580327279925</v>
      </c>
      <c r="AL146" s="3">
        <v>25</v>
      </c>
      <c r="AM146" s="3">
        <v>0</v>
      </c>
      <c r="AN146" s="65">
        <f t="shared" si="31"/>
        <v>12.5</v>
      </c>
      <c r="AP146" s="76">
        <f t="shared" si="32"/>
        <v>53.469921703522047</v>
      </c>
    </row>
    <row r="147" spans="1:42" x14ac:dyDescent="0.25">
      <c r="A147" s="92" t="s">
        <v>157</v>
      </c>
      <c r="B147" s="3">
        <v>3</v>
      </c>
      <c r="C147" s="7">
        <v>65</v>
      </c>
      <c r="D147" s="7">
        <v>80</v>
      </c>
      <c r="E147" s="7">
        <v>75</v>
      </c>
      <c r="F147" s="7">
        <v>15</v>
      </c>
      <c r="G147" s="74">
        <f t="shared" si="27"/>
        <v>58.75</v>
      </c>
      <c r="H147" s="75">
        <f>G147*K值!M148</f>
        <v>61.979159516878838</v>
      </c>
      <c r="I147" s="7">
        <v>25</v>
      </c>
      <c r="J147" s="7">
        <v>20</v>
      </c>
      <c r="K147" s="7">
        <v>25</v>
      </c>
      <c r="L147" s="7">
        <v>50</v>
      </c>
      <c r="M147" s="74">
        <f t="shared" si="28"/>
        <v>30</v>
      </c>
      <c r="N147" s="7">
        <v>35</v>
      </c>
      <c r="O147" s="7">
        <v>35</v>
      </c>
      <c r="P147" s="7">
        <v>100</v>
      </c>
      <c r="Q147" s="7">
        <v>35</v>
      </c>
      <c r="R147" s="74">
        <f t="shared" si="29"/>
        <v>51.25</v>
      </c>
      <c r="S147" s="3">
        <v>61.173774683429215</v>
      </c>
      <c r="T147" s="3">
        <f t="shared" si="33"/>
        <v>61.173774683429215</v>
      </c>
      <c r="U147" s="3">
        <v>56.24661984939241</v>
      </c>
      <c r="V147" s="3">
        <v>69.82924293165577</v>
      </c>
      <c r="W147" s="3">
        <v>99.407589674851238</v>
      </c>
      <c r="X147" s="3">
        <f t="shared" si="24"/>
        <v>75.161150818633146</v>
      </c>
      <c r="Y147" s="3">
        <v>3.9644185023089924</v>
      </c>
      <c r="Z147" s="3">
        <v>2.0702626962704662</v>
      </c>
      <c r="AA147" s="3">
        <v>6.6730208963547799</v>
      </c>
      <c r="AB147" s="3">
        <v>51.132090244177334</v>
      </c>
      <c r="AC147" s="3">
        <f t="shared" si="25"/>
        <v>15.959948084777892</v>
      </c>
      <c r="AD147" s="3">
        <v>3.7783537093175128</v>
      </c>
      <c r="AE147" s="87">
        <v>0</v>
      </c>
      <c r="AF147" s="3">
        <v>51.898734177215189</v>
      </c>
      <c r="AG147" s="3">
        <v>19.648851648365355</v>
      </c>
      <c r="AH147" s="3">
        <v>15.185021216147712</v>
      </c>
      <c r="AI147" s="3">
        <f t="shared" si="26"/>
        <v>18.102192150209156</v>
      </c>
      <c r="AJ147" s="65">
        <f t="shared" si="30"/>
        <v>42.599266434262354</v>
      </c>
      <c r="AK147" s="75">
        <f>AJ147*K值!M148</f>
        <v>44.940710291594364</v>
      </c>
      <c r="AL147" s="3">
        <v>50</v>
      </c>
      <c r="AM147" s="3">
        <v>0</v>
      </c>
      <c r="AN147" s="65">
        <f t="shared" si="31"/>
        <v>25</v>
      </c>
      <c r="AP147" s="76">
        <f t="shared" si="32"/>
        <v>43.997116020013515</v>
      </c>
    </row>
    <row r="148" spans="1:42" x14ac:dyDescent="0.25">
      <c r="A148" s="92" t="s">
        <v>158</v>
      </c>
      <c r="B148" s="3">
        <v>2</v>
      </c>
      <c r="C148" s="7">
        <v>100</v>
      </c>
      <c r="D148" s="7">
        <v>80</v>
      </c>
      <c r="E148" s="7">
        <v>60</v>
      </c>
      <c r="F148" s="7">
        <v>75</v>
      </c>
      <c r="G148" s="74">
        <f t="shared" si="27"/>
        <v>78.75</v>
      </c>
      <c r="H148" s="75">
        <f>G148*K值!M149</f>
        <v>83.078447863050357</v>
      </c>
      <c r="I148" s="7">
        <v>75</v>
      </c>
      <c r="J148" s="7">
        <v>80</v>
      </c>
      <c r="K148" s="7">
        <v>25</v>
      </c>
      <c r="L148" s="7">
        <v>50</v>
      </c>
      <c r="M148" s="74">
        <f t="shared" si="28"/>
        <v>57.5</v>
      </c>
      <c r="N148" s="7">
        <v>100</v>
      </c>
      <c r="O148" s="7">
        <v>35</v>
      </c>
      <c r="P148" s="7">
        <v>100</v>
      </c>
      <c r="Q148" s="7">
        <v>65</v>
      </c>
      <c r="R148" s="74">
        <f t="shared" si="29"/>
        <v>75</v>
      </c>
      <c r="S148" s="3">
        <v>42.591480706383585</v>
      </c>
      <c r="T148" s="3">
        <f t="shared" si="33"/>
        <v>42.591480706383585</v>
      </c>
      <c r="U148" s="3">
        <v>41.604793983591577</v>
      </c>
      <c r="V148" s="3">
        <v>91.038206416288915</v>
      </c>
      <c r="W148" s="3">
        <v>93.4486387571785</v>
      </c>
      <c r="X148" s="3">
        <f t="shared" si="24"/>
        <v>75.363879719019664</v>
      </c>
      <c r="Y148" s="3">
        <v>20.090554988974052</v>
      </c>
      <c r="Z148" s="3">
        <v>0</v>
      </c>
      <c r="AA148" s="3">
        <v>7.2728429993979065</v>
      </c>
      <c r="AB148" s="3">
        <v>27.616687070944725</v>
      </c>
      <c r="AC148" s="3">
        <f t="shared" si="25"/>
        <v>13.74502126482917</v>
      </c>
      <c r="AD148" s="3">
        <v>3.5995781015973027</v>
      </c>
      <c r="AE148" s="87">
        <v>0</v>
      </c>
      <c r="AF148" s="3">
        <v>71.308016877637129</v>
      </c>
      <c r="AG148" s="3">
        <v>27.5083923077115</v>
      </c>
      <c r="AH148" s="3">
        <v>56.401507374262927</v>
      </c>
      <c r="AI148" s="3">
        <f t="shared" si="26"/>
        <v>31.76349893224177</v>
      </c>
      <c r="AJ148" s="65">
        <f t="shared" si="30"/>
        <v>40.865970155618548</v>
      </c>
      <c r="AK148" s="75">
        <f>AJ148*K值!M149</f>
        <v>43.112144392971778</v>
      </c>
      <c r="AL148" s="3">
        <v>50</v>
      </c>
      <c r="AM148" s="3">
        <v>50</v>
      </c>
      <c r="AN148" s="65">
        <f t="shared" si="31"/>
        <v>50</v>
      </c>
      <c r="AP148" s="76">
        <f t="shared" si="32"/>
        <v>57.860547329798784</v>
      </c>
    </row>
    <row r="149" spans="1:42" x14ac:dyDescent="0.25">
      <c r="A149" s="92" t="s">
        <v>159</v>
      </c>
      <c r="B149" s="3">
        <v>4</v>
      </c>
      <c r="C149" s="7">
        <v>65</v>
      </c>
      <c r="D149" s="7">
        <v>100</v>
      </c>
      <c r="E149" s="7">
        <v>100</v>
      </c>
      <c r="F149" s="7">
        <v>60</v>
      </c>
      <c r="G149" s="74">
        <f t="shared" si="27"/>
        <v>81.25</v>
      </c>
      <c r="H149" s="75">
        <f>G149*K值!M150</f>
        <v>85.715858906321799</v>
      </c>
      <c r="I149" s="7">
        <v>50</v>
      </c>
      <c r="J149" s="7">
        <v>40</v>
      </c>
      <c r="K149" s="7">
        <v>25</v>
      </c>
      <c r="L149" s="7">
        <v>0</v>
      </c>
      <c r="M149" s="74">
        <f t="shared" si="28"/>
        <v>28.75</v>
      </c>
      <c r="N149" s="7">
        <v>35</v>
      </c>
      <c r="O149" s="7">
        <v>35</v>
      </c>
      <c r="P149" s="7">
        <v>65</v>
      </c>
      <c r="Q149" s="7">
        <v>35</v>
      </c>
      <c r="R149" s="74">
        <f t="shared" si="29"/>
        <v>42.5</v>
      </c>
      <c r="S149" s="3">
        <v>77.898118572462039</v>
      </c>
      <c r="T149" s="3">
        <f t="shared" si="33"/>
        <v>77.898118572462039</v>
      </c>
      <c r="U149" s="3">
        <v>61.992870225374887</v>
      </c>
      <c r="V149" s="3">
        <v>43.875077357430733</v>
      </c>
      <c r="W149" s="3">
        <v>87.629078504246621</v>
      </c>
      <c r="X149" s="3">
        <f t="shared" si="24"/>
        <v>64.499008695684083</v>
      </c>
      <c r="Y149" s="3">
        <v>2.5215859181353117</v>
      </c>
      <c r="Z149" s="3">
        <v>1.2192949311297925</v>
      </c>
      <c r="AA149" s="3">
        <v>7.7976873395606425</v>
      </c>
      <c r="AB149" s="3">
        <v>42.301680658340715</v>
      </c>
      <c r="AC149" s="3">
        <f t="shared" si="25"/>
        <v>13.460062211791616</v>
      </c>
      <c r="AD149" s="3">
        <v>4.1099637089523773</v>
      </c>
      <c r="AE149" s="87">
        <v>0</v>
      </c>
      <c r="AF149" s="3">
        <v>37.552742616033754</v>
      </c>
      <c r="AG149" s="3">
        <v>19.648851648365355</v>
      </c>
      <c r="AH149" s="3">
        <v>8.6771549806558355</v>
      </c>
      <c r="AI149" s="3">
        <f t="shared" si="26"/>
        <v>13.997742590801465</v>
      </c>
      <c r="AJ149" s="65">
        <f t="shared" si="30"/>
        <v>42.463733017684795</v>
      </c>
      <c r="AK149" s="75">
        <f>AJ149*K值!M150</f>
        <v>44.797727359748777</v>
      </c>
      <c r="AL149" s="3">
        <v>50</v>
      </c>
      <c r="AM149" s="3">
        <v>0</v>
      </c>
      <c r="AN149" s="65">
        <f t="shared" si="31"/>
        <v>25</v>
      </c>
      <c r="AP149" s="76">
        <f t="shared" si="32"/>
        <v>47.562262725163876</v>
      </c>
    </row>
    <row r="150" spans="1:42" x14ac:dyDescent="0.25">
      <c r="A150" s="92" t="s">
        <v>160</v>
      </c>
      <c r="B150" s="3">
        <v>4</v>
      </c>
      <c r="C150" s="7">
        <v>35</v>
      </c>
      <c r="D150" s="7">
        <v>100</v>
      </c>
      <c r="E150" s="7">
        <v>100</v>
      </c>
      <c r="F150" s="7">
        <v>75</v>
      </c>
      <c r="G150" s="74">
        <f t="shared" si="27"/>
        <v>77.5</v>
      </c>
      <c r="H150" s="75">
        <f>G150*K值!M151</f>
        <v>81.759742341414636</v>
      </c>
      <c r="I150" s="7">
        <v>75</v>
      </c>
      <c r="J150" s="7">
        <v>60</v>
      </c>
      <c r="K150" s="7">
        <v>25</v>
      </c>
      <c r="L150" s="7">
        <v>50</v>
      </c>
      <c r="M150" s="74">
        <f t="shared" si="28"/>
        <v>52.5</v>
      </c>
      <c r="N150" s="7">
        <v>35</v>
      </c>
      <c r="O150" s="7">
        <v>65</v>
      </c>
      <c r="P150" s="7">
        <v>100</v>
      </c>
      <c r="Q150" s="7">
        <v>35</v>
      </c>
      <c r="R150" s="74">
        <f t="shared" si="29"/>
        <v>58.75</v>
      </c>
      <c r="S150" s="3">
        <v>79.275178685521681</v>
      </c>
      <c r="T150" s="3">
        <f t="shared" si="33"/>
        <v>79.275178685521681</v>
      </c>
      <c r="U150" s="3">
        <v>62.009498210886548</v>
      </c>
      <c r="V150" s="3">
        <v>90.915273719667354</v>
      </c>
      <c r="W150" s="3">
        <v>47.728500722168818</v>
      </c>
      <c r="X150" s="3">
        <f t="shared" si="24"/>
        <v>66.884424217574235</v>
      </c>
      <c r="Y150" s="3">
        <v>0.89977834900890552</v>
      </c>
      <c r="Z150" s="3" t="s">
        <v>335</v>
      </c>
      <c r="AA150" s="3">
        <v>5.8482655046704819</v>
      </c>
      <c r="AB150" s="3">
        <v>31.706732049474333</v>
      </c>
      <c r="AC150" s="3">
        <f t="shared" si="25"/>
        <v>12.818258634384572</v>
      </c>
      <c r="AD150" s="3">
        <v>3.5242548123305704</v>
      </c>
      <c r="AE150" s="87">
        <v>0</v>
      </c>
      <c r="AF150" s="3">
        <v>57.383966244725734</v>
      </c>
      <c r="AG150" s="3">
        <v>7.8595406593461412</v>
      </c>
      <c r="AH150" s="3">
        <v>10.846443725819793</v>
      </c>
      <c r="AI150" s="3">
        <f t="shared" si="26"/>
        <v>15.922841088444448</v>
      </c>
      <c r="AJ150" s="65">
        <f t="shared" si="30"/>
        <v>43.725175656481227</v>
      </c>
      <c r="AK150" s="75">
        <f>AJ150*K值!M151</f>
        <v>46.128504458154843</v>
      </c>
      <c r="AL150" s="3">
        <v>25</v>
      </c>
      <c r="AM150" s="3">
        <v>0</v>
      </c>
      <c r="AN150" s="65">
        <f t="shared" si="31"/>
        <v>12.5</v>
      </c>
      <c r="AP150" s="76">
        <f t="shared" si="32"/>
        <v>52.42835025154487</v>
      </c>
    </row>
    <row r="151" spans="1:42" x14ac:dyDescent="0.25">
      <c r="A151" s="92" t="s">
        <v>161</v>
      </c>
      <c r="B151" s="3">
        <v>3</v>
      </c>
      <c r="C151" s="7">
        <v>65</v>
      </c>
      <c r="D151" s="7">
        <v>100</v>
      </c>
      <c r="E151" s="7">
        <v>100</v>
      </c>
      <c r="F151" s="7">
        <v>75</v>
      </c>
      <c r="G151" s="74">
        <f t="shared" si="27"/>
        <v>85</v>
      </c>
      <c r="H151" s="75">
        <f>G151*K值!M152</f>
        <v>89.671975471228947</v>
      </c>
      <c r="I151" s="7">
        <v>75</v>
      </c>
      <c r="J151" s="7">
        <v>60</v>
      </c>
      <c r="K151" s="7">
        <v>25</v>
      </c>
      <c r="L151" s="7">
        <v>25</v>
      </c>
      <c r="M151" s="74">
        <f t="shared" si="28"/>
        <v>46.25</v>
      </c>
      <c r="N151" s="7">
        <v>35</v>
      </c>
      <c r="O151" s="7">
        <v>35</v>
      </c>
      <c r="P151" s="7">
        <v>100</v>
      </c>
      <c r="Q151" s="7">
        <v>35</v>
      </c>
      <c r="R151" s="74">
        <f t="shared" si="29"/>
        <v>51.25</v>
      </c>
      <c r="S151" s="3">
        <v>81.156706160561058</v>
      </c>
      <c r="T151" s="3">
        <f t="shared" si="33"/>
        <v>81.156706160561058</v>
      </c>
      <c r="U151" s="3">
        <v>69.268414161500544</v>
      </c>
      <c r="V151" s="3">
        <v>93.174162020088374</v>
      </c>
      <c r="W151" s="3">
        <v>97.943987695071968</v>
      </c>
      <c r="X151" s="3">
        <f t="shared" si="24"/>
        <v>86.7955212922203</v>
      </c>
      <c r="Y151" s="3">
        <v>2.4210657211070687</v>
      </c>
      <c r="Z151" s="3" t="s">
        <v>335</v>
      </c>
      <c r="AA151" s="3">
        <v>10.796797854776273</v>
      </c>
      <c r="AB151" s="3">
        <v>36.300326366973373</v>
      </c>
      <c r="AC151" s="3">
        <f t="shared" si="25"/>
        <v>16.506063314285573</v>
      </c>
      <c r="AD151" s="3">
        <v>4.4396984399747925</v>
      </c>
      <c r="AE151" s="87">
        <v>44.595278519079642</v>
      </c>
      <c r="AF151" s="3">
        <v>69.620253164556971</v>
      </c>
      <c r="AG151" s="3">
        <v>90.384717582480633</v>
      </c>
      <c r="AH151" s="3">
        <v>8.6771549806558355</v>
      </c>
      <c r="AI151" s="3">
        <f t="shared" si="26"/>
        <v>43.543420537349576</v>
      </c>
      <c r="AJ151" s="65">
        <f t="shared" si="30"/>
        <v>57.000427826104129</v>
      </c>
      <c r="AK151" s="75">
        <f>AJ151*K值!M152</f>
        <v>60.13342312790548</v>
      </c>
      <c r="AL151" s="3">
        <v>75</v>
      </c>
      <c r="AM151" s="3">
        <v>0</v>
      </c>
      <c r="AN151" s="65">
        <f t="shared" si="31"/>
        <v>37.5</v>
      </c>
      <c r="AP151" s="76">
        <f t="shared" si="32"/>
        <v>60.112764345407982</v>
      </c>
    </row>
    <row r="152" spans="1:42" x14ac:dyDescent="0.25">
      <c r="A152" s="92" t="s">
        <v>162</v>
      </c>
      <c r="B152" s="3">
        <v>3</v>
      </c>
      <c r="C152" s="7">
        <v>65</v>
      </c>
      <c r="D152" s="7">
        <v>100</v>
      </c>
      <c r="E152" s="7">
        <v>100</v>
      </c>
      <c r="F152" s="7">
        <v>75</v>
      </c>
      <c r="G152" s="74">
        <f t="shared" si="27"/>
        <v>85</v>
      </c>
      <c r="H152" s="75">
        <f>G152*K值!M153</f>
        <v>89.671975471228947</v>
      </c>
      <c r="I152" s="7">
        <v>100</v>
      </c>
      <c r="J152" s="7">
        <v>40</v>
      </c>
      <c r="K152" s="7">
        <v>75</v>
      </c>
      <c r="L152" s="7">
        <v>50</v>
      </c>
      <c r="M152" s="74">
        <f t="shared" si="28"/>
        <v>66.25</v>
      </c>
      <c r="N152" s="7">
        <v>100</v>
      </c>
      <c r="O152" s="7">
        <v>35</v>
      </c>
      <c r="P152" s="7">
        <v>100</v>
      </c>
      <c r="Q152" s="7">
        <v>100</v>
      </c>
      <c r="R152" s="74">
        <f t="shared" si="29"/>
        <v>83.75</v>
      </c>
      <c r="S152" s="3">
        <v>58.71174629696435</v>
      </c>
      <c r="T152" s="3">
        <f t="shared" si="33"/>
        <v>58.71174629696435</v>
      </c>
      <c r="U152" s="3">
        <v>39.301406283232673</v>
      </c>
      <c r="V152" s="3">
        <v>52.492659390601482</v>
      </c>
      <c r="W152" s="3">
        <v>100</v>
      </c>
      <c r="X152" s="3">
        <f t="shared" si="24"/>
        <v>63.931355224611387</v>
      </c>
      <c r="Y152" s="3">
        <v>6.1991541020954157</v>
      </c>
      <c r="Z152" s="3">
        <v>0.46508739431316054</v>
      </c>
      <c r="AA152" s="3">
        <v>23.393062018681928</v>
      </c>
      <c r="AB152" s="3">
        <v>69.406222308116057</v>
      </c>
      <c r="AC152" s="3">
        <f t="shared" si="25"/>
        <v>24.865881455801642</v>
      </c>
      <c r="AD152" s="3">
        <v>16.327651263831267</v>
      </c>
      <c r="AE152" s="87">
        <v>0</v>
      </c>
      <c r="AF152" s="3">
        <v>62.869198312236286</v>
      </c>
      <c r="AG152" s="3">
        <v>19.648851648365355</v>
      </c>
      <c r="AH152" s="3">
        <v>75.925106080738558</v>
      </c>
      <c r="AI152" s="3">
        <f t="shared" si="26"/>
        <v>34.954161461034289</v>
      </c>
      <c r="AJ152" s="65">
        <f t="shared" si="30"/>
        <v>45.615786109602922</v>
      </c>
      <c r="AK152" s="75">
        <f>AJ152*K值!M153</f>
        <v>48.123031213189876</v>
      </c>
      <c r="AL152" s="3">
        <v>100</v>
      </c>
      <c r="AM152" s="3">
        <v>50</v>
      </c>
      <c r="AN152" s="65">
        <f t="shared" si="31"/>
        <v>75</v>
      </c>
      <c r="AP152" s="76">
        <f t="shared" si="32"/>
        <v>66.308607579521734</v>
      </c>
    </row>
    <row r="153" spans="1:42" x14ac:dyDescent="0.25">
      <c r="A153" s="92" t="s">
        <v>163</v>
      </c>
      <c r="B153" s="3">
        <v>3</v>
      </c>
      <c r="C153" s="7">
        <v>65</v>
      </c>
      <c r="D153" s="7">
        <v>100</v>
      </c>
      <c r="E153" s="7">
        <v>60</v>
      </c>
      <c r="F153" s="7">
        <v>45</v>
      </c>
      <c r="G153" s="74">
        <f t="shared" si="27"/>
        <v>67.5</v>
      </c>
      <c r="H153" s="75">
        <f>G153*K值!M154</f>
        <v>71.210098168328869</v>
      </c>
      <c r="I153" s="7">
        <v>75</v>
      </c>
      <c r="J153" s="7">
        <v>60</v>
      </c>
      <c r="K153" s="7">
        <v>50</v>
      </c>
      <c r="L153" s="7">
        <v>50</v>
      </c>
      <c r="M153" s="74">
        <f t="shared" si="28"/>
        <v>58.75</v>
      </c>
      <c r="N153" s="7">
        <v>65</v>
      </c>
      <c r="O153" s="7">
        <v>35</v>
      </c>
      <c r="P153" s="7">
        <v>65</v>
      </c>
      <c r="Q153" s="7">
        <v>35</v>
      </c>
      <c r="R153" s="74">
        <f t="shared" si="29"/>
        <v>50</v>
      </c>
      <c r="S153" s="3">
        <v>83.663902628121988</v>
      </c>
      <c r="T153" s="3">
        <f t="shared" si="33"/>
        <v>83.663902628121988</v>
      </c>
      <c r="U153" s="3">
        <v>74.051160474383551</v>
      </c>
      <c r="V153" s="3">
        <v>78.757230023795927</v>
      </c>
      <c r="W153" s="3">
        <v>99.895457001444328</v>
      </c>
      <c r="X153" s="3">
        <f t="shared" si="24"/>
        <v>84.23461583320794</v>
      </c>
      <c r="Y153" s="3">
        <v>6.7422083372601911</v>
      </c>
      <c r="Z153" s="3">
        <v>0.62429931423165519</v>
      </c>
      <c r="AA153" s="3">
        <v>4.6486212985842288</v>
      </c>
      <c r="AB153" s="3">
        <v>21.420141864729633</v>
      </c>
      <c r="AC153" s="3">
        <f t="shared" si="25"/>
        <v>8.3588177037014262</v>
      </c>
      <c r="AD153" s="3">
        <v>1.0238966623975656</v>
      </c>
      <c r="AE153" s="87">
        <v>0</v>
      </c>
      <c r="AF153" s="3">
        <v>54.430379746835442</v>
      </c>
      <c r="AG153" s="3">
        <v>3.9297703296730706</v>
      </c>
      <c r="AH153" s="3">
        <v>0</v>
      </c>
      <c r="AI153" s="3">
        <f t="shared" si="26"/>
        <v>11.876809347781215</v>
      </c>
      <c r="AJ153" s="65">
        <f t="shared" si="30"/>
        <v>47.033536378203138</v>
      </c>
      <c r="AK153" s="75">
        <f>AJ153*K值!M154</f>
        <v>49.618707299192785</v>
      </c>
      <c r="AL153" s="3">
        <v>25</v>
      </c>
      <c r="AM153" s="3">
        <v>0</v>
      </c>
      <c r="AN153" s="65">
        <f t="shared" si="31"/>
        <v>12.5</v>
      </c>
      <c r="AP153" s="76">
        <f t="shared" si="32"/>
        <v>52.089502553342896</v>
      </c>
    </row>
    <row r="154" spans="1:42" x14ac:dyDescent="0.25">
      <c r="A154" s="92" t="s">
        <v>164</v>
      </c>
      <c r="B154" s="3">
        <v>2</v>
      </c>
      <c r="C154" s="7">
        <v>65</v>
      </c>
      <c r="D154" s="7">
        <v>80</v>
      </c>
      <c r="E154" s="7">
        <v>100</v>
      </c>
      <c r="F154" s="7">
        <v>30</v>
      </c>
      <c r="G154" s="74">
        <f t="shared" si="27"/>
        <v>68.75</v>
      </c>
      <c r="H154" s="75">
        <f>G154*K值!M155</f>
        <v>72.52880368996459</v>
      </c>
      <c r="I154" s="7">
        <v>0</v>
      </c>
      <c r="J154" s="7">
        <v>40</v>
      </c>
      <c r="K154" s="7">
        <v>0</v>
      </c>
      <c r="L154" s="7">
        <v>0</v>
      </c>
      <c r="M154" s="74">
        <f t="shared" si="28"/>
        <v>10</v>
      </c>
      <c r="N154" s="7">
        <v>0</v>
      </c>
      <c r="O154" s="7">
        <v>0</v>
      </c>
      <c r="P154" s="7">
        <v>35</v>
      </c>
      <c r="Q154" s="7">
        <v>0</v>
      </c>
      <c r="R154" s="74">
        <f t="shared" si="29"/>
        <v>8.75</v>
      </c>
      <c r="S154" s="3">
        <v>72.057260699989214</v>
      </c>
      <c r="T154" s="3">
        <f t="shared" si="33"/>
        <v>72.057260699989214</v>
      </c>
      <c r="U154" s="3">
        <v>46.607927295179699</v>
      </c>
      <c r="V154" s="3">
        <v>85.189683374518594</v>
      </c>
      <c r="W154" s="3">
        <v>100</v>
      </c>
      <c r="X154" s="3">
        <f t="shared" si="24"/>
        <v>77.265870223232767</v>
      </c>
      <c r="Y154" s="3">
        <v>20.625028231709585</v>
      </c>
      <c r="Z154" s="3">
        <v>1.7342131176907916</v>
      </c>
      <c r="AA154" s="3">
        <v>3.598932618258758</v>
      </c>
      <c r="AB154" s="3">
        <v>17.633304904796017</v>
      </c>
      <c r="AC154" s="3">
        <f t="shared" si="25"/>
        <v>10.897869718113789</v>
      </c>
      <c r="AD154" s="3">
        <v>1.4614593386358414</v>
      </c>
      <c r="AE154" s="87">
        <v>0</v>
      </c>
      <c r="AF154" s="3">
        <v>41.350210970464133</v>
      </c>
      <c r="AG154" s="3">
        <v>66.806095604442206</v>
      </c>
      <c r="AH154" s="3">
        <v>39.047197412951256</v>
      </c>
      <c r="AI154" s="3">
        <f t="shared" si="26"/>
        <v>29.732992665298685</v>
      </c>
      <c r="AJ154" s="65">
        <f t="shared" si="30"/>
        <v>47.488498326658615</v>
      </c>
      <c r="AK154" s="75">
        <f>AJ154*K值!M155</f>
        <v>50.098675966042691</v>
      </c>
      <c r="AL154" s="3">
        <v>25</v>
      </c>
      <c r="AM154" s="3">
        <v>0</v>
      </c>
      <c r="AN154" s="65">
        <f t="shared" si="31"/>
        <v>12.5</v>
      </c>
      <c r="AP154" s="76">
        <f t="shared" si="32"/>
        <v>38.670231124409995</v>
      </c>
    </row>
    <row r="155" spans="1:42" x14ac:dyDescent="0.25">
      <c r="A155" s="92" t="s">
        <v>165</v>
      </c>
      <c r="B155" s="3">
        <v>3</v>
      </c>
      <c r="C155" s="7">
        <v>65</v>
      </c>
      <c r="D155" s="7">
        <v>80</v>
      </c>
      <c r="E155" s="7">
        <v>60</v>
      </c>
      <c r="F155" s="7">
        <v>30</v>
      </c>
      <c r="G155" s="74">
        <f t="shared" si="27"/>
        <v>58.75</v>
      </c>
      <c r="H155" s="75">
        <f>G155*K值!M156</f>
        <v>61.979159516878838</v>
      </c>
      <c r="I155" s="7">
        <v>0</v>
      </c>
      <c r="J155" s="7">
        <v>40</v>
      </c>
      <c r="K155" s="7">
        <v>25</v>
      </c>
      <c r="L155" s="7">
        <v>50</v>
      </c>
      <c r="M155" s="74">
        <f t="shared" si="28"/>
        <v>28.75</v>
      </c>
      <c r="N155" s="7">
        <v>100</v>
      </c>
      <c r="O155" s="7">
        <v>100</v>
      </c>
      <c r="P155" s="7">
        <v>100</v>
      </c>
      <c r="Q155" s="7">
        <v>35</v>
      </c>
      <c r="R155" s="74">
        <f t="shared" si="29"/>
        <v>83.75</v>
      </c>
      <c r="S155" s="3">
        <v>46.748044425313232</v>
      </c>
      <c r="T155" s="3">
        <f t="shared" si="33"/>
        <v>46.748044425313232</v>
      </c>
      <c r="U155" s="3">
        <v>68.704618820555979</v>
      </c>
      <c r="V155" s="3">
        <v>78.883236037833001</v>
      </c>
      <c r="W155" s="3">
        <v>96.236452051996153</v>
      </c>
      <c r="X155" s="3">
        <f t="shared" si="24"/>
        <v>81.274768970128378</v>
      </c>
      <c r="Y155" s="3">
        <v>21.537065141331695</v>
      </c>
      <c r="Z155" s="3">
        <v>0.87541169088670223</v>
      </c>
      <c r="AA155" s="3">
        <v>12.821197452546826</v>
      </c>
      <c r="AB155" s="3">
        <v>86.586286953325725</v>
      </c>
      <c r="AC155" s="3">
        <f t="shared" si="25"/>
        <v>30.454990309522735</v>
      </c>
      <c r="AD155" s="3">
        <v>2.8819753125665302</v>
      </c>
      <c r="AE155" s="87">
        <v>14.865092839693213</v>
      </c>
      <c r="AF155" s="3">
        <v>67.510548523206751</v>
      </c>
      <c r="AG155" s="3">
        <v>15.719081318692282</v>
      </c>
      <c r="AH155" s="3">
        <v>0</v>
      </c>
      <c r="AI155" s="3">
        <f t="shared" si="26"/>
        <v>20.195339598831755</v>
      </c>
      <c r="AJ155" s="65">
        <f t="shared" si="30"/>
        <v>44.668285825949027</v>
      </c>
      <c r="AK155" s="75">
        <f>AJ155*K值!M156</f>
        <v>47.123452128545239</v>
      </c>
      <c r="AL155" s="3">
        <v>25</v>
      </c>
      <c r="AM155" s="3">
        <v>0</v>
      </c>
      <c r="AN155" s="65">
        <f t="shared" si="31"/>
        <v>12.5</v>
      </c>
      <c r="AP155" s="76">
        <f t="shared" si="32"/>
        <v>46.620212754793869</v>
      </c>
    </row>
    <row r="156" spans="1:42" x14ac:dyDescent="0.25">
      <c r="A156" s="92" t="s">
        <v>166</v>
      </c>
      <c r="B156" s="3">
        <v>3</v>
      </c>
      <c r="C156" s="7">
        <v>65</v>
      </c>
      <c r="D156" s="7">
        <v>100</v>
      </c>
      <c r="E156" s="7">
        <v>75</v>
      </c>
      <c r="F156" s="7">
        <v>15</v>
      </c>
      <c r="G156" s="74">
        <f t="shared" si="27"/>
        <v>63.75</v>
      </c>
      <c r="H156" s="75">
        <f>G156*K值!M157</f>
        <v>67.253981603421721</v>
      </c>
      <c r="I156" s="7">
        <v>50</v>
      </c>
      <c r="J156" s="7">
        <v>40</v>
      </c>
      <c r="K156" s="7">
        <v>25</v>
      </c>
      <c r="L156" s="7">
        <v>25</v>
      </c>
      <c r="M156" s="74">
        <f t="shared" si="28"/>
        <v>35</v>
      </c>
      <c r="N156" s="7">
        <v>35</v>
      </c>
      <c r="O156" s="7">
        <v>0</v>
      </c>
      <c r="P156" s="7">
        <v>35</v>
      </c>
      <c r="Q156" s="7">
        <v>35</v>
      </c>
      <c r="R156" s="74">
        <f t="shared" si="29"/>
        <v>26.25</v>
      </c>
      <c r="S156" s="3">
        <v>75.02079826853074</v>
      </c>
      <c r="T156" s="3">
        <f t="shared" si="33"/>
        <v>75.02079826853074</v>
      </c>
      <c r="U156" s="3">
        <v>60.877835248379107</v>
      </c>
      <c r="V156" s="3">
        <v>35.43882105177677</v>
      </c>
      <c r="W156" s="3">
        <v>100</v>
      </c>
      <c r="X156" s="3">
        <f t="shared" si="24"/>
        <v>65.438885433385295</v>
      </c>
      <c r="Y156" s="3">
        <v>0.81764599290046325</v>
      </c>
      <c r="Z156" s="3">
        <v>0.3742749461409714</v>
      </c>
      <c r="AA156" s="3">
        <v>9.2222648342880671</v>
      </c>
      <c r="AB156" s="3">
        <v>30.872622403193827</v>
      </c>
      <c r="AC156" s="3">
        <f t="shared" si="25"/>
        <v>10.321702044130832</v>
      </c>
      <c r="AD156" s="3">
        <v>4.1193400520146257</v>
      </c>
      <c r="AE156" s="87">
        <v>0</v>
      </c>
      <c r="AF156" s="3">
        <v>29.11392405063291</v>
      </c>
      <c r="AG156" s="3">
        <v>7.8595406593461412</v>
      </c>
      <c r="AH156" s="3">
        <v>13.015732470983751</v>
      </c>
      <c r="AI156" s="3">
        <f t="shared" si="26"/>
        <v>10.821707446595486</v>
      </c>
      <c r="AJ156" s="65">
        <f t="shared" si="30"/>
        <v>40.400773298160594</v>
      </c>
      <c r="AK156" s="75">
        <f>AJ156*K值!M157</f>
        <v>42.621378261309864</v>
      </c>
      <c r="AL156" s="3">
        <v>25</v>
      </c>
      <c r="AM156" s="3">
        <v>50</v>
      </c>
      <c r="AN156" s="65">
        <f t="shared" si="31"/>
        <v>37.5</v>
      </c>
      <c r="AP156" s="76">
        <f t="shared" si="32"/>
        <v>43.874347625208294</v>
      </c>
    </row>
    <row r="157" spans="1:42" x14ac:dyDescent="0.25">
      <c r="A157" s="92" t="s">
        <v>167</v>
      </c>
      <c r="B157" s="3">
        <v>4</v>
      </c>
      <c r="C157" s="7">
        <v>65</v>
      </c>
      <c r="D157" s="7">
        <v>100</v>
      </c>
      <c r="E157" s="7">
        <v>100</v>
      </c>
      <c r="F157" s="7">
        <v>75</v>
      </c>
      <c r="G157" s="74">
        <f t="shared" si="27"/>
        <v>85</v>
      </c>
      <c r="H157" s="75">
        <f>G157*K值!M158</f>
        <v>89.671975471228947</v>
      </c>
      <c r="I157" s="7">
        <v>0</v>
      </c>
      <c r="J157" s="7">
        <v>40</v>
      </c>
      <c r="K157" s="7">
        <v>25</v>
      </c>
      <c r="L157" s="7">
        <v>0</v>
      </c>
      <c r="M157" s="74">
        <f t="shared" si="28"/>
        <v>16.25</v>
      </c>
      <c r="N157" s="7">
        <v>35</v>
      </c>
      <c r="O157" s="7">
        <v>35</v>
      </c>
      <c r="P157" s="7">
        <v>35</v>
      </c>
      <c r="Q157" s="7">
        <v>35</v>
      </c>
      <c r="R157" s="74">
        <f t="shared" si="29"/>
        <v>35</v>
      </c>
      <c r="S157" s="3">
        <v>67.017632867713573</v>
      </c>
      <c r="T157" s="3">
        <f t="shared" si="33"/>
        <v>67.017632867713573</v>
      </c>
      <c r="U157" s="3">
        <v>37.93369580505442</v>
      </c>
      <c r="V157" s="3">
        <v>83.410232590921638</v>
      </c>
      <c r="W157" s="3">
        <v>67.487127449189018</v>
      </c>
      <c r="X157" s="3">
        <f t="shared" si="24"/>
        <v>62.943685281721692</v>
      </c>
      <c r="Y157" s="3">
        <v>3.7020853051865052</v>
      </c>
      <c r="Z157" s="3" t="s">
        <v>335</v>
      </c>
      <c r="AA157" s="3">
        <v>5.5483544531489182</v>
      </c>
      <c r="AB157" s="3">
        <v>44.338467585269797</v>
      </c>
      <c r="AC157" s="3">
        <f t="shared" si="25"/>
        <v>17.862969114535073</v>
      </c>
      <c r="AD157" s="3">
        <v>2.6400656615605116</v>
      </c>
      <c r="AE157" s="87">
        <v>0</v>
      </c>
      <c r="AF157" s="3">
        <v>58.22784810126582</v>
      </c>
      <c r="AG157" s="3">
        <v>11.789310989019212</v>
      </c>
      <c r="AH157" s="3">
        <v>19.523598706475628</v>
      </c>
      <c r="AI157" s="3">
        <f t="shared" si="26"/>
        <v>18.436164691664235</v>
      </c>
      <c r="AJ157" s="65">
        <f t="shared" si="30"/>
        <v>41.565112988908645</v>
      </c>
      <c r="AK157" s="75">
        <f>AJ157*K值!M158</f>
        <v>43.849715204709128</v>
      </c>
      <c r="AL157" s="3">
        <v>50</v>
      </c>
      <c r="AM157" s="3">
        <v>0</v>
      </c>
      <c r="AN157" s="65">
        <f t="shared" si="31"/>
        <v>25</v>
      </c>
      <c r="AP157" s="76">
        <f t="shared" si="32"/>
        <v>44.724281176129438</v>
      </c>
    </row>
    <row r="158" spans="1:42" x14ac:dyDescent="0.25">
      <c r="A158" s="92" t="s">
        <v>168</v>
      </c>
      <c r="B158" s="3">
        <v>3</v>
      </c>
      <c r="C158" s="7">
        <v>35</v>
      </c>
      <c r="D158" s="7">
        <v>100</v>
      </c>
      <c r="E158" s="7">
        <v>45</v>
      </c>
      <c r="F158" s="7">
        <v>45</v>
      </c>
      <c r="G158" s="74">
        <f t="shared" si="27"/>
        <v>56.25</v>
      </c>
      <c r="H158" s="75">
        <f>G158*K值!M159</f>
        <v>59.341748473607396</v>
      </c>
      <c r="I158" s="7">
        <v>0</v>
      </c>
      <c r="J158" s="7">
        <v>60</v>
      </c>
      <c r="K158" s="7">
        <v>75</v>
      </c>
      <c r="L158" s="7">
        <v>50</v>
      </c>
      <c r="M158" s="74">
        <f t="shared" si="28"/>
        <v>46.25</v>
      </c>
      <c r="N158" s="7">
        <v>100</v>
      </c>
      <c r="O158" s="7">
        <v>65</v>
      </c>
      <c r="P158" s="7">
        <v>100</v>
      </c>
      <c r="Q158" s="7">
        <v>35</v>
      </c>
      <c r="R158" s="74">
        <f t="shared" si="29"/>
        <v>75</v>
      </c>
      <c r="S158" s="3">
        <v>62.794324772008416</v>
      </c>
      <c r="T158" s="3">
        <f t="shared" si="33"/>
        <v>62.794324772008416</v>
      </c>
      <c r="U158" s="3">
        <v>68.298133484653007</v>
      </c>
      <c r="V158" s="3">
        <v>37.113779043245401</v>
      </c>
      <c r="W158" s="3">
        <v>100</v>
      </c>
      <c r="X158" s="3">
        <f t="shared" si="24"/>
        <v>68.470637509299465</v>
      </c>
      <c r="Y158" s="3">
        <v>9.9674356345932047</v>
      </c>
      <c r="Z158" s="3">
        <v>0.59985538848562658</v>
      </c>
      <c r="AA158" s="3">
        <v>4.5736435357038383</v>
      </c>
      <c r="AB158" s="3">
        <v>57.427145369970823</v>
      </c>
      <c r="AC158" s="3">
        <f t="shared" si="25"/>
        <v>18.142019982188373</v>
      </c>
      <c r="AD158" s="3">
        <v>3.0335595254062184</v>
      </c>
      <c r="AE158" s="87">
        <v>0</v>
      </c>
      <c r="AF158" s="3">
        <v>73.839662447257382</v>
      </c>
      <c r="AG158" s="3">
        <v>39.29770329673071</v>
      </c>
      <c r="AH158" s="3">
        <v>23.862176196803546</v>
      </c>
      <c r="AI158" s="3">
        <f t="shared" si="26"/>
        <v>28.006620293239571</v>
      </c>
      <c r="AJ158" s="65">
        <f t="shared" si="30"/>
        <v>44.353400639183953</v>
      </c>
      <c r="AK158" s="75">
        <f>AJ158*K值!M159</f>
        <v>46.791259460970515</v>
      </c>
      <c r="AL158" s="3">
        <v>50</v>
      </c>
      <c r="AM158" s="3">
        <v>0</v>
      </c>
      <c r="AN158" s="65">
        <f t="shared" si="31"/>
        <v>25</v>
      </c>
      <c r="AP158" s="76">
        <f t="shared" si="32"/>
        <v>49.834853479109682</v>
      </c>
    </row>
    <row r="159" spans="1:42" x14ac:dyDescent="0.25">
      <c r="A159" s="92" t="s">
        <v>169</v>
      </c>
      <c r="B159" s="3">
        <v>4</v>
      </c>
      <c r="C159" s="7">
        <v>65</v>
      </c>
      <c r="D159" s="7">
        <v>100</v>
      </c>
      <c r="E159" s="7">
        <v>75</v>
      </c>
      <c r="F159" s="7">
        <v>75</v>
      </c>
      <c r="G159" s="74">
        <f t="shared" si="27"/>
        <v>78.75</v>
      </c>
      <c r="H159" s="75">
        <f>G159*K值!M160</f>
        <v>83.078447863050357</v>
      </c>
      <c r="I159" s="7">
        <v>50</v>
      </c>
      <c r="J159" s="7">
        <v>80</v>
      </c>
      <c r="K159" s="7">
        <v>50</v>
      </c>
      <c r="L159" s="7">
        <v>50</v>
      </c>
      <c r="M159" s="74">
        <f t="shared" si="28"/>
        <v>57.5</v>
      </c>
      <c r="N159" s="7">
        <v>100</v>
      </c>
      <c r="O159" s="36">
        <v>65</v>
      </c>
      <c r="P159" s="7">
        <v>100</v>
      </c>
      <c r="Q159" s="36">
        <v>35</v>
      </c>
      <c r="R159" s="74">
        <f t="shared" si="29"/>
        <v>75</v>
      </c>
      <c r="S159" s="3">
        <v>87.957388919141792</v>
      </c>
      <c r="T159" s="3">
        <f t="shared" si="33"/>
        <v>87.957388919141792</v>
      </c>
      <c r="U159" s="3" t="s">
        <v>335</v>
      </c>
      <c r="V159" s="3">
        <v>67.093990431826242</v>
      </c>
      <c r="W159" s="3">
        <v>99.268199010110379</v>
      </c>
      <c r="X159" s="3">
        <f t="shared" si="24"/>
        <v>83.181094720968304</v>
      </c>
      <c r="Y159" s="3" t="s">
        <v>335</v>
      </c>
      <c r="Z159" s="3">
        <v>0.99712358228680875</v>
      </c>
      <c r="AA159" s="3">
        <v>2.3243106492921144</v>
      </c>
      <c r="AB159" s="3">
        <v>63.861922221925042</v>
      </c>
      <c r="AC159" s="3">
        <f t="shared" si="25"/>
        <v>22.394452151167986</v>
      </c>
      <c r="AD159" s="3">
        <v>1.5842894327513002</v>
      </c>
      <c r="AE159" s="87">
        <v>0</v>
      </c>
      <c r="AF159" s="3">
        <v>75.949367088607602</v>
      </c>
      <c r="AG159" s="3">
        <v>27.5083923077115</v>
      </c>
      <c r="AH159" s="3">
        <v>2.1692887451639589</v>
      </c>
      <c r="AI159" s="3">
        <f t="shared" si="26"/>
        <v>21.442267514846872</v>
      </c>
      <c r="AJ159" s="65">
        <f t="shared" si="30"/>
        <v>53.743800826531242</v>
      </c>
      <c r="AK159" s="75">
        <f>AJ159*K值!M160</f>
        <v>56.697797522909696</v>
      </c>
      <c r="AL159" s="3">
        <v>75</v>
      </c>
      <c r="AM159" s="3">
        <v>0</v>
      </c>
      <c r="AN159" s="65">
        <f t="shared" si="31"/>
        <v>37.5</v>
      </c>
      <c r="AP159" s="76">
        <f t="shared" si="32"/>
        <v>62.04480858177395</v>
      </c>
    </row>
    <row r="160" spans="1:42" x14ac:dyDescent="0.25">
      <c r="A160" s="92" t="s">
        <v>170</v>
      </c>
      <c r="B160" s="3">
        <v>3</v>
      </c>
      <c r="C160" s="7">
        <v>65</v>
      </c>
      <c r="D160" s="7">
        <v>80</v>
      </c>
      <c r="E160" s="7">
        <v>45</v>
      </c>
      <c r="F160" s="7">
        <v>45</v>
      </c>
      <c r="G160" s="74">
        <f t="shared" si="27"/>
        <v>58.75</v>
      </c>
      <c r="H160" s="75">
        <f>G160*K值!M161</f>
        <v>61.979159516878838</v>
      </c>
      <c r="I160" s="7">
        <v>100</v>
      </c>
      <c r="J160" s="7">
        <v>40</v>
      </c>
      <c r="K160" s="7">
        <v>25</v>
      </c>
      <c r="L160" s="7">
        <v>50</v>
      </c>
      <c r="M160" s="74">
        <f t="shared" si="28"/>
        <v>53.75</v>
      </c>
      <c r="N160" s="7">
        <v>65</v>
      </c>
      <c r="O160" s="7">
        <v>35</v>
      </c>
      <c r="P160" s="7">
        <v>100</v>
      </c>
      <c r="Q160" s="7">
        <v>65</v>
      </c>
      <c r="R160" s="74">
        <f t="shared" si="29"/>
        <v>66.25</v>
      </c>
      <c r="S160" s="3">
        <v>70.098438658020285</v>
      </c>
      <c r="T160" s="3">
        <f t="shared" si="33"/>
        <v>70.098438658020285</v>
      </c>
      <c r="U160" s="3">
        <v>68.111364211673362</v>
      </c>
      <c r="V160" s="3">
        <v>72.638255049458209</v>
      </c>
      <c r="W160" s="3">
        <v>97.52581570084935</v>
      </c>
      <c r="X160" s="3">
        <f t="shared" si="24"/>
        <v>79.425144987326973</v>
      </c>
      <c r="Y160" s="3">
        <v>4.1679106084881186</v>
      </c>
      <c r="Z160" s="3">
        <v>0.80875303284337807</v>
      </c>
      <c r="AA160" s="3">
        <v>4.4986657728234469</v>
      </c>
      <c r="AB160" s="3">
        <v>55.499627831281742</v>
      </c>
      <c r="AC160" s="3">
        <f t="shared" si="25"/>
        <v>16.243739311359171</v>
      </c>
      <c r="AD160" s="3">
        <v>2.4659782253714262</v>
      </c>
      <c r="AE160" s="87">
        <v>0</v>
      </c>
      <c r="AF160" s="3">
        <v>75.527426160337555</v>
      </c>
      <c r="AG160" s="3">
        <v>100</v>
      </c>
      <c r="AH160" s="3">
        <v>15.185021216147712</v>
      </c>
      <c r="AI160" s="3">
        <f t="shared" si="26"/>
        <v>38.635685120371335</v>
      </c>
      <c r="AJ160" s="65">
        <f t="shared" si="30"/>
        <v>51.100752019269443</v>
      </c>
      <c r="AK160" s="75">
        <f>AJ160*K值!M161</f>
        <v>53.909475078038625</v>
      </c>
      <c r="AL160" s="3">
        <v>25</v>
      </c>
      <c r="AM160" s="3">
        <v>50</v>
      </c>
      <c r="AN160" s="65">
        <f t="shared" si="31"/>
        <v>37.5</v>
      </c>
      <c r="AP160" s="76">
        <f t="shared" si="32"/>
        <v>55.084621934591219</v>
      </c>
    </row>
    <row r="161" spans="1:42" x14ac:dyDescent="0.25">
      <c r="A161" s="92" t="s">
        <v>171</v>
      </c>
      <c r="B161" s="3">
        <v>2</v>
      </c>
      <c r="C161" s="7">
        <v>65</v>
      </c>
      <c r="D161" s="7">
        <v>100</v>
      </c>
      <c r="E161" s="7">
        <v>100</v>
      </c>
      <c r="F161" s="7">
        <v>60</v>
      </c>
      <c r="G161" s="74">
        <f t="shared" si="27"/>
        <v>81.25</v>
      </c>
      <c r="H161" s="75">
        <f>G161*K值!M162</f>
        <v>85.715858906321799</v>
      </c>
      <c r="I161" s="7">
        <v>0</v>
      </c>
      <c r="J161" s="7">
        <v>40</v>
      </c>
      <c r="K161" s="7">
        <v>25</v>
      </c>
      <c r="L161" s="7">
        <v>50</v>
      </c>
      <c r="M161" s="74">
        <f t="shared" si="28"/>
        <v>28.75</v>
      </c>
      <c r="N161" s="7">
        <v>65</v>
      </c>
      <c r="O161" s="7">
        <v>35</v>
      </c>
      <c r="P161" s="7">
        <v>65</v>
      </c>
      <c r="Q161" s="7">
        <v>35</v>
      </c>
      <c r="R161" s="74">
        <f t="shared" si="29"/>
        <v>50</v>
      </c>
      <c r="S161" s="3">
        <v>72.481648348871985</v>
      </c>
      <c r="T161" s="3">
        <f t="shared" si="33"/>
        <v>72.481648348871985</v>
      </c>
      <c r="U161" s="3">
        <v>60.497106997159555</v>
      </c>
      <c r="V161" s="3">
        <v>58.71920047448306</v>
      </c>
      <c r="W161" s="3">
        <v>99.965152333814771</v>
      </c>
      <c r="X161" s="3">
        <f t="shared" si="24"/>
        <v>73.060486601819136</v>
      </c>
      <c r="Y161" s="3">
        <v>5.3680236925204321</v>
      </c>
      <c r="Z161" s="3" t="s">
        <v>335</v>
      </c>
      <c r="AA161" s="3">
        <v>8.1725761539625967</v>
      </c>
      <c r="AB161" s="3">
        <v>44.685324355032343</v>
      </c>
      <c r="AC161" s="3">
        <f t="shared" si="25"/>
        <v>19.408641400505122</v>
      </c>
      <c r="AD161" s="3">
        <v>4.088398119909205</v>
      </c>
      <c r="AE161" s="87">
        <v>0</v>
      </c>
      <c r="AF161" s="3">
        <v>64.556962025316452</v>
      </c>
      <c r="AG161" s="3">
        <v>74.665636263788343</v>
      </c>
      <c r="AH161" s="3">
        <v>13.015732470983751</v>
      </c>
      <c r="AI161" s="3">
        <f t="shared" si="26"/>
        <v>31.265345775999549</v>
      </c>
      <c r="AJ161" s="65">
        <f t="shared" si="30"/>
        <v>49.054030531798951</v>
      </c>
      <c r="AK161" s="75">
        <f>AJ161*K值!M162</f>
        <v>51.750256736616372</v>
      </c>
      <c r="AL161" s="3">
        <v>50</v>
      </c>
      <c r="AM161" s="3">
        <v>50</v>
      </c>
      <c r="AN161" s="65">
        <f t="shared" si="31"/>
        <v>50</v>
      </c>
      <c r="AP161" s="76">
        <f t="shared" si="32"/>
        <v>53.59327447591091</v>
      </c>
    </row>
    <row r="162" spans="1:42" x14ac:dyDescent="0.25">
      <c r="A162" s="92" t="s">
        <v>172</v>
      </c>
      <c r="B162" s="3">
        <v>3</v>
      </c>
      <c r="C162" s="7">
        <v>35</v>
      </c>
      <c r="D162" s="7">
        <v>80</v>
      </c>
      <c r="E162" s="7">
        <v>75</v>
      </c>
      <c r="F162" s="7">
        <v>15</v>
      </c>
      <c r="G162" s="74">
        <f t="shared" si="27"/>
        <v>51.25</v>
      </c>
      <c r="H162" s="75">
        <f>G162*K值!M163</f>
        <v>54.06692638706452</v>
      </c>
      <c r="I162" s="7">
        <v>50</v>
      </c>
      <c r="J162" s="7">
        <v>80</v>
      </c>
      <c r="K162" s="7">
        <v>75</v>
      </c>
      <c r="L162" s="7">
        <v>25</v>
      </c>
      <c r="M162" s="74">
        <f t="shared" si="28"/>
        <v>57.5</v>
      </c>
      <c r="N162" s="7">
        <v>100</v>
      </c>
      <c r="O162" s="7">
        <v>65</v>
      </c>
      <c r="P162" s="7">
        <v>100</v>
      </c>
      <c r="Q162" s="7">
        <v>100</v>
      </c>
      <c r="R162" s="74">
        <f t="shared" si="29"/>
        <v>91.25</v>
      </c>
      <c r="S162" s="3">
        <v>54.820912342693084</v>
      </c>
      <c r="T162" s="3">
        <f t="shared" si="33"/>
        <v>54.820912342693084</v>
      </c>
      <c r="U162" s="3">
        <v>44.802285817222554</v>
      </c>
      <c r="V162" s="3">
        <v>53.448461106834046</v>
      </c>
      <c r="W162" s="3">
        <v>100</v>
      </c>
      <c r="X162" s="3">
        <f t="shared" si="24"/>
        <v>66.083582308018876</v>
      </c>
      <c r="Y162" s="3">
        <v>9.3777988690982674</v>
      </c>
      <c r="Z162" s="3">
        <v>0.77029555678835038</v>
      </c>
      <c r="AA162" s="3">
        <v>16.944974410968321</v>
      </c>
      <c r="AB162" s="3">
        <v>29.160625056037297</v>
      </c>
      <c r="AC162" s="3">
        <f t="shared" si="25"/>
        <v>14.063423473223059</v>
      </c>
      <c r="AD162" s="3">
        <v>7.4820092189057759</v>
      </c>
      <c r="AE162" s="87">
        <v>100</v>
      </c>
      <c r="AF162" s="3">
        <v>53.164556962025308</v>
      </c>
      <c r="AG162" s="3">
        <v>0</v>
      </c>
      <c r="AH162" s="3">
        <v>30.370042432295424</v>
      </c>
      <c r="AI162" s="3">
        <f t="shared" si="26"/>
        <v>38.203321722645299</v>
      </c>
      <c r="AJ162" s="65">
        <f t="shared" si="30"/>
        <v>43.292809961645077</v>
      </c>
      <c r="AK162" s="75">
        <f>AJ162*K值!M163</f>
        <v>45.672374034837809</v>
      </c>
      <c r="AL162" s="3">
        <v>50</v>
      </c>
      <c r="AM162" s="3">
        <v>50</v>
      </c>
      <c r="AN162" s="65">
        <f t="shared" si="31"/>
        <v>50</v>
      </c>
      <c r="AP162" s="76">
        <f t="shared" si="32"/>
        <v>54.707334891348026</v>
      </c>
    </row>
    <row r="163" spans="1:42" x14ac:dyDescent="0.25">
      <c r="A163" s="92" t="s">
        <v>173</v>
      </c>
      <c r="B163" s="3">
        <v>2</v>
      </c>
      <c r="C163" s="7">
        <v>65</v>
      </c>
      <c r="D163" s="7">
        <v>100</v>
      </c>
      <c r="E163" s="7">
        <v>100</v>
      </c>
      <c r="F163" s="7">
        <v>100</v>
      </c>
      <c r="G163" s="74">
        <f t="shared" si="27"/>
        <v>91.25</v>
      </c>
      <c r="H163" s="75">
        <f>G163*K值!M164</f>
        <v>96.265503079407551</v>
      </c>
      <c r="I163" s="7">
        <v>100</v>
      </c>
      <c r="J163" s="7">
        <v>100</v>
      </c>
      <c r="K163" s="7">
        <v>50</v>
      </c>
      <c r="L163" s="7">
        <v>50</v>
      </c>
      <c r="M163" s="74">
        <f t="shared" si="28"/>
        <v>75</v>
      </c>
      <c r="N163" s="7">
        <v>100</v>
      </c>
      <c r="O163" s="7">
        <v>35</v>
      </c>
      <c r="P163" s="7">
        <v>100</v>
      </c>
      <c r="Q163" s="7">
        <v>65</v>
      </c>
      <c r="R163" s="74">
        <f t="shared" si="29"/>
        <v>75</v>
      </c>
      <c r="S163" s="3">
        <v>64.589022269968581</v>
      </c>
      <c r="T163" s="3">
        <f t="shared" si="33"/>
        <v>64.589022269968581</v>
      </c>
      <c r="U163" s="3">
        <v>49.017483976445654</v>
      </c>
      <c r="V163" s="3">
        <v>46.530423604456246</v>
      </c>
      <c r="W163" s="3">
        <v>94.73800240603164</v>
      </c>
      <c r="X163" s="3">
        <f t="shared" si="24"/>
        <v>63.42863666231117</v>
      </c>
      <c r="Y163" s="3">
        <v>17.879110654352708</v>
      </c>
      <c r="Z163" s="3">
        <v>0.50556131290747486</v>
      </c>
      <c r="AA163" s="3">
        <v>5.5483544531489182</v>
      </c>
      <c r="AB163" s="3">
        <v>35.256309544207916</v>
      </c>
      <c r="AC163" s="3">
        <f t="shared" si="25"/>
        <v>14.797333991154254</v>
      </c>
      <c r="AD163" s="3">
        <v>2.696948809471488</v>
      </c>
      <c r="AE163" s="87">
        <v>0</v>
      </c>
      <c r="AF163" s="3">
        <v>63.713080168776372</v>
      </c>
      <c r="AG163" s="3">
        <v>35.367932967057634</v>
      </c>
      <c r="AH163" s="3">
        <v>6.5078662354918757</v>
      </c>
      <c r="AI163" s="3">
        <f t="shared" si="26"/>
        <v>21.657165636159473</v>
      </c>
      <c r="AJ163" s="65">
        <f t="shared" si="30"/>
        <v>41.11803963989837</v>
      </c>
      <c r="AK163" s="75">
        <f>AJ163*K值!M164</f>
        <v>43.378068729576313</v>
      </c>
      <c r="AL163" s="3">
        <v>50</v>
      </c>
      <c r="AM163" s="3">
        <v>0</v>
      </c>
      <c r="AN163" s="65">
        <f t="shared" si="31"/>
        <v>25</v>
      </c>
      <c r="AP163" s="76">
        <f t="shared" si="32"/>
        <v>61.604328107712035</v>
      </c>
    </row>
    <row r="164" spans="1:42" x14ac:dyDescent="0.25">
      <c r="A164" s="92" t="s">
        <v>174</v>
      </c>
      <c r="B164" s="3">
        <v>2</v>
      </c>
      <c r="C164" s="7">
        <v>35</v>
      </c>
      <c r="D164" s="7">
        <v>100</v>
      </c>
      <c r="E164" s="7">
        <v>100</v>
      </c>
      <c r="F164" s="7">
        <v>45</v>
      </c>
      <c r="G164" s="74">
        <f t="shared" si="27"/>
        <v>70</v>
      </c>
      <c r="H164" s="75">
        <f>G164*K值!M165</f>
        <v>73.847509211600311</v>
      </c>
      <c r="I164" s="7">
        <v>75</v>
      </c>
      <c r="J164" s="7">
        <v>60</v>
      </c>
      <c r="K164" s="7">
        <v>25</v>
      </c>
      <c r="L164" s="7">
        <v>50</v>
      </c>
      <c r="M164" s="74">
        <f t="shared" si="28"/>
        <v>52.5</v>
      </c>
      <c r="N164" s="7">
        <v>65</v>
      </c>
      <c r="O164" s="7">
        <v>35</v>
      </c>
      <c r="P164" s="7">
        <v>65</v>
      </c>
      <c r="Q164" s="7">
        <v>0</v>
      </c>
      <c r="R164" s="74">
        <f t="shared" si="29"/>
        <v>41.25</v>
      </c>
      <c r="S164" s="3">
        <v>65.997255619348778</v>
      </c>
      <c r="T164" s="3">
        <f t="shared" si="33"/>
        <v>65.997255619348778</v>
      </c>
      <c r="U164" s="3">
        <v>72.098830507065998</v>
      </c>
      <c r="V164" s="3">
        <v>68.510789760389628</v>
      </c>
      <c r="W164" s="3">
        <v>98.571245686405959</v>
      </c>
      <c r="X164" s="3">
        <f t="shared" si="24"/>
        <v>79.726955317953866</v>
      </c>
      <c r="Y164" s="3">
        <v>7.1516442617410831</v>
      </c>
      <c r="Z164" s="3" t="s">
        <v>335</v>
      </c>
      <c r="AA164" s="3">
        <v>11.32164219493901</v>
      </c>
      <c r="AB164" s="3">
        <v>26.740844735274148</v>
      </c>
      <c r="AC164" s="3">
        <f t="shared" si="25"/>
        <v>15.071377063984746</v>
      </c>
      <c r="AD164" s="3">
        <v>5.4535936697726255</v>
      </c>
      <c r="AE164" s="87">
        <v>14.865092839693213</v>
      </c>
      <c r="AF164" s="3">
        <v>52.742616033755276</v>
      </c>
      <c r="AG164" s="3">
        <v>23.578621978038424</v>
      </c>
      <c r="AH164" s="3">
        <v>13.015732470983751</v>
      </c>
      <c r="AI164" s="3">
        <f t="shared" si="26"/>
        <v>21.93113139844866</v>
      </c>
      <c r="AJ164" s="65">
        <f t="shared" si="30"/>
        <v>45.681679849934014</v>
      </c>
      <c r="AK164" s="75">
        <f>AJ164*K值!M165</f>
        <v>48.19254676456255</v>
      </c>
      <c r="AL164" s="3">
        <v>75</v>
      </c>
      <c r="AM164" s="3">
        <v>0</v>
      </c>
      <c r="AN164" s="65">
        <f t="shared" si="31"/>
        <v>37.5</v>
      </c>
      <c r="AP164" s="76">
        <f t="shared" si="32"/>
        <v>52.421520548145082</v>
      </c>
    </row>
    <row r="165" spans="1:42" x14ac:dyDescent="0.25">
      <c r="A165" s="92" t="s">
        <v>175</v>
      </c>
      <c r="B165" s="3">
        <v>3</v>
      </c>
      <c r="C165" s="7">
        <v>35</v>
      </c>
      <c r="D165" s="7">
        <v>100</v>
      </c>
      <c r="E165" s="7">
        <v>100</v>
      </c>
      <c r="F165" s="7">
        <v>60</v>
      </c>
      <c r="G165" s="74">
        <f t="shared" si="27"/>
        <v>73.75</v>
      </c>
      <c r="H165" s="75">
        <f>G165*K值!M166</f>
        <v>77.803625776507474</v>
      </c>
      <c r="I165" s="7">
        <v>50</v>
      </c>
      <c r="J165" s="7">
        <v>40</v>
      </c>
      <c r="K165" s="7">
        <v>25</v>
      </c>
      <c r="L165" s="7">
        <v>50</v>
      </c>
      <c r="M165" s="74">
        <f t="shared" si="28"/>
        <v>41.25</v>
      </c>
      <c r="N165" s="7">
        <v>65</v>
      </c>
      <c r="O165" s="7">
        <v>0</v>
      </c>
      <c r="P165" s="7">
        <v>35</v>
      </c>
      <c r="Q165" s="7">
        <v>35</v>
      </c>
      <c r="R165" s="74">
        <f t="shared" si="29"/>
        <v>33.75</v>
      </c>
      <c r="S165" s="3">
        <v>57.758508192577111</v>
      </c>
      <c r="T165" s="3">
        <f t="shared" si="33"/>
        <v>57.758508192577111</v>
      </c>
      <c r="U165" s="3">
        <v>59.866762731615999</v>
      </c>
      <c r="V165" s="3">
        <v>69.45737152437556</v>
      </c>
      <c r="W165" s="3">
        <v>90.103262803397286</v>
      </c>
      <c r="X165" s="3">
        <f t="shared" si="24"/>
        <v>73.142465686462955</v>
      </c>
      <c r="Y165" s="3">
        <v>7.3882344815758501</v>
      </c>
      <c r="Z165" s="3">
        <v>1.407157743243187</v>
      </c>
      <c r="AA165" s="3">
        <v>3.598932618258758</v>
      </c>
      <c r="AB165" s="3">
        <v>32.151990646440538</v>
      </c>
      <c r="AC165" s="3">
        <f t="shared" si="25"/>
        <v>11.136578872379584</v>
      </c>
      <c r="AD165" s="3">
        <v>2.6772584890407654</v>
      </c>
      <c r="AE165" s="87">
        <v>29.730185679386427</v>
      </c>
      <c r="AF165" s="3">
        <v>67.932489451476798</v>
      </c>
      <c r="AG165" s="3">
        <v>27.5083923077115</v>
      </c>
      <c r="AH165" s="3">
        <v>6.5078662354918757</v>
      </c>
      <c r="AI165" s="3">
        <f t="shared" si="26"/>
        <v>26.871238432621475</v>
      </c>
      <c r="AJ165" s="65">
        <f t="shared" si="30"/>
        <v>42.22719779601028</v>
      </c>
      <c r="AK165" s="75">
        <f>AJ165*K值!M166</f>
        <v>44.548191117441966</v>
      </c>
      <c r="AL165" s="3">
        <v>50</v>
      </c>
      <c r="AM165" s="3">
        <v>0</v>
      </c>
      <c r="AN165" s="65">
        <f t="shared" si="31"/>
        <v>25</v>
      </c>
      <c r="AP165" s="76">
        <f t="shared" si="32"/>
        <v>47.505001602278284</v>
      </c>
    </row>
    <row r="166" spans="1:42" x14ac:dyDescent="0.25">
      <c r="A166" s="92" t="s">
        <v>176</v>
      </c>
      <c r="B166" s="3">
        <v>4</v>
      </c>
      <c r="C166" s="7">
        <v>65</v>
      </c>
      <c r="D166" s="7">
        <v>100</v>
      </c>
      <c r="E166" s="7">
        <v>60</v>
      </c>
      <c r="F166" s="7">
        <v>15</v>
      </c>
      <c r="G166" s="74">
        <f t="shared" si="27"/>
        <v>60</v>
      </c>
      <c r="H166" s="75">
        <f>G166*K值!M167</f>
        <v>63.297865038514558</v>
      </c>
      <c r="I166" s="7">
        <v>50</v>
      </c>
      <c r="J166" s="7">
        <v>40</v>
      </c>
      <c r="K166" s="7">
        <v>25</v>
      </c>
      <c r="L166" s="7">
        <v>0</v>
      </c>
      <c r="M166" s="74">
        <f t="shared" si="28"/>
        <v>28.75</v>
      </c>
      <c r="N166" s="7">
        <v>65</v>
      </c>
      <c r="O166" s="7">
        <v>35</v>
      </c>
      <c r="P166" s="7">
        <v>65</v>
      </c>
      <c r="Q166" s="7">
        <v>35</v>
      </c>
      <c r="R166" s="74">
        <f t="shared" si="29"/>
        <v>50</v>
      </c>
      <c r="S166" s="3">
        <v>67.731767941344515</v>
      </c>
      <c r="T166" s="3">
        <f t="shared" ref="T166:T188" si="34">AVERAGE(S166)</f>
        <v>67.731767941344515</v>
      </c>
      <c r="U166" s="3">
        <v>40.681131629282383</v>
      </c>
      <c r="V166" s="3">
        <v>48.312947705468737</v>
      </c>
      <c r="W166" s="3">
        <v>99.616675671962568</v>
      </c>
      <c r="X166" s="3">
        <f t="shared" si="24"/>
        <v>62.870251668904565</v>
      </c>
      <c r="Y166" s="3">
        <v>4.22307413124752</v>
      </c>
      <c r="Z166" s="3">
        <v>1.7966648092852442</v>
      </c>
      <c r="AA166" s="3">
        <v>6.6730208963547799</v>
      </c>
      <c r="AB166" s="3">
        <v>30.014987876669423</v>
      </c>
      <c r="AC166" s="3">
        <f t="shared" si="25"/>
        <v>10.676936928389242</v>
      </c>
      <c r="AD166" s="3">
        <v>4.1143393357147593</v>
      </c>
      <c r="AE166" s="87">
        <v>0</v>
      </c>
      <c r="AF166" s="3">
        <v>50.210970464135016</v>
      </c>
      <c r="AG166" s="3">
        <v>0</v>
      </c>
      <c r="AH166" s="3">
        <v>34.708619922623342</v>
      </c>
      <c r="AI166" s="3">
        <f t="shared" si="26"/>
        <v>17.806785944494624</v>
      </c>
      <c r="AJ166" s="65">
        <f t="shared" si="30"/>
        <v>39.771435620783237</v>
      </c>
      <c r="AK166" s="75">
        <f>AJ166*K值!M167</f>
        <v>41.957449405205125</v>
      </c>
      <c r="AL166" s="3">
        <v>50</v>
      </c>
      <c r="AM166" s="3">
        <v>0</v>
      </c>
      <c r="AN166" s="65">
        <f t="shared" si="31"/>
        <v>25</v>
      </c>
      <c r="AP166" s="76">
        <f t="shared" si="32"/>
        <v>42.69255276978496</v>
      </c>
    </row>
    <row r="167" spans="1:42" x14ac:dyDescent="0.25">
      <c r="A167" s="92" t="s">
        <v>177</v>
      </c>
      <c r="B167" s="3">
        <v>3</v>
      </c>
      <c r="C167" s="7">
        <v>65</v>
      </c>
      <c r="D167" s="7">
        <v>80</v>
      </c>
      <c r="E167" s="7">
        <v>100</v>
      </c>
      <c r="F167" s="7">
        <v>30</v>
      </c>
      <c r="G167" s="74">
        <f t="shared" si="27"/>
        <v>68.75</v>
      </c>
      <c r="H167" s="75">
        <f>G167*K值!M168</f>
        <v>72.52880368996459</v>
      </c>
      <c r="I167" s="7">
        <v>0</v>
      </c>
      <c r="J167" s="7">
        <v>80</v>
      </c>
      <c r="K167" s="7">
        <v>25</v>
      </c>
      <c r="L167" s="7">
        <v>0</v>
      </c>
      <c r="M167" s="74">
        <f t="shared" si="28"/>
        <v>26.25</v>
      </c>
      <c r="N167" s="7">
        <v>65</v>
      </c>
      <c r="O167" s="7">
        <v>35</v>
      </c>
      <c r="P167" s="7">
        <v>65</v>
      </c>
      <c r="Q167" s="7">
        <v>35</v>
      </c>
      <c r="R167" s="74">
        <f t="shared" si="29"/>
        <v>50</v>
      </c>
      <c r="S167" s="3">
        <v>70.029379645086763</v>
      </c>
      <c r="T167" s="3">
        <f t="shared" si="34"/>
        <v>70.029379645086763</v>
      </c>
      <c r="U167" s="3">
        <v>72.117013775804878</v>
      </c>
      <c r="V167" s="3">
        <v>66.559233201522488</v>
      </c>
      <c r="W167" s="3">
        <v>99.965152333814771</v>
      </c>
      <c r="X167" s="3">
        <f t="shared" si="24"/>
        <v>79.547133103714046</v>
      </c>
      <c r="Y167" s="3" t="s">
        <v>335</v>
      </c>
      <c r="Z167" s="3">
        <v>2.9724393978405055</v>
      </c>
      <c r="AA167" s="3">
        <v>2.2493328864117235</v>
      </c>
      <c r="AB167" s="3">
        <v>59.806389498907549</v>
      </c>
      <c r="AC167" s="3">
        <f t="shared" si="25"/>
        <v>21.676053927719924</v>
      </c>
      <c r="AD167" s="3">
        <v>1.237364739448096</v>
      </c>
      <c r="AE167" s="87">
        <v>0</v>
      </c>
      <c r="AF167" s="3">
        <v>47.679324894514771</v>
      </c>
      <c r="AG167" s="3">
        <v>19.648851648365355</v>
      </c>
      <c r="AH167" s="3">
        <v>17.354309961311671</v>
      </c>
      <c r="AI167" s="3">
        <f t="shared" si="26"/>
        <v>17.183970248727981</v>
      </c>
      <c r="AJ167" s="65">
        <f t="shared" si="30"/>
        <v>47.109134231312176</v>
      </c>
      <c r="AK167" s="75">
        <f>AJ167*K值!M168</f>
        <v>49.698460344247735</v>
      </c>
      <c r="AL167" s="3">
        <v>75</v>
      </c>
      <c r="AM167" s="3">
        <v>50</v>
      </c>
      <c r="AN167" s="65">
        <f t="shared" si="31"/>
        <v>62.5</v>
      </c>
      <c r="AP167" s="76">
        <f t="shared" si="32"/>
        <v>50.885144875692013</v>
      </c>
    </row>
    <row r="168" spans="1:42" x14ac:dyDescent="0.25">
      <c r="A168" s="92" t="s">
        <v>178</v>
      </c>
      <c r="B168" s="3">
        <v>2</v>
      </c>
      <c r="C168" s="7">
        <v>65</v>
      </c>
      <c r="D168" s="7">
        <v>100</v>
      </c>
      <c r="E168" s="7">
        <v>75</v>
      </c>
      <c r="F168" s="7">
        <v>75</v>
      </c>
      <c r="G168" s="74">
        <f t="shared" si="27"/>
        <v>78.75</v>
      </c>
      <c r="H168" s="75">
        <f>G168*K值!M169</f>
        <v>83.078447863050357</v>
      </c>
      <c r="I168" s="7">
        <v>50</v>
      </c>
      <c r="J168" s="7">
        <v>0</v>
      </c>
      <c r="K168" s="7">
        <v>25</v>
      </c>
      <c r="L168" s="7">
        <v>0</v>
      </c>
      <c r="M168" s="74">
        <f t="shared" si="28"/>
        <v>18.75</v>
      </c>
      <c r="N168" s="7">
        <v>35</v>
      </c>
      <c r="O168" s="7">
        <v>35</v>
      </c>
      <c r="P168" s="7">
        <v>100</v>
      </c>
      <c r="Q168" s="7">
        <v>35</v>
      </c>
      <c r="R168" s="74">
        <f t="shared" si="29"/>
        <v>51.25</v>
      </c>
      <c r="S168" s="3">
        <v>68.080602335597433</v>
      </c>
      <c r="T168" s="3">
        <f t="shared" si="34"/>
        <v>68.080602335597433</v>
      </c>
      <c r="U168" s="3">
        <v>62.570173916593234</v>
      </c>
      <c r="V168" s="3">
        <v>78.704983627731778</v>
      </c>
      <c r="W168" s="3">
        <v>100</v>
      </c>
      <c r="X168" s="3">
        <f t="shared" si="24"/>
        <v>80.425052514775004</v>
      </c>
      <c r="Y168" s="3">
        <v>6.2592210491000984</v>
      </c>
      <c r="Z168" s="3">
        <v>0.27644121603342448</v>
      </c>
      <c r="AA168" s="3">
        <v>10.196975751733147</v>
      </c>
      <c r="AB168" s="3">
        <v>51.634431535879635</v>
      </c>
      <c r="AC168" s="3">
        <f t="shared" si="25"/>
        <v>17.091767388186575</v>
      </c>
      <c r="AD168" s="3">
        <v>3.7652268290303637</v>
      </c>
      <c r="AE168" s="87">
        <v>14.865092839693213</v>
      </c>
      <c r="AF168" s="3">
        <v>67.510548523206751</v>
      </c>
      <c r="AG168" s="3">
        <v>39.29770329673071</v>
      </c>
      <c r="AH168" s="3">
        <v>17.354309961311671</v>
      </c>
      <c r="AI168" s="3">
        <f t="shared" si="26"/>
        <v>28.558576289994541</v>
      </c>
      <c r="AJ168" s="65">
        <f t="shared" si="30"/>
        <v>48.538999632138385</v>
      </c>
      <c r="AK168" s="75">
        <f>AJ168*K值!M169</f>
        <v>51.206917463660055</v>
      </c>
      <c r="AL168" s="3">
        <v>50</v>
      </c>
      <c r="AM168" s="3">
        <v>0</v>
      </c>
      <c r="AN168" s="65">
        <f t="shared" si="31"/>
        <v>25</v>
      </c>
      <c r="AP168" s="76">
        <f t="shared" si="32"/>
        <v>48.473456558074098</v>
      </c>
    </row>
    <row r="169" spans="1:42" x14ac:dyDescent="0.25">
      <c r="A169" s="92" t="s">
        <v>179</v>
      </c>
      <c r="B169" s="3">
        <v>2</v>
      </c>
      <c r="C169" s="7">
        <v>65</v>
      </c>
      <c r="D169" s="7">
        <v>80</v>
      </c>
      <c r="E169" s="7">
        <v>75</v>
      </c>
      <c r="F169" s="7">
        <v>60</v>
      </c>
      <c r="G169" s="74">
        <f t="shared" si="27"/>
        <v>70</v>
      </c>
      <c r="H169" s="75">
        <f>G169*K值!M170</f>
        <v>73.847509211600311</v>
      </c>
      <c r="I169" s="7">
        <v>100</v>
      </c>
      <c r="J169" s="7">
        <v>60</v>
      </c>
      <c r="K169" s="7">
        <v>50</v>
      </c>
      <c r="L169" s="7">
        <v>25</v>
      </c>
      <c r="M169" s="74">
        <f t="shared" si="28"/>
        <v>58.75</v>
      </c>
      <c r="N169" s="7">
        <v>100</v>
      </c>
      <c r="O169" s="7">
        <v>100</v>
      </c>
      <c r="P169" s="7">
        <v>100</v>
      </c>
      <c r="Q169" s="7">
        <v>35</v>
      </c>
      <c r="R169" s="74">
        <f t="shared" si="29"/>
        <v>83.75</v>
      </c>
      <c r="S169" s="3">
        <v>57.967240224150174</v>
      </c>
      <c r="T169" s="3">
        <f t="shared" si="34"/>
        <v>57.967240224150174</v>
      </c>
      <c r="U169" s="3">
        <v>47.631140528148819</v>
      </c>
      <c r="V169" s="3">
        <v>68.062085417720965</v>
      </c>
      <c r="W169" s="3">
        <v>96.515233381477913</v>
      </c>
      <c r="X169" s="3">
        <f t="shared" si="24"/>
        <v>70.736153109115904</v>
      </c>
      <c r="Y169" s="3">
        <v>23.419980051519264</v>
      </c>
      <c r="Z169" s="3" t="s">
        <v>335</v>
      </c>
      <c r="AA169" s="3">
        <v>5.023510112986183</v>
      </c>
      <c r="AB169" s="3">
        <v>44.697277728051532</v>
      </c>
      <c r="AC169" s="3">
        <f t="shared" si="25"/>
        <v>24.380255964185661</v>
      </c>
      <c r="AD169" s="3">
        <v>2.0368542578891744</v>
      </c>
      <c r="AE169" s="87">
        <v>44.595278519079642</v>
      </c>
      <c r="AF169" s="3">
        <v>51.054852320675103</v>
      </c>
      <c r="AG169" s="3">
        <v>58.946554945096061</v>
      </c>
      <c r="AH169" s="3">
        <v>13.015732470983751</v>
      </c>
      <c r="AI169" s="3">
        <f t="shared" si="26"/>
        <v>33.929854502744746</v>
      </c>
      <c r="AJ169" s="65">
        <f t="shared" si="30"/>
        <v>46.753375950049126</v>
      </c>
      <c r="AK169" s="75">
        <f>AJ169*K值!M170</f>
        <v>49.323148016352363</v>
      </c>
      <c r="AL169" s="3">
        <v>75</v>
      </c>
      <c r="AM169" s="3">
        <v>0</v>
      </c>
      <c r="AN169" s="65">
        <f t="shared" si="31"/>
        <v>37.5</v>
      </c>
      <c r="AP169" s="76">
        <f t="shared" si="32"/>
        <v>58.373761048861006</v>
      </c>
    </row>
    <row r="170" spans="1:42" x14ac:dyDescent="0.25">
      <c r="A170" s="92" t="s">
        <v>180</v>
      </c>
      <c r="B170" s="3">
        <v>2</v>
      </c>
      <c r="C170" s="7">
        <v>65</v>
      </c>
      <c r="D170" s="7">
        <v>100</v>
      </c>
      <c r="E170" s="7">
        <v>100</v>
      </c>
      <c r="F170" s="7">
        <v>60</v>
      </c>
      <c r="G170" s="74">
        <f t="shared" si="27"/>
        <v>81.25</v>
      </c>
      <c r="H170" s="75">
        <f>G170*K值!M171</f>
        <v>85.715858906321799</v>
      </c>
      <c r="I170" s="7">
        <v>50</v>
      </c>
      <c r="J170" s="7">
        <v>60</v>
      </c>
      <c r="K170" s="7">
        <v>25</v>
      </c>
      <c r="L170" s="7">
        <v>25</v>
      </c>
      <c r="M170" s="74">
        <f t="shared" si="28"/>
        <v>40</v>
      </c>
      <c r="N170" s="7">
        <v>65</v>
      </c>
      <c r="O170" s="7">
        <v>65</v>
      </c>
      <c r="P170" s="7">
        <v>100</v>
      </c>
      <c r="Q170" s="7">
        <v>35</v>
      </c>
      <c r="R170" s="74">
        <f t="shared" si="29"/>
        <v>66.25</v>
      </c>
      <c r="S170" s="3">
        <v>67.901855706000475</v>
      </c>
      <c r="T170" s="3">
        <f t="shared" si="34"/>
        <v>67.901855706000475</v>
      </c>
      <c r="U170" s="3">
        <v>64.123441507672268</v>
      </c>
      <c r="V170" s="3">
        <v>63.661094878669424</v>
      </c>
      <c r="W170" s="3">
        <v>100</v>
      </c>
      <c r="X170" s="3">
        <f t="shared" si="24"/>
        <v>75.928178795447238</v>
      </c>
      <c r="Y170" s="3">
        <v>8.4412448382497605</v>
      </c>
      <c r="Z170" s="3">
        <v>1.0727039105579121</v>
      </c>
      <c r="AA170" s="3">
        <v>4.4236880099430564</v>
      </c>
      <c r="AB170" s="3">
        <v>32.297657894334932</v>
      </c>
      <c r="AC170" s="3">
        <f t="shared" si="25"/>
        <v>11.558823663271415</v>
      </c>
      <c r="AD170" s="3">
        <v>2.6456914673978611</v>
      </c>
      <c r="AE170" s="87">
        <v>14.865092839693213</v>
      </c>
      <c r="AF170" s="3">
        <v>75.105485232067508</v>
      </c>
      <c r="AG170" s="3">
        <v>31.438162637384565</v>
      </c>
      <c r="AH170" s="3">
        <v>43.38577490327917</v>
      </c>
      <c r="AI170" s="3">
        <f t="shared" si="26"/>
        <v>33.48804141596446</v>
      </c>
      <c r="AJ170" s="65">
        <f t="shared" si="30"/>
        <v>47.219224895170896</v>
      </c>
      <c r="AK170" s="75">
        <f>AJ170*K值!M171</f>
        <v>49.81460207729657</v>
      </c>
      <c r="AL170" s="3">
        <v>50</v>
      </c>
      <c r="AM170" s="3">
        <v>0</v>
      </c>
      <c r="AN170" s="65">
        <f t="shared" si="31"/>
        <v>25</v>
      </c>
      <c r="AP170" s="76">
        <f t="shared" si="32"/>
        <v>54.194012612182988</v>
      </c>
    </row>
    <row r="171" spans="1:42" x14ac:dyDescent="0.25">
      <c r="A171" s="92" t="s">
        <v>181</v>
      </c>
      <c r="B171" s="3">
        <v>3</v>
      </c>
      <c r="C171" s="7">
        <v>65</v>
      </c>
      <c r="D171" s="7">
        <v>100</v>
      </c>
      <c r="E171" s="7">
        <v>100</v>
      </c>
      <c r="F171" s="7">
        <v>100</v>
      </c>
      <c r="G171" s="74">
        <f t="shared" si="27"/>
        <v>91.25</v>
      </c>
      <c r="H171" s="75">
        <f>G171*K值!M172</f>
        <v>96.265503079407551</v>
      </c>
      <c r="I171" s="7">
        <v>0</v>
      </c>
      <c r="J171" s="7">
        <v>40</v>
      </c>
      <c r="K171" s="7">
        <v>25</v>
      </c>
      <c r="L171" s="7">
        <v>0</v>
      </c>
      <c r="M171" s="74">
        <f t="shared" si="28"/>
        <v>16.25</v>
      </c>
      <c r="N171" s="7">
        <v>0</v>
      </c>
      <c r="O171" s="7">
        <v>35</v>
      </c>
      <c r="P171" s="7">
        <v>35</v>
      </c>
      <c r="Q171" s="7">
        <v>35</v>
      </c>
      <c r="R171" s="74">
        <f t="shared" si="29"/>
        <v>26.25</v>
      </c>
      <c r="S171" s="3">
        <v>72.961670319677566</v>
      </c>
      <c r="T171" s="3">
        <f t="shared" si="34"/>
        <v>72.961670319677566</v>
      </c>
      <c r="U171" s="3">
        <v>61.431262908030313</v>
      </c>
      <c r="V171" s="3">
        <v>75.677765973426077</v>
      </c>
      <c r="W171" s="3">
        <v>68.044690108152537</v>
      </c>
      <c r="X171" s="3">
        <f t="shared" si="24"/>
        <v>68.384572996536306</v>
      </c>
      <c r="Y171" s="3">
        <v>17.593486192065139</v>
      </c>
      <c r="Z171" s="3" t="s">
        <v>335</v>
      </c>
      <c r="AA171" s="3">
        <v>5.5483544531489182</v>
      </c>
      <c r="AB171" s="3">
        <v>42.0353690182544</v>
      </c>
      <c r="AC171" s="3">
        <f t="shared" si="25"/>
        <v>21.725736554489487</v>
      </c>
      <c r="AD171" s="3">
        <v>2.6281889603483299</v>
      </c>
      <c r="AE171" s="87">
        <v>0</v>
      </c>
      <c r="AF171" s="3">
        <v>51.054852320675103</v>
      </c>
      <c r="AG171" s="3">
        <v>27.5083923077115</v>
      </c>
      <c r="AH171" s="3">
        <v>41.216486158115217</v>
      </c>
      <c r="AI171" s="3">
        <f t="shared" si="26"/>
        <v>24.48158394937003</v>
      </c>
      <c r="AJ171" s="65">
        <f t="shared" si="30"/>
        <v>46.888390955018345</v>
      </c>
      <c r="AK171" s="75">
        <f>AJ171*K值!M172</f>
        <v>49.46558404239763</v>
      </c>
      <c r="AL171" s="3">
        <v>25</v>
      </c>
      <c r="AM171" s="3">
        <v>0</v>
      </c>
      <c r="AN171" s="65">
        <f t="shared" si="31"/>
        <v>12.5</v>
      </c>
      <c r="AP171" s="76">
        <f t="shared" si="32"/>
        <v>46.164334232840559</v>
      </c>
    </row>
    <row r="172" spans="1:42" x14ac:dyDescent="0.25">
      <c r="A172" s="92" t="s">
        <v>182</v>
      </c>
      <c r="B172" s="3">
        <v>3</v>
      </c>
      <c r="C172" s="7">
        <v>65</v>
      </c>
      <c r="D172" s="7">
        <v>80</v>
      </c>
      <c r="E172" s="7">
        <v>100</v>
      </c>
      <c r="F172" s="7">
        <v>60</v>
      </c>
      <c r="G172" s="74">
        <f t="shared" si="27"/>
        <v>76.25</v>
      </c>
      <c r="H172" s="75">
        <f>G172*K值!M173</f>
        <v>80.441036819778915</v>
      </c>
      <c r="I172" s="7">
        <v>50</v>
      </c>
      <c r="J172" s="7">
        <v>60</v>
      </c>
      <c r="K172" s="7">
        <v>25</v>
      </c>
      <c r="L172" s="7">
        <v>25</v>
      </c>
      <c r="M172" s="74">
        <f t="shared" si="28"/>
        <v>40</v>
      </c>
      <c r="N172" s="7">
        <v>100</v>
      </c>
      <c r="O172" s="7">
        <v>65</v>
      </c>
      <c r="P172" s="7">
        <v>65</v>
      </c>
      <c r="Q172" s="7">
        <v>0</v>
      </c>
      <c r="R172" s="74">
        <f t="shared" si="29"/>
        <v>57.5</v>
      </c>
      <c r="S172" s="3">
        <v>83.786019912075972</v>
      </c>
      <c r="T172" s="3">
        <f t="shared" si="34"/>
        <v>83.786019912075972</v>
      </c>
      <c r="U172" s="3">
        <v>79.950076943932302</v>
      </c>
      <c r="V172" s="3">
        <v>99.554368974746879</v>
      </c>
      <c r="W172" s="3">
        <v>82.715557572130521</v>
      </c>
      <c r="X172" s="3">
        <f t="shared" si="24"/>
        <v>87.406667830269896</v>
      </c>
      <c r="Y172" s="3">
        <v>12.899683333270726</v>
      </c>
      <c r="Z172" s="3">
        <v>2.0121050118100339</v>
      </c>
      <c r="AA172" s="3">
        <v>1.7244885462489881</v>
      </c>
      <c r="AB172" s="3">
        <v>64.332049747616892</v>
      </c>
      <c r="AC172" s="3">
        <f t="shared" si="25"/>
        <v>20.242081659736659</v>
      </c>
      <c r="AD172" s="3">
        <v>0.61727591826471062</v>
      </c>
      <c r="AE172" s="87">
        <v>0</v>
      </c>
      <c r="AF172" s="3">
        <v>38.396624472573833</v>
      </c>
      <c r="AG172" s="3">
        <v>15.719081318692282</v>
      </c>
      <c r="AH172" s="3">
        <v>10.846443725819793</v>
      </c>
      <c r="AI172" s="3">
        <f t="shared" si="26"/>
        <v>13.115885087070122</v>
      </c>
      <c r="AJ172" s="65">
        <f t="shared" si="30"/>
        <v>51.137663622288166</v>
      </c>
      <c r="AK172" s="75">
        <f>AJ172*K值!M173</f>
        <v>53.948415505809194</v>
      </c>
      <c r="AL172" s="3">
        <v>50</v>
      </c>
      <c r="AM172" s="3">
        <v>0</v>
      </c>
      <c r="AN172" s="65">
        <f t="shared" si="31"/>
        <v>25</v>
      </c>
      <c r="AP172" s="76">
        <f t="shared" si="32"/>
        <v>53.917573566279465</v>
      </c>
    </row>
    <row r="173" spans="1:42" x14ac:dyDescent="0.25">
      <c r="A173" s="92" t="s">
        <v>183</v>
      </c>
      <c r="B173" s="3">
        <v>3</v>
      </c>
      <c r="C173" s="7">
        <v>65</v>
      </c>
      <c r="D173" s="7">
        <v>100</v>
      </c>
      <c r="E173" s="7">
        <v>100</v>
      </c>
      <c r="F173" s="7">
        <v>75</v>
      </c>
      <c r="G173" s="74">
        <f t="shared" si="27"/>
        <v>85</v>
      </c>
      <c r="H173" s="75">
        <f>G173*K值!M174</f>
        <v>89.671975471228947</v>
      </c>
      <c r="I173" s="7">
        <v>25</v>
      </c>
      <c r="J173" s="7">
        <v>60</v>
      </c>
      <c r="K173" s="7">
        <v>25</v>
      </c>
      <c r="L173" s="7">
        <v>25</v>
      </c>
      <c r="M173" s="74">
        <f t="shared" si="28"/>
        <v>33.75</v>
      </c>
      <c r="N173" s="7">
        <v>0</v>
      </c>
      <c r="O173" s="7">
        <v>35</v>
      </c>
      <c r="P173" s="7">
        <v>65</v>
      </c>
      <c r="Q173" s="7">
        <v>35</v>
      </c>
      <c r="R173" s="74">
        <f t="shared" si="29"/>
        <v>33.75</v>
      </c>
      <c r="S173" s="3">
        <v>64.050839850530167</v>
      </c>
      <c r="T173" s="3">
        <f t="shared" si="34"/>
        <v>64.050839850530167</v>
      </c>
      <c r="U173" s="3">
        <v>60.072942386499861</v>
      </c>
      <c r="V173" s="3">
        <v>79.393406728812451</v>
      </c>
      <c r="W173" s="3">
        <v>99.72121867051824</v>
      </c>
      <c r="X173" s="3">
        <f t="shared" si="24"/>
        <v>79.729189261943517</v>
      </c>
      <c r="Y173" s="3">
        <v>5.558031382025038</v>
      </c>
      <c r="Z173" s="3">
        <v>0.13552234677709127</v>
      </c>
      <c r="AA173" s="3">
        <v>14.020841658633076</v>
      </c>
      <c r="AB173" s="3">
        <v>29.917330399851561</v>
      </c>
      <c r="AC173" s="3">
        <f t="shared" si="25"/>
        <v>12.407931446821692</v>
      </c>
      <c r="AD173" s="3">
        <v>4.7347407016668868</v>
      </c>
      <c r="AE173" s="87">
        <v>100</v>
      </c>
      <c r="AF173" s="3">
        <v>64.978902953586498</v>
      </c>
      <c r="AG173" s="3">
        <v>11.789310989019212</v>
      </c>
      <c r="AH173" s="3">
        <v>45.555063648443131</v>
      </c>
      <c r="AI173" s="3">
        <f t="shared" si="26"/>
        <v>45.411603658543143</v>
      </c>
      <c r="AJ173" s="65">
        <f t="shared" si="30"/>
        <v>50.39989105445963</v>
      </c>
      <c r="AK173" s="75">
        <f>AJ173*K值!M174</f>
        <v>53.170091698683713</v>
      </c>
      <c r="AL173" s="3">
        <v>25</v>
      </c>
      <c r="AM173" s="3">
        <v>50</v>
      </c>
      <c r="AN173" s="65">
        <f t="shared" si="31"/>
        <v>37.5</v>
      </c>
      <c r="AP173" s="76">
        <f t="shared" si="32"/>
        <v>53.077431773719276</v>
      </c>
    </row>
    <row r="174" spans="1:42" x14ac:dyDescent="0.25">
      <c r="A174" s="92" t="s">
        <v>184</v>
      </c>
      <c r="B174" s="3">
        <v>3</v>
      </c>
      <c r="C174" s="7">
        <v>65</v>
      </c>
      <c r="D174" s="7">
        <v>100</v>
      </c>
      <c r="E174" s="7">
        <v>75</v>
      </c>
      <c r="F174" s="7">
        <v>75</v>
      </c>
      <c r="G174" s="74">
        <f t="shared" si="27"/>
        <v>78.75</v>
      </c>
      <c r="H174" s="75">
        <f>G174*K值!M175</f>
        <v>83.078447863050357</v>
      </c>
      <c r="I174" s="7">
        <v>75</v>
      </c>
      <c r="J174" s="7">
        <v>100</v>
      </c>
      <c r="K174" s="7">
        <v>25</v>
      </c>
      <c r="L174" s="7">
        <v>50</v>
      </c>
      <c r="M174" s="74">
        <f t="shared" si="28"/>
        <v>62.5</v>
      </c>
      <c r="N174" s="7">
        <v>100</v>
      </c>
      <c r="O174" s="7">
        <v>35</v>
      </c>
      <c r="P174" s="7">
        <v>65</v>
      </c>
      <c r="Q174" s="7">
        <v>65</v>
      </c>
      <c r="R174" s="74">
        <f t="shared" si="29"/>
        <v>66.25</v>
      </c>
      <c r="S174" s="3">
        <v>64.13695142307327</v>
      </c>
      <c r="T174" s="3">
        <f t="shared" si="34"/>
        <v>64.13695142307327</v>
      </c>
      <c r="U174" s="3">
        <v>69.433802525975182</v>
      </c>
      <c r="V174" s="3">
        <v>54.281330126445063</v>
      </c>
      <c r="W174" s="3">
        <v>89.754786141545097</v>
      </c>
      <c r="X174" s="3">
        <f t="shared" si="24"/>
        <v>71.156639597988445</v>
      </c>
      <c r="Y174" s="3" t="s">
        <v>335</v>
      </c>
      <c r="Z174" s="3">
        <v>1.1353079233513756</v>
      </c>
      <c r="AA174" s="3">
        <v>6.0731987933116534</v>
      </c>
      <c r="AB174" s="3">
        <v>41.682434476733995</v>
      </c>
      <c r="AC174" s="3">
        <f t="shared" si="25"/>
        <v>16.296980397799008</v>
      </c>
      <c r="AD174" s="3">
        <v>2.5888083194868852</v>
      </c>
      <c r="AE174" s="87">
        <v>0</v>
      </c>
      <c r="AF174" s="3">
        <v>4.2194092827004219</v>
      </c>
      <c r="AG174" s="3">
        <v>0</v>
      </c>
      <c r="AH174" s="3">
        <v>6.5078662354918757</v>
      </c>
      <c r="AI174" s="3">
        <f t="shared" si="26"/>
        <v>2.6632167675358369</v>
      </c>
      <c r="AJ174" s="65">
        <f t="shared" si="30"/>
        <v>38.563447046599144</v>
      </c>
      <c r="AK174" s="75">
        <f>AJ174*K值!M175</f>
        <v>40.683064442925591</v>
      </c>
      <c r="AL174" s="3">
        <v>50</v>
      </c>
      <c r="AM174" s="3">
        <v>50</v>
      </c>
      <c r="AN174" s="65">
        <f t="shared" si="31"/>
        <v>50</v>
      </c>
      <c r="AP174" s="76">
        <f t="shared" si="32"/>
        <v>57.013915349780305</v>
      </c>
    </row>
    <row r="175" spans="1:42" x14ac:dyDescent="0.25">
      <c r="A175" s="92" t="s">
        <v>185</v>
      </c>
      <c r="B175" s="3">
        <v>3</v>
      </c>
      <c r="C175" s="7">
        <v>65</v>
      </c>
      <c r="D175" s="7">
        <v>100</v>
      </c>
      <c r="E175" s="7">
        <v>100</v>
      </c>
      <c r="F175" s="7">
        <v>100</v>
      </c>
      <c r="G175" s="74">
        <f t="shared" si="27"/>
        <v>91.25</v>
      </c>
      <c r="H175" s="75">
        <f>G175*K值!M176</f>
        <v>96.265503079407551</v>
      </c>
      <c r="I175" s="7">
        <v>50</v>
      </c>
      <c r="J175" s="7">
        <v>60</v>
      </c>
      <c r="K175" s="7">
        <v>50</v>
      </c>
      <c r="L175" s="7">
        <v>25</v>
      </c>
      <c r="M175" s="74">
        <f t="shared" si="28"/>
        <v>46.25</v>
      </c>
      <c r="N175" s="7">
        <v>100</v>
      </c>
      <c r="O175" s="7">
        <v>100</v>
      </c>
      <c r="P175" s="7">
        <v>100</v>
      </c>
      <c r="Q175" s="7">
        <v>65</v>
      </c>
      <c r="R175" s="74">
        <f t="shared" si="29"/>
        <v>91.25</v>
      </c>
      <c r="S175" s="3">
        <v>58.788457179904896</v>
      </c>
      <c r="T175" s="3">
        <f t="shared" si="34"/>
        <v>58.788457179904896</v>
      </c>
      <c r="U175" s="3">
        <v>42.678318559322989</v>
      </c>
      <c r="V175" s="3">
        <v>84.959184568353194</v>
      </c>
      <c r="W175" s="3">
        <v>100</v>
      </c>
      <c r="X175" s="3">
        <f t="shared" si="24"/>
        <v>75.879167709225399</v>
      </c>
      <c r="Y175" s="3">
        <v>12.530700658813396</v>
      </c>
      <c r="Z175" s="3">
        <v>7.3698943861606132</v>
      </c>
      <c r="AA175" s="3">
        <v>9.5971536486900213</v>
      </c>
      <c r="AB175" s="3">
        <v>23.691209876746637</v>
      </c>
      <c r="AC175" s="3">
        <f t="shared" si="25"/>
        <v>13.297239642602667</v>
      </c>
      <c r="AD175" s="3">
        <v>4.4762661779175623</v>
      </c>
      <c r="AE175" s="87">
        <v>29.730185679386427</v>
      </c>
      <c r="AF175" s="3">
        <v>9.2827004219409286</v>
      </c>
      <c r="AG175" s="3">
        <v>7.8595406593461412</v>
      </c>
      <c r="AH175" s="3">
        <v>0</v>
      </c>
      <c r="AI175" s="3">
        <f t="shared" si="26"/>
        <v>10.269738587718212</v>
      </c>
      <c r="AJ175" s="65">
        <f t="shared" si="30"/>
        <v>39.558650779862802</v>
      </c>
      <c r="AK175" s="75">
        <f>AJ175*K值!M176</f>
        <v>41.732968969491402</v>
      </c>
      <c r="AL175" s="3">
        <v>50</v>
      </c>
      <c r="AM175" s="3">
        <v>50</v>
      </c>
      <c r="AN175" s="65">
        <f t="shared" si="31"/>
        <v>50</v>
      </c>
      <c r="AP175" s="76">
        <f t="shared" si="32"/>
        <v>59.321288203678066</v>
      </c>
    </row>
    <row r="176" spans="1:42" x14ac:dyDescent="0.25">
      <c r="A176" s="92" t="s">
        <v>186</v>
      </c>
      <c r="B176" s="3">
        <v>2</v>
      </c>
      <c r="C176" s="7">
        <v>65</v>
      </c>
      <c r="D176" s="7">
        <v>40</v>
      </c>
      <c r="E176" s="7">
        <v>45</v>
      </c>
      <c r="F176" s="7">
        <v>60</v>
      </c>
      <c r="G176" s="74">
        <f t="shared" si="27"/>
        <v>52.5</v>
      </c>
      <c r="H176" s="75">
        <f>G176*K值!M177</f>
        <v>55.385631908700233</v>
      </c>
      <c r="I176" s="7">
        <v>0</v>
      </c>
      <c r="J176" s="7">
        <v>40</v>
      </c>
      <c r="K176" s="7">
        <v>25</v>
      </c>
      <c r="L176" s="7">
        <v>25</v>
      </c>
      <c r="M176" s="74">
        <f t="shared" si="28"/>
        <v>22.5</v>
      </c>
      <c r="N176" s="7">
        <v>35</v>
      </c>
      <c r="O176" s="7">
        <v>35</v>
      </c>
      <c r="P176" s="7">
        <v>35</v>
      </c>
      <c r="Q176" s="7">
        <v>0</v>
      </c>
      <c r="R176" s="74">
        <f t="shared" si="29"/>
        <v>26.25</v>
      </c>
      <c r="S176" s="3">
        <v>45.393916431200495</v>
      </c>
      <c r="T176" s="3">
        <f t="shared" si="34"/>
        <v>45.393916431200495</v>
      </c>
      <c r="U176" s="3">
        <v>56.678874473105637</v>
      </c>
      <c r="V176" s="3">
        <v>36.234810262401304</v>
      </c>
      <c r="W176" s="3">
        <v>97.839444696516296</v>
      </c>
      <c r="X176" s="3">
        <f t="shared" si="24"/>
        <v>63.584376477341074</v>
      </c>
      <c r="Y176" s="3">
        <v>14.989767917821387</v>
      </c>
      <c r="Z176" s="3">
        <v>0.7253390429088592</v>
      </c>
      <c r="AA176" s="3">
        <v>26.76706134829951</v>
      </c>
      <c r="AB176" s="3">
        <v>72.912430916937012</v>
      </c>
      <c r="AC176" s="3">
        <f t="shared" si="25"/>
        <v>28.848649806491693</v>
      </c>
      <c r="AD176" s="3">
        <v>36.341142985432526</v>
      </c>
      <c r="AE176" s="87">
        <v>0</v>
      </c>
      <c r="AF176" s="3">
        <v>46.835443037974684</v>
      </c>
      <c r="AG176" s="3">
        <v>35.367932967057634</v>
      </c>
      <c r="AH176" s="3">
        <v>100</v>
      </c>
      <c r="AI176" s="3">
        <f t="shared" si="26"/>
        <v>43.708903798092969</v>
      </c>
      <c r="AJ176" s="65">
        <f t="shared" si="30"/>
        <v>45.383961628281554</v>
      </c>
      <c r="AK176" s="75">
        <f>AJ176*K值!M177</f>
        <v>47.878464634334819</v>
      </c>
      <c r="AL176" s="88">
        <v>50</v>
      </c>
      <c r="AM176" s="3">
        <v>0</v>
      </c>
      <c r="AN176" s="65">
        <f t="shared" si="31"/>
        <v>25</v>
      </c>
      <c r="AP176" s="76">
        <f t="shared" si="32"/>
        <v>39.853512235473971</v>
      </c>
    </row>
    <row r="177" spans="1:42" x14ac:dyDescent="0.25">
      <c r="A177" s="92" t="s">
        <v>187</v>
      </c>
      <c r="B177" s="3">
        <v>4</v>
      </c>
      <c r="C177" s="7">
        <v>65</v>
      </c>
      <c r="D177" s="7">
        <v>60</v>
      </c>
      <c r="E177" s="7">
        <v>60</v>
      </c>
      <c r="F177" s="7">
        <v>45</v>
      </c>
      <c r="G177" s="74">
        <f t="shared" si="27"/>
        <v>57.5</v>
      </c>
      <c r="H177" s="75">
        <f>G177*K值!M178</f>
        <v>60.660453995243117</v>
      </c>
      <c r="I177" s="7">
        <v>0</v>
      </c>
      <c r="J177" s="7">
        <v>60</v>
      </c>
      <c r="K177" s="7">
        <v>25</v>
      </c>
      <c r="L177" s="7">
        <v>50</v>
      </c>
      <c r="M177" s="74">
        <f t="shared" si="28"/>
        <v>33.75</v>
      </c>
      <c r="N177" s="7">
        <v>35</v>
      </c>
      <c r="O177" s="7">
        <v>100</v>
      </c>
      <c r="P177" s="7">
        <v>100</v>
      </c>
      <c r="Q177" s="7">
        <v>35</v>
      </c>
      <c r="R177" s="74">
        <f t="shared" si="29"/>
        <v>67.5</v>
      </c>
      <c r="S177" s="3">
        <v>82.251244530432643</v>
      </c>
      <c r="T177" s="3">
        <f t="shared" si="34"/>
        <v>82.251244530432643</v>
      </c>
      <c r="U177" s="3">
        <v>69.318859368208749</v>
      </c>
      <c r="V177" s="3">
        <v>66.285707951539536</v>
      </c>
      <c r="W177" s="3">
        <v>95.086479067883872</v>
      </c>
      <c r="X177" s="3">
        <f t="shared" si="24"/>
        <v>76.897015462544061</v>
      </c>
      <c r="Y177" s="3">
        <v>4.4388247980398461</v>
      </c>
      <c r="Z177" s="3">
        <v>0.21745664506407603</v>
      </c>
      <c r="AA177" s="3">
        <v>0.59982210304312633</v>
      </c>
      <c r="AB177" s="3">
        <v>23.044598069922717</v>
      </c>
      <c r="AC177" s="3">
        <f t="shared" si="25"/>
        <v>7.0751754040174415</v>
      </c>
      <c r="AD177" s="3">
        <v>0.75010744497990156</v>
      </c>
      <c r="AE177" s="87">
        <v>0</v>
      </c>
      <c r="AF177" s="3">
        <v>49.367088607594937</v>
      </c>
      <c r="AG177" s="3">
        <v>19.648851648365355</v>
      </c>
      <c r="AH177" s="3">
        <v>52.062929883935006</v>
      </c>
      <c r="AI177" s="3">
        <f t="shared" si="26"/>
        <v>24.365795516975037</v>
      </c>
      <c r="AJ177" s="65">
        <f t="shared" si="30"/>
        <v>47.647307728492294</v>
      </c>
      <c r="AK177" s="75">
        <f>AJ177*K值!M178</f>
        <v>50.266214234111281</v>
      </c>
      <c r="AL177" s="3">
        <v>0</v>
      </c>
      <c r="AM177" s="3">
        <v>0</v>
      </c>
      <c r="AN177" s="65">
        <f t="shared" si="31"/>
        <v>0</v>
      </c>
      <c r="AP177" s="76">
        <f t="shared" si="32"/>
        <v>45.738576492693142</v>
      </c>
    </row>
    <row r="178" spans="1:42" x14ac:dyDescent="0.25">
      <c r="A178" s="92" t="s">
        <v>188</v>
      </c>
      <c r="B178" s="3">
        <v>3</v>
      </c>
      <c r="C178" s="7">
        <v>65</v>
      </c>
      <c r="D178" s="7">
        <v>60</v>
      </c>
      <c r="E178" s="7">
        <v>100</v>
      </c>
      <c r="F178" s="7">
        <v>0</v>
      </c>
      <c r="G178" s="74">
        <f t="shared" si="27"/>
        <v>56.25</v>
      </c>
      <c r="H178" s="75">
        <f>G178*K值!M179</f>
        <v>59.341748473607396</v>
      </c>
      <c r="I178" s="7">
        <v>0</v>
      </c>
      <c r="J178" s="7">
        <v>100</v>
      </c>
      <c r="K178" s="7">
        <v>25</v>
      </c>
      <c r="L178" s="7">
        <v>0</v>
      </c>
      <c r="M178" s="74">
        <f t="shared" si="28"/>
        <v>31.25</v>
      </c>
      <c r="N178" s="7">
        <v>65</v>
      </c>
      <c r="O178" s="7">
        <v>65</v>
      </c>
      <c r="P178" s="7">
        <v>35</v>
      </c>
      <c r="Q178" s="7">
        <v>65</v>
      </c>
      <c r="R178" s="74">
        <f t="shared" si="29"/>
        <v>57.5</v>
      </c>
      <c r="S178" s="3">
        <v>84.40658992359991</v>
      </c>
      <c r="T178" s="3">
        <f t="shared" si="34"/>
        <v>84.40658992359991</v>
      </c>
      <c r="U178" s="3">
        <v>73.030372355762893</v>
      </c>
      <c r="V178" s="3">
        <v>66.746705563870364</v>
      </c>
      <c r="W178" s="3">
        <v>99.825761669073913</v>
      </c>
      <c r="X178" s="3">
        <f t="shared" si="24"/>
        <v>79.867613196235723</v>
      </c>
      <c r="Y178" s="3">
        <v>2.5534581757296326</v>
      </c>
      <c r="Z178" s="3">
        <v>0.49975860056420396</v>
      </c>
      <c r="AA178" s="3">
        <v>1.049688680325471</v>
      </c>
      <c r="AB178" s="3">
        <v>0</v>
      </c>
      <c r="AC178" s="3">
        <f t="shared" si="25"/>
        <v>1.0257263641548269</v>
      </c>
      <c r="AD178" s="3">
        <v>0.50319707767401733</v>
      </c>
      <c r="AE178" s="87">
        <v>0</v>
      </c>
      <c r="AF178" s="3">
        <v>17.721518987341771</v>
      </c>
      <c r="AG178" s="3">
        <v>11.789310989019212</v>
      </c>
      <c r="AH178" s="3">
        <v>21.692887451639585</v>
      </c>
      <c r="AI178" s="3">
        <f t="shared" si="26"/>
        <v>10.341382901134917</v>
      </c>
      <c r="AJ178" s="65">
        <f t="shared" si="30"/>
        <v>43.910328096281347</v>
      </c>
      <c r="AK178" s="75">
        <f>AJ178*K值!M179</f>
        <v>46.323833693921841</v>
      </c>
      <c r="AL178" s="3">
        <v>25</v>
      </c>
      <c r="AM178" s="3">
        <v>50</v>
      </c>
      <c r="AN178" s="65">
        <f t="shared" si="31"/>
        <v>37.5</v>
      </c>
      <c r="AP178" s="76">
        <f t="shared" si="32"/>
        <v>46.147883172290221</v>
      </c>
    </row>
    <row r="179" spans="1:42" x14ac:dyDescent="0.25">
      <c r="A179" s="92" t="s">
        <v>189</v>
      </c>
      <c r="B179" s="3">
        <v>2</v>
      </c>
      <c r="C179" s="7">
        <v>100</v>
      </c>
      <c r="D179" s="7">
        <v>100</v>
      </c>
      <c r="E179" s="7">
        <v>60</v>
      </c>
      <c r="F179" s="7">
        <v>60</v>
      </c>
      <c r="G179" s="74">
        <f t="shared" si="27"/>
        <v>80</v>
      </c>
      <c r="H179" s="75">
        <f>G179*K值!M180</f>
        <v>84.397153384686078</v>
      </c>
      <c r="I179" s="7">
        <v>100</v>
      </c>
      <c r="J179" s="7">
        <v>100</v>
      </c>
      <c r="K179" s="7">
        <v>25</v>
      </c>
      <c r="L179" s="7">
        <v>50</v>
      </c>
      <c r="M179" s="74">
        <f t="shared" si="28"/>
        <v>68.75</v>
      </c>
      <c r="N179" s="7">
        <v>100</v>
      </c>
      <c r="O179" s="7">
        <v>35</v>
      </c>
      <c r="P179" s="7">
        <v>100</v>
      </c>
      <c r="Q179" s="7">
        <v>35</v>
      </c>
      <c r="R179" s="74">
        <f t="shared" si="29"/>
        <v>67.5</v>
      </c>
      <c r="S179" s="3">
        <v>43.773267724963233</v>
      </c>
      <c r="T179" s="3">
        <f t="shared" si="34"/>
        <v>43.773267724963233</v>
      </c>
      <c r="U179" s="3">
        <v>81.890773322421722</v>
      </c>
      <c r="V179" s="3">
        <v>67.850026516048771</v>
      </c>
      <c r="W179" s="3">
        <v>97.177339038997118</v>
      </c>
      <c r="X179" s="3">
        <f t="shared" si="24"/>
        <v>82.306046292489199</v>
      </c>
      <c r="Y179" s="3" t="s">
        <v>335</v>
      </c>
      <c r="Z179" s="3">
        <v>0.31006793406267918</v>
      </c>
      <c r="AA179" s="3">
        <v>13.570975081350733</v>
      </c>
      <c r="AB179" s="3">
        <v>30.997970451046868</v>
      </c>
      <c r="AC179" s="3">
        <f t="shared" si="25"/>
        <v>14.95967115548676</v>
      </c>
      <c r="AD179" s="3">
        <v>5.3676438583686785</v>
      </c>
      <c r="AE179" s="87">
        <v>0</v>
      </c>
      <c r="AF179" s="3">
        <v>73.839662447257382</v>
      </c>
      <c r="AG179" s="3">
        <v>35.367932967057634</v>
      </c>
      <c r="AH179" s="3">
        <v>19.523598706475628</v>
      </c>
      <c r="AI179" s="3">
        <f t="shared" si="26"/>
        <v>26.819767595831866</v>
      </c>
      <c r="AJ179" s="65">
        <f t="shared" si="30"/>
        <v>41.964688192192767</v>
      </c>
      <c r="AK179" s="75">
        <f>AJ179*K值!M180</f>
        <v>44.271252826212717</v>
      </c>
      <c r="AL179" s="3">
        <v>50</v>
      </c>
      <c r="AM179" s="3">
        <v>50</v>
      </c>
      <c r="AN179" s="65">
        <f t="shared" si="31"/>
        <v>50</v>
      </c>
      <c r="AP179" s="76">
        <f t="shared" si="32"/>
        <v>60.087931807422308</v>
      </c>
    </row>
    <row r="180" spans="1:42" x14ac:dyDescent="0.25">
      <c r="A180" s="92" t="s">
        <v>190</v>
      </c>
      <c r="B180" s="3">
        <v>3</v>
      </c>
      <c r="C180" s="7">
        <v>65</v>
      </c>
      <c r="D180" s="7">
        <v>100</v>
      </c>
      <c r="E180" s="7">
        <v>75</v>
      </c>
      <c r="F180" s="7">
        <v>45</v>
      </c>
      <c r="G180" s="74">
        <f t="shared" si="27"/>
        <v>71.25</v>
      </c>
      <c r="H180" s="75">
        <f>G180*K值!M181</f>
        <v>75.166214733236032</v>
      </c>
      <c r="I180" s="7">
        <v>25</v>
      </c>
      <c r="J180" s="7">
        <v>40</v>
      </c>
      <c r="K180" s="7">
        <v>25</v>
      </c>
      <c r="L180" s="7">
        <v>0</v>
      </c>
      <c r="M180" s="74">
        <f t="shared" si="28"/>
        <v>22.5</v>
      </c>
      <c r="N180" s="7">
        <v>35</v>
      </c>
      <c r="O180" s="7">
        <v>35</v>
      </c>
      <c r="P180" s="7">
        <v>100</v>
      </c>
      <c r="Q180" s="7">
        <v>65</v>
      </c>
      <c r="R180" s="74">
        <f t="shared" si="29"/>
        <v>58.75</v>
      </c>
      <c r="S180" s="3">
        <v>70.111091128532806</v>
      </c>
      <c r="T180" s="3">
        <f t="shared" si="34"/>
        <v>70.111091128532806</v>
      </c>
      <c r="U180" s="3">
        <v>61.68259360449828</v>
      </c>
      <c r="V180" s="3">
        <v>23.382196830618117</v>
      </c>
      <c r="W180" s="3">
        <v>98.850027015887719</v>
      </c>
      <c r="X180" s="3">
        <f t="shared" si="24"/>
        <v>61.304939150334711</v>
      </c>
      <c r="Y180" s="3">
        <v>3.3061337973801344</v>
      </c>
      <c r="Z180" s="3" t="s">
        <v>335</v>
      </c>
      <c r="AA180" s="3">
        <v>18.819418482978087</v>
      </c>
      <c r="AB180" s="3">
        <v>40.243511325649244</v>
      </c>
      <c r="AC180" s="3">
        <f t="shared" si="25"/>
        <v>20.789687868669155</v>
      </c>
      <c r="AD180" s="3">
        <v>2.1646850683044989</v>
      </c>
      <c r="AE180" s="87">
        <v>0</v>
      </c>
      <c r="AF180" s="3">
        <v>11.814345991561181</v>
      </c>
      <c r="AG180" s="3">
        <v>55.016784615422999</v>
      </c>
      <c r="AH180" s="3">
        <v>10.846443725819793</v>
      </c>
      <c r="AI180" s="3">
        <f t="shared" si="26"/>
        <v>15.968451880221696</v>
      </c>
      <c r="AJ180" s="65">
        <f t="shared" si="30"/>
        <v>42.043542506939588</v>
      </c>
      <c r="AK180" s="75">
        <f>AJ180*K值!M181</f>
        <v>44.354441322421863</v>
      </c>
      <c r="AL180" s="3">
        <v>50</v>
      </c>
      <c r="AM180" s="3">
        <v>0</v>
      </c>
      <c r="AN180" s="65">
        <f t="shared" si="31"/>
        <v>25</v>
      </c>
      <c r="AP180" s="76">
        <f t="shared" si="32"/>
        <v>45.650019475615949</v>
      </c>
    </row>
    <row r="181" spans="1:42" x14ac:dyDescent="0.25">
      <c r="A181" s="92" t="s">
        <v>191</v>
      </c>
      <c r="B181" s="3">
        <v>3</v>
      </c>
      <c r="C181" s="7">
        <v>65</v>
      </c>
      <c r="D181" s="7">
        <v>80</v>
      </c>
      <c r="E181" s="7">
        <v>100</v>
      </c>
      <c r="F181" s="7">
        <v>75</v>
      </c>
      <c r="G181" s="74">
        <f t="shared" si="27"/>
        <v>80</v>
      </c>
      <c r="H181" s="75">
        <f>G181*K值!M182</f>
        <v>84.397153384686078</v>
      </c>
      <c r="I181" s="7">
        <v>0</v>
      </c>
      <c r="J181" s="7">
        <v>40</v>
      </c>
      <c r="K181" s="7">
        <v>25</v>
      </c>
      <c r="L181" s="7">
        <v>0</v>
      </c>
      <c r="M181" s="74">
        <f t="shared" si="28"/>
        <v>16.25</v>
      </c>
      <c r="N181" s="7">
        <v>35</v>
      </c>
      <c r="O181" s="7">
        <v>35</v>
      </c>
      <c r="P181" s="7">
        <v>65</v>
      </c>
      <c r="Q181" s="7">
        <v>0</v>
      </c>
      <c r="R181" s="74">
        <f t="shared" si="29"/>
        <v>33.75</v>
      </c>
      <c r="S181" s="3">
        <v>73.967956155628173</v>
      </c>
      <c r="T181" s="3">
        <f t="shared" si="34"/>
        <v>73.967956155628173</v>
      </c>
      <c r="U181" s="3">
        <v>59.56746022517622</v>
      </c>
      <c r="V181" s="3">
        <v>31.821526453687625</v>
      </c>
      <c r="W181" s="3">
        <v>38.633259847826203</v>
      </c>
      <c r="X181" s="3">
        <f t="shared" si="24"/>
        <v>43.34074884223002</v>
      </c>
      <c r="Y181" s="3">
        <v>1.8387840919800522</v>
      </c>
      <c r="Z181" s="3">
        <v>0.71786805076689808</v>
      </c>
      <c r="AA181" s="3">
        <v>20.543907029227075</v>
      </c>
      <c r="AB181" s="3">
        <v>83.819248381701556</v>
      </c>
      <c r="AC181" s="3">
        <f t="shared" si="25"/>
        <v>26.729951888418896</v>
      </c>
      <c r="AD181" s="3">
        <v>3.8777429457773493</v>
      </c>
      <c r="AE181" s="87">
        <v>0</v>
      </c>
      <c r="AF181" s="3">
        <v>2.9535864978902953</v>
      </c>
      <c r="AG181" s="3">
        <v>3.9297703296730706</v>
      </c>
      <c r="AH181" s="3">
        <v>0</v>
      </c>
      <c r="AI181" s="3">
        <f t="shared" si="26"/>
        <v>2.1522199546681433</v>
      </c>
      <c r="AJ181" s="65">
        <f t="shared" si="30"/>
        <v>36.547719210236309</v>
      </c>
      <c r="AK181" s="75">
        <f>AJ181*K值!M182</f>
        <v>38.556543300584394</v>
      </c>
      <c r="AL181" s="3">
        <v>0</v>
      </c>
      <c r="AM181" s="3">
        <v>0</v>
      </c>
      <c r="AN181" s="65">
        <f t="shared" si="31"/>
        <v>0</v>
      </c>
      <c r="AP181" s="76">
        <f t="shared" si="32"/>
        <v>38.927047997170973</v>
      </c>
    </row>
    <row r="182" spans="1:42" x14ac:dyDescent="0.25">
      <c r="A182" s="92" t="s">
        <v>192</v>
      </c>
      <c r="B182" s="3">
        <v>3</v>
      </c>
      <c r="C182" s="7">
        <v>35</v>
      </c>
      <c r="D182" s="7">
        <v>100</v>
      </c>
      <c r="E182" s="7">
        <v>100</v>
      </c>
      <c r="F182" s="7">
        <v>100</v>
      </c>
      <c r="G182" s="74">
        <f t="shared" si="27"/>
        <v>83.75</v>
      </c>
      <c r="H182" s="75">
        <f>G182*K值!M183</f>
        <v>88.353269949593241</v>
      </c>
      <c r="I182" s="7">
        <v>0</v>
      </c>
      <c r="J182" s="7">
        <v>40</v>
      </c>
      <c r="K182" s="7">
        <v>0</v>
      </c>
      <c r="L182" s="7">
        <v>0</v>
      </c>
      <c r="M182" s="74">
        <f t="shared" si="28"/>
        <v>10</v>
      </c>
      <c r="N182" s="7">
        <v>0</v>
      </c>
      <c r="O182" s="7">
        <v>0</v>
      </c>
      <c r="P182" s="7">
        <v>35</v>
      </c>
      <c r="Q182" s="7">
        <v>0</v>
      </c>
      <c r="R182" s="74">
        <f t="shared" si="29"/>
        <v>8.75</v>
      </c>
      <c r="S182" s="3">
        <v>74.357309426517645</v>
      </c>
      <c r="T182" s="3">
        <f t="shared" si="34"/>
        <v>74.357309426517645</v>
      </c>
      <c r="U182" s="3">
        <v>59.845145392712077</v>
      </c>
      <c r="V182" s="3">
        <v>38.180220186437367</v>
      </c>
      <c r="W182" s="3">
        <v>95.086479067883872</v>
      </c>
      <c r="X182" s="3">
        <f t="shared" si="24"/>
        <v>64.370614882344441</v>
      </c>
      <c r="Y182" s="3">
        <v>4.2537205327805205</v>
      </c>
      <c r="Z182" s="3">
        <v>0.35889775843130356</v>
      </c>
      <c r="AA182" s="3">
        <v>9.5221758858096308</v>
      </c>
      <c r="AB182" s="3">
        <v>11.955440678270088</v>
      </c>
      <c r="AC182" s="3">
        <f t="shared" si="25"/>
        <v>6.5225587138228853</v>
      </c>
      <c r="AD182" s="3">
        <v>2.9044785359159273</v>
      </c>
      <c r="AE182" s="87">
        <v>29.730185679386427</v>
      </c>
      <c r="AF182" s="3">
        <v>58.649789029535867</v>
      </c>
      <c r="AG182" s="3">
        <v>35.367932967057634</v>
      </c>
      <c r="AH182" s="3">
        <v>21.692887451639585</v>
      </c>
      <c r="AI182" s="3">
        <f t="shared" si="26"/>
        <v>29.669054732707089</v>
      </c>
      <c r="AJ182" s="65">
        <f t="shared" si="30"/>
        <v>43.729884438848018</v>
      </c>
      <c r="AK182" s="75">
        <f>AJ182*K值!M183</f>
        <v>46.133472056000663</v>
      </c>
      <c r="AL182" s="3">
        <v>0</v>
      </c>
      <c r="AM182" s="3">
        <v>0</v>
      </c>
      <c r="AN182" s="65">
        <f t="shared" si="31"/>
        <v>0</v>
      </c>
      <c r="AP182" s="76">
        <f t="shared" si="32"/>
        <v>38.999042812318919</v>
      </c>
    </row>
    <row r="183" spans="1:42" x14ac:dyDescent="0.25">
      <c r="A183" s="92" t="s">
        <v>193</v>
      </c>
      <c r="B183" s="3">
        <v>3</v>
      </c>
      <c r="C183" s="7">
        <v>65</v>
      </c>
      <c r="D183" s="7">
        <v>100</v>
      </c>
      <c r="E183" s="7">
        <v>100</v>
      </c>
      <c r="F183" s="7">
        <v>100</v>
      </c>
      <c r="G183" s="74">
        <f t="shared" si="27"/>
        <v>91.25</v>
      </c>
      <c r="H183" s="75">
        <f>G183*K值!M184</f>
        <v>96.265503079407551</v>
      </c>
      <c r="I183" s="7">
        <v>50</v>
      </c>
      <c r="J183" s="7">
        <v>40</v>
      </c>
      <c r="K183" s="7">
        <v>50</v>
      </c>
      <c r="L183" s="7">
        <v>50</v>
      </c>
      <c r="M183" s="74">
        <f t="shared" si="28"/>
        <v>47.5</v>
      </c>
      <c r="N183" s="7">
        <v>100</v>
      </c>
      <c r="O183" s="7">
        <v>35</v>
      </c>
      <c r="P183" s="7">
        <v>100</v>
      </c>
      <c r="Q183" s="7">
        <v>0</v>
      </c>
      <c r="R183" s="74">
        <f t="shared" si="29"/>
        <v>58.75</v>
      </c>
      <c r="S183" s="3">
        <v>68.066324497866205</v>
      </c>
      <c r="T183" s="3">
        <f t="shared" si="34"/>
        <v>68.066324497866205</v>
      </c>
      <c r="U183" s="3">
        <v>69.783815282747199</v>
      </c>
      <c r="V183" s="3">
        <v>58.633147586847969</v>
      </c>
      <c r="W183" s="3">
        <v>91.009302124213036</v>
      </c>
      <c r="X183" s="3">
        <f t="shared" si="24"/>
        <v>73.142088331269406</v>
      </c>
      <c r="Y183" s="3">
        <v>6.6233002993121488</v>
      </c>
      <c r="Z183" s="3" t="s">
        <v>335</v>
      </c>
      <c r="AA183" s="3">
        <v>3.3739993296175856</v>
      </c>
      <c r="AB183" s="3">
        <v>40.584471264809949</v>
      </c>
      <c r="AC183" s="3">
        <f t="shared" si="25"/>
        <v>16.86059029791323</v>
      </c>
      <c r="AD183" s="3">
        <v>1.548659329114755</v>
      </c>
      <c r="AE183" s="87">
        <v>14.865092839693213</v>
      </c>
      <c r="AF183" s="3">
        <v>82.278481012658233</v>
      </c>
      <c r="AG183" s="3">
        <v>58.946554945096061</v>
      </c>
      <c r="AH183" s="3">
        <v>32.539331177459381</v>
      </c>
      <c r="AI183" s="3">
        <f t="shared" si="26"/>
        <v>38.035623860804336</v>
      </c>
      <c r="AJ183" s="65">
        <f t="shared" si="30"/>
        <v>49.026156746963295</v>
      </c>
      <c r="AK183" s="75">
        <f>AJ183*K值!M184</f>
        <v>51.720850885439042</v>
      </c>
      <c r="AL183" s="3">
        <v>50</v>
      </c>
      <c r="AM183" s="3">
        <v>0</v>
      </c>
      <c r="AN183" s="65">
        <f t="shared" si="31"/>
        <v>25</v>
      </c>
      <c r="AP183" s="76">
        <f t="shared" si="32"/>
        <v>57.81644097005713</v>
      </c>
    </row>
    <row r="184" spans="1:42" x14ac:dyDescent="0.25">
      <c r="A184" s="92" t="s">
        <v>194</v>
      </c>
      <c r="B184" s="3">
        <v>2</v>
      </c>
      <c r="C184" s="7">
        <v>65</v>
      </c>
      <c r="D184" s="7">
        <v>100</v>
      </c>
      <c r="E184" s="7">
        <v>60</v>
      </c>
      <c r="F184" s="7">
        <v>15</v>
      </c>
      <c r="G184" s="74">
        <f t="shared" si="27"/>
        <v>60</v>
      </c>
      <c r="H184" s="75">
        <f>G184*K值!M185</f>
        <v>63.297865038514558</v>
      </c>
      <c r="I184" s="7">
        <v>0</v>
      </c>
      <c r="J184" s="7">
        <v>40</v>
      </c>
      <c r="K184" s="7">
        <v>0</v>
      </c>
      <c r="L184" s="7">
        <v>0</v>
      </c>
      <c r="M184" s="74">
        <f t="shared" si="28"/>
        <v>10</v>
      </c>
      <c r="N184" s="7">
        <v>0</v>
      </c>
      <c r="O184" s="7">
        <v>0</v>
      </c>
      <c r="P184" s="7">
        <v>35</v>
      </c>
      <c r="Q184" s="7">
        <v>0</v>
      </c>
      <c r="R184" s="74">
        <f t="shared" si="29"/>
        <v>8.75</v>
      </c>
      <c r="S184" s="3">
        <v>49.287704676806584</v>
      </c>
      <c r="T184" s="3">
        <f t="shared" si="34"/>
        <v>49.287704676806584</v>
      </c>
      <c r="U184" s="3">
        <v>52.515479895873717</v>
      </c>
      <c r="V184" s="3">
        <v>88.373640217016785</v>
      </c>
      <c r="W184" s="3">
        <v>99.477285007221667</v>
      </c>
      <c r="X184" s="3">
        <f t="shared" si="24"/>
        <v>80.122135040037392</v>
      </c>
      <c r="Y184" s="3">
        <v>5.9221106322370884</v>
      </c>
      <c r="Z184" s="3">
        <v>0.78264082729865914</v>
      </c>
      <c r="AA184" s="3">
        <v>0.8997331545646895</v>
      </c>
      <c r="AB184" s="3">
        <v>17.537922453799688</v>
      </c>
      <c r="AC184" s="3">
        <f t="shared" si="25"/>
        <v>6.2856017669750308</v>
      </c>
      <c r="AD184" s="3">
        <v>0.79605152598492057</v>
      </c>
      <c r="AE184" s="87">
        <v>0</v>
      </c>
      <c r="AF184" s="3">
        <v>28.691983122362867</v>
      </c>
      <c r="AG184" s="3">
        <v>0</v>
      </c>
      <c r="AH184" s="3">
        <v>36.877908667787295</v>
      </c>
      <c r="AI184" s="3">
        <f t="shared" si="26"/>
        <v>13.273188663227018</v>
      </c>
      <c r="AJ184" s="65">
        <f t="shared" si="30"/>
        <v>37.242157536761503</v>
      </c>
      <c r="AK184" s="75">
        <f>AJ184*K值!M185</f>
        <v>39.28915102508379</v>
      </c>
      <c r="AL184" s="3">
        <v>0</v>
      </c>
      <c r="AM184" s="3">
        <v>0</v>
      </c>
      <c r="AN184" s="65">
        <f t="shared" si="31"/>
        <v>0</v>
      </c>
      <c r="AP184" s="76">
        <f t="shared" si="32"/>
        <v>31.250233417736428</v>
      </c>
    </row>
    <row r="185" spans="1:42" x14ac:dyDescent="0.25">
      <c r="A185" s="92" t="s">
        <v>195</v>
      </c>
      <c r="B185" s="3">
        <v>4</v>
      </c>
      <c r="C185" s="7">
        <v>65</v>
      </c>
      <c r="D185" s="7">
        <v>100</v>
      </c>
      <c r="E185" s="7">
        <v>100</v>
      </c>
      <c r="F185" s="7">
        <v>60</v>
      </c>
      <c r="G185" s="74">
        <f t="shared" si="27"/>
        <v>81.25</v>
      </c>
      <c r="H185" s="75">
        <f>G185*K值!M186</f>
        <v>85.715858906321799</v>
      </c>
      <c r="I185" s="7">
        <v>25</v>
      </c>
      <c r="J185" s="7">
        <v>60</v>
      </c>
      <c r="K185" s="7">
        <v>75</v>
      </c>
      <c r="L185" s="7">
        <v>50</v>
      </c>
      <c r="M185" s="74">
        <f t="shared" si="28"/>
        <v>52.5</v>
      </c>
      <c r="N185" s="7">
        <v>100</v>
      </c>
      <c r="O185" s="7">
        <v>65</v>
      </c>
      <c r="P185" s="7">
        <v>65</v>
      </c>
      <c r="Q185" s="7">
        <v>35</v>
      </c>
      <c r="R185" s="74">
        <f t="shared" si="29"/>
        <v>66.25</v>
      </c>
      <c r="S185" s="3">
        <v>71.25526928173683</v>
      </c>
      <c r="T185" s="3">
        <f t="shared" si="34"/>
        <v>71.25526928173683</v>
      </c>
      <c r="U185" s="3">
        <v>46.199678399508535</v>
      </c>
      <c r="V185" s="3">
        <v>53.156495952357865</v>
      </c>
      <c r="W185" s="3">
        <v>100</v>
      </c>
      <c r="X185" s="3">
        <f t="shared" si="24"/>
        <v>66.4520581172888</v>
      </c>
      <c r="Y185" s="3" t="s">
        <v>335</v>
      </c>
      <c r="Z185" s="3">
        <v>0.38827398966911231</v>
      </c>
      <c r="AA185" s="3">
        <v>11.546575483580181</v>
      </c>
      <c r="AB185" s="3">
        <v>42.241976389704575</v>
      </c>
      <c r="AC185" s="3">
        <f t="shared" si="25"/>
        <v>18.058941954317955</v>
      </c>
      <c r="AD185" s="3">
        <v>7.841748247727387</v>
      </c>
      <c r="AE185" s="87">
        <v>14.865092839693213</v>
      </c>
      <c r="AF185" s="3">
        <v>61.181434599156113</v>
      </c>
      <c r="AG185" s="3">
        <v>27.5083923077115</v>
      </c>
      <c r="AH185" s="3">
        <v>15.185021216147712</v>
      </c>
      <c r="AI185" s="3">
        <f t="shared" si="26"/>
        <v>25.316337842087187</v>
      </c>
      <c r="AJ185" s="65">
        <f t="shared" si="30"/>
        <v>45.270651798857699</v>
      </c>
      <c r="AK185" s="75">
        <f>AJ185*K值!M186</f>
        <v>47.758926796161347</v>
      </c>
      <c r="AL185" s="3">
        <v>50</v>
      </c>
      <c r="AM185" s="3">
        <v>0</v>
      </c>
      <c r="AN185" s="65">
        <f t="shared" si="31"/>
        <v>25</v>
      </c>
      <c r="AP185" s="76">
        <f t="shared" si="32"/>
        <v>55.871742499728896</v>
      </c>
    </row>
    <row r="186" spans="1:42" x14ac:dyDescent="0.25">
      <c r="A186" s="92" t="s">
        <v>196</v>
      </c>
      <c r="B186" s="3">
        <v>3</v>
      </c>
      <c r="C186" s="7">
        <v>65</v>
      </c>
      <c r="D186" s="7">
        <v>100</v>
      </c>
      <c r="E186" s="7">
        <v>75</v>
      </c>
      <c r="F186" s="7">
        <v>45</v>
      </c>
      <c r="G186" s="74">
        <f t="shared" si="27"/>
        <v>71.25</v>
      </c>
      <c r="H186" s="75">
        <f>G186*K值!M187</f>
        <v>75.166214733236032</v>
      </c>
      <c r="I186" s="7">
        <v>0</v>
      </c>
      <c r="J186" s="7">
        <v>60</v>
      </c>
      <c r="K186" s="7">
        <v>25</v>
      </c>
      <c r="L186" s="7">
        <v>25</v>
      </c>
      <c r="M186" s="74">
        <f t="shared" si="28"/>
        <v>27.5</v>
      </c>
      <c r="N186" s="7">
        <v>0</v>
      </c>
      <c r="O186" s="7">
        <v>35</v>
      </c>
      <c r="P186" s="7">
        <v>100</v>
      </c>
      <c r="Q186" s="7">
        <v>35</v>
      </c>
      <c r="R186" s="74">
        <f t="shared" si="29"/>
        <v>42.5</v>
      </c>
      <c r="S186" s="3">
        <v>59.368536288205917</v>
      </c>
      <c r="T186" s="3">
        <f t="shared" si="34"/>
        <v>59.368536288205917</v>
      </c>
      <c r="U186" s="3">
        <v>54.861154195899829</v>
      </c>
      <c r="V186" s="3">
        <v>73.812262302194014</v>
      </c>
      <c r="W186" s="3">
        <v>89.127528150211106</v>
      </c>
      <c r="X186" s="3">
        <f t="shared" si="24"/>
        <v>72.600314882768316</v>
      </c>
      <c r="Y186" s="3">
        <v>7.8503822166935038</v>
      </c>
      <c r="Z186" s="3">
        <v>0.33423623097240235</v>
      </c>
      <c r="AA186" s="3">
        <v>7.3478207622782969</v>
      </c>
      <c r="AB186" s="3">
        <v>12.75971133266326</v>
      </c>
      <c r="AC186" s="3">
        <f t="shared" si="25"/>
        <v>7.0730376356518665</v>
      </c>
      <c r="AD186" s="3">
        <v>3.7564755755055987</v>
      </c>
      <c r="AE186" s="87">
        <v>0</v>
      </c>
      <c r="AF186" s="3">
        <v>59.915611814345993</v>
      </c>
      <c r="AG186" s="3">
        <v>11.789310989019212</v>
      </c>
      <c r="AH186" s="3">
        <v>47.724352393607091</v>
      </c>
      <c r="AI186" s="3">
        <f t="shared" si="26"/>
        <v>24.637150154495579</v>
      </c>
      <c r="AJ186" s="65">
        <f t="shared" si="30"/>
        <v>40.919759740280419</v>
      </c>
      <c r="AK186" s="75">
        <f>AJ186*K值!M187</f>
        <v>43.168890490811854</v>
      </c>
      <c r="AL186" s="3">
        <v>25</v>
      </c>
      <c r="AM186" s="3">
        <v>0</v>
      </c>
      <c r="AN186" s="65">
        <f t="shared" si="31"/>
        <v>12.5</v>
      </c>
      <c r="AP186" s="76">
        <f t="shared" si="32"/>
        <v>43.300799142971954</v>
      </c>
    </row>
    <row r="187" spans="1:42" x14ac:dyDescent="0.25">
      <c r="A187" s="92" t="s">
        <v>197</v>
      </c>
      <c r="B187" s="3">
        <v>3</v>
      </c>
      <c r="C187" s="7">
        <v>65</v>
      </c>
      <c r="D187" s="7">
        <v>100</v>
      </c>
      <c r="E187" s="7">
        <v>75</v>
      </c>
      <c r="F187" s="7">
        <v>60</v>
      </c>
      <c r="G187" s="74">
        <f t="shared" si="27"/>
        <v>75</v>
      </c>
      <c r="H187" s="75">
        <f>G187*K值!M188</f>
        <v>79.122331298143195</v>
      </c>
      <c r="I187" s="7">
        <v>0</v>
      </c>
      <c r="J187" s="7">
        <v>60</v>
      </c>
      <c r="K187" s="7">
        <v>25</v>
      </c>
      <c r="L187" s="7">
        <v>25</v>
      </c>
      <c r="M187" s="74">
        <f t="shared" si="28"/>
        <v>27.5</v>
      </c>
      <c r="N187" s="7">
        <v>65</v>
      </c>
      <c r="O187" s="7">
        <v>65</v>
      </c>
      <c r="P187" s="7">
        <v>100</v>
      </c>
      <c r="Q187" s="7">
        <v>35</v>
      </c>
      <c r="R187" s="74">
        <f t="shared" si="29"/>
        <v>66.25</v>
      </c>
      <c r="S187" s="3">
        <v>65.605317546026669</v>
      </c>
      <c r="T187" s="3">
        <f t="shared" si="34"/>
        <v>65.605317546026669</v>
      </c>
      <c r="U187" s="3">
        <v>44.558855282631477</v>
      </c>
      <c r="V187" s="3">
        <v>48.912244601498799</v>
      </c>
      <c r="W187" s="3">
        <v>98.675788684961631</v>
      </c>
      <c r="X187" s="3">
        <f t="shared" si="24"/>
        <v>64.048962856363971</v>
      </c>
      <c r="Y187" s="3">
        <v>6.9812502692175986</v>
      </c>
      <c r="Z187" s="3">
        <v>0.57736987815545193</v>
      </c>
      <c r="AA187" s="3">
        <v>7.3478207622782969</v>
      </c>
      <c r="AB187" s="3">
        <v>20.930135036802337</v>
      </c>
      <c r="AC187" s="3">
        <f t="shared" si="25"/>
        <v>8.9591439866134213</v>
      </c>
      <c r="AD187" s="3">
        <v>3.2735939077997869</v>
      </c>
      <c r="AE187" s="87">
        <v>0</v>
      </c>
      <c r="AF187" s="3">
        <v>59.493670886075947</v>
      </c>
      <c r="AG187" s="3">
        <v>15.719081318692282</v>
      </c>
      <c r="AH187" s="3">
        <v>8.6771549806558355</v>
      </c>
      <c r="AI187" s="3">
        <f t="shared" si="26"/>
        <v>17.432700218644772</v>
      </c>
      <c r="AJ187" s="65">
        <f t="shared" si="30"/>
        <v>39.011531151912209</v>
      </c>
      <c r="AK187" s="75">
        <f>AJ187*K值!M188</f>
        <v>41.155777229992424</v>
      </c>
      <c r="AL187" s="3">
        <v>50</v>
      </c>
      <c r="AM187" s="3">
        <v>0</v>
      </c>
      <c r="AN187" s="65">
        <f t="shared" si="31"/>
        <v>25</v>
      </c>
      <c r="AP187" s="76">
        <f t="shared" si="32"/>
        <v>46.911777151625614</v>
      </c>
    </row>
    <row r="188" spans="1:42" x14ac:dyDescent="0.25">
      <c r="A188" s="92" t="s">
        <v>198</v>
      </c>
      <c r="B188" s="3">
        <v>4</v>
      </c>
      <c r="C188" s="7">
        <v>100</v>
      </c>
      <c r="D188" s="7">
        <v>100</v>
      </c>
      <c r="E188" s="7">
        <v>60</v>
      </c>
      <c r="F188" s="7">
        <v>60</v>
      </c>
      <c r="G188" s="74">
        <f t="shared" si="27"/>
        <v>80</v>
      </c>
      <c r="H188" s="75">
        <f>G188*K值!M189</f>
        <v>84.397153384686078</v>
      </c>
      <c r="I188" s="7">
        <v>0</v>
      </c>
      <c r="J188" s="7">
        <v>60</v>
      </c>
      <c r="K188" s="7">
        <v>25</v>
      </c>
      <c r="L188" s="7">
        <v>0</v>
      </c>
      <c r="M188" s="74">
        <f t="shared" si="28"/>
        <v>21.25</v>
      </c>
      <c r="N188" s="7">
        <v>0</v>
      </c>
      <c r="O188" s="7">
        <v>0</v>
      </c>
      <c r="P188" s="7">
        <v>65</v>
      </c>
      <c r="Q188" s="7">
        <v>35</v>
      </c>
      <c r="R188" s="74">
        <f t="shared" si="29"/>
        <v>25</v>
      </c>
      <c r="S188" s="3">
        <v>68.854433463882287</v>
      </c>
      <c r="T188" s="3">
        <f t="shared" si="34"/>
        <v>68.854433463882287</v>
      </c>
      <c r="U188" s="3">
        <v>77.836742731897374</v>
      </c>
      <c r="V188" s="3">
        <v>58.869793027844452</v>
      </c>
      <c r="W188" s="3">
        <v>99.163656011554721</v>
      </c>
      <c r="X188" s="3">
        <f t="shared" si="24"/>
        <v>78.623397257098858</v>
      </c>
      <c r="Y188" s="3">
        <v>4.5687655405397694</v>
      </c>
      <c r="Z188" s="3">
        <v>1.6551946823563004</v>
      </c>
      <c r="AA188" s="3">
        <v>2.2493328864117235</v>
      </c>
      <c r="AB188" s="3">
        <v>82.142999754038755</v>
      </c>
      <c r="AC188" s="3">
        <f t="shared" si="25"/>
        <v>22.654073215836636</v>
      </c>
      <c r="AD188" s="3">
        <v>1.1107841081077376</v>
      </c>
      <c r="AE188" s="87">
        <v>0</v>
      </c>
      <c r="AF188" s="3">
        <v>18.143459915611814</v>
      </c>
      <c r="AG188" s="3">
        <v>31.438162637384565</v>
      </c>
      <c r="AH188" s="3">
        <v>13.015732470983751</v>
      </c>
      <c r="AI188" s="3">
        <f t="shared" si="26"/>
        <v>12.741627826417574</v>
      </c>
      <c r="AJ188" s="65">
        <f t="shared" si="30"/>
        <v>45.718382940808844</v>
      </c>
      <c r="AK188" s="75">
        <f>AJ188*K值!M189</f>
        <v>48.231267219440738</v>
      </c>
      <c r="AL188" s="3">
        <v>50</v>
      </c>
      <c r="AM188" s="3">
        <v>0</v>
      </c>
      <c r="AN188" s="65">
        <f t="shared" si="31"/>
        <v>25</v>
      </c>
      <c r="AP188" s="76">
        <f t="shared" si="32"/>
        <v>45.421937564713517</v>
      </c>
    </row>
    <row r="189" spans="1:42" x14ac:dyDescent="0.25">
      <c r="A189" s="92" t="s">
        <v>199</v>
      </c>
      <c r="B189" s="3">
        <v>2</v>
      </c>
      <c r="C189" s="7">
        <v>35</v>
      </c>
      <c r="D189" s="7">
        <v>60</v>
      </c>
      <c r="E189" s="7">
        <v>100</v>
      </c>
      <c r="F189" s="7">
        <v>60</v>
      </c>
      <c r="G189" s="74">
        <f t="shared" si="27"/>
        <v>63.75</v>
      </c>
      <c r="H189" s="75">
        <f>G189*K值!M190</f>
        <v>67.253981603421721</v>
      </c>
      <c r="I189" s="7">
        <v>50</v>
      </c>
      <c r="J189" s="7">
        <v>60</v>
      </c>
      <c r="K189" s="7">
        <v>25</v>
      </c>
      <c r="L189" s="7">
        <v>50</v>
      </c>
      <c r="M189" s="74">
        <f t="shared" si="28"/>
        <v>46.25</v>
      </c>
      <c r="N189" s="7">
        <v>100</v>
      </c>
      <c r="O189" s="7">
        <v>35</v>
      </c>
      <c r="P189" s="7">
        <v>100</v>
      </c>
      <c r="Q189" s="7">
        <v>65</v>
      </c>
      <c r="R189" s="74">
        <f t="shared" si="29"/>
        <v>75</v>
      </c>
      <c r="S189" s="3">
        <v>0</v>
      </c>
      <c r="T189" s="3">
        <v>0</v>
      </c>
      <c r="U189" s="3">
        <v>46.457501495057265</v>
      </c>
      <c r="V189" s="3">
        <v>93.976297865543984</v>
      </c>
      <c r="W189" s="3">
        <v>100</v>
      </c>
      <c r="X189" s="3">
        <f>AVERAGE(U189:W189)</f>
        <v>80.14459978686709</v>
      </c>
      <c r="Y189" s="3">
        <v>12.987944969685769</v>
      </c>
      <c r="Z189" s="3">
        <v>0.21129126319935071</v>
      </c>
      <c r="AA189" s="3">
        <v>2.2493328864117235</v>
      </c>
      <c r="AB189" s="3">
        <v>68.546916729798141</v>
      </c>
      <c r="AC189" s="3">
        <f t="shared" si="25"/>
        <v>20.998871462273748</v>
      </c>
      <c r="AD189" s="3">
        <v>3.0032426828382808</v>
      </c>
      <c r="AE189" s="87">
        <v>0</v>
      </c>
      <c r="AF189" s="3">
        <v>79.74683544303798</v>
      </c>
      <c r="AG189" s="3">
        <v>55.016784615422999</v>
      </c>
      <c r="AH189" s="3">
        <v>49.893641138771052</v>
      </c>
      <c r="AI189" s="3">
        <f t="shared" si="26"/>
        <v>37.532100776014062</v>
      </c>
      <c r="AJ189" s="65">
        <f t="shared" si="30"/>
        <v>34.668893006288727</v>
      </c>
      <c r="AK189" s="75">
        <f>AJ189*K值!M190</f>
        <v>36.574448509112749</v>
      </c>
      <c r="AL189" s="3">
        <v>50</v>
      </c>
      <c r="AM189" s="3">
        <v>0</v>
      </c>
      <c r="AN189" s="65">
        <f t="shared" si="31"/>
        <v>25</v>
      </c>
      <c r="AP189" s="76">
        <f t="shared" si="32"/>
        <v>47.330575724329449</v>
      </c>
    </row>
    <row r="190" spans="1:42" x14ac:dyDescent="0.25">
      <c r="A190" s="92" t="s">
        <v>200</v>
      </c>
      <c r="B190" s="3">
        <v>2</v>
      </c>
      <c r="C190" s="7">
        <v>65</v>
      </c>
      <c r="D190" s="7">
        <v>100</v>
      </c>
      <c r="E190" s="7">
        <v>75</v>
      </c>
      <c r="F190" s="7">
        <v>45</v>
      </c>
      <c r="G190" s="74">
        <f t="shared" si="27"/>
        <v>71.25</v>
      </c>
      <c r="H190" s="75">
        <f>G190*K值!M191</f>
        <v>75.166214733236032</v>
      </c>
      <c r="I190" s="7">
        <v>0</v>
      </c>
      <c r="J190" s="7">
        <v>40</v>
      </c>
      <c r="K190" s="7">
        <v>25</v>
      </c>
      <c r="L190" s="7">
        <v>25</v>
      </c>
      <c r="M190" s="74">
        <f t="shared" si="28"/>
        <v>22.5</v>
      </c>
      <c r="N190" s="7">
        <v>0</v>
      </c>
      <c r="O190" s="7">
        <v>0</v>
      </c>
      <c r="P190" s="7">
        <v>35</v>
      </c>
      <c r="Q190" s="7">
        <v>0</v>
      </c>
      <c r="R190" s="74">
        <f t="shared" si="29"/>
        <v>8.75</v>
      </c>
      <c r="S190" s="3">
        <v>71.893715161734221</v>
      </c>
      <c r="T190" s="3">
        <f t="shared" ref="T190:T204" si="35">AVERAGE(S190)</f>
        <v>71.893715161734221</v>
      </c>
      <c r="U190" s="3">
        <v>70.46080995642015</v>
      </c>
      <c r="V190" s="3">
        <v>70.508446080489833</v>
      </c>
      <c r="W190" s="3">
        <v>100</v>
      </c>
      <c r="X190" s="3">
        <f t="shared" si="24"/>
        <v>80.32308534563667</v>
      </c>
      <c r="Y190" s="3">
        <v>8.7918396717872902</v>
      </c>
      <c r="Z190" s="3">
        <v>0.51571605950819888</v>
      </c>
      <c r="AA190" s="3">
        <v>1.3495997318470341</v>
      </c>
      <c r="AB190" s="3">
        <v>69.372422911354874</v>
      </c>
      <c r="AC190" s="3">
        <f t="shared" si="25"/>
        <v>20.007394593624348</v>
      </c>
      <c r="AD190" s="3">
        <v>0.9645131563366568</v>
      </c>
      <c r="AE190" s="87">
        <v>0</v>
      </c>
      <c r="AF190" s="3">
        <v>30.801687763713083</v>
      </c>
      <c r="AG190" s="3">
        <v>35.367932967057634</v>
      </c>
      <c r="AH190" s="3">
        <v>10.846443725819793</v>
      </c>
      <c r="AI190" s="3">
        <f t="shared" si="26"/>
        <v>15.596115522585432</v>
      </c>
      <c r="AJ190" s="65">
        <f t="shared" si="30"/>
        <v>46.955077655895167</v>
      </c>
      <c r="AK190" s="75">
        <f>AJ190*K值!M191</f>
        <v>49.535936138930381</v>
      </c>
      <c r="AL190" s="3">
        <v>25</v>
      </c>
      <c r="AM190" s="3">
        <v>0</v>
      </c>
      <c r="AN190" s="65">
        <f t="shared" si="31"/>
        <v>12.5</v>
      </c>
      <c r="AP190" s="76">
        <f t="shared" si="32"/>
        <v>41.472617402219356</v>
      </c>
    </row>
    <row r="191" spans="1:42" x14ac:dyDescent="0.25">
      <c r="A191" s="92" t="s">
        <v>201</v>
      </c>
      <c r="B191" s="3">
        <v>4</v>
      </c>
      <c r="C191" s="7">
        <v>65</v>
      </c>
      <c r="D191" s="7">
        <v>100</v>
      </c>
      <c r="E191" s="7">
        <v>100</v>
      </c>
      <c r="F191" s="7">
        <v>60</v>
      </c>
      <c r="G191" s="74">
        <f t="shared" si="27"/>
        <v>81.25</v>
      </c>
      <c r="H191" s="75">
        <f>G191*K值!M192</f>
        <v>85.715858906321799</v>
      </c>
      <c r="I191" s="7">
        <v>0</v>
      </c>
      <c r="J191" s="7">
        <v>60</v>
      </c>
      <c r="K191" s="7">
        <v>25</v>
      </c>
      <c r="L191" s="7">
        <v>25</v>
      </c>
      <c r="M191" s="74">
        <f t="shared" si="28"/>
        <v>27.5</v>
      </c>
      <c r="N191" s="7">
        <v>35</v>
      </c>
      <c r="O191" s="7">
        <v>65</v>
      </c>
      <c r="P191" s="7">
        <v>100</v>
      </c>
      <c r="Q191" s="7">
        <v>65</v>
      </c>
      <c r="R191" s="74">
        <f t="shared" si="29"/>
        <v>66.25</v>
      </c>
      <c r="S191" s="3">
        <v>73.542695711459288</v>
      </c>
      <c r="T191" s="3">
        <f t="shared" si="35"/>
        <v>73.542695711459288</v>
      </c>
      <c r="U191" s="3">
        <v>66.00356860613617</v>
      </c>
      <c r="V191" s="3">
        <v>93.005129562233734</v>
      </c>
      <c r="W191" s="3">
        <v>91.288083453694796</v>
      </c>
      <c r="X191" s="3">
        <f t="shared" si="24"/>
        <v>83.432260540688233</v>
      </c>
      <c r="Y191" s="3">
        <v>1.1792735309898736</v>
      </c>
      <c r="Z191" s="3" t="s">
        <v>335</v>
      </c>
      <c r="AA191" s="3">
        <v>5.3983989273881363</v>
      </c>
      <c r="AB191" s="3">
        <v>30.003306335574958</v>
      </c>
      <c r="AC191" s="3">
        <f t="shared" si="25"/>
        <v>12.193659597984322</v>
      </c>
      <c r="AD191" s="3">
        <v>2.608186095148866</v>
      </c>
      <c r="AE191" s="87">
        <v>0</v>
      </c>
      <c r="AF191" s="3">
        <v>43.459915611814345</v>
      </c>
      <c r="AG191" s="3">
        <v>31.438162637384565</v>
      </c>
      <c r="AH191" s="3">
        <v>4.3385774903279177</v>
      </c>
      <c r="AI191" s="3">
        <f t="shared" si="26"/>
        <v>16.368968366935142</v>
      </c>
      <c r="AJ191" s="65">
        <f t="shared" si="30"/>
        <v>46.384396054266752</v>
      </c>
      <c r="AK191" s="75">
        <f>AJ191*K值!M192</f>
        <v>48.93388735559973</v>
      </c>
      <c r="AL191" s="3">
        <v>25</v>
      </c>
      <c r="AM191" s="3">
        <v>50</v>
      </c>
      <c r="AN191" s="65">
        <f t="shared" si="31"/>
        <v>37.5</v>
      </c>
      <c r="AP191" s="76">
        <f t="shared" si="32"/>
        <v>52.591726723504252</v>
      </c>
    </row>
    <row r="192" spans="1:42" x14ac:dyDescent="0.25">
      <c r="A192" s="92" t="s">
        <v>202</v>
      </c>
      <c r="B192" s="3">
        <v>4</v>
      </c>
      <c r="C192" s="7">
        <v>65</v>
      </c>
      <c r="D192" s="7">
        <v>80</v>
      </c>
      <c r="E192" s="7">
        <v>75</v>
      </c>
      <c r="F192" s="7">
        <v>60</v>
      </c>
      <c r="G192" s="74">
        <f t="shared" si="27"/>
        <v>70</v>
      </c>
      <c r="H192" s="75">
        <f>G192*K值!M193</f>
        <v>73.847509211600311</v>
      </c>
      <c r="I192" s="7">
        <v>50</v>
      </c>
      <c r="J192" s="7">
        <v>40</v>
      </c>
      <c r="K192" s="7">
        <v>25</v>
      </c>
      <c r="L192" s="7">
        <v>0</v>
      </c>
      <c r="M192" s="74">
        <f t="shared" si="28"/>
        <v>28.75</v>
      </c>
      <c r="N192" s="7">
        <v>35</v>
      </c>
      <c r="O192" s="7">
        <v>35</v>
      </c>
      <c r="P192" s="7">
        <v>35</v>
      </c>
      <c r="Q192" s="7">
        <v>35</v>
      </c>
      <c r="R192" s="74">
        <f t="shared" si="29"/>
        <v>35</v>
      </c>
      <c r="S192" s="3">
        <v>65.953589153736587</v>
      </c>
      <c r="T192" s="3">
        <f t="shared" si="35"/>
        <v>65.953589153736587</v>
      </c>
      <c r="U192" s="3">
        <v>37.486947178939744</v>
      </c>
      <c r="V192" s="3">
        <v>53.064296429891698</v>
      </c>
      <c r="W192" s="3">
        <v>94.563764075105553</v>
      </c>
      <c r="X192" s="3">
        <f t="shared" si="24"/>
        <v>61.705002561312334</v>
      </c>
      <c r="Y192" s="3">
        <v>5.6156466169070791</v>
      </c>
      <c r="Z192" s="3">
        <v>0.90527389928325985</v>
      </c>
      <c r="AA192" s="3">
        <v>8.9973315456468939</v>
      </c>
      <c r="AB192" s="3">
        <v>22.16332296339284</v>
      </c>
      <c r="AC192" s="3">
        <f t="shared" si="25"/>
        <v>9.4203937563075186</v>
      </c>
      <c r="AD192" s="3">
        <v>2.1606219863108582</v>
      </c>
      <c r="AE192" s="87">
        <v>44.595278519079642</v>
      </c>
      <c r="AF192" s="3">
        <v>70.042194092827003</v>
      </c>
      <c r="AG192" s="3">
        <v>15.719081318692282</v>
      </c>
      <c r="AH192" s="3">
        <v>8.6771549806558355</v>
      </c>
      <c r="AI192" s="3">
        <f t="shared" si="26"/>
        <v>28.238866179513128</v>
      </c>
      <c r="AJ192" s="65">
        <f t="shared" si="30"/>
        <v>41.329462912717389</v>
      </c>
      <c r="AK192" s="75">
        <f>AJ192*K值!M193</f>
        <v>43.601112759391299</v>
      </c>
      <c r="AL192" s="3">
        <v>50</v>
      </c>
      <c r="AM192" s="3">
        <v>50</v>
      </c>
      <c r="AN192" s="65">
        <f t="shared" si="31"/>
        <v>50</v>
      </c>
      <c r="AP192" s="76">
        <f t="shared" si="32"/>
        <v>46.459946946076585</v>
      </c>
    </row>
    <row r="193" spans="1:42" x14ac:dyDescent="0.25">
      <c r="A193" s="92" t="s">
        <v>203</v>
      </c>
      <c r="B193" s="3">
        <v>4</v>
      </c>
      <c r="C193" s="7">
        <v>100</v>
      </c>
      <c r="D193" s="7">
        <v>100</v>
      </c>
      <c r="E193" s="7">
        <v>100</v>
      </c>
      <c r="F193" s="7">
        <v>60</v>
      </c>
      <c r="G193" s="74">
        <f t="shared" si="27"/>
        <v>90</v>
      </c>
      <c r="H193" s="75">
        <f>G193*K值!M194</f>
        <v>94.946797557771831</v>
      </c>
      <c r="I193" s="7">
        <v>0</v>
      </c>
      <c r="J193" s="7">
        <v>40</v>
      </c>
      <c r="K193" s="7">
        <v>50</v>
      </c>
      <c r="L193" s="7">
        <v>25</v>
      </c>
      <c r="M193" s="74">
        <f t="shared" si="28"/>
        <v>28.75</v>
      </c>
      <c r="N193" s="7">
        <v>35</v>
      </c>
      <c r="O193" s="7">
        <v>35</v>
      </c>
      <c r="P193" s="7">
        <v>65</v>
      </c>
      <c r="Q193" s="7">
        <v>35</v>
      </c>
      <c r="R193" s="74">
        <f t="shared" si="29"/>
        <v>42.5</v>
      </c>
      <c r="S193" s="3">
        <v>66.217012650747918</v>
      </c>
      <c r="T193" s="3">
        <f t="shared" si="35"/>
        <v>66.217012650747918</v>
      </c>
      <c r="U193" s="3">
        <v>44.622394910533728</v>
      </c>
      <c r="V193" s="3">
        <v>60.7352966990765</v>
      </c>
      <c r="W193" s="3">
        <v>99.930304667629571</v>
      </c>
      <c r="X193" s="3">
        <f t="shared" si="24"/>
        <v>68.429332092413276</v>
      </c>
      <c r="Y193" s="3">
        <v>1.2148233567681546</v>
      </c>
      <c r="Z193" s="3">
        <v>0.69197344693505169</v>
      </c>
      <c r="AA193" s="3">
        <v>4.2737324841822755</v>
      </c>
      <c r="AB193" s="3">
        <v>23.300451231897856</v>
      </c>
      <c r="AC193" s="3">
        <f t="shared" si="25"/>
        <v>7.3702451299458343</v>
      </c>
      <c r="AD193" s="3">
        <v>1.9133990742362321</v>
      </c>
      <c r="AE193" s="87">
        <v>0</v>
      </c>
      <c r="AF193" s="3">
        <v>5.9071729957805905</v>
      </c>
      <c r="AG193" s="3">
        <v>0</v>
      </c>
      <c r="AH193" s="3">
        <v>0</v>
      </c>
      <c r="AI193" s="3">
        <f t="shared" si="26"/>
        <v>1.5641144140033645</v>
      </c>
      <c r="AJ193" s="65">
        <f t="shared" si="30"/>
        <v>35.895176071777598</v>
      </c>
      <c r="AK193" s="75">
        <f>AJ193*K值!M194</f>
        <v>37.86813350875159</v>
      </c>
      <c r="AL193" s="3">
        <v>25</v>
      </c>
      <c r="AM193" s="3">
        <v>0</v>
      </c>
      <c r="AN193" s="65">
        <f t="shared" si="31"/>
        <v>12.5</v>
      </c>
      <c r="AP193" s="76">
        <f t="shared" si="32"/>
        <v>45.386612915055004</v>
      </c>
    </row>
    <row r="194" spans="1:42" x14ac:dyDescent="0.25">
      <c r="A194" s="92" t="s">
        <v>204</v>
      </c>
      <c r="B194" s="3">
        <v>3</v>
      </c>
      <c r="C194" s="7">
        <v>65</v>
      </c>
      <c r="D194" s="7">
        <v>80</v>
      </c>
      <c r="E194" s="7">
        <v>75</v>
      </c>
      <c r="F194" s="7">
        <v>75</v>
      </c>
      <c r="G194" s="74">
        <f t="shared" si="27"/>
        <v>73.75</v>
      </c>
      <c r="H194" s="75">
        <f>G194*K值!M195</f>
        <v>77.803625776507474</v>
      </c>
      <c r="I194" s="7">
        <v>0</v>
      </c>
      <c r="J194" s="7">
        <v>100</v>
      </c>
      <c r="K194" s="7">
        <v>0</v>
      </c>
      <c r="L194" s="7">
        <v>0</v>
      </c>
      <c r="M194" s="74">
        <f t="shared" si="28"/>
        <v>25</v>
      </c>
      <c r="N194" s="7">
        <v>35</v>
      </c>
      <c r="O194" s="7">
        <v>35</v>
      </c>
      <c r="P194" s="7">
        <v>65</v>
      </c>
      <c r="Q194" s="7">
        <v>35</v>
      </c>
      <c r="R194" s="74">
        <f t="shared" si="29"/>
        <v>42.5</v>
      </c>
      <c r="S194" s="3">
        <v>67.663826297749353</v>
      </c>
      <c r="T194" s="3">
        <f t="shared" si="35"/>
        <v>67.663826297749353</v>
      </c>
      <c r="U194" s="3">
        <v>50.123995074787416</v>
      </c>
      <c r="V194" s="3">
        <v>36.228663627570235</v>
      </c>
      <c r="W194" s="3">
        <v>76.477825324975967</v>
      </c>
      <c r="X194" s="3">
        <f t="shared" si="24"/>
        <v>54.276828009111206</v>
      </c>
      <c r="Y194" s="3">
        <v>4.4915366086766078</v>
      </c>
      <c r="Z194" s="3">
        <v>0.19146049376622246</v>
      </c>
      <c r="AA194" s="3">
        <v>10.721820091895882</v>
      </c>
      <c r="AB194" s="3">
        <v>29.630785139302873</v>
      </c>
      <c r="AC194" s="3">
        <f t="shared" si="25"/>
        <v>11.258900583410396</v>
      </c>
      <c r="AD194" s="3">
        <v>2.2350076412713653</v>
      </c>
      <c r="AE194" s="87">
        <v>100</v>
      </c>
      <c r="AF194" s="3">
        <v>70.042194092827003</v>
      </c>
      <c r="AG194" s="3">
        <v>0</v>
      </c>
      <c r="AH194" s="3">
        <v>8.6771549806558355</v>
      </c>
      <c r="AI194" s="3">
        <f t="shared" si="26"/>
        <v>36.190871342950842</v>
      </c>
      <c r="AJ194" s="65">
        <f t="shared" si="30"/>
        <v>42.347606558305444</v>
      </c>
      <c r="AK194" s="75">
        <f>AJ194*K值!M195</f>
        <v>44.675218077195531</v>
      </c>
      <c r="AL194" s="3">
        <v>25</v>
      </c>
      <c r="AM194" s="3">
        <v>0</v>
      </c>
      <c r="AN194" s="65">
        <f t="shared" si="31"/>
        <v>12.5</v>
      </c>
      <c r="AP194" s="76">
        <f t="shared" si="32"/>
        <v>43.93081238617971</v>
      </c>
    </row>
    <row r="195" spans="1:42" x14ac:dyDescent="0.25">
      <c r="A195" s="92" t="s">
        <v>205</v>
      </c>
      <c r="B195" s="3">
        <v>3</v>
      </c>
      <c r="C195" s="7">
        <v>65</v>
      </c>
      <c r="D195" s="7">
        <v>100</v>
      </c>
      <c r="E195" s="7">
        <v>75</v>
      </c>
      <c r="F195" s="7">
        <v>100</v>
      </c>
      <c r="G195" s="74">
        <f t="shared" si="27"/>
        <v>85</v>
      </c>
      <c r="H195" s="75">
        <f>G195*K值!M196</f>
        <v>89.671975471228947</v>
      </c>
      <c r="I195" s="7">
        <v>50</v>
      </c>
      <c r="J195" s="7">
        <v>60</v>
      </c>
      <c r="K195" s="7">
        <v>25</v>
      </c>
      <c r="L195" s="7">
        <v>50</v>
      </c>
      <c r="M195" s="74">
        <f t="shared" si="28"/>
        <v>46.25</v>
      </c>
      <c r="N195" s="7">
        <v>65</v>
      </c>
      <c r="O195" s="7">
        <v>65</v>
      </c>
      <c r="P195" s="7">
        <v>100</v>
      </c>
      <c r="Q195" s="7">
        <v>35</v>
      </c>
      <c r="R195" s="74">
        <f t="shared" si="29"/>
        <v>66.25</v>
      </c>
      <c r="S195" s="3">
        <v>66.736338306144404</v>
      </c>
      <c r="T195" s="3">
        <f t="shared" si="35"/>
        <v>66.736338306144404</v>
      </c>
      <c r="U195" s="3">
        <v>51.840145316623698</v>
      </c>
      <c r="V195" s="3">
        <v>75.222914995926331</v>
      </c>
      <c r="W195" s="3">
        <v>100</v>
      </c>
      <c r="X195" s="3">
        <f t="shared" ref="X195:X258" si="36">AVERAGE(U195:W195)</f>
        <v>75.687686770850007</v>
      </c>
      <c r="Y195" s="3">
        <v>7.2864884284862876</v>
      </c>
      <c r="Z195" s="3">
        <v>0.42359800105877377</v>
      </c>
      <c r="AA195" s="3">
        <v>5.9982210304312629</v>
      </c>
      <c r="AB195" s="3">
        <v>41.120527572426596</v>
      </c>
      <c r="AC195" s="3">
        <f t="shared" ref="AC195:AC258" si="37">AVERAGE(Y195:AB195)</f>
        <v>13.70720875810073</v>
      </c>
      <c r="AD195" s="3">
        <v>1.519592665621784</v>
      </c>
      <c r="AE195" s="87">
        <v>0</v>
      </c>
      <c r="AF195" s="3">
        <v>51.054852320675103</v>
      </c>
      <c r="AG195" s="3">
        <v>35.367932967057634</v>
      </c>
      <c r="AH195" s="3">
        <v>34.708619922623342</v>
      </c>
      <c r="AI195" s="3">
        <f t="shared" ref="AI195:AI258" si="38">AVERAGE(AD195:AH195)</f>
        <v>24.530199575195574</v>
      </c>
      <c r="AJ195" s="65">
        <f t="shared" si="30"/>
        <v>45.165358352572682</v>
      </c>
      <c r="AK195" s="75">
        <f>AJ195*K值!M196</f>
        <v>47.64784595695486</v>
      </c>
      <c r="AL195" s="3">
        <v>50</v>
      </c>
      <c r="AM195" s="3">
        <v>0</v>
      </c>
      <c r="AN195" s="65">
        <f t="shared" si="31"/>
        <v>25</v>
      </c>
      <c r="AP195" s="76">
        <f t="shared" si="32"/>
        <v>55.368533477027732</v>
      </c>
    </row>
    <row r="196" spans="1:42" x14ac:dyDescent="0.25">
      <c r="A196" s="92" t="s">
        <v>206</v>
      </c>
      <c r="B196" s="3">
        <v>3</v>
      </c>
      <c r="C196" s="7">
        <v>65</v>
      </c>
      <c r="D196" s="7">
        <v>100</v>
      </c>
      <c r="E196" s="7">
        <v>75</v>
      </c>
      <c r="F196" s="7">
        <v>100</v>
      </c>
      <c r="G196" s="74">
        <f t="shared" ref="G196:G259" si="39">AVERAGE(C196:F196)</f>
        <v>85</v>
      </c>
      <c r="H196" s="75">
        <f>G196*K值!M197</f>
        <v>89.671975471228947</v>
      </c>
      <c r="I196" s="7">
        <v>0</v>
      </c>
      <c r="J196" s="7">
        <v>40</v>
      </c>
      <c r="K196" s="7">
        <v>25</v>
      </c>
      <c r="L196" s="7">
        <v>0</v>
      </c>
      <c r="M196" s="74">
        <f t="shared" ref="M196:M259" si="40">AVERAGE(I196:L196)</f>
        <v>16.25</v>
      </c>
      <c r="N196" s="7">
        <v>35</v>
      </c>
      <c r="O196" s="7">
        <v>0</v>
      </c>
      <c r="P196" s="7">
        <v>100</v>
      </c>
      <c r="Q196" s="7">
        <v>35</v>
      </c>
      <c r="R196" s="74">
        <f t="shared" ref="R196:R259" si="41">AVERAGE(N196:Q196)</f>
        <v>42.5</v>
      </c>
      <c r="S196" s="3">
        <v>99.486911681746818</v>
      </c>
      <c r="T196" s="3">
        <f t="shared" si="35"/>
        <v>99.486911681746818</v>
      </c>
      <c r="U196" s="3" t="s">
        <v>335</v>
      </c>
      <c r="V196" s="3">
        <v>47.35099935440509</v>
      </c>
      <c r="W196" s="3">
        <v>93.4486387571785</v>
      </c>
      <c r="X196" s="3">
        <f t="shared" si="36"/>
        <v>70.399819055791795</v>
      </c>
      <c r="Y196" s="3">
        <v>0.98068484905602782</v>
      </c>
      <c r="Z196" s="3">
        <v>0.11170221260796433</v>
      </c>
      <c r="AA196" s="3">
        <v>8.0975983910822045</v>
      </c>
      <c r="AB196" s="3">
        <v>28.871326627649214</v>
      </c>
      <c r="AC196" s="3">
        <f t="shared" si="37"/>
        <v>9.5153280200988526</v>
      </c>
      <c r="AD196" s="3">
        <v>4.3637500611705775</v>
      </c>
      <c r="AE196" s="87">
        <v>0</v>
      </c>
      <c r="AF196" s="3">
        <v>51.054852320675103</v>
      </c>
      <c r="AG196" s="3">
        <v>15.719081318692282</v>
      </c>
      <c r="AH196" s="3">
        <v>6.5078662354918757</v>
      </c>
      <c r="AI196" s="3">
        <f t="shared" si="38"/>
        <v>15.529109987205967</v>
      </c>
      <c r="AJ196" s="65">
        <f t="shared" ref="AJ196:AJ259" si="42">AVERAGE(T196,X196,AC196,AI196)</f>
        <v>48.732792186210858</v>
      </c>
      <c r="AK196" s="75">
        <f>AJ196*K值!M197</f>
        <v>51.411361712545862</v>
      </c>
      <c r="AL196" s="3">
        <v>50</v>
      </c>
      <c r="AM196" s="3">
        <v>0</v>
      </c>
      <c r="AN196" s="65">
        <f t="shared" ref="AN196:AN259" si="43">AVERAGE(AL196:AM196)</f>
        <v>25</v>
      </c>
      <c r="AP196" s="76">
        <f t="shared" ref="AP196:AP259" si="44">(H196*0.2)+(M196*0.2)+(R196*0.1)+(AK196*0.4)+(AN196*0.1)</f>
        <v>48.498939779264134</v>
      </c>
    </row>
    <row r="197" spans="1:42" x14ac:dyDescent="0.25">
      <c r="A197" s="92" t="s">
        <v>207</v>
      </c>
      <c r="B197" s="3">
        <v>4</v>
      </c>
      <c r="C197" s="7">
        <v>100</v>
      </c>
      <c r="D197" s="7">
        <v>80</v>
      </c>
      <c r="E197" s="7">
        <v>60</v>
      </c>
      <c r="F197" s="7">
        <v>75</v>
      </c>
      <c r="G197" s="74">
        <f t="shared" si="39"/>
        <v>78.75</v>
      </c>
      <c r="H197" s="75">
        <f>G197*K值!M198</f>
        <v>83.078447863050357</v>
      </c>
      <c r="I197" s="7">
        <v>0</v>
      </c>
      <c r="J197" s="7">
        <v>0</v>
      </c>
      <c r="K197" s="7">
        <v>25</v>
      </c>
      <c r="L197" s="7">
        <v>0</v>
      </c>
      <c r="M197" s="74">
        <f t="shared" si="40"/>
        <v>6.25</v>
      </c>
      <c r="N197" s="7">
        <v>0</v>
      </c>
      <c r="O197" s="7">
        <v>0</v>
      </c>
      <c r="P197" s="7">
        <v>35</v>
      </c>
      <c r="Q197" s="7">
        <v>0</v>
      </c>
      <c r="R197" s="74">
        <f t="shared" si="41"/>
        <v>8.75</v>
      </c>
      <c r="S197" s="3">
        <v>92.867618818308031</v>
      </c>
      <c r="T197" s="3">
        <f t="shared" si="35"/>
        <v>92.867618818308031</v>
      </c>
      <c r="U197" s="3">
        <v>86.272766952830722</v>
      </c>
      <c r="V197" s="3">
        <v>98.343481913024604</v>
      </c>
      <c r="W197" s="3">
        <v>68.706795765671728</v>
      </c>
      <c r="X197" s="3">
        <f t="shared" si="36"/>
        <v>84.441014877175675</v>
      </c>
      <c r="Y197" s="3">
        <v>2.0312434936072976</v>
      </c>
      <c r="Z197" s="3">
        <v>0.66661559399495796</v>
      </c>
      <c r="AA197" s="3">
        <v>2.7741772265744591</v>
      </c>
      <c r="AB197" s="3">
        <v>20.520743462124141</v>
      </c>
      <c r="AC197" s="3">
        <f t="shared" si="37"/>
        <v>6.4981949440752143</v>
      </c>
      <c r="AD197" s="3">
        <v>0.53757700223559612</v>
      </c>
      <c r="AE197" s="87">
        <v>0</v>
      </c>
      <c r="AF197" s="3">
        <v>48.101265822784811</v>
      </c>
      <c r="AG197" s="3">
        <v>0</v>
      </c>
      <c r="AH197" s="3">
        <v>30.370042432295424</v>
      </c>
      <c r="AI197" s="3">
        <f t="shared" si="38"/>
        <v>15.801777051463166</v>
      </c>
      <c r="AJ197" s="65">
        <f t="shared" si="42"/>
        <v>49.902151422755523</v>
      </c>
      <c r="AK197" s="75">
        <f>AJ197*K值!M198</f>
        <v>52.644994098151606</v>
      </c>
      <c r="AL197" s="3">
        <v>0</v>
      </c>
      <c r="AM197" s="3">
        <v>0</v>
      </c>
      <c r="AN197" s="65">
        <f t="shared" si="43"/>
        <v>0</v>
      </c>
      <c r="AP197" s="76">
        <f t="shared" si="44"/>
        <v>39.798687211870714</v>
      </c>
    </row>
    <row r="198" spans="1:42" x14ac:dyDescent="0.25">
      <c r="A198" s="92" t="s">
        <v>208</v>
      </c>
      <c r="B198" s="3">
        <v>4</v>
      </c>
      <c r="C198" s="7">
        <v>65</v>
      </c>
      <c r="D198" s="7">
        <v>60</v>
      </c>
      <c r="E198" s="7">
        <v>75</v>
      </c>
      <c r="F198" s="7">
        <v>45</v>
      </c>
      <c r="G198" s="74">
        <f t="shared" si="39"/>
        <v>61.25</v>
      </c>
      <c r="H198" s="75">
        <f>G198*K值!M199</f>
        <v>64.616570560150279</v>
      </c>
      <c r="I198" s="7">
        <v>25</v>
      </c>
      <c r="J198" s="7">
        <v>60</v>
      </c>
      <c r="K198" s="7">
        <v>50</v>
      </c>
      <c r="L198" s="7">
        <v>50</v>
      </c>
      <c r="M198" s="74">
        <f t="shared" si="40"/>
        <v>46.25</v>
      </c>
      <c r="N198" s="7">
        <v>100</v>
      </c>
      <c r="O198" s="7">
        <v>100</v>
      </c>
      <c r="P198" s="7">
        <v>100</v>
      </c>
      <c r="Q198" s="7">
        <v>100</v>
      </c>
      <c r="R198" s="74">
        <f t="shared" si="41"/>
        <v>100</v>
      </c>
      <c r="S198" s="3">
        <v>94.785724882781167</v>
      </c>
      <c r="T198" s="3">
        <f t="shared" si="35"/>
        <v>94.785724882781167</v>
      </c>
      <c r="U198" s="3">
        <v>99.990661147184909</v>
      </c>
      <c r="V198" s="3">
        <v>50.786968224977457</v>
      </c>
      <c r="W198" s="3">
        <v>100</v>
      </c>
      <c r="X198" s="3">
        <f t="shared" si="36"/>
        <v>83.592543124054131</v>
      </c>
      <c r="Y198" s="3">
        <v>3.2914235246442933</v>
      </c>
      <c r="Z198" s="3">
        <v>0.70714028632227599</v>
      </c>
      <c r="AA198" s="3">
        <v>10.796797854776273</v>
      </c>
      <c r="AB198" s="3">
        <v>45.274372415095634</v>
      </c>
      <c r="AC198" s="3">
        <f t="shared" si="37"/>
        <v>15.017433520209618</v>
      </c>
      <c r="AD198" s="3">
        <v>6.6206358362538564</v>
      </c>
      <c r="AE198" s="87">
        <v>14.865092839693213</v>
      </c>
      <c r="AF198" s="3">
        <v>55.274261603375528</v>
      </c>
      <c r="AG198" s="3">
        <v>35.367932967057634</v>
      </c>
      <c r="AH198" s="3">
        <v>32.539331177459381</v>
      </c>
      <c r="AI198" s="3">
        <f t="shared" si="38"/>
        <v>28.933450884767922</v>
      </c>
      <c r="AJ198" s="65">
        <f t="shared" si="42"/>
        <v>55.582288102953207</v>
      </c>
      <c r="AK198" s="75">
        <f>AJ198*K值!M199</f>
        <v>58.63733618120942</v>
      </c>
      <c r="AL198" s="3">
        <v>50</v>
      </c>
      <c r="AM198" s="3">
        <v>50</v>
      </c>
      <c r="AN198" s="65">
        <f t="shared" si="43"/>
        <v>50</v>
      </c>
      <c r="AP198" s="76">
        <f t="shared" si="44"/>
        <v>60.628248584513827</v>
      </c>
    </row>
    <row r="199" spans="1:42" x14ac:dyDescent="0.25">
      <c r="A199" s="92" t="s">
        <v>209</v>
      </c>
      <c r="B199" s="3">
        <v>4</v>
      </c>
      <c r="C199" s="7">
        <v>65</v>
      </c>
      <c r="D199" s="7">
        <v>100</v>
      </c>
      <c r="E199" s="7">
        <v>100</v>
      </c>
      <c r="F199" s="7">
        <v>75</v>
      </c>
      <c r="G199" s="74">
        <f t="shared" si="39"/>
        <v>85</v>
      </c>
      <c r="H199" s="75">
        <f>G199*K值!M200</f>
        <v>89.671975471228947</v>
      </c>
      <c r="I199" s="7">
        <v>0</v>
      </c>
      <c r="J199" s="7">
        <v>40</v>
      </c>
      <c r="K199" s="7">
        <v>75</v>
      </c>
      <c r="L199" s="7">
        <v>0</v>
      </c>
      <c r="M199" s="74">
        <f t="shared" si="40"/>
        <v>28.75</v>
      </c>
      <c r="N199" s="7">
        <v>65</v>
      </c>
      <c r="O199" s="7">
        <v>35</v>
      </c>
      <c r="P199" s="7">
        <v>65</v>
      </c>
      <c r="Q199" s="7">
        <v>35</v>
      </c>
      <c r="R199" s="74">
        <f t="shared" si="41"/>
        <v>50</v>
      </c>
      <c r="S199" s="3">
        <v>75.202296067797619</v>
      </c>
      <c r="T199" s="3">
        <f t="shared" si="35"/>
        <v>75.202296067797619</v>
      </c>
      <c r="U199" s="3">
        <v>61.921878934518304</v>
      </c>
      <c r="V199" s="3">
        <v>47.959516202681769</v>
      </c>
      <c r="W199" s="3">
        <v>96.863710043330116</v>
      </c>
      <c r="X199" s="3">
        <f t="shared" si="36"/>
        <v>68.91503506017672</v>
      </c>
      <c r="Y199" s="3">
        <v>1.5028995311783626</v>
      </c>
      <c r="Z199" s="3">
        <v>0.52659614515183184</v>
      </c>
      <c r="AA199" s="3">
        <v>9.6721314115704118</v>
      </c>
      <c r="AB199" s="3">
        <v>26.468973575801591</v>
      </c>
      <c r="AC199" s="3">
        <f t="shared" si="37"/>
        <v>9.5426501659255489</v>
      </c>
      <c r="AD199" s="3">
        <v>3.5283178943242124</v>
      </c>
      <c r="AE199" s="87">
        <v>0</v>
      </c>
      <c r="AF199" s="3">
        <v>64.978902953586498</v>
      </c>
      <c r="AG199" s="3">
        <v>0</v>
      </c>
      <c r="AH199" s="3">
        <v>30.370042432295424</v>
      </c>
      <c r="AI199" s="3">
        <f t="shared" si="38"/>
        <v>19.775452656041228</v>
      </c>
      <c r="AJ199" s="65">
        <f t="shared" si="42"/>
        <v>43.358858487485286</v>
      </c>
      <c r="AK199" s="75">
        <f>AJ199*K值!M200</f>
        <v>45.742052879414913</v>
      </c>
      <c r="AL199" s="3">
        <v>25</v>
      </c>
      <c r="AM199" s="3">
        <v>0</v>
      </c>
      <c r="AN199" s="65">
        <f t="shared" si="43"/>
        <v>12.5</v>
      </c>
      <c r="AP199" s="76">
        <f t="shared" si="44"/>
        <v>48.231216246011755</v>
      </c>
    </row>
    <row r="200" spans="1:42" x14ac:dyDescent="0.25">
      <c r="A200" s="92" t="s">
        <v>210</v>
      </c>
      <c r="B200" s="3">
        <v>4</v>
      </c>
      <c r="C200" s="7">
        <v>35</v>
      </c>
      <c r="D200" s="7">
        <v>80</v>
      </c>
      <c r="E200" s="7">
        <v>60</v>
      </c>
      <c r="F200" s="7">
        <v>60</v>
      </c>
      <c r="G200" s="74">
        <f t="shared" si="39"/>
        <v>58.75</v>
      </c>
      <c r="H200" s="75">
        <f>G200*K值!M201</f>
        <v>61.979159516878838</v>
      </c>
      <c r="I200" s="7">
        <v>75</v>
      </c>
      <c r="J200" s="7">
        <v>60</v>
      </c>
      <c r="K200" s="7">
        <v>75</v>
      </c>
      <c r="L200" s="7">
        <v>50</v>
      </c>
      <c r="M200" s="74">
        <f t="shared" si="40"/>
        <v>65</v>
      </c>
      <c r="N200" s="7">
        <v>100</v>
      </c>
      <c r="O200" s="7">
        <v>100</v>
      </c>
      <c r="P200" s="7">
        <v>100</v>
      </c>
      <c r="Q200" s="7">
        <v>65</v>
      </c>
      <c r="R200" s="74">
        <f t="shared" si="41"/>
        <v>91.25</v>
      </c>
      <c r="S200" s="3">
        <v>70.388339367373305</v>
      </c>
      <c r="T200" s="3">
        <f t="shared" si="35"/>
        <v>70.388339367373305</v>
      </c>
      <c r="U200" s="3">
        <v>60.007665686727748</v>
      </c>
      <c r="V200" s="3">
        <v>77.930507639015985</v>
      </c>
      <c r="W200" s="3">
        <v>98.640941018776388</v>
      </c>
      <c r="X200" s="3">
        <f t="shared" si="36"/>
        <v>78.859704781506707</v>
      </c>
      <c r="Y200" s="3">
        <v>3.4740760777809783</v>
      </c>
      <c r="Z200" s="3" t="s">
        <v>335</v>
      </c>
      <c r="AA200" s="3">
        <v>3.2990215667371947</v>
      </c>
      <c r="AB200" s="3">
        <v>40.438860524745188</v>
      </c>
      <c r="AC200" s="3">
        <f t="shared" si="37"/>
        <v>15.737319389754454</v>
      </c>
      <c r="AD200" s="3">
        <v>1.1754808752372541</v>
      </c>
      <c r="AE200" s="87">
        <v>29.730185679386427</v>
      </c>
      <c r="AF200" s="3">
        <v>71.729957805907176</v>
      </c>
      <c r="AG200" s="3">
        <v>78.595406593461419</v>
      </c>
      <c r="AH200" s="3">
        <v>26.031464941967503</v>
      </c>
      <c r="AI200" s="3">
        <f t="shared" si="38"/>
        <v>41.452499179191953</v>
      </c>
      <c r="AJ200" s="65">
        <f t="shared" si="42"/>
        <v>51.609465679456605</v>
      </c>
      <c r="AK200" s="75">
        <f>AJ200*K值!M201</f>
        <v>54.446149888134883</v>
      </c>
      <c r="AL200" s="3">
        <v>50</v>
      </c>
      <c r="AM200" s="3">
        <v>0</v>
      </c>
      <c r="AN200" s="65">
        <f t="shared" si="43"/>
        <v>25</v>
      </c>
      <c r="AP200" s="76">
        <f t="shared" si="44"/>
        <v>58.799291858629715</v>
      </c>
    </row>
    <row r="201" spans="1:42" x14ac:dyDescent="0.25">
      <c r="A201" s="92" t="s">
        <v>211</v>
      </c>
      <c r="B201" s="3">
        <v>3</v>
      </c>
      <c r="C201" s="7">
        <v>65</v>
      </c>
      <c r="D201" s="7">
        <v>100</v>
      </c>
      <c r="E201" s="7">
        <v>75</v>
      </c>
      <c r="F201" s="7">
        <v>75</v>
      </c>
      <c r="G201" s="74">
        <f t="shared" si="39"/>
        <v>78.75</v>
      </c>
      <c r="H201" s="75">
        <f>G201*K值!M202</f>
        <v>83.078447863050357</v>
      </c>
      <c r="I201" s="7">
        <v>0</v>
      </c>
      <c r="J201" s="7">
        <v>60</v>
      </c>
      <c r="K201" s="7">
        <v>25</v>
      </c>
      <c r="L201" s="7">
        <v>50</v>
      </c>
      <c r="M201" s="74">
        <f t="shared" si="40"/>
        <v>33.75</v>
      </c>
      <c r="N201" s="7">
        <v>35</v>
      </c>
      <c r="O201" s="7">
        <v>0</v>
      </c>
      <c r="P201" s="7">
        <v>65</v>
      </c>
      <c r="Q201" s="7">
        <v>35</v>
      </c>
      <c r="R201" s="74">
        <f t="shared" si="41"/>
        <v>33.75</v>
      </c>
      <c r="S201" s="3">
        <v>38.505910993996189</v>
      </c>
      <c r="T201" s="3">
        <f t="shared" si="35"/>
        <v>38.505910993996189</v>
      </c>
      <c r="U201" s="3">
        <v>53.747446338820538</v>
      </c>
      <c r="V201" s="3">
        <v>91.29636507919416</v>
      </c>
      <c r="W201" s="3">
        <v>92.333513439251419</v>
      </c>
      <c r="X201" s="3">
        <f t="shared" si="36"/>
        <v>79.125774952422034</v>
      </c>
      <c r="Y201" s="3">
        <v>20.784389519681191</v>
      </c>
      <c r="Z201" s="3" t="s">
        <v>335</v>
      </c>
      <c r="AA201" s="3">
        <v>2.174355123531333</v>
      </c>
      <c r="AB201" s="3">
        <v>20.855414386907821</v>
      </c>
      <c r="AC201" s="3">
        <f t="shared" si="37"/>
        <v>14.604719676706784</v>
      </c>
      <c r="AD201" s="3">
        <v>1.2689317610910003</v>
      </c>
      <c r="AE201" s="87">
        <v>0</v>
      </c>
      <c r="AF201" s="3">
        <v>27.848101265822784</v>
      </c>
      <c r="AG201" s="3">
        <v>3.9297703296730706</v>
      </c>
      <c r="AH201" s="3">
        <v>41.216486158115217</v>
      </c>
      <c r="AI201" s="3">
        <f t="shared" si="38"/>
        <v>14.852657902940416</v>
      </c>
      <c r="AJ201" s="65">
        <f t="shared" si="42"/>
        <v>36.772265881516361</v>
      </c>
      <c r="AK201" s="75">
        <f>AJ201*K值!M202</f>
        <v>38.793432048809933</v>
      </c>
      <c r="AL201" s="3">
        <v>50</v>
      </c>
      <c r="AM201" s="3">
        <v>0</v>
      </c>
      <c r="AN201" s="65">
        <f t="shared" si="43"/>
        <v>25</v>
      </c>
      <c r="AP201" s="76">
        <f t="shared" si="44"/>
        <v>44.75806239213405</v>
      </c>
    </row>
    <row r="202" spans="1:42" x14ac:dyDescent="0.25">
      <c r="A202" s="92" t="s">
        <v>212</v>
      </c>
      <c r="B202" s="3">
        <v>4</v>
      </c>
      <c r="C202" s="7">
        <v>35</v>
      </c>
      <c r="D202" s="7">
        <v>80</v>
      </c>
      <c r="E202" s="7">
        <v>75</v>
      </c>
      <c r="F202" s="7">
        <v>75</v>
      </c>
      <c r="G202" s="74">
        <f t="shared" si="39"/>
        <v>66.25</v>
      </c>
      <c r="H202" s="75">
        <f>G202*K值!M203</f>
        <v>69.891392646693149</v>
      </c>
      <c r="I202" s="7">
        <v>25</v>
      </c>
      <c r="J202" s="7">
        <v>60</v>
      </c>
      <c r="K202" s="7">
        <v>25</v>
      </c>
      <c r="L202" s="7">
        <v>25</v>
      </c>
      <c r="M202" s="74">
        <f t="shared" si="40"/>
        <v>33.75</v>
      </c>
      <c r="N202" s="7">
        <v>100</v>
      </c>
      <c r="O202" s="7">
        <v>35</v>
      </c>
      <c r="P202" s="7">
        <v>65</v>
      </c>
      <c r="Q202" s="7">
        <v>35</v>
      </c>
      <c r="R202" s="74">
        <f t="shared" si="41"/>
        <v>58.75</v>
      </c>
      <c r="S202" s="3">
        <v>60.65070696651437</v>
      </c>
      <c r="T202" s="3">
        <f t="shared" si="35"/>
        <v>60.65070696651437</v>
      </c>
      <c r="U202" s="3">
        <v>36.64514570566562</v>
      </c>
      <c r="V202" s="3">
        <v>49.895706174471208</v>
      </c>
      <c r="W202" s="3">
        <v>93.866810751401118</v>
      </c>
      <c r="X202" s="3">
        <f t="shared" si="36"/>
        <v>60.135887543845989</v>
      </c>
      <c r="Y202" s="3">
        <v>8.5626045883204434</v>
      </c>
      <c r="Z202" s="3">
        <v>0.73497879878911798</v>
      </c>
      <c r="AA202" s="3">
        <v>7.4227985251586883</v>
      </c>
      <c r="AB202" s="3">
        <v>66.179659385485905</v>
      </c>
      <c r="AC202" s="3">
        <f t="shared" si="37"/>
        <v>20.725010324438539</v>
      </c>
      <c r="AD202" s="3">
        <v>2.2471968872522883</v>
      </c>
      <c r="AE202" s="87">
        <v>0</v>
      </c>
      <c r="AF202" s="3">
        <v>46.835443037974684</v>
      </c>
      <c r="AG202" s="3">
        <v>3.9297703296730706</v>
      </c>
      <c r="AH202" s="3">
        <v>8.6771549806558355</v>
      </c>
      <c r="AI202" s="3">
        <f t="shared" si="38"/>
        <v>12.337913047111176</v>
      </c>
      <c r="AJ202" s="65">
        <f t="shared" si="42"/>
        <v>38.462379470477522</v>
      </c>
      <c r="AK202" s="75">
        <f>AJ202*K值!M203</f>
        <v>40.576441746373654</v>
      </c>
      <c r="AL202" s="3">
        <v>75</v>
      </c>
      <c r="AM202" s="3">
        <v>0</v>
      </c>
      <c r="AN202" s="65">
        <f t="shared" si="43"/>
        <v>37.5</v>
      </c>
      <c r="AP202" s="76">
        <f t="shared" si="44"/>
        <v>46.583855227888094</v>
      </c>
    </row>
    <row r="203" spans="1:42" x14ac:dyDescent="0.25">
      <c r="A203" s="92" t="s">
        <v>213</v>
      </c>
      <c r="B203" s="3">
        <v>3</v>
      </c>
      <c r="C203" s="7">
        <v>65</v>
      </c>
      <c r="D203" s="7">
        <v>100</v>
      </c>
      <c r="E203" s="7">
        <v>100</v>
      </c>
      <c r="F203" s="7">
        <v>30</v>
      </c>
      <c r="G203" s="74">
        <f t="shared" si="39"/>
        <v>73.75</v>
      </c>
      <c r="H203" s="75">
        <f>G203*K值!M204</f>
        <v>77.803625776507474</v>
      </c>
      <c r="I203" s="7">
        <v>0</v>
      </c>
      <c r="J203" s="7">
        <v>40</v>
      </c>
      <c r="K203" s="7">
        <v>0</v>
      </c>
      <c r="L203" s="7">
        <v>0</v>
      </c>
      <c r="M203" s="74">
        <f t="shared" si="40"/>
        <v>10</v>
      </c>
      <c r="N203" s="7">
        <v>0</v>
      </c>
      <c r="O203" s="7">
        <v>35</v>
      </c>
      <c r="P203" s="7">
        <v>35</v>
      </c>
      <c r="Q203" s="7">
        <v>100</v>
      </c>
      <c r="R203" s="74">
        <f t="shared" si="41"/>
        <v>42.5</v>
      </c>
      <c r="S203" s="3">
        <v>76.935179169974447</v>
      </c>
      <c r="T203" s="3">
        <f t="shared" si="35"/>
        <v>76.935179169974447</v>
      </c>
      <c r="U203" s="3">
        <v>61.241571489290017</v>
      </c>
      <c r="V203" s="3">
        <v>60.495577940664482</v>
      </c>
      <c r="W203" s="3">
        <v>43.755866777053654</v>
      </c>
      <c r="X203" s="3">
        <f t="shared" si="36"/>
        <v>55.164338735669389</v>
      </c>
      <c r="Y203" s="3">
        <v>6.3781290870481415</v>
      </c>
      <c r="Z203" s="3" t="s">
        <v>335</v>
      </c>
      <c r="AA203" s="3">
        <v>8.6974204941253319</v>
      </c>
      <c r="AB203" s="3">
        <v>41.015752954081606</v>
      </c>
      <c r="AC203" s="3">
        <f t="shared" si="37"/>
        <v>18.697100845085028</v>
      </c>
      <c r="AD203" s="3">
        <v>2.1903137393413123</v>
      </c>
      <c r="AE203" s="87">
        <v>0</v>
      </c>
      <c r="AF203" s="3">
        <v>67.510548523206751</v>
      </c>
      <c r="AG203" s="3">
        <v>39.29770329673071</v>
      </c>
      <c r="AH203" s="3">
        <v>13.015732470983751</v>
      </c>
      <c r="AI203" s="3">
        <f t="shared" si="38"/>
        <v>24.402859606052505</v>
      </c>
      <c r="AJ203" s="65">
        <f t="shared" si="42"/>
        <v>43.799869589195346</v>
      </c>
      <c r="AK203" s="75">
        <f>AJ203*K值!M204</f>
        <v>46.207303899357086</v>
      </c>
      <c r="AL203" s="3">
        <v>0</v>
      </c>
      <c r="AM203" s="3">
        <v>0</v>
      </c>
      <c r="AN203" s="65">
        <f t="shared" si="43"/>
        <v>0</v>
      </c>
      <c r="AP203" s="76">
        <f t="shared" si="44"/>
        <v>40.293646715044332</v>
      </c>
    </row>
    <row r="204" spans="1:42" x14ac:dyDescent="0.25">
      <c r="A204" s="92" t="s">
        <v>214</v>
      </c>
      <c r="B204" s="3">
        <v>3</v>
      </c>
      <c r="C204" s="7">
        <v>65</v>
      </c>
      <c r="D204" s="7">
        <v>100</v>
      </c>
      <c r="E204" s="7">
        <v>75</v>
      </c>
      <c r="F204" s="7">
        <v>75</v>
      </c>
      <c r="G204" s="74">
        <f t="shared" si="39"/>
        <v>78.75</v>
      </c>
      <c r="H204" s="75">
        <f>G204*K值!M205</f>
        <v>83.078447863050357</v>
      </c>
      <c r="I204" s="7">
        <v>25</v>
      </c>
      <c r="J204" s="7">
        <v>40</v>
      </c>
      <c r="K204" s="7">
        <v>25</v>
      </c>
      <c r="L204" s="7">
        <v>50</v>
      </c>
      <c r="M204" s="74">
        <f t="shared" si="40"/>
        <v>35</v>
      </c>
      <c r="N204" s="7">
        <v>35</v>
      </c>
      <c r="O204" s="7">
        <v>35</v>
      </c>
      <c r="P204" s="7">
        <v>65</v>
      </c>
      <c r="Q204" s="7">
        <v>35</v>
      </c>
      <c r="R204" s="74">
        <f t="shared" si="41"/>
        <v>42.5</v>
      </c>
      <c r="S204" s="3">
        <v>61.900952585257649</v>
      </c>
      <c r="T204" s="3">
        <f t="shared" si="35"/>
        <v>61.900952585257649</v>
      </c>
      <c r="U204" s="3">
        <v>45.713525852831438</v>
      </c>
      <c r="V204" s="3">
        <v>51.005173761480712</v>
      </c>
      <c r="W204" s="3">
        <v>97.560663367034536</v>
      </c>
      <c r="X204" s="3">
        <f t="shared" si="36"/>
        <v>64.759787660448907</v>
      </c>
      <c r="Y204" s="3">
        <v>10.224865407470411</v>
      </c>
      <c r="Z204" s="3" t="s">
        <v>335</v>
      </c>
      <c r="AA204" s="3">
        <v>7.4977762880390788</v>
      </c>
      <c r="AB204" s="3">
        <v>24.836790096682989</v>
      </c>
      <c r="AC204" s="3">
        <f t="shared" si="37"/>
        <v>14.186477264064159</v>
      </c>
      <c r="AD204" s="3">
        <v>2.3725273395176805</v>
      </c>
      <c r="AE204" s="87">
        <v>0</v>
      </c>
      <c r="AF204" s="3">
        <v>54.852320675105481</v>
      </c>
      <c r="AG204" s="3">
        <v>23.578621978038424</v>
      </c>
      <c r="AH204" s="3">
        <v>0</v>
      </c>
      <c r="AI204" s="3">
        <f t="shared" si="38"/>
        <v>16.160693998532317</v>
      </c>
      <c r="AJ204" s="65">
        <f t="shared" si="42"/>
        <v>39.25197787707576</v>
      </c>
      <c r="AK204" s="75">
        <f>AJ204*K值!M205</f>
        <v>41.40943996929834</v>
      </c>
      <c r="AL204" s="3">
        <v>50</v>
      </c>
      <c r="AM204" s="3">
        <v>0</v>
      </c>
      <c r="AN204" s="65">
        <f t="shared" si="43"/>
        <v>25</v>
      </c>
      <c r="AP204" s="76">
        <f t="shared" si="44"/>
        <v>46.929465560329405</v>
      </c>
    </row>
    <row r="205" spans="1:42" x14ac:dyDescent="0.25">
      <c r="A205" s="92" t="s">
        <v>215</v>
      </c>
      <c r="B205" s="3">
        <v>2</v>
      </c>
      <c r="C205" s="7">
        <v>65</v>
      </c>
      <c r="D205" s="7">
        <v>80</v>
      </c>
      <c r="E205" s="7">
        <v>60</v>
      </c>
      <c r="F205" s="7">
        <v>75</v>
      </c>
      <c r="G205" s="74">
        <f t="shared" si="39"/>
        <v>70</v>
      </c>
      <c r="H205" s="75">
        <f>G205*K值!M206</f>
        <v>73.847509211600311</v>
      </c>
      <c r="I205" s="7">
        <v>50</v>
      </c>
      <c r="J205" s="7">
        <v>100</v>
      </c>
      <c r="K205" s="7">
        <v>25</v>
      </c>
      <c r="L205" s="7">
        <v>50</v>
      </c>
      <c r="M205" s="74">
        <f t="shared" si="40"/>
        <v>56.25</v>
      </c>
      <c r="N205" s="36">
        <v>100</v>
      </c>
      <c r="O205" s="7">
        <v>35</v>
      </c>
      <c r="P205" s="7">
        <v>65</v>
      </c>
      <c r="Q205" s="7">
        <v>65</v>
      </c>
      <c r="R205" s="74">
        <f t="shared" si="41"/>
        <v>66.25</v>
      </c>
      <c r="S205" s="3">
        <v>0</v>
      </c>
      <c r="T205" s="3">
        <v>0</v>
      </c>
      <c r="U205" s="3">
        <v>32.115131706948752</v>
      </c>
      <c r="V205" s="3">
        <v>83.772884045955223</v>
      </c>
      <c r="W205" s="3">
        <v>86.339714855393453</v>
      </c>
      <c r="X205" s="3">
        <f>AVERAGE(U205:W205)</f>
        <v>67.40924353609914</v>
      </c>
      <c r="Y205" s="3" t="s">
        <v>335</v>
      </c>
      <c r="Z205" s="3">
        <v>1.3578419417158136</v>
      </c>
      <c r="AA205" s="3">
        <v>1.7244885462489881</v>
      </c>
      <c r="AB205" s="3">
        <v>43.779127253224416</v>
      </c>
      <c r="AC205" s="3">
        <f t="shared" si="37"/>
        <v>15.620485913729739</v>
      </c>
      <c r="AD205" s="3">
        <v>2.0940499505688921</v>
      </c>
      <c r="AE205" s="87">
        <v>0</v>
      </c>
      <c r="AF205" s="3">
        <v>70.46413502109705</v>
      </c>
      <c r="AG205" s="3">
        <v>27.5083923077115</v>
      </c>
      <c r="AH205" s="3">
        <v>28.200753687131463</v>
      </c>
      <c r="AI205" s="3">
        <f t="shared" si="38"/>
        <v>25.653466193301778</v>
      </c>
      <c r="AJ205" s="65">
        <f t="shared" si="42"/>
        <v>27.170798910782665</v>
      </c>
      <c r="AK205" s="75">
        <f>AJ205*K值!M206</f>
        <v>28.664226040722323</v>
      </c>
      <c r="AL205" s="88">
        <v>75</v>
      </c>
      <c r="AM205" s="88">
        <v>75</v>
      </c>
      <c r="AN205" s="65">
        <f t="shared" si="43"/>
        <v>75</v>
      </c>
      <c r="AP205" s="76">
        <f t="shared" si="44"/>
        <v>51.61019225860899</v>
      </c>
    </row>
    <row r="206" spans="1:42" x14ac:dyDescent="0.25">
      <c r="A206" s="92" t="s">
        <v>216</v>
      </c>
      <c r="B206" s="3">
        <v>2</v>
      </c>
      <c r="C206" s="7">
        <v>35</v>
      </c>
      <c r="D206" s="7">
        <v>60</v>
      </c>
      <c r="E206" s="7">
        <v>100</v>
      </c>
      <c r="F206" s="7">
        <v>45</v>
      </c>
      <c r="G206" s="74">
        <f t="shared" si="39"/>
        <v>60</v>
      </c>
      <c r="H206" s="75">
        <f>G206*K值!M207</f>
        <v>63.297865038514558</v>
      </c>
      <c r="I206" s="7">
        <v>0</v>
      </c>
      <c r="J206" s="7">
        <v>40</v>
      </c>
      <c r="K206" s="7">
        <v>50</v>
      </c>
      <c r="L206" s="7">
        <v>25</v>
      </c>
      <c r="M206" s="74">
        <f t="shared" si="40"/>
        <v>28.75</v>
      </c>
      <c r="N206" s="7">
        <v>35</v>
      </c>
      <c r="O206" s="7">
        <v>0</v>
      </c>
      <c r="P206" s="7">
        <v>100</v>
      </c>
      <c r="Q206" s="7">
        <v>65</v>
      </c>
      <c r="R206" s="74">
        <f t="shared" si="41"/>
        <v>50</v>
      </c>
      <c r="S206" s="3">
        <v>42.463421942157254</v>
      </c>
      <c r="T206" s="3">
        <f t="shared" ref="T206:T237" si="45">AVERAGE(S206)</f>
        <v>42.463421942157254</v>
      </c>
      <c r="U206" s="3">
        <v>34.47588595179257</v>
      </c>
      <c r="V206" s="3">
        <v>21.233947957156506</v>
      </c>
      <c r="W206" s="3">
        <v>93.378943424808043</v>
      </c>
      <c r="X206" s="3">
        <f t="shared" si="36"/>
        <v>49.696259111252374</v>
      </c>
      <c r="Y206" s="3">
        <v>32.486411481042246</v>
      </c>
      <c r="Z206" s="3" t="s">
        <v>335</v>
      </c>
      <c r="AA206" s="3">
        <v>17.019952173848711</v>
      </c>
      <c r="AB206" s="3">
        <v>41.797499350874475</v>
      </c>
      <c r="AC206" s="3">
        <f t="shared" si="37"/>
        <v>30.434621001921812</v>
      </c>
      <c r="AD206" s="3">
        <v>10.76060384300543</v>
      </c>
      <c r="AE206" s="87">
        <v>0</v>
      </c>
      <c r="AF206" s="3">
        <v>16.033755274261605</v>
      </c>
      <c r="AG206" s="3">
        <v>3.9297703296730706</v>
      </c>
      <c r="AH206" s="3">
        <v>41.216486158115217</v>
      </c>
      <c r="AI206" s="3">
        <f t="shared" si="38"/>
        <v>14.388123121011063</v>
      </c>
      <c r="AJ206" s="65">
        <f t="shared" si="42"/>
        <v>34.245606294085626</v>
      </c>
      <c r="AK206" s="75">
        <f>AJ206*K值!M207</f>
        <v>36.12789608941894</v>
      </c>
      <c r="AL206" s="3">
        <v>50</v>
      </c>
      <c r="AM206" s="3">
        <v>50</v>
      </c>
      <c r="AN206" s="65">
        <f t="shared" si="43"/>
        <v>50</v>
      </c>
      <c r="AP206" s="76">
        <f t="shared" si="44"/>
        <v>42.860731443470485</v>
      </c>
    </row>
    <row r="207" spans="1:42" x14ac:dyDescent="0.25">
      <c r="A207" s="92" t="s">
        <v>217</v>
      </c>
      <c r="B207" s="3">
        <v>3</v>
      </c>
      <c r="C207" s="7">
        <v>35</v>
      </c>
      <c r="D207" s="7">
        <v>100</v>
      </c>
      <c r="E207" s="7">
        <v>60</v>
      </c>
      <c r="F207" s="7">
        <v>60</v>
      </c>
      <c r="G207" s="74">
        <f t="shared" si="39"/>
        <v>63.75</v>
      </c>
      <c r="H207" s="75">
        <f>G207*K值!M208</f>
        <v>67.253981603421721</v>
      </c>
      <c r="I207" s="7">
        <v>50</v>
      </c>
      <c r="J207" s="7">
        <v>80</v>
      </c>
      <c r="K207" s="7">
        <v>25</v>
      </c>
      <c r="L207" s="7">
        <v>0</v>
      </c>
      <c r="M207" s="74">
        <f t="shared" si="40"/>
        <v>38.75</v>
      </c>
      <c r="N207" s="7">
        <v>35</v>
      </c>
      <c r="O207" s="7">
        <v>0</v>
      </c>
      <c r="P207" s="7">
        <v>65</v>
      </c>
      <c r="Q207" s="7">
        <v>65</v>
      </c>
      <c r="R207" s="74">
        <f t="shared" si="41"/>
        <v>41.25</v>
      </c>
      <c r="S207" s="3">
        <v>74.698287281852842</v>
      </c>
      <c r="T207" s="3">
        <f t="shared" si="45"/>
        <v>74.698287281852842</v>
      </c>
      <c r="U207" s="3">
        <v>72.506653391579349</v>
      </c>
      <c r="V207" s="3">
        <v>71.639426889408099</v>
      </c>
      <c r="W207" s="3">
        <v>96.271299718181396</v>
      </c>
      <c r="X207" s="3">
        <f t="shared" si="36"/>
        <v>80.139126666389629</v>
      </c>
      <c r="Y207" s="3">
        <v>10.497005453083458</v>
      </c>
      <c r="Z207" s="3">
        <v>0.56068708016854818</v>
      </c>
      <c r="AA207" s="3">
        <v>1.8744440720097697</v>
      </c>
      <c r="AB207" s="3">
        <v>71.634908835198772</v>
      </c>
      <c r="AC207" s="3">
        <f t="shared" si="37"/>
        <v>21.141761360115137</v>
      </c>
      <c r="AD207" s="3">
        <v>0.74416909437381062</v>
      </c>
      <c r="AE207" s="87">
        <v>0</v>
      </c>
      <c r="AF207" s="3">
        <v>10.126582278481013</v>
      </c>
      <c r="AG207" s="3">
        <v>3.9297703296730706</v>
      </c>
      <c r="AH207" s="3">
        <v>2.1692887451639589</v>
      </c>
      <c r="AI207" s="3">
        <f t="shared" si="38"/>
        <v>3.3939620895383711</v>
      </c>
      <c r="AJ207" s="65">
        <f t="shared" si="42"/>
        <v>44.843284349473997</v>
      </c>
      <c r="AK207" s="75">
        <f>AJ207*K值!M208</f>
        <v>47.308069343945618</v>
      </c>
      <c r="AL207" s="3">
        <v>25</v>
      </c>
      <c r="AM207" s="3">
        <v>50</v>
      </c>
      <c r="AN207" s="65">
        <f t="shared" si="43"/>
        <v>37.5</v>
      </c>
      <c r="AP207" s="76">
        <f t="shared" si="44"/>
        <v>47.999024058262592</v>
      </c>
    </row>
    <row r="208" spans="1:42" x14ac:dyDescent="0.25">
      <c r="A208" s="92" t="s">
        <v>218</v>
      </c>
      <c r="B208" s="3">
        <v>4</v>
      </c>
      <c r="C208" s="7">
        <v>65</v>
      </c>
      <c r="D208" s="7">
        <v>80</v>
      </c>
      <c r="E208" s="7">
        <v>60</v>
      </c>
      <c r="F208" s="7">
        <v>45</v>
      </c>
      <c r="G208" s="74">
        <f t="shared" si="39"/>
        <v>62.5</v>
      </c>
      <c r="H208" s="75">
        <f>G208*K值!M209</f>
        <v>65.935276081786</v>
      </c>
      <c r="I208" s="7">
        <v>75</v>
      </c>
      <c r="J208" s="7">
        <v>40</v>
      </c>
      <c r="K208" s="7">
        <v>25</v>
      </c>
      <c r="L208" s="7">
        <v>25</v>
      </c>
      <c r="M208" s="74">
        <f t="shared" si="40"/>
        <v>41.25</v>
      </c>
      <c r="N208" s="7">
        <v>65</v>
      </c>
      <c r="O208" s="7">
        <v>35</v>
      </c>
      <c r="P208" s="7">
        <v>100</v>
      </c>
      <c r="Q208" s="7">
        <v>35</v>
      </c>
      <c r="R208" s="74">
        <f t="shared" si="41"/>
        <v>58.75</v>
      </c>
      <c r="S208" s="3">
        <v>78.730019658880025</v>
      </c>
      <c r="T208" s="3">
        <f t="shared" si="45"/>
        <v>78.730019658880025</v>
      </c>
      <c r="U208" s="3">
        <v>60.734946149937386</v>
      </c>
      <c r="V208" s="3">
        <v>56.610904727423453</v>
      </c>
      <c r="W208" s="3" t="s">
        <v>334</v>
      </c>
      <c r="X208" s="3">
        <f t="shared" si="36"/>
        <v>58.672925438680423</v>
      </c>
      <c r="Y208" s="3">
        <v>1.0370742278767493</v>
      </c>
      <c r="Z208" s="3">
        <v>1.1743239104694432</v>
      </c>
      <c r="AA208" s="3">
        <v>7.4227985251586883</v>
      </c>
      <c r="AB208" s="3">
        <v>31.286318198096136</v>
      </c>
      <c r="AC208" s="3">
        <f t="shared" si="37"/>
        <v>10.230128715400255</v>
      </c>
      <c r="AD208" s="3">
        <v>2.456289337540436</v>
      </c>
      <c r="AE208" s="87">
        <v>0</v>
      </c>
      <c r="AF208" s="3">
        <v>50.210970464135016</v>
      </c>
      <c r="AG208" s="3">
        <v>23.578621978038424</v>
      </c>
      <c r="AH208" s="3">
        <v>6.5078662354918757</v>
      </c>
      <c r="AI208" s="3">
        <f t="shared" si="38"/>
        <v>16.550749603041147</v>
      </c>
      <c r="AJ208" s="65">
        <f t="shared" si="42"/>
        <v>41.045955854000468</v>
      </c>
      <c r="AK208" s="75">
        <f>AJ208*K值!M209</f>
        <v>43.302022900389133</v>
      </c>
      <c r="AL208" s="3">
        <v>50</v>
      </c>
      <c r="AM208" s="3">
        <v>0</v>
      </c>
      <c r="AN208" s="65">
        <f t="shared" si="43"/>
        <v>25</v>
      </c>
      <c r="AP208" s="76">
        <f t="shared" si="44"/>
        <v>47.132864376512856</v>
      </c>
    </row>
    <row r="209" spans="1:42" x14ac:dyDescent="0.25">
      <c r="A209" s="92" t="s">
        <v>219</v>
      </c>
      <c r="B209" s="3">
        <v>4</v>
      </c>
      <c r="C209" s="7">
        <v>65</v>
      </c>
      <c r="D209" s="7">
        <v>100</v>
      </c>
      <c r="E209" s="7">
        <v>75</v>
      </c>
      <c r="F209" s="7">
        <v>75</v>
      </c>
      <c r="G209" s="74">
        <f t="shared" si="39"/>
        <v>78.75</v>
      </c>
      <c r="H209" s="75">
        <f>G209*K值!M210</f>
        <v>83.078447863050357</v>
      </c>
      <c r="I209" s="7">
        <v>0</v>
      </c>
      <c r="J209" s="7">
        <v>0</v>
      </c>
      <c r="K209" s="7">
        <v>25</v>
      </c>
      <c r="L209" s="7">
        <v>0</v>
      </c>
      <c r="M209" s="74">
        <f t="shared" si="40"/>
        <v>6.25</v>
      </c>
      <c r="N209" s="7">
        <v>0</v>
      </c>
      <c r="O209" s="7">
        <v>0</v>
      </c>
      <c r="P209" s="7">
        <v>35</v>
      </c>
      <c r="Q209" s="7">
        <v>0</v>
      </c>
      <c r="R209" s="74">
        <f t="shared" si="41"/>
        <v>8.75</v>
      </c>
      <c r="S209" s="3">
        <v>92.646191609628985</v>
      </c>
      <c r="T209" s="3">
        <f t="shared" si="45"/>
        <v>92.646191609628985</v>
      </c>
      <c r="U209" s="3">
        <v>86.891446981181971</v>
      </c>
      <c r="V209" s="3">
        <v>81.431016175314682</v>
      </c>
      <c r="W209" s="3">
        <v>75.188461676122785</v>
      </c>
      <c r="X209" s="3">
        <f t="shared" si="36"/>
        <v>81.170308277539817</v>
      </c>
      <c r="Y209" s="3">
        <v>0.28930203047152819</v>
      </c>
      <c r="Z209" s="3">
        <v>2.4888486045427394</v>
      </c>
      <c r="AA209" s="3">
        <v>0.59982210304312633</v>
      </c>
      <c r="AB209" s="3">
        <v>64.310561569333828</v>
      </c>
      <c r="AC209" s="3">
        <f t="shared" si="37"/>
        <v>16.922133576847806</v>
      </c>
      <c r="AD209" s="3">
        <v>0.29472971692335298</v>
      </c>
      <c r="AE209" s="87">
        <v>0</v>
      </c>
      <c r="AF209" s="3">
        <v>21.940928270042196</v>
      </c>
      <c r="AG209" s="3">
        <v>0</v>
      </c>
      <c r="AH209" s="3">
        <v>17.354309961311671</v>
      </c>
      <c r="AI209" s="3">
        <f t="shared" si="38"/>
        <v>7.9179935896554436</v>
      </c>
      <c r="AJ209" s="65">
        <f t="shared" si="42"/>
        <v>49.664156763418013</v>
      </c>
      <c r="AK209" s="75">
        <f>AJ209*K值!M210</f>
        <v>52.393918201041053</v>
      </c>
      <c r="AL209" s="3">
        <v>50</v>
      </c>
      <c r="AM209" s="3">
        <v>0</v>
      </c>
      <c r="AN209" s="65">
        <f t="shared" si="43"/>
        <v>25</v>
      </c>
      <c r="AP209" s="76">
        <f t="shared" si="44"/>
        <v>42.198256853026493</v>
      </c>
    </row>
    <row r="210" spans="1:42" s="88" customFormat="1" x14ac:dyDescent="0.25">
      <c r="A210" s="94" t="s">
        <v>220</v>
      </c>
      <c r="B210" s="88">
        <v>4</v>
      </c>
      <c r="C210" s="9">
        <v>65</v>
      </c>
      <c r="D210" s="9">
        <v>100</v>
      </c>
      <c r="E210" s="9">
        <v>100</v>
      </c>
      <c r="F210" s="9">
        <v>75</v>
      </c>
      <c r="G210" s="74">
        <f t="shared" si="39"/>
        <v>85</v>
      </c>
      <c r="H210" s="75">
        <f>G210*K值!M211</f>
        <v>89.671975471228947</v>
      </c>
      <c r="I210" s="9">
        <v>0</v>
      </c>
      <c r="J210" s="9">
        <v>0</v>
      </c>
      <c r="K210" s="9">
        <v>0</v>
      </c>
      <c r="L210" s="9">
        <v>0</v>
      </c>
      <c r="M210" s="74">
        <f t="shared" si="40"/>
        <v>0</v>
      </c>
      <c r="N210" s="9">
        <v>0</v>
      </c>
      <c r="O210" s="9">
        <v>0</v>
      </c>
      <c r="P210" s="9">
        <v>0</v>
      </c>
      <c r="Q210" s="9">
        <v>0</v>
      </c>
      <c r="R210" s="74">
        <f t="shared" si="41"/>
        <v>0</v>
      </c>
      <c r="S210" s="90">
        <v>91.862032603305977</v>
      </c>
      <c r="T210" s="3">
        <f t="shared" si="45"/>
        <v>91.862032603305977</v>
      </c>
      <c r="U210" s="88">
        <v>84.25858580376449</v>
      </c>
      <c r="V210" s="88">
        <v>51.094299966531331</v>
      </c>
      <c r="W210" s="88">
        <v>81.495889255647754</v>
      </c>
      <c r="X210" s="3">
        <f t="shared" si="36"/>
        <v>72.282925008647851</v>
      </c>
      <c r="Y210" s="88">
        <v>0.75267562165050139</v>
      </c>
      <c r="Z210" s="88" t="s">
        <v>335</v>
      </c>
      <c r="AA210" s="88">
        <v>6.5230653705939989</v>
      </c>
      <c r="AB210" s="88">
        <v>74.543746208614039</v>
      </c>
      <c r="AC210" s="3">
        <f t="shared" si="37"/>
        <v>27.273162400286179</v>
      </c>
      <c r="AD210" s="88">
        <v>1.3733217138507032</v>
      </c>
      <c r="AE210" s="87">
        <v>0</v>
      </c>
      <c r="AF210" s="88">
        <v>20.675105485232066</v>
      </c>
      <c r="AG210" s="88">
        <v>0</v>
      </c>
      <c r="AH210" s="88">
        <v>0</v>
      </c>
      <c r="AI210" s="3">
        <f t="shared" si="38"/>
        <v>4.4096854398165544</v>
      </c>
      <c r="AJ210" s="65">
        <f t="shared" si="42"/>
        <v>48.956951363014134</v>
      </c>
      <c r="AK210" s="75">
        <f>AJ210*K值!M211</f>
        <v>51.647841667886496</v>
      </c>
      <c r="AL210" s="88">
        <v>0</v>
      </c>
      <c r="AM210" s="88">
        <v>0</v>
      </c>
      <c r="AN210" s="65">
        <f t="shared" si="43"/>
        <v>0</v>
      </c>
      <c r="AP210" s="76">
        <f t="shared" si="44"/>
        <v>38.593531761400385</v>
      </c>
    </row>
    <row r="211" spans="1:42" x14ac:dyDescent="0.25">
      <c r="A211" s="92" t="s">
        <v>221</v>
      </c>
      <c r="B211" s="3">
        <v>4</v>
      </c>
      <c r="C211" s="7">
        <v>65</v>
      </c>
      <c r="D211" s="7">
        <v>60</v>
      </c>
      <c r="E211" s="7">
        <v>75</v>
      </c>
      <c r="F211" s="7">
        <v>15</v>
      </c>
      <c r="G211" s="74">
        <f t="shared" si="39"/>
        <v>53.75</v>
      </c>
      <c r="H211" s="75">
        <f>G211*K值!M212</f>
        <v>56.704337430335954</v>
      </c>
      <c r="I211" s="7">
        <v>0</v>
      </c>
      <c r="J211" s="7">
        <v>40</v>
      </c>
      <c r="K211" s="7">
        <v>0</v>
      </c>
      <c r="L211" s="7">
        <v>0</v>
      </c>
      <c r="M211" s="74">
        <f t="shared" si="40"/>
        <v>10</v>
      </c>
      <c r="N211" s="7">
        <v>0</v>
      </c>
      <c r="O211" s="7">
        <v>0</v>
      </c>
      <c r="P211" s="7">
        <v>65</v>
      </c>
      <c r="Q211" s="7">
        <v>0</v>
      </c>
      <c r="R211" s="74">
        <f t="shared" si="41"/>
        <v>16.25</v>
      </c>
      <c r="S211" s="3">
        <v>96.321284284470693</v>
      </c>
      <c r="T211" s="3">
        <f t="shared" si="45"/>
        <v>96.321284284470693</v>
      </c>
      <c r="U211" s="3" t="s">
        <v>335</v>
      </c>
      <c r="V211" s="3">
        <v>79.255107445113211</v>
      </c>
      <c r="W211" s="3">
        <v>59.716097889884765</v>
      </c>
      <c r="X211" s="3">
        <f t="shared" si="36"/>
        <v>69.485602667498995</v>
      </c>
      <c r="Y211" s="3">
        <v>2.6282353954701549</v>
      </c>
      <c r="Z211" s="3">
        <v>0.74057116280994528</v>
      </c>
      <c r="AA211" s="3">
        <v>1.1246664432058617</v>
      </c>
      <c r="AB211" s="3">
        <v>54.428025510318058</v>
      </c>
      <c r="AC211" s="3">
        <f t="shared" si="37"/>
        <v>14.730374627951004</v>
      </c>
      <c r="AD211" s="3">
        <v>0.58633398615928978</v>
      </c>
      <c r="AE211" s="87">
        <v>0</v>
      </c>
      <c r="AF211" s="3">
        <v>14.345991561181433</v>
      </c>
      <c r="AG211" s="3">
        <v>0</v>
      </c>
      <c r="AH211" s="3">
        <v>8.6771549806558355</v>
      </c>
      <c r="AI211" s="3">
        <f t="shared" si="38"/>
        <v>4.7218961055993116</v>
      </c>
      <c r="AJ211" s="65">
        <f t="shared" si="42"/>
        <v>46.314789421379999</v>
      </c>
      <c r="AK211" s="75">
        <f>AJ211*K值!M212</f>
        <v>48.860454834695545</v>
      </c>
      <c r="AL211" s="3">
        <v>50</v>
      </c>
      <c r="AM211" s="3">
        <v>0</v>
      </c>
      <c r="AN211" s="65">
        <f t="shared" si="43"/>
        <v>25</v>
      </c>
      <c r="AP211" s="76">
        <f t="shared" si="44"/>
        <v>37.01004941994541</v>
      </c>
    </row>
    <row r="212" spans="1:42" x14ac:dyDescent="0.25">
      <c r="A212" s="92" t="s">
        <v>222</v>
      </c>
      <c r="B212" s="3">
        <v>4</v>
      </c>
      <c r="C212" s="7">
        <v>65</v>
      </c>
      <c r="D212" s="7">
        <v>100</v>
      </c>
      <c r="E212" s="7">
        <v>75</v>
      </c>
      <c r="F212" s="7">
        <v>75</v>
      </c>
      <c r="G212" s="74">
        <f t="shared" si="39"/>
        <v>78.75</v>
      </c>
      <c r="H212" s="75">
        <f>G212*K值!M213</f>
        <v>83.078447863050357</v>
      </c>
      <c r="I212" s="7">
        <v>25</v>
      </c>
      <c r="J212" s="7">
        <v>40</v>
      </c>
      <c r="K212" s="7">
        <v>0</v>
      </c>
      <c r="L212" s="7">
        <v>0</v>
      </c>
      <c r="M212" s="74">
        <f t="shared" si="40"/>
        <v>16.25</v>
      </c>
      <c r="N212" s="7">
        <v>35</v>
      </c>
      <c r="O212" s="7">
        <v>35</v>
      </c>
      <c r="P212" s="7">
        <v>65</v>
      </c>
      <c r="Q212" s="7">
        <v>35</v>
      </c>
      <c r="R212" s="74">
        <f t="shared" si="41"/>
        <v>42.5</v>
      </c>
      <c r="S212" s="3">
        <v>81.783956822691948</v>
      </c>
      <c r="T212" s="3">
        <f t="shared" si="45"/>
        <v>81.783956822691948</v>
      </c>
      <c r="U212" s="3">
        <v>70.465788283450365</v>
      </c>
      <c r="V212" s="3">
        <v>67.465861839106438</v>
      </c>
      <c r="W212" s="3">
        <v>99.895457001444328</v>
      </c>
      <c r="X212" s="3">
        <f t="shared" si="36"/>
        <v>79.275702374667034</v>
      </c>
      <c r="Y212" s="3">
        <v>0.46214773511765311</v>
      </c>
      <c r="Z212" s="3">
        <v>0.35358827663721071</v>
      </c>
      <c r="AA212" s="3">
        <v>16.420130070805584</v>
      </c>
      <c r="AB212" s="3">
        <v>32.54491082373724</v>
      </c>
      <c r="AC212" s="3">
        <f t="shared" si="37"/>
        <v>12.445194226574422</v>
      </c>
      <c r="AD212" s="3">
        <v>2.2706377449079103</v>
      </c>
      <c r="AE212" s="87">
        <v>0</v>
      </c>
      <c r="AF212" s="3">
        <v>57.805907172995788</v>
      </c>
      <c r="AG212" s="3">
        <v>27.5083923077115</v>
      </c>
      <c r="AH212" s="3">
        <v>2.1692887451639589</v>
      </c>
      <c r="AI212" s="3">
        <f t="shared" si="38"/>
        <v>17.950845194155828</v>
      </c>
      <c r="AJ212" s="65">
        <f t="shared" si="42"/>
        <v>47.863924654522307</v>
      </c>
      <c r="AK212" s="75">
        <f>AJ212*K值!M213</f>
        <v>50.494737383259711</v>
      </c>
      <c r="AL212" s="3">
        <v>0</v>
      </c>
      <c r="AM212" s="3">
        <v>0</v>
      </c>
      <c r="AN212" s="65">
        <f t="shared" si="43"/>
        <v>0</v>
      </c>
      <c r="AP212" s="76">
        <f t="shared" si="44"/>
        <v>44.31358452591396</v>
      </c>
    </row>
    <row r="213" spans="1:42" x14ac:dyDescent="0.25">
      <c r="A213" s="92" t="s">
        <v>223</v>
      </c>
      <c r="B213" s="3">
        <v>3</v>
      </c>
      <c r="C213" s="7">
        <v>0</v>
      </c>
      <c r="D213" s="7">
        <v>40</v>
      </c>
      <c r="E213" s="7">
        <v>0</v>
      </c>
      <c r="F213" s="7">
        <v>15</v>
      </c>
      <c r="G213" s="74">
        <f t="shared" si="39"/>
        <v>13.75</v>
      </c>
      <c r="H213" s="75">
        <f>G213*K值!M214</f>
        <v>14.505760737992919</v>
      </c>
      <c r="I213" s="7">
        <v>0</v>
      </c>
      <c r="J213" s="7">
        <v>40</v>
      </c>
      <c r="K213" s="7">
        <v>25</v>
      </c>
      <c r="L213" s="7">
        <v>25</v>
      </c>
      <c r="M213" s="74">
        <f t="shared" si="40"/>
        <v>22.5</v>
      </c>
      <c r="N213" s="7">
        <v>100</v>
      </c>
      <c r="O213" s="7">
        <v>0</v>
      </c>
      <c r="P213" s="7">
        <v>65</v>
      </c>
      <c r="Q213" s="7">
        <v>0</v>
      </c>
      <c r="R213" s="74">
        <f t="shared" si="41"/>
        <v>41.25</v>
      </c>
      <c r="S213" s="3">
        <v>64.352450453715377</v>
      </c>
      <c r="T213" s="3">
        <f t="shared" si="45"/>
        <v>64.352450453715377</v>
      </c>
      <c r="U213" s="3">
        <v>61.897026425191036</v>
      </c>
      <c r="V213" s="3">
        <v>69.872269375473309</v>
      </c>
      <c r="W213" s="3">
        <v>100</v>
      </c>
      <c r="X213" s="3">
        <f t="shared" si="36"/>
        <v>77.256431933554779</v>
      </c>
      <c r="Y213" s="3">
        <v>3.9766770629221933</v>
      </c>
      <c r="Z213" s="3">
        <v>0.86532947819026906</v>
      </c>
      <c r="AA213" s="3">
        <v>3.8238659068999299</v>
      </c>
      <c r="AB213" s="3">
        <v>53.551970747910126</v>
      </c>
      <c r="AC213" s="3">
        <f t="shared" si="37"/>
        <v>15.55446079898063</v>
      </c>
      <c r="AD213" s="3">
        <v>5.8233341311939686</v>
      </c>
      <c r="AE213" s="87">
        <v>0</v>
      </c>
      <c r="AF213" s="3">
        <v>69.198312236286924</v>
      </c>
      <c r="AG213" s="3">
        <v>31.438162637384565</v>
      </c>
      <c r="AH213" s="3">
        <v>28.200753687131463</v>
      </c>
      <c r="AI213" s="3">
        <f t="shared" si="38"/>
        <v>26.932112538399384</v>
      </c>
      <c r="AJ213" s="65">
        <f t="shared" si="42"/>
        <v>46.023863931162552</v>
      </c>
      <c r="AK213" s="75">
        <f>AJ213*K值!M214</f>
        <v>48.553538794428086</v>
      </c>
      <c r="AL213" s="3">
        <v>50</v>
      </c>
      <c r="AM213" s="3">
        <v>0</v>
      </c>
      <c r="AN213" s="65">
        <f t="shared" si="43"/>
        <v>25</v>
      </c>
      <c r="AP213" s="76">
        <f t="shared" si="44"/>
        <v>33.447567665369817</v>
      </c>
    </row>
    <row r="214" spans="1:42" x14ac:dyDescent="0.25">
      <c r="A214" s="92" t="s">
        <v>318</v>
      </c>
      <c r="B214" s="3">
        <v>3</v>
      </c>
      <c r="C214" s="7">
        <v>35</v>
      </c>
      <c r="D214" s="7">
        <v>0</v>
      </c>
      <c r="E214" s="7">
        <v>30</v>
      </c>
      <c r="F214" s="7">
        <v>15</v>
      </c>
      <c r="G214" s="74">
        <f t="shared" si="39"/>
        <v>20</v>
      </c>
      <c r="H214" s="75">
        <f>G214*K值!M215</f>
        <v>21.099288346171519</v>
      </c>
      <c r="I214" s="7">
        <v>75</v>
      </c>
      <c r="J214" s="7">
        <v>60</v>
      </c>
      <c r="K214" s="7">
        <v>25</v>
      </c>
      <c r="L214" s="7">
        <v>0</v>
      </c>
      <c r="M214" s="74">
        <f t="shared" si="40"/>
        <v>40</v>
      </c>
      <c r="N214" s="7">
        <v>35</v>
      </c>
      <c r="O214" s="7">
        <v>35</v>
      </c>
      <c r="P214" s="7">
        <v>100</v>
      </c>
      <c r="Q214" s="7">
        <v>35</v>
      </c>
      <c r="R214" s="74">
        <f t="shared" si="41"/>
        <v>51.25</v>
      </c>
      <c r="S214" s="3">
        <v>62.009601161532977</v>
      </c>
      <c r="T214" s="3">
        <f t="shared" si="45"/>
        <v>62.009601161532977</v>
      </c>
      <c r="U214" s="3">
        <v>58.159173805423947</v>
      </c>
      <c r="V214" s="3">
        <v>77.727668689590431</v>
      </c>
      <c r="W214" s="3">
        <v>99.268199010110379</v>
      </c>
      <c r="X214" s="3">
        <f t="shared" si="36"/>
        <v>78.38501383504159</v>
      </c>
      <c r="Y214" s="3">
        <v>7.38087934520793</v>
      </c>
      <c r="Z214" s="3">
        <v>0.4555129189467636</v>
      </c>
      <c r="AA214" s="3">
        <v>1.7244885462489881</v>
      </c>
      <c r="AB214" s="3">
        <v>34.684832506493819</v>
      </c>
      <c r="AC214" s="3">
        <f t="shared" si="37"/>
        <v>11.061428329224375</v>
      </c>
      <c r="AD214" s="3">
        <v>1.6286707899126112</v>
      </c>
      <c r="AE214" s="87">
        <v>0</v>
      </c>
      <c r="AF214" s="3">
        <v>47.257383966244724</v>
      </c>
      <c r="AG214" s="3">
        <v>15.719081318692282</v>
      </c>
      <c r="AH214" s="3">
        <v>19.523598706475628</v>
      </c>
      <c r="AI214" s="3">
        <f t="shared" si="38"/>
        <v>16.825746956265046</v>
      </c>
      <c r="AJ214" s="65">
        <f t="shared" si="42"/>
        <v>42.070447570516002</v>
      </c>
      <c r="AK214" s="75">
        <f>AJ214*K值!M215</f>
        <v>44.382825207140407</v>
      </c>
      <c r="AL214" s="3">
        <v>75</v>
      </c>
      <c r="AM214" s="3">
        <v>0</v>
      </c>
      <c r="AN214" s="65">
        <f t="shared" si="43"/>
        <v>37.5</v>
      </c>
      <c r="AP214" s="76">
        <f t="shared" si="44"/>
        <v>38.847987752090468</v>
      </c>
    </row>
    <row r="215" spans="1:42" s="88" customFormat="1" x14ac:dyDescent="0.25">
      <c r="A215" s="94" t="s">
        <v>224</v>
      </c>
      <c r="B215" s="88">
        <v>4</v>
      </c>
      <c r="C215" s="9">
        <v>65</v>
      </c>
      <c r="D215" s="9">
        <v>80</v>
      </c>
      <c r="E215" s="9">
        <v>100</v>
      </c>
      <c r="F215" s="9">
        <v>75</v>
      </c>
      <c r="G215" s="74">
        <f t="shared" si="39"/>
        <v>80</v>
      </c>
      <c r="H215" s="75">
        <f>G215*K值!M216</f>
        <v>84.397153384686078</v>
      </c>
      <c r="I215" s="9">
        <v>0</v>
      </c>
      <c r="J215" s="9">
        <v>0</v>
      </c>
      <c r="K215" s="9">
        <v>0</v>
      </c>
      <c r="L215" s="9">
        <v>0</v>
      </c>
      <c r="M215" s="74">
        <f t="shared" si="40"/>
        <v>0</v>
      </c>
      <c r="N215" s="9">
        <v>0</v>
      </c>
      <c r="O215" s="9">
        <v>0</v>
      </c>
      <c r="P215" s="9">
        <v>0</v>
      </c>
      <c r="Q215" s="9">
        <v>0</v>
      </c>
      <c r="R215" s="74">
        <f t="shared" si="41"/>
        <v>0</v>
      </c>
      <c r="S215" s="90">
        <v>78.385073105528065</v>
      </c>
      <c r="T215" s="3">
        <f t="shared" si="45"/>
        <v>78.385073105528065</v>
      </c>
      <c r="U215" s="88">
        <v>78.188863795068002</v>
      </c>
      <c r="V215" s="88">
        <v>63.067944617470438</v>
      </c>
      <c r="W215" s="88">
        <v>100</v>
      </c>
      <c r="X215" s="3">
        <f t="shared" si="36"/>
        <v>80.418936137512816</v>
      </c>
      <c r="Y215" s="88">
        <v>2.752046857663478</v>
      </c>
      <c r="Z215" s="88" t="s">
        <v>335</v>
      </c>
      <c r="AA215" s="88">
        <v>2.6991994636940682</v>
      </c>
      <c r="AB215" s="88">
        <v>50.706608848299538</v>
      </c>
      <c r="AC215" s="3">
        <f t="shared" si="37"/>
        <v>18.719285056552362</v>
      </c>
      <c r="AD215" s="88">
        <v>1.0054565210418098</v>
      </c>
      <c r="AE215" s="87">
        <v>0</v>
      </c>
      <c r="AF215" s="88">
        <v>19.831223628691983</v>
      </c>
      <c r="AG215" s="88">
        <v>7.8595406593461412</v>
      </c>
      <c r="AH215" s="88">
        <v>4.3385774903279177</v>
      </c>
      <c r="AI215" s="3">
        <f t="shared" si="38"/>
        <v>6.6069596598815705</v>
      </c>
      <c r="AJ215" s="65">
        <f t="shared" si="42"/>
        <v>46.0325634898687</v>
      </c>
      <c r="AK215" s="75">
        <f>AJ215*K值!M216</f>
        <v>48.562716519309362</v>
      </c>
      <c r="AL215" s="88">
        <v>0</v>
      </c>
      <c r="AM215" s="88">
        <v>0</v>
      </c>
      <c r="AN215" s="65">
        <f t="shared" si="43"/>
        <v>0</v>
      </c>
      <c r="AP215" s="76">
        <f t="shared" si="44"/>
        <v>36.30451728466096</v>
      </c>
    </row>
    <row r="216" spans="1:42" x14ac:dyDescent="0.25">
      <c r="A216" s="92" t="s">
        <v>225</v>
      </c>
      <c r="B216" s="3">
        <v>4</v>
      </c>
      <c r="C216" s="7">
        <v>65</v>
      </c>
      <c r="D216" s="7">
        <v>40</v>
      </c>
      <c r="E216" s="7">
        <v>75</v>
      </c>
      <c r="F216" s="7">
        <v>15</v>
      </c>
      <c r="G216" s="74">
        <f t="shared" si="39"/>
        <v>48.75</v>
      </c>
      <c r="H216" s="75">
        <f>G216*K值!M217</f>
        <v>51.429515343793078</v>
      </c>
      <c r="I216" s="7">
        <v>25</v>
      </c>
      <c r="J216" s="7">
        <v>20</v>
      </c>
      <c r="K216" s="7">
        <v>50</v>
      </c>
      <c r="L216" s="7">
        <v>50</v>
      </c>
      <c r="M216" s="74">
        <f t="shared" si="40"/>
        <v>36.25</v>
      </c>
      <c r="N216" s="7">
        <v>35</v>
      </c>
      <c r="O216" s="7">
        <v>0</v>
      </c>
      <c r="P216" s="7">
        <v>100</v>
      </c>
      <c r="Q216" s="7">
        <v>0</v>
      </c>
      <c r="R216" s="74">
        <f t="shared" si="41"/>
        <v>33.75</v>
      </c>
      <c r="S216" s="3">
        <v>62.454485950299507</v>
      </c>
      <c r="T216" s="3">
        <f t="shared" si="45"/>
        <v>62.454485950299507</v>
      </c>
      <c r="U216" s="3">
        <v>67.49155923339525</v>
      </c>
      <c r="V216" s="3">
        <v>73.806115667362945</v>
      </c>
      <c r="W216" s="3">
        <v>98.954570014443391</v>
      </c>
      <c r="X216" s="3">
        <f t="shared" si="36"/>
        <v>80.084081638400519</v>
      </c>
      <c r="Y216" s="3">
        <v>8.5049893534384005</v>
      </c>
      <c r="Z216" s="3">
        <v>0.50556131290747486</v>
      </c>
      <c r="AA216" s="3">
        <v>12.221375349503697</v>
      </c>
      <c r="AB216" s="3">
        <v>62.901442215282145</v>
      </c>
      <c r="AC216" s="3">
        <f t="shared" si="37"/>
        <v>21.033342057782932</v>
      </c>
      <c r="AD216" s="3">
        <v>1.2223625905484978</v>
      </c>
      <c r="AE216" s="87">
        <v>0</v>
      </c>
      <c r="AF216" s="3">
        <v>80.168776371308013</v>
      </c>
      <c r="AG216" s="3">
        <v>7.8595406593461412</v>
      </c>
      <c r="AH216" s="3">
        <v>23.862176196803546</v>
      </c>
      <c r="AI216" s="3">
        <f t="shared" si="38"/>
        <v>22.62257116360124</v>
      </c>
      <c r="AJ216" s="65">
        <f t="shared" si="42"/>
        <v>46.54862020252105</v>
      </c>
      <c r="AK216" s="75">
        <f>AJ216*K值!M217</f>
        <v>49.107137988470825</v>
      </c>
      <c r="AL216" s="3">
        <v>50</v>
      </c>
      <c r="AM216" s="3">
        <v>50</v>
      </c>
      <c r="AN216" s="65">
        <f t="shared" si="43"/>
        <v>50</v>
      </c>
      <c r="AP216" s="76">
        <f t="shared" si="44"/>
        <v>45.55375826414695</v>
      </c>
    </row>
    <row r="217" spans="1:42" x14ac:dyDescent="0.25">
      <c r="A217" s="92" t="s">
        <v>226</v>
      </c>
      <c r="B217" s="3">
        <v>3</v>
      </c>
      <c r="C217" s="7">
        <v>65</v>
      </c>
      <c r="D217" s="7">
        <v>100</v>
      </c>
      <c r="E217" s="7">
        <v>100</v>
      </c>
      <c r="F217" s="7">
        <v>30</v>
      </c>
      <c r="G217" s="74">
        <f t="shared" si="39"/>
        <v>73.75</v>
      </c>
      <c r="H217" s="75">
        <f>G217*K值!M218</f>
        <v>77.803625776507474</v>
      </c>
      <c r="I217" s="7">
        <v>0</v>
      </c>
      <c r="J217" s="7">
        <v>40</v>
      </c>
      <c r="K217" s="7">
        <v>25</v>
      </c>
      <c r="L217" s="7">
        <v>0</v>
      </c>
      <c r="M217" s="74">
        <f t="shared" si="40"/>
        <v>16.25</v>
      </c>
      <c r="N217" s="7">
        <v>0</v>
      </c>
      <c r="O217" s="7">
        <v>65</v>
      </c>
      <c r="P217" s="7">
        <v>100</v>
      </c>
      <c r="Q217" s="7">
        <v>35</v>
      </c>
      <c r="R217" s="74">
        <f t="shared" si="41"/>
        <v>50</v>
      </c>
      <c r="S217" s="3">
        <v>79.423870924369268</v>
      </c>
      <c r="T217" s="3">
        <f t="shared" si="45"/>
        <v>79.423870924369268</v>
      </c>
      <c r="U217" s="3">
        <v>69.901842859904448</v>
      </c>
      <c r="V217" s="3">
        <v>78.787963197951314</v>
      </c>
      <c r="W217" s="3">
        <v>94.528916408920367</v>
      </c>
      <c r="X217" s="3">
        <f t="shared" si="36"/>
        <v>81.072907488925381</v>
      </c>
      <c r="Y217" s="3">
        <v>8.9082959976126936</v>
      </c>
      <c r="Z217" s="3">
        <v>0.50193461769293068</v>
      </c>
      <c r="AA217" s="3">
        <v>0.8997331545646895</v>
      </c>
      <c r="AB217" s="3">
        <v>38.905558711169242</v>
      </c>
      <c r="AC217" s="3">
        <f t="shared" si="37"/>
        <v>12.303880620259889</v>
      </c>
      <c r="AD217" s="3">
        <v>0.31567021642904192</v>
      </c>
      <c r="AE217" s="87">
        <v>0</v>
      </c>
      <c r="AF217" s="3">
        <v>0</v>
      </c>
      <c r="AG217" s="3">
        <v>0</v>
      </c>
      <c r="AH217" s="3">
        <v>32.539331177459381</v>
      </c>
      <c r="AI217" s="3">
        <f t="shared" si="38"/>
        <v>6.5710002787776842</v>
      </c>
      <c r="AJ217" s="65">
        <f t="shared" si="42"/>
        <v>44.842914828083053</v>
      </c>
      <c r="AK217" s="75">
        <f>AJ217*K值!M218</f>
        <v>47.307679512026738</v>
      </c>
      <c r="AL217" s="3">
        <v>0</v>
      </c>
      <c r="AM217" s="3">
        <v>0</v>
      </c>
      <c r="AN217" s="65">
        <f t="shared" si="43"/>
        <v>0</v>
      </c>
      <c r="AP217" s="76">
        <f t="shared" si="44"/>
        <v>42.733796960112194</v>
      </c>
    </row>
    <row r="218" spans="1:42" x14ac:dyDescent="0.25">
      <c r="A218" s="92" t="s">
        <v>227</v>
      </c>
      <c r="B218" s="3">
        <v>4</v>
      </c>
      <c r="C218" s="7">
        <v>65</v>
      </c>
      <c r="D218" s="7">
        <v>100</v>
      </c>
      <c r="E218" s="7">
        <v>100</v>
      </c>
      <c r="F218" s="7">
        <v>100</v>
      </c>
      <c r="G218" s="74">
        <f t="shared" si="39"/>
        <v>91.25</v>
      </c>
      <c r="H218" s="75">
        <f>G218*K值!M219</f>
        <v>96.265503079407551</v>
      </c>
      <c r="I218" s="7">
        <v>0</v>
      </c>
      <c r="J218" s="7">
        <v>40</v>
      </c>
      <c r="K218" s="7">
        <v>25</v>
      </c>
      <c r="L218" s="7">
        <v>50</v>
      </c>
      <c r="M218" s="74">
        <f t="shared" si="40"/>
        <v>28.75</v>
      </c>
      <c r="N218" s="7">
        <v>65</v>
      </c>
      <c r="O218" s="7">
        <v>0</v>
      </c>
      <c r="P218" s="7">
        <v>35</v>
      </c>
      <c r="Q218" s="7">
        <v>35</v>
      </c>
      <c r="R218" s="74">
        <f t="shared" si="41"/>
        <v>33.75</v>
      </c>
      <c r="S218" s="3">
        <v>49.390250586990128</v>
      </c>
      <c r="T218" s="3">
        <f t="shared" si="45"/>
        <v>49.390250586990128</v>
      </c>
      <c r="U218" s="3">
        <v>69.074962341196894</v>
      </c>
      <c r="V218" s="3">
        <v>84.544286717255446</v>
      </c>
      <c r="W218" s="3">
        <v>97.03794837425626</v>
      </c>
      <c r="X218" s="3">
        <f t="shared" si="36"/>
        <v>83.55239914423619</v>
      </c>
      <c r="Y218" s="3">
        <v>13.740620591336269</v>
      </c>
      <c r="Z218" s="3">
        <v>0.57229250485508998</v>
      </c>
      <c r="AA218" s="3">
        <v>5.3983989273881363</v>
      </c>
      <c r="AB218" s="3">
        <v>28.758707631300389</v>
      </c>
      <c r="AC218" s="3">
        <f t="shared" si="37"/>
        <v>12.117504913719971</v>
      </c>
      <c r="AD218" s="3">
        <v>1.4067640041060572</v>
      </c>
      <c r="AE218" s="87">
        <v>14.865092839693213</v>
      </c>
      <c r="AF218" s="3">
        <v>26.160337552742618</v>
      </c>
      <c r="AG218" s="3">
        <v>35.367932967057634</v>
      </c>
      <c r="AH218" s="3">
        <v>6.5078662354918757</v>
      </c>
      <c r="AI218" s="3">
        <f t="shared" si="38"/>
        <v>16.861598719818282</v>
      </c>
      <c r="AJ218" s="65">
        <f t="shared" si="42"/>
        <v>40.480438341191146</v>
      </c>
      <c r="AK218" s="75">
        <f>AJ218*K值!M219</f>
        <v>42.705422047010451</v>
      </c>
      <c r="AL218" s="3">
        <v>50</v>
      </c>
      <c r="AM218" s="3">
        <v>0</v>
      </c>
      <c r="AN218" s="65">
        <f t="shared" si="43"/>
        <v>25</v>
      </c>
      <c r="AP218" s="76">
        <f t="shared" si="44"/>
        <v>47.960269434685692</v>
      </c>
    </row>
    <row r="219" spans="1:42" x14ac:dyDescent="0.25">
      <c r="A219" s="92" t="s">
        <v>228</v>
      </c>
      <c r="B219" s="3">
        <v>3</v>
      </c>
      <c r="C219" s="7">
        <v>65</v>
      </c>
      <c r="D219" s="7">
        <v>100</v>
      </c>
      <c r="E219" s="7">
        <v>100</v>
      </c>
      <c r="F219" s="7">
        <v>60</v>
      </c>
      <c r="G219" s="74">
        <f t="shared" si="39"/>
        <v>81.25</v>
      </c>
      <c r="H219" s="75">
        <f>G219*K值!M220</f>
        <v>85.715858906321799</v>
      </c>
      <c r="I219" s="7">
        <v>75</v>
      </c>
      <c r="J219" s="7">
        <v>40</v>
      </c>
      <c r="K219" s="7">
        <v>25</v>
      </c>
      <c r="L219" s="7">
        <v>50</v>
      </c>
      <c r="M219" s="74">
        <f t="shared" si="40"/>
        <v>47.5</v>
      </c>
      <c r="N219" s="7">
        <v>65</v>
      </c>
      <c r="O219" s="7">
        <v>65</v>
      </c>
      <c r="P219" s="7">
        <v>100</v>
      </c>
      <c r="Q219" s="7">
        <v>65</v>
      </c>
      <c r="R219" s="74">
        <f t="shared" si="41"/>
        <v>73.75</v>
      </c>
      <c r="S219" s="3">
        <v>68.730122867406322</v>
      </c>
      <c r="T219" s="3">
        <f t="shared" si="45"/>
        <v>68.730122867406322</v>
      </c>
      <c r="U219" s="3">
        <v>58.120876132741373</v>
      </c>
      <c r="V219" s="3">
        <v>33.090806546305146</v>
      </c>
      <c r="W219" s="3">
        <v>100</v>
      </c>
      <c r="X219" s="3">
        <f t="shared" si="36"/>
        <v>63.737227559682175</v>
      </c>
      <c r="Y219" s="3">
        <v>2.7581761379700787</v>
      </c>
      <c r="Z219" s="3">
        <v>2.8694194935761601</v>
      </c>
      <c r="AA219" s="3">
        <v>14.545685998795813</v>
      </c>
      <c r="AB219" s="3">
        <v>45.838926790410568</v>
      </c>
      <c r="AC219" s="3">
        <f t="shared" si="37"/>
        <v>16.503052105188154</v>
      </c>
      <c r="AD219" s="3">
        <v>5.6070531512247639</v>
      </c>
      <c r="AE219" s="87">
        <v>44.595278519079642</v>
      </c>
      <c r="AF219" s="3">
        <v>48.52320675105485</v>
      </c>
      <c r="AG219" s="3">
        <v>7.8595406593461412</v>
      </c>
      <c r="AH219" s="3">
        <v>54.232218629098973</v>
      </c>
      <c r="AI219" s="3">
        <f t="shared" si="38"/>
        <v>32.163459541960876</v>
      </c>
      <c r="AJ219" s="65">
        <f t="shared" si="42"/>
        <v>45.283465518559382</v>
      </c>
      <c r="AK219" s="75">
        <f>AJ219*K值!M220</f>
        <v>47.772444814499991</v>
      </c>
      <c r="AL219" s="3">
        <v>100</v>
      </c>
      <c r="AM219" s="3">
        <v>0</v>
      </c>
      <c r="AN219" s="65">
        <f t="shared" si="43"/>
        <v>50</v>
      </c>
      <c r="AP219" s="76">
        <f t="shared" si="44"/>
        <v>58.127149707064355</v>
      </c>
    </row>
    <row r="220" spans="1:42" x14ac:dyDescent="0.25">
      <c r="A220" s="92" t="s">
        <v>229</v>
      </c>
      <c r="B220" s="3">
        <v>4</v>
      </c>
      <c r="C220" s="7">
        <v>65</v>
      </c>
      <c r="D220" s="7">
        <v>100</v>
      </c>
      <c r="E220" s="7">
        <v>75</v>
      </c>
      <c r="F220" s="7">
        <v>45</v>
      </c>
      <c r="G220" s="74">
        <f t="shared" si="39"/>
        <v>71.25</v>
      </c>
      <c r="H220" s="75">
        <f>G220*K值!M221</f>
        <v>75.166214733236032</v>
      </c>
      <c r="I220" s="7">
        <v>50</v>
      </c>
      <c r="J220" s="7">
        <v>40</v>
      </c>
      <c r="K220" s="7">
        <v>0</v>
      </c>
      <c r="L220" s="7">
        <v>0</v>
      </c>
      <c r="M220" s="74">
        <f t="shared" si="40"/>
        <v>22.5</v>
      </c>
      <c r="N220" s="7">
        <v>0</v>
      </c>
      <c r="O220" s="7">
        <v>35</v>
      </c>
      <c r="P220" s="7">
        <v>65</v>
      </c>
      <c r="Q220" s="7">
        <v>35</v>
      </c>
      <c r="R220" s="74">
        <f t="shared" si="41"/>
        <v>33.75</v>
      </c>
      <c r="S220" s="3">
        <v>92.916715704675767</v>
      </c>
      <c r="T220" s="3">
        <f t="shared" si="45"/>
        <v>92.916715704675767</v>
      </c>
      <c r="U220" s="3">
        <v>86.306113080305423</v>
      </c>
      <c r="V220" s="3">
        <v>92.697797820679853</v>
      </c>
      <c r="W220" s="3">
        <v>0</v>
      </c>
      <c r="X220" s="3">
        <f t="shared" si="36"/>
        <v>59.66797030032842</v>
      </c>
      <c r="Y220" s="3">
        <v>0.36775681839601043</v>
      </c>
      <c r="Z220" s="3" t="s">
        <v>335</v>
      </c>
      <c r="AA220" s="3">
        <v>3.2240438038568042</v>
      </c>
      <c r="AB220" s="3">
        <v>36.354791332849132</v>
      </c>
      <c r="AC220" s="3">
        <f t="shared" si="37"/>
        <v>13.315530651700648</v>
      </c>
      <c r="AD220" s="3">
        <v>1.0579640421904029</v>
      </c>
      <c r="AE220" s="87">
        <v>14.865092839693213</v>
      </c>
      <c r="AF220" s="3">
        <v>48.945147679324897</v>
      </c>
      <c r="AG220" s="3">
        <v>35.367932967057634</v>
      </c>
      <c r="AH220" s="3">
        <v>0</v>
      </c>
      <c r="AI220" s="3">
        <f t="shared" si="38"/>
        <v>20.047227505653229</v>
      </c>
      <c r="AJ220" s="65">
        <f t="shared" si="42"/>
        <v>46.486861040589517</v>
      </c>
      <c r="AK220" s="75">
        <f>AJ220*K值!M221</f>
        <v>49.041984270190262</v>
      </c>
      <c r="AL220" s="3">
        <v>0</v>
      </c>
      <c r="AM220" s="3">
        <v>0</v>
      </c>
      <c r="AN220" s="65">
        <f t="shared" si="43"/>
        <v>0</v>
      </c>
      <c r="AP220" s="76">
        <f t="shared" si="44"/>
        <v>42.525036654723309</v>
      </c>
    </row>
    <row r="221" spans="1:42" x14ac:dyDescent="0.25">
      <c r="A221" s="92" t="s">
        <v>319</v>
      </c>
      <c r="B221" s="3">
        <v>4</v>
      </c>
      <c r="C221" s="7">
        <v>65</v>
      </c>
      <c r="D221" s="7">
        <v>100</v>
      </c>
      <c r="E221" s="7">
        <v>60</v>
      </c>
      <c r="F221" s="7">
        <v>60</v>
      </c>
      <c r="G221" s="74">
        <f t="shared" si="39"/>
        <v>71.25</v>
      </c>
      <c r="H221" s="75">
        <f>G221*K值!M222</f>
        <v>75.166214733236032</v>
      </c>
      <c r="I221" s="7">
        <v>0</v>
      </c>
      <c r="J221" s="7">
        <v>40</v>
      </c>
      <c r="K221" s="7">
        <v>25</v>
      </c>
      <c r="L221" s="7">
        <v>0</v>
      </c>
      <c r="M221" s="74">
        <f t="shared" si="40"/>
        <v>16.25</v>
      </c>
      <c r="N221" s="7">
        <v>65</v>
      </c>
      <c r="O221" s="7">
        <v>35</v>
      </c>
      <c r="P221" s="7">
        <v>35</v>
      </c>
      <c r="Q221" s="7">
        <v>50</v>
      </c>
      <c r="R221" s="74">
        <f t="shared" si="41"/>
        <v>46.25</v>
      </c>
      <c r="S221" s="3">
        <v>78.387103024333655</v>
      </c>
      <c r="T221" s="3">
        <f t="shared" si="45"/>
        <v>78.387103024333655</v>
      </c>
      <c r="U221" s="3">
        <v>73.934141130776936</v>
      </c>
      <c r="V221" s="3">
        <v>84.169341992559737</v>
      </c>
      <c r="W221" s="3">
        <v>90.869911459472135</v>
      </c>
      <c r="X221" s="3">
        <f t="shared" si="36"/>
        <v>82.991131527602931</v>
      </c>
      <c r="Y221" s="3">
        <v>3.5598860020733811</v>
      </c>
      <c r="Z221" s="3">
        <v>0.74368286730402433</v>
      </c>
      <c r="AA221" s="3">
        <v>0.8997331545646895</v>
      </c>
      <c r="AB221" s="3">
        <v>52.049631151547928</v>
      </c>
      <c r="AC221" s="3">
        <f t="shared" si="37"/>
        <v>14.313233293872505</v>
      </c>
      <c r="AD221" s="3">
        <v>0.52507521148593106</v>
      </c>
      <c r="AE221" s="87">
        <v>14.865092839693213</v>
      </c>
      <c r="AF221" s="3">
        <v>34.599156118143462</v>
      </c>
      <c r="AG221" s="3">
        <v>7.8595406593461412</v>
      </c>
      <c r="AH221" s="3">
        <v>2.1692887451639589</v>
      </c>
      <c r="AI221" s="3">
        <f t="shared" si="38"/>
        <v>12.003630714766542</v>
      </c>
      <c r="AJ221" s="65">
        <f t="shared" si="42"/>
        <v>46.923774640143911</v>
      </c>
      <c r="AK221" s="75">
        <f>AJ221*K值!M222</f>
        <v>49.502912571158355</v>
      </c>
      <c r="AL221" s="3">
        <v>50</v>
      </c>
      <c r="AM221" s="3">
        <v>0</v>
      </c>
      <c r="AN221" s="65">
        <f t="shared" si="43"/>
        <v>25</v>
      </c>
      <c r="AP221" s="76">
        <f t="shared" si="44"/>
        <v>45.209407975110551</v>
      </c>
    </row>
    <row r="222" spans="1:42" x14ac:dyDescent="0.25">
      <c r="A222" s="92" t="s">
        <v>230</v>
      </c>
      <c r="B222" s="3">
        <v>3</v>
      </c>
      <c r="C222" s="7">
        <v>65</v>
      </c>
      <c r="D222" s="7">
        <v>100</v>
      </c>
      <c r="E222" s="7">
        <v>100</v>
      </c>
      <c r="F222" s="7">
        <v>100</v>
      </c>
      <c r="G222" s="74">
        <f t="shared" si="39"/>
        <v>91.25</v>
      </c>
      <c r="H222" s="75">
        <f>G222*K值!M223</f>
        <v>96.265503079407551</v>
      </c>
      <c r="I222" s="7">
        <v>75</v>
      </c>
      <c r="J222" s="7">
        <v>40</v>
      </c>
      <c r="K222" s="7">
        <v>25</v>
      </c>
      <c r="L222" s="7">
        <v>50</v>
      </c>
      <c r="M222" s="74">
        <f t="shared" si="40"/>
        <v>47.5</v>
      </c>
      <c r="N222" s="7">
        <v>35</v>
      </c>
      <c r="O222" s="7">
        <v>65</v>
      </c>
      <c r="P222" s="7">
        <v>100</v>
      </c>
      <c r="Q222" s="7">
        <v>65</v>
      </c>
      <c r="R222" s="74">
        <f t="shared" si="41"/>
        <v>66.25</v>
      </c>
      <c r="S222" s="3">
        <v>86.11464332544989</v>
      </c>
      <c r="T222" s="3">
        <f t="shared" si="45"/>
        <v>86.11464332544989</v>
      </c>
      <c r="U222" s="3">
        <v>75.063254883324433</v>
      </c>
      <c r="V222" s="3">
        <v>48.027129185823625</v>
      </c>
      <c r="W222" s="3">
        <v>0</v>
      </c>
      <c r="X222" s="3">
        <f t="shared" si="36"/>
        <v>41.03012802304935</v>
      </c>
      <c r="Y222" s="3">
        <v>3.0008956381114453</v>
      </c>
      <c r="Z222" s="3" t="s">
        <v>335</v>
      </c>
      <c r="AA222" s="3">
        <v>11.846486535101745</v>
      </c>
      <c r="AB222" s="3">
        <v>35.143919743993443</v>
      </c>
      <c r="AC222" s="3">
        <f t="shared" si="37"/>
        <v>16.663767305735544</v>
      </c>
      <c r="AD222" s="3">
        <v>2.6103739085300575</v>
      </c>
      <c r="AE222" s="87">
        <v>29.730185679386427</v>
      </c>
      <c r="AF222" s="3">
        <v>66.244725738396625</v>
      </c>
      <c r="AG222" s="3">
        <v>39.29770329673071</v>
      </c>
      <c r="AH222" s="3">
        <v>56.401507374262927</v>
      </c>
      <c r="AI222" s="3">
        <f t="shared" si="38"/>
        <v>38.856899199461353</v>
      </c>
      <c r="AJ222" s="65">
        <f t="shared" si="42"/>
        <v>45.66635946342403</v>
      </c>
      <c r="AK222" s="75">
        <f>AJ222*K值!M223</f>
        <v>48.176384301935101</v>
      </c>
      <c r="AL222" s="3">
        <v>25</v>
      </c>
      <c r="AM222" s="3">
        <v>0</v>
      </c>
      <c r="AN222" s="65">
        <f t="shared" si="43"/>
        <v>12.5</v>
      </c>
      <c r="AP222" s="76">
        <f t="shared" si="44"/>
        <v>55.898654336655554</v>
      </c>
    </row>
    <row r="223" spans="1:42" x14ac:dyDescent="0.25">
      <c r="A223" s="92" t="s">
        <v>231</v>
      </c>
      <c r="B223" s="3">
        <v>4</v>
      </c>
      <c r="C223" s="7">
        <v>35</v>
      </c>
      <c r="D223" s="7">
        <v>80</v>
      </c>
      <c r="E223" s="7">
        <v>45</v>
      </c>
      <c r="F223" s="7">
        <v>45</v>
      </c>
      <c r="G223" s="74">
        <f t="shared" si="39"/>
        <v>51.25</v>
      </c>
      <c r="H223" s="75">
        <f>G223*K值!M224</f>
        <v>54.06692638706452</v>
      </c>
      <c r="I223" s="7">
        <v>50</v>
      </c>
      <c r="J223" s="7">
        <v>0</v>
      </c>
      <c r="K223" s="7">
        <v>50</v>
      </c>
      <c r="L223" s="7">
        <v>50</v>
      </c>
      <c r="M223" s="74">
        <f t="shared" si="40"/>
        <v>37.5</v>
      </c>
      <c r="N223" s="7">
        <v>35</v>
      </c>
      <c r="O223" s="7">
        <v>0</v>
      </c>
      <c r="P223" s="7">
        <v>65</v>
      </c>
      <c r="Q223" s="7">
        <v>0</v>
      </c>
      <c r="R223" s="74">
        <f t="shared" si="41"/>
        <v>25</v>
      </c>
      <c r="S223" s="3">
        <v>71.171947005054321</v>
      </c>
      <c r="T223" s="3">
        <f t="shared" si="45"/>
        <v>71.171947005054321</v>
      </c>
      <c r="U223" s="3">
        <v>48.864883101495884</v>
      </c>
      <c r="V223" s="3">
        <v>62.354934977065433</v>
      </c>
      <c r="W223" s="3">
        <v>99.895457001444328</v>
      </c>
      <c r="X223" s="3">
        <f t="shared" si="36"/>
        <v>70.371758360001877</v>
      </c>
      <c r="Y223" s="3">
        <v>4.9634911922848213</v>
      </c>
      <c r="Z223" s="3">
        <v>0.39507766989159743</v>
      </c>
      <c r="AA223" s="3">
        <v>1.5745330204882064</v>
      </c>
      <c r="AB223" s="3">
        <v>19.392807933635542</v>
      </c>
      <c r="AC223" s="3">
        <f t="shared" si="37"/>
        <v>6.581477454075042</v>
      </c>
      <c r="AD223" s="3">
        <v>0.19971610722589878</v>
      </c>
      <c r="AE223" s="87">
        <v>0</v>
      </c>
      <c r="AF223" s="3">
        <v>78.48101265822784</v>
      </c>
      <c r="AG223" s="3">
        <v>31.438162637384565</v>
      </c>
      <c r="AH223" s="3">
        <v>19.523598706475628</v>
      </c>
      <c r="AI223" s="3">
        <f t="shared" si="38"/>
        <v>25.928498021862787</v>
      </c>
      <c r="AJ223" s="65">
        <f t="shared" si="42"/>
        <v>43.513420210248512</v>
      </c>
      <c r="AK223" s="75">
        <f>AJ223*K值!M224</f>
        <v>45.905109997208029</v>
      </c>
      <c r="AL223" s="3">
        <v>25</v>
      </c>
      <c r="AM223" s="3">
        <v>0</v>
      </c>
      <c r="AN223" s="65">
        <f t="shared" si="43"/>
        <v>12.5</v>
      </c>
      <c r="AP223" s="76">
        <f t="shared" si="44"/>
        <v>40.425429276296114</v>
      </c>
    </row>
    <row r="224" spans="1:42" x14ac:dyDescent="0.25">
      <c r="A224" s="92" t="s">
        <v>232</v>
      </c>
      <c r="B224" s="3">
        <v>3</v>
      </c>
      <c r="C224" s="7">
        <v>35</v>
      </c>
      <c r="D224" s="7">
        <v>100</v>
      </c>
      <c r="E224" s="7">
        <v>75</v>
      </c>
      <c r="F224" s="7">
        <v>45</v>
      </c>
      <c r="G224" s="74">
        <f t="shared" si="39"/>
        <v>63.75</v>
      </c>
      <c r="H224" s="75">
        <f>G224*K值!M225</f>
        <v>67.253981603421721</v>
      </c>
      <c r="I224" s="7">
        <v>75</v>
      </c>
      <c r="J224" s="7">
        <v>40</v>
      </c>
      <c r="K224" s="7">
        <v>25</v>
      </c>
      <c r="L224" s="7">
        <v>50</v>
      </c>
      <c r="M224" s="74">
        <f t="shared" si="40"/>
        <v>47.5</v>
      </c>
      <c r="N224" s="7">
        <v>35</v>
      </c>
      <c r="O224" s="7">
        <v>65</v>
      </c>
      <c r="P224" s="7">
        <v>65</v>
      </c>
      <c r="Q224" s="7">
        <v>0</v>
      </c>
      <c r="R224" s="74">
        <f t="shared" si="41"/>
        <v>41.25</v>
      </c>
      <c r="S224" s="3">
        <v>77.701597513781039</v>
      </c>
      <c r="T224" s="3">
        <f t="shared" si="45"/>
        <v>77.701597513781039</v>
      </c>
      <c r="U224" s="3">
        <v>77.778141853654901</v>
      </c>
      <c r="V224" s="3">
        <v>62.815932589396247</v>
      </c>
      <c r="W224" s="3">
        <v>99.407589674851238</v>
      </c>
      <c r="X224" s="3">
        <f t="shared" si="36"/>
        <v>80.00055470596746</v>
      </c>
      <c r="Y224" s="3">
        <v>4.8286470255396177</v>
      </c>
      <c r="Z224" s="3" t="s">
        <v>335</v>
      </c>
      <c r="AA224" s="3">
        <v>12.596264163905651</v>
      </c>
      <c r="AB224" s="3">
        <v>53.762142878320098</v>
      </c>
      <c r="AC224" s="3">
        <f t="shared" si="37"/>
        <v>23.729018022588452</v>
      </c>
      <c r="AD224" s="3">
        <v>4.7506804848727091</v>
      </c>
      <c r="AE224" s="87">
        <v>100</v>
      </c>
      <c r="AF224" s="3">
        <v>52.320675105485236</v>
      </c>
      <c r="AG224" s="3">
        <v>31.438162637384565</v>
      </c>
      <c r="AH224" s="3">
        <v>23.862176196803546</v>
      </c>
      <c r="AI224" s="3">
        <f t="shared" si="38"/>
        <v>42.474338884909209</v>
      </c>
      <c r="AJ224" s="65">
        <f t="shared" si="42"/>
        <v>55.976377281811537</v>
      </c>
      <c r="AK224" s="75">
        <f>AJ224*K值!M225</f>
        <v>59.053086242151316</v>
      </c>
      <c r="AL224" s="3">
        <v>75</v>
      </c>
      <c r="AM224" s="3">
        <v>0</v>
      </c>
      <c r="AN224" s="65">
        <f t="shared" si="43"/>
        <v>37.5</v>
      </c>
      <c r="AP224" s="76">
        <f t="shared" si="44"/>
        <v>54.447030817544871</v>
      </c>
    </row>
    <row r="225" spans="1:42" x14ac:dyDescent="0.25">
      <c r="A225" s="92" t="s">
        <v>233</v>
      </c>
      <c r="B225" s="3">
        <v>3</v>
      </c>
      <c r="C225" s="7">
        <v>65</v>
      </c>
      <c r="D225" s="7">
        <v>100</v>
      </c>
      <c r="E225" s="7">
        <v>75</v>
      </c>
      <c r="F225" s="7">
        <v>100</v>
      </c>
      <c r="G225" s="74">
        <f t="shared" si="39"/>
        <v>85</v>
      </c>
      <c r="H225" s="75">
        <f>G225*K值!M226</f>
        <v>89.671975471228947</v>
      </c>
      <c r="I225" s="7">
        <v>25</v>
      </c>
      <c r="J225" s="7">
        <v>40</v>
      </c>
      <c r="K225" s="7">
        <v>50</v>
      </c>
      <c r="L225" s="7">
        <v>50</v>
      </c>
      <c r="M225" s="74">
        <f t="shared" si="40"/>
        <v>41.25</v>
      </c>
      <c r="N225" s="7">
        <v>100</v>
      </c>
      <c r="O225" s="7">
        <v>100</v>
      </c>
      <c r="P225" s="7">
        <v>100</v>
      </c>
      <c r="Q225" s="7">
        <v>65</v>
      </c>
      <c r="R225" s="74">
        <f t="shared" si="41"/>
        <v>91.25</v>
      </c>
      <c r="S225" s="3">
        <v>36.369208865766517</v>
      </c>
      <c r="T225" s="3">
        <f t="shared" si="45"/>
        <v>36.369208865766517</v>
      </c>
      <c r="U225" s="3">
        <v>49.25552886419144</v>
      </c>
      <c r="V225" s="3">
        <v>57.489873508267543</v>
      </c>
      <c r="W225" s="3">
        <v>99.860609335259099</v>
      </c>
      <c r="X225" s="3">
        <f t="shared" si="36"/>
        <v>68.86867056923937</v>
      </c>
      <c r="Y225" s="3">
        <v>5.5739675108221984</v>
      </c>
      <c r="Z225" s="3">
        <v>0.15727526467392794</v>
      </c>
      <c r="AA225" s="3">
        <v>27.216927925581857</v>
      </c>
      <c r="AB225" s="3">
        <v>37.787239211082692</v>
      </c>
      <c r="AC225" s="3">
        <f t="shared" si="37"/>
        <v>17.683852478040169</v>
      </c>
      <c r="AD225" s="3">
        <v>7.6104651188585848</v>
      </c>
      <c r="AE225" s="87">
        <v>0</v>
      </c>
      <c r="AF225" s="3">
        <v>63.291139240506332</v>
      </c>
      <c r="AG225" s="3">
        <v>19.648851648365355</v>
      </c>
      <c r="AH225" s="3">
        <v>10.846443725819793</v>
      </c>
      <c r="AI225" s="3">
        <f t="shared" si="38"/>
        <v>20.279379946710012</v>
      </c>
      <c r="AJ225" s="65">
        <f t="shared" si="42"/>
        <v>35.800277964939013</v>
      </c>
      <c r="AK225" s="75">
        <f>AJ225*K值!M226</f>
        <v>37.768019382766937</v>
      </c>
      <c r="AL225" s="3">
        <v>25</v>
      </c>
      <c r="AM225" s="3">
        <v>0</v>
      </c>
      <c r="AN225" s="65">
        <f t="shared" si="43"/>
        <v>12.5</v>
      </c>
      <c r="AP225" s="76">
        <f t="shared" si="44"/>
        <v>51.666602847352564</v>
      </c>
    </row>
    <row r="226" spans="1:42" x14ac:dyDescent="0.25">
      <c r="A226" s="92" t="s">
        <v>234</v>
      </c>
      <c r="B226" s="3">
        <v>3</v>
      </c>
      <c r="C226" s="7">
        <v>65</v>
      </c>
      <c r="D226" s="7">
        <v>100</v>
      </c>
      <c r="E226" s="7">
        <v>75</v>
      </c>
      <c r="F226" s="7">
        <v>60</v>
      </c>
      <c r="G226" s="74">
        <f t="shared" si="39"/>
        <v>75</v>
      </c>
      <c r="H226" s="75">
        <f>G226*K值!M227</f>
        <v>79.122331298143195</v>
      </c>
      <c r="I226" s="7">
        <v>0</v>
      </c>
      <c r="J226" s="7">
        <v>40</v>
      </c>
      <c r="K226" s="7">
        <v>0</v>
      </c>
      <c r="L226" s="7">
        <v>0</v>
      </c>
      <c r="M226" s="74">
        <f t="shared" si="40"/>
        <v>10</v>
      </c>
      <c r="N226" s="7">
        <v>0</v>
      </c>
      <c r="O226" s="7">
        <v>35</v>
      </c>
      <c r="P226" s="7">
        <v>35</v>
      </c>
      <c r="Q226" s="7">
        <v>0</v>
      </c>
      <c r="R226" s="74">
        <f t="shared" si="41"/>
        <v>17.5</v>
      </c>
      <c r="S226" s="3">
        <v>72.640373089091753</v>
      </c>
      <c r="T226" s="3">
        <f t="shared" si="45"/>
        <v>72.640373089091753</v>
      </c>
      <c r="U226" s="3">
        <v>51.683239784279401</v>
      </c>
      <c r="V226" s="3">
        <v>83.883523472914618</v>
      </c>
      <c r="W226" s="3">
        <v>100</v>
      </c>
      <c r="X226" s="3">
        <f t="shared" si="36"/>
        <v>78.52225441906468</v>
      </c>
      <c r="Y226" s="3">
        <v>7.4899805346654125</v>
      </c>
      <c r="Z226" s="3">
        <v>0.82151899999857392</v>
      </c>
      <c r="AA226" s="3">
        <v>0.59982210304312633</v>
      </c>
      <c r="AB226" s="3">
        <v>84.976635497730229</v>
      </c>
      <c r="AC226" s="3">
        <f t="shared" si="37"/>
        <v>23.471989283859337</v>
      </c>
      <c r="AD226" s="3">
        <v>0.53726445746685447</v>
      </c>
      <c r="AE226" s="87">
        <v>0</v>
      </c>
      <c r="AF226" s="3">
        <v>18.9873417721519</v>
      </c>
      <c r="AG226" s="3">
        <v>11.789310989019212</v>
      </c>
      <c r="AH226" s="3">
        <v>2.1692887451639589</v>
      </c>
      <c r="AI226" s="3">
        <f t="shared" si="38"/>
        <v>6.6966411927603859</v>
      </c>
      <c r="AJ226" s="65">
        <f t="shared" si="42"/>
        <v>45.33281449619404</v>
      </c>
      <c r="AK226" s="75">
        <f>AJ226*K值!M227</f>
        <v>47.82450622993511</v>
      </c>
      <c r="AL226" s="3">
        <v>25</v>
      </c>
      <c r="AM226" s="3">
        <v>0</v>
      </c>
      <c r="AN226" s="65">
        <f t="shared" si="43"/>
        <v>12.5</v>
      </c>
      <c r="AP226" s="76">
        <f t="shared" si="44"/>
        <v>39.954268751602683</v>
      </c>
    </row>
    <row r="227" spans="1:42" x14ac:dyDescent="0.25">
      <c r="A227" s="92" t="s">
        <v>235</v>
      </c>
      <c r="B227" s="3">
        <v>4</v>
      </c>
      <c r="C227" s="7">
        <v>35</v>
      </c>
      <c r="D227" s="7">
        <v>80</v>
      </c>
      <c r="E227" s="7">
        <v>45</v>
      </c>
      <c r="F227" s="7">
        <v>45</v>
      </c>
      <c r="G227" s="74">
        <f t="shared" si="39"/>
        <v>51.25</v>
      </c>
      <c r="H227" s="75">
        <f>G227*K值!M228</f>
        <v>54.06692638706452</v>
      </c>
      <c r="I227" s="7">
        <v>0</v>
      </c>
      <c r="J227" s="7">
        <v>40</v>
      </c>
      <c r="K227" s="7">
        <v>25</v>
      </c>
      <c r="L227" s="7">
        <v>50</v>
      </c>
      <c r="M227" s="74">
        <f t="shared" si="40"/>
        <v>28.75</v>
      </c>
      <c r="N227" s="7">
        <v>65</v>
      </c>
      <c r="O227" s="7">
        <v>0</v>
      </c>
      <c r="P227" s="7">
        <v>100</v>
      </c>
      <c r="Q227" s="7">
        <v>35</v>
      </c>
      <c r="R227" s="74">
        <f t="shared" si="41"/>
        <v>50</v>
      </c>
      <c r="S227" s="3">
        <v>88.655642367247083</v>
      </c>
      <c r="T227" s="3">
        <f t="shared" si="45"/>
        <v>88.655642367247083</v>
      </c>
      <c r="U227" s="3">
        <v>88.432323271654866</v>
      </c>
      <c r="V227" s="3">
        <v>83.182807102171765</v>
      </c>
      <c r="W227" s="3">
        <v>84.457940881391551</v>
      </c>
      <c r="X227" s="3">
        <f t="shared" si="36"/>
        <v>85.357690418406051</v>
      </c>
      <c r="Y227" s="3">
        <v>1.5494820615085241</v>
      </c>
      <c r="Z227" s="3" t="s">
        <v>335</v>
      </c>
      <c r="AA227" s="3">
        <v>2.84915498945485</v>
      </c>
      <c r="AB227" s="3">
        <v>44.686491867120886</v>
      </c>
      <c r="AC227" s="3">
        <f t="shared" si="37"/>
        <v>16.361709639361418</v>
      </c>
      <c r="AD227" s="3">
        <v>1.2336142022231964</v>
      </c>
      <c r="AE227" s="87">
        <v>0</v>
      </c>
      <c r="AF227" s="3">
        <v>46.835443037974684</v>
      </c>
      <c r="AG227" s="3">
        <v>7.8595406593461412</v>
      </c>
      <c r="AH227" s="3">
        <v>21.692887451639585</v>
      </c>
      <c r="AI227" s="3">
        <f t="shared" si="38"/>
        <v>15.524297070236718</v>
      </c>
      <c r="AJ227" s="65">
        <f t="shared" si="42"/>
        <v>51.47483487381281</v>
      </c>
      <c r="AK227" s="75">
        <f>AJ227*K值!M228</f>
        <v>54.304119178707097</v>
      </c>
      <c r="AL227" s="3">
        <v>50</v>
      </c>
      <c r="AM227" s="3">
        <v>0</v>
      </c>
      <c r="AN227" s="65">
        <f t="shared" si="43"/>
        <v>25</v>
      </c>
      <c r="AP227" s="76">
        <f t="shared" si="44"/>
        <v>45.785032948895747</v>
      </c>
    </row>
    <row r="228" spans="1:42" x14ac:dyDescent="0.25">
      <c r="A228" s="92" t="s">
        <v>236</v>
      </c>
      <c r="B228" s="3">
        <v>3</v>
      </c>
      <c r="C228" s="7">
        <v>35</v>
      </c>
      <c r="D228" s="7">
        <v>100</v>
      </c>
      <c r="E228" s="7">
        <v>100</v>
      </c>
      <c r="F228" s="7">
        <v>75</v>
      </c>
      <c r="G228" s="74">
        <f t="shared" si="39"/>
        <v>77.5</v>
      </c>
      <c r="H228" s="75">
        <f>G228*K值!M229</f>
        <v>81.759742341414636</v>
      </c>
      <c r="I228" s="7">
        <v>25</v>
      </c>
      <c r="J228" s="7">
        <v>60</v>
      </c>
      <c r="K228" s="7">
        <v>50</v>
      </c>
      <c r="L228" s="7">
        <v>50</v>
      </c>
      <c r="M228" s="74">
        <f t="shared" si="40"/>
        <v>46.25</v>
      </c>
      <c r="N228" s="7">
        <v>100</v>
      </c>
      <c r="O228" s="7">
        <v>100</v>
      </c>
      <c r="P228" s="7">
        <v>100</v>
      </c>
      <c r="Q228" s="7">
        <v>65</v>
      </c>
      <c r="R228" s="74">
        <f t="shared" si="41"/>
        <v>91.25</v>
      </c>
      <c r="S228" s="3">
        <v>60.771291565976846</v>
      </c>
      <c r="T228" s="3">
        <f t="shared" si="45"/>
        <v>60.771291565976846</v>
      </c>
      <c r="U228" s="3">
        <v>55.660415661576337</v>
      </c>
      <c r="V228" s="3">
        <v>62.08140972708248</v>
      </c>
      <c r="W228" s="3">
        <v>100</v>
      </c>
      <c r="X228" s="3">
        <f t="shared" si="36"/>
        <v>72.580608462886275</v>
      </c>
      <c r="Y228" s="3">
        <v>4.2279775554927994</v>
      </c>
      <c r="Z228" s="3">
        <v>0.76160599505430226</v>
      </c>
      <c r="AA228" s="3">
        <v>3.2990215667371947</v>
      </c>
      <c r="AB228" s="3">
        <v>40.11603803699817</v>
      </c>
      <c r="AC228" s="3">
        <f t="shared" si="37"/>
        <v>12.101160788570617</v>
      </c>
      <c r="AD228" s="3">
        <v>3.7867924180735359</v>
      </c>
      <c r="AE228" s="87">
        <v>0</v>
      </c>
      <c r="AF228" s="3">
        <v>67.932489451476798</v>
      </c>
      <c r="AG228" s="3">
        <v>11.789310989019212</v>
      </c>
      <c r="AH228" s="3">
        <v>21.692887451639585</v>
      </c>
      <c r="AI228" s="3">
        <f t="shared" si="38"/>
        <v>21.040296062041826</v>
      </c>
      <c r="AJ228" s="65">
        <f t="shared" si="42"/>
        <v>41.623339219868889</v>
      </c>
      <c r="AK228" s="75">
        <f>AJ228*K值!M229</f>
        <v>43.911141806526174</v>
      </c>
      <c r="AL228" s="3">
        <v>50</v>
      </c>
      <c r="AM228" s="3">
        <v>0</v>
      </c>
      <c r="AN228" s="65">
        <f t="shared" si="43"/>
        <v>25</v>
      </c>
      <c r="AP228" s="76">
        <f t="shared" si="44"/>
        <v>54.7914051908934</v>
      </c>
    </row>
    <row r="229" spans="1:42" x14ac:dyDescent="0.25">
      <c r="A229" s="92" t="s">
        <v>237</v>
      </c>
      <c r="B229" s="3">
        <v>3</v>
      </c>
      <c r="C229" s="7">
        <v>35</v>
      </c>
      <c r="D229" s="7">
        <v>60</v>
      </c>
      <c r="E229" s="7">
        <v>75</v>
      </c>
      <c r="F229" s="7">
        <v>0</v>
      </c>
      <c r="G229" s="74">
        <f t="shared" si="39"/>
        <v>42.5</v>
      </c>
      <c r="H229" s="75">
        <f>G229*K值!M230</f>
        <v>44.835987735614474</v>
      </c>
      <c r="I229" s="7">
        <v>0</v>
      </c>
      <c r="J229" s="7">
        <v>20</v>
      </c>
      <c r="K229" s="7">
        <v>25</v>
      </c>
      <c r="L229" s="7">
        <v>0</v>
      </c>
      <c r="M229" s="74">
        <f t="shared" si="40"/>
        <v>11.25</v>
      </c>
      <c r="N229" s="7">
        <v>0</v>
      </c>
      <c r="O229" s="7">
        <v>35</v>
      </c>
      <c r="P229" s="7">
        <v>0</v>
      </c>
      <c r="Q229" s="7">
        <v>0</v>
      </c>
      <c r="R229" s="74">
        <f t="shared" si="41"/>
        <v>8.75</v>
      </c>
      <c r="S229" s="3">
        <v>72.915485790540899</v>
      </c>
      <c r="T229" s="3">
        <f t="shared" si="45"/>
        <v>72.915485790540899</v>
      </c>
      <c r="U229" s="3">
        <v>60.320364422431808</v>
      </c>
      <c r="V229" s="3">
        <v>86.360617309838887</v>
      </c>
      <c r="W229" s="3">
        <v>95.330412731180402</v>
      </c>
      <c r="X229" s="3">
        <f t="shared" si="36"/>
        <v>80.670464821150361</v>
      </c>
      <c r="Y229" s="3">
        <v>7.624824701410617</v>
      </c>
      <c r="Z229" s="3">
        <v>0.82028592362562902</v>
      </c>
      <c r="AA229" s="3">
        <v>0.52484434016273551</v>
      </c>
      <c r="AB229" s="3">
        <v>35.964337023869533</v>
      </c>
      <c r="AC229" s="3">
        <f t="shared" si="37"/>
        <v>11.233572997267128</v>
      </c>
      <c r="AD229" s="3">
        <v>0.27535194126137219</v>
      </c>
      <c r="AE229" s="87">
        <v>0</v>
      </c>
      <c r="AF229" s="3">
        <v>44.303797468354425</v>
      </c>
      <c r="AG229" s="3">
        <v>23.578621978038424</v>
      </c>
      <c r="AH229" s="3">
        <v>2.1692887451639589</v>
      </c>
      <c r="AI229" s="3">
        <f t="shared" si="38"/>
        <v>14.065412026563635</v>
      </c>
      <c r="AJ229" s="65">
        <f t="shared" si="42"/>
        <v>44.721233908880507</v>
      </c>
      <c r="AK229" s="75">
        <f>AJ229*K值!M230</f>
        <v>47.179310472002648</v>
      </c>
      <c r="AL229" s="3">
        <v>0</v>
      </c>
      <c r="AM229" s="3">
        <v>0</v>
      </c>
      <c r="AN229" s="65">
        <f t="shared" si="43"/>
        <v>0</v>
      </c>
      <c r="AP229" s="76">
        <f t="shared" si="44"/>
        <v>30.963921735923954</v>
      </c>
    </row>
    <row r="230" spans="1:42" x14ac:dyDescent="0.25">
      <c r="A230" s="92" t="s">
        <v>238</v>
      </c>
      <c r="B230" s="3">
        <v>3</v>
      </c>
      <c r="C230" s="7">
        <v>65</v>
      </c>
      <c r="D230" s="7">
        <v>100</v>
      </c>
      <c r="E230" s="7">
        <v>60</v>
      </c>
      <c r="F230" s="7">
        <v>100</v>
      </c>
      <c r="G230" s="74">
        <f t="shared" si="39"/>
        <v>81.25</v>
      </c>
      <c r="H230" s="75">
        <f>G230*K值!M231</f>
        <v>85.715858906321799</v>
      </c>
      <c r="I230" s="7">
        <v>0</v>
      </c>
      <c r="J230" s="7">
        <v>40</v>
      </c>
      <c r="K230" s="7">
        <v>25</v>
      </c>
      <c r="L230" s="7">
        <v>50</v>
      </c>
      <c r="M230" s="74">
        <f t="shared" si="40"/>
        <v>28.75</v>
      </c>
      <c r="N230" s="7">
        <v>100</v>
      </c>
      <c r="O230" s="7">
        <v>35</v>
      </c>
      <c r="P230" s="7">
        <v>100</v>
      </c>
      <c r="Q230" s="7">
        <v>0</v>
      </c>
      <c r="R230" s="74">
        <f t="shared" si="41"/>
        <v>58.75</v>
      </c>
      <c r="S230" s="3">
        <v>60.053105531820009</v>
      </c>
      <c r="T230" s="3">
        <f t="shared" si="45"/>
        <v>60.053105531820009</v>
      </c>
      <c r="U230" s="3">
        <v>55.590135441184898</v>
      </c>
      <c r="V230" s="3">
        <v>85.125143708792294</v>
      </c>
      <c r="W230" s="3">
        <v>100</v>
      </c>
      <c r="X230" s="3">
        <f t="shared" si="36"/>
        <v>80.238426383325731</v>
      </c>
      <c r="Y230" s="3">
        <v>4.0673904114598756</v>
      </c>
      <c r="Z230" s="3">
        <v>0.29949249081706797</v>
      </c>
      <c r="AA230" s="3">
        <v>9.8220869373311928</v>
      </c>
      <c r="AB230" s="3">
        <v>61.476331887039471</v>
      </c>
      <c r="AC230" s="3">
        <f t="shared" si="37"/>
        <v>18.916325431661903</v>
      </c>
      <c r="AD230" s="3">
        <v>4.0293271586170372</v>
      </c>
      <c r="AE230" s="87">
        <v>89.190557038159284</v>
      </c>
      <c r="AF230" s="3">
        <v>26.160337552742618</v>
      </c>
      <c r="AG230" s="3">
        <v>19.648851648365355</v>
      </c>
      <c r="AH230" s="3">
        <v>19.523598706475628</v>
      </c>
      <c r="AI230" s="3">
        <f t="shared" si="38"/>
        <v>31.710534420871987</v>
      </c>
      <c r="AJ230" s="65">
        <f t="shared" si="42"/>
        <v>47.729597941919913</v>
      </c>
      <c r="AK230" s="75">
        <f>AJ230*K值!M231</f>
        <v>50.353027481170145</v>
      </c>
      <c r="AL230" s="3">
        <v>75</v>
      </c>
      <c r="AM230" s="3">
        <v>0</v>
      </c>
      <c r="AN230" s="65">
        <f t="shared" si="43"/>
        <v>37.5</v>
      </c>
      <c r="AP230" s="76">
        <f t="shared" si="44"/>
        <v>52.659382773732418</v>
      </c>
    </row>
    <row r="231" spans="1:42" x14ac:dyDescent="0.25">
      <c r="A231" s="92" t="s">
        <v>320</v>
      </c>
      <c r="B231" s="3">
        <v>4</v>
      </c>
      <c r="C231" s="7">
        <v>65</v>
      </c>
      <c r="D231" s="7">
        <v>100</v>
      </c>
      <c r="E231" s="7">
        <v>100</v>
      </c>
      <c r="F231" s="7">
        <v>60</v>
      </c>
      <c r="G231" s="74">
        <f t="shared" si="39"/>
        <v>81.25</v>
      </c>
      <c r="H231" s="75">
        <f>G231*K值!M232</f>
        <v>85.715858906321799</v>
      </c>
      <c r="I231" s="7">
        <v>0</v>
      </c>
      <c r="J231" s="7">
        <v>60</v>
      </c>
      <c r="K231" s="7">
        <v>0</v>
      </c>
      <c r="L231" s="7">
        <v>0</v>
      </c>
      <c r="M231" s="74">
        <f t="shared" si="40"/>
        <v>15</v>
      </c>
      <c r="N231" s="7">
        <v>35</v>
      </c>
      <c r="O231" s="7">
        <v>35</v>
      </c>
      <c r="P231" s="7">
        <v>65</v>
      </c>
      <c r="Q231" s="7">
        <v>0</v>
      </c>
      <c r="R231" s="74">
        <f t="shared" si="41"/>
        <v>33.75</v>
      </c>
      <c r="S231" s="3">
        <v>79.667299844716126</v>
      </c>
      <c r="T231" s="3">
        <f t="shared" si="45"/>
        <v>79.667299844716126</v>
      </c>
      <c r="U231" s="3">
        <v>64.691280573038298</v>
      </c>
      <c r="V231" s="3">
        <v>51.690523545145858</v>
      </c>
      <c r="W231" s="3">
        <v>100</v>
      </c>
      <c r="X231" s="3">
        <f t="shared" si="36"/>
        <v>72.127268039394721</v>
      </c>
      <c r="Y231" s="3">
        <v>0.28072103804228798</v>
      </c>
      <c r="Z231" s="3" t="s">
        <v>335</v>
      </c>
      <c r="AA231" s="3">
        <v>5.5483544531489182</v>
      </c>
      <c r="AB231" s="3">
        <v>10.192225372094237</v>
      </c>
      <c r="AC231" s="3">
        <f t="shared" si="37"/>
        <v>5.3404336210951477</v>
      </c>
      <c r="AD231" s="3">
        <v>1.5345948145213819</v>
      </c>
      <c r="AE231" s="87">
        <v>0</v>
      </c>
      <c r="AF231" s="3">
        <v>38.396624472573833</v>
      </c>
      <c r="AG231" s="3">
        <v>100</v>
      </c>
      <c r="AH231" s="3">
        <v>8.6771549806558355</v>
      </c>
      <c r="AI231" s="3">
        <f t="shared" si="38"/>
        <v>29.721674853550212</v>
      </c>
      <c r="AJ231" s="65">
        <f t="shared" si="42"/>
        <v>46.714169089689051</v>
      </c>
      <c r="AK231" s="75">
        <f>AJ231*K值!M232</f>
        <v>49.2817861737581</v>
      </c>
      <c r="AL231" s="3">
        <v>50</v>
      </c>
      <c r="AM231" s="3">
        <v>0</v>
      </c>
      <c r="AN231" s="65">
        <f t="shared" si="43"/>
        <v>25</v>
      </c>
      <c r="AP231" s="76">
        <f t="shared" si="44"/>
        <v>45.730886250767597</v>
      </c>
    </row>
    <row r="232" spans="1:42" x14ac:dyDescent="0.25">
      <c r="A232" s="92" t="s">
        <v>239</v>
      </c>
      <c r="B232" s="3">
        <v>4</v>
      </c>
      <c r="C232" s="7">
        <v>65</v>
      </c>
      <c r="D232" s="7">
        <v>100</v>
      </c>
      <c r="E232" s="7">
        <v>100</v>
      </c>
      <c r="F232" s="7">
        <v>75</v>
      </c>
      <c r="G232" s="74">
        <f t="shared" si="39"/>
        <v>85</v>
      </c>
      <c r="H232" s="75">
        <f>G232*K值!M233</f>
        <v>89.671975471228947</v>
      </c>
      <c r="I232" s="7">
        <v>0</v>
      </c>
      <c r="J232" s="7">
        <v>40</v>
      </c>
      <c r="K232" s="7">
        <v>25</v>
      </c>
      <c r="L232" s="7">
        <v>0</v>
      </c>
      <c r="M232" s="74">
        <f t="shared" si="40"/>
        <v>16.25</v>
      </c>
      <c r="N232" s="7">
        <v>0</v>
      </c>
      <c r="O232" s="7">
        <v>0</v>
      </c>
      <c r="P232" s="7">
        <v>35</v>
      </c>
      <c r="Q232" s="7">
        <v>65</v>
      </c>
      <c r="R232" s="74">
        <f t="shared" si="41"/>
        <v>25</v>
      </c>
      <c r="S232" s="3">
        <v>77.304599675936643</v>
      </c>
      <c r="T232" s="3">
        <f t="shared" si="45"/>
        <v>77.304599675936643</v>
      </c>
      <c r="U232" s="3">
        <v>63.596356384961751</v>
      </c>
      <c r="V232" s="3">
        <v>51.407778342916288</v>
      </c>
      <c r="W232" s="3">
        <v>98.222769024553727</v>
      </c>
      <c r="X232" s="3">
        <f t="shared" si="36"/>
        <v>71.075634584143927</v>
      </c>
      <c r="Y232" s="3">
        <v>1.05301035667391</v>
      </c>
      <c r="Z232" s="3" t="s">
        <v>335</v>
      </c>
      <c r="AA232" s="3">
        <v>10.271953514613537</v>
      </c>
      <c r="AB232" s="3">
        <v>17.419254633344885</v>
      </c>
      <c r="AC232" s="3">
        <f t="shared" si="37"/>
        <v>9.5814061682107781</v>
      </c>
      <c r="AD232" s="3">
        <v>3.3814218530156479</v>
      </c>
      <c r="AE232" s="87">
        <v>0</v>
      </c>
      <c r="AF232" s="3">
        <v>56.540084388185655</v>
      </c>
      <c r="AG232" s="3">
        <v>7.8595406593461412</v>
      </c>
      <c r="AH232" s="3">
        <v>6.5078662354918757</v>
      </c>
      <c r="AI232" s="3">
        <f t="shared" si="38"/>
        <v>14.857782627207863</v>
      </c>
      <c r="AJ232" s="65">
        <f t="shared" si="42"/>
        <v>43.204855763874797</v>
      </c>
      <c r="AK232" s="75">
        <f>AJ232*K值!M233</f>
        <v>45.579585485837242</v>
      </c>
      <c r="AL232" s="3">
        <v>0</v>
      </c>
      <c r="AM232" s="3">
        <v>0</v>
      </c>
      <c r="AN232" s="65">
        <f t="shared" si="43"/>
        <v>0</v>
      </c>
      <c r="AP232" s="76">
        <f t="shared" si="44"/>
        <v>41.916229288580688</v>
      </c>
    </row>
    <row r="233" spans="1:42" x14ac:dyDescent="0.25">
      <c r="A233" s="92" t="s">
        <v>240</v>
      </c>
      <c r="B233" s="3">
        <v>4</v>
      </c>
      <c r="C233" s="7">
        <v>65</v>
      </c>
      <c r="D233" s="7">
        <v>80</v>
      </c>
      <c r="E233" s="7">
        <v>60</v>
      </c>
      <c r="F233" s="7">
        <v>60</v>
      </c>
      <c r="G233" s="74">
        <f t="shared" si="39"/>
        <v>66.25</v>
      </c>
      <c r="H233" s="75">
        <f>G233*K值!M234</f>
        <v>69.891392646693149</v>
      </c>
      <c r="I233" s="7">
        <v>100</v>
      </c>
      <c r="J233" s="7">
        <v>60</v>
      </c>
      <c r="K233" s="7">
        <v>50</v>
      </c>
      <c r="L233" s="7">
        <v>50</v>
      </c>
      <c r="M233" s="74">
        <f t="shared" si="40"/>
        <v>65</v>
      </c>
      <c r="N233" s="7">
        <v>100</v>
      </c>
      <c r="O233" s="7">
        <v>35</v>
      </c>
      <c r="P233" s="7">
        <v>65</v>
      </c>
      <c r="Q233" s="7">
        <v>35</v>
      </c>
      <c r="R233" s="74">
        <f t="shared" si="41"/>
        <v>58.75</v>
      </c>
      <c r="S233" s="3">
        <v>68.892571110038119</v>
      </c>
      <c r="T233" s="3">
        <f t="shared" si="45"/>
        <v>68.892571110038119</v>
      </c>
      <c r="U233" s="3">
        <v>56.59533078828035</v>
      </c>
      <c r="V233" s="3">
        <v>53.73427962647915</v>
      </c>
      <c r="W233" s="3">
        <v>96.480385715292684</v>
      </c>
      <c r="X233" s="3">
        <f t="shared" si="36"/>
        <v>68.936665376684061</v>
      </c>
      <c r="Y233" s="3">
        <v>1.900076895046054</v>
      </c>
      <c r="Z233" s="3" t="s">
        <v>335</v>
      </c>
      <c r="AA233" s="3">
        <v>5.8482655046704819</v>
      </c>
      <c r="AB233" s="3">
        <v>48.841025516152584</v>
      </c>
      <c r="AC233" s="3">
        <f t="shared" si="37"/>
        <v>18.86312263862304</v>
      </c>
      <c r="AD233" s="3">
        <v>0.96513824587413988</v>
      </c>
      <c r="AE233" s="87">
        <v>0</v>
      </c>
      <c r="AF233" s="3">
        <v>68.35443037974683</v>
      </c>
      <c r="AG233" s="3">
        <v>35.367932967057634</v>
      </c>
      <c r="AH233" s="3">
        <v>10.846443725819793</v>
      </c>
      <c r="AI233" s="3">
        <f t="shared" si="38"/>
        <v>23.106789063699683</v>
      </c>
      <c r="AJ233" s="65">
        <f t="shared" si="42"/>
        <v>44.949787047261225</v>
      </c>
      <c r="AK233" s="75">
        <f>AJ233*K值!M234</f>
        <v>47.420425900458511</v>
      </c>
      <c r="AL233" s="3">
        <v>50</v>
      </c>
      <c r="AM233" s="3">
        <v>50</v>
      </c>
      <c r="AN233" s="65">
        <f t="shared" si="43"/>
        <v>50</v>
      </c>
      <c r="AP233" s="76">
        <f t="shared" si="44"/>
        <v>56.821448889522031</v>
      </c>
    </row>
    <row r="234" spans="1:42" x14ac:dyDescent="0.25">
      <c r="A234" s="92" t="s">
        <v>241</v>
      </c>
      <c r="B234" s="3">
        <v>4</v>
      </c>
      <c r="C234" s="7">
        <v>100</v>
      </c>
      <c r="D234" s="7">
        <v>100</v>
      </c>
      <c r="E234" s="7">
        <v>75</v>
      </c>
      <c r="F234" s="7">
        <v>60</v>
      </c>
      <c r="G234" s="74">
        <f t="shared" si="39"/>
        <v>83.75</v>
      </c>
      <c r="H234" s="75">
        <f>G234*K值!M235</f>
        <v>88.353269949593241</v>
      </c>
      <c r="I234" s="7">
        <v>0</v>
      </c>
      <c r="J234" s="7">
        <v>40</v>
      </c>
      <c r="K234" s="7">
        <v>0</v>
      </c>
      <c r="L234" s="7">
        <v>0</v>
      </c>
      <c r="M234" s="74">
        <f t="shared" si="40"/>
        <v>10</v>
      </c>
      <c r="N234" s="7">
        <v>0</v>
      </c>
      <c r="O234" s="7">
        <v>0</v>
      </c>
      <c r="P234" s="7">
        <v>35</v>
      </c>
      <c r="Q234" s="7">
        <v>0</v>
      </c>
      <c r="R234" s="74">
        <f t="shared" si="41"/>
        <v>8.75</v>
      </c>
      <c r="S234" s="3">
        <v>75.534323992668433</v>
      </c>
      <c r="T234" s="3">
        <f t="shared" si="45"/>
        <v>75.534323992668433</v>
      </c>
      <c r="U234" s="3">
        <v>74.367886047914084</v>
      </c>
      <c r="V234" s="3">
        <v>79.903577419791887</v>
      </c>
      <c r="W234" s="3">
        <v>95.121326734069072</v>
      </c>
      <c r="X234" s="3">
        <f t="shared" si="36"/>
        <v>83.130930067258348</v>
      </c>
      <c r="Y234" s="3">
        <v>0.12871488643860365</v>
      </c>
      <c r="Z234" s="3">
        <v>0.60005848341764112</v>
      </c>
      <c r="AA234" s="3">
        <v>3.3739993296175856</v>
      </c>
      <c r="AB234" s="3">
        <v>62.298926955314201</v>
      </c>
      <c r="AC234" s="3">
        <f t="shared" si="37"/>
        <v>16.600424913697008</v>
      </c>
      <c r="AD234" s="3">
        <v>0.83011890577775771</v>
      </c>
      <c r="AE234" s="87">
        <v>0</v>
      </c>
      <c r="AF234" s="3">
        <v>43.881856540084392</v>
      </c>
      <c r="AG234" s="3">
        <v>19.648851648365355</v>
      </c>
      <c r="AH234" s="3">
        <v>2.1692887451639589</v>
      </c>
      <c r="AI234" s="3">
        <f t="shared" si="38"/>
        <v>13.306023167878291</v>
      </c>
      <c r="AJ234" s="65">
        <f t="shared" si="42"/>
        <v>47.142925535375518</v>
      </c>
      <c r="AK234" s="75">
        <f>AJ234*K值!M235</f>
        <v>49.734108967649021</v>
      </c>
      <c r="AL234" s="3">
        <v>0</v>
      </c>
      <c r="AM234" s="3">
        <v>0</v>
      </c>
      <c r="AN234" s="65">
        <f t="shared" si="43"/>
        <v>0</v>
      </c>
      <c r="AP234" s="76">
        <f t="shared" si="44"/>
        <v>40.439297576978262</v>
      </c>
    </row>
    <row r="235" spans="1:42" x14ac:dyDescent="0.25">
      <c r="A235" s="92" t="s">
        <v>242</v>
      </c>
      <c r="B235" s="3">
        <v>4</v>
      </c>
      <c r="C235" s="7">
        <v>65</v>
      </c>
      <c r="D235" s="7">
        <v>80</v>
      </c>
      <c r="E235" s="7">
        <v>60</v>
      </c>
      <c r="F235" s="7">
        <v>75</v>
      </c>
      <c r="G235" s="74">
        <f t="shared" si="39"/>
        <v>70</v>
      </c>
      <c r="H235" s="75">
        <f>G235*K值!M236</f>
        <v>73.847509211600311</v>
      </c>
      <c r="I235" s="7">
        <v>0</v>
      </c>
      <c r="J235" s="7">
        <v>40</v>
      </c>
      <c r="K235" s="7">
        <v>25</v>
      </c>
      <c r="L235" s="7">
        <v>25</v>
      </c>
      <c r="M235" s="74">
        <f t="shared" si="40"/>
        <v>22.5</v>
      </c>
      <c r="N235" s="7">
        <v>35</v>
      </c>
      <c r="O235" s="7">
        <v>0</v>
      </c>
      <c r="P235" s="7">
        <v>65</v>
      </c>
      <c r="Q235" s="7">
        <v>0</v>
      </c>
      <c r="R235" s="74">
        <f t="shared" si="41"/>
        <v>25</v>
      </c>
      <c r="S235" s="3">
        <v>76.429001484291106</v>
      </c>
      <c r="T235" s="3">
        <f t="shared" si="45"/>
        <v>76.429001484291106</v>
      </c>
      <c r="U235" s="3">
        <v>61.970983651550569</v>
      </c>
      <c r="V235" s="3">
        <v>90.312903506221758</v>
      </c>
      <c r="W235" s="3">
        <v>88.151793497024912</v>
      </c>
      <c r="X235" s="3">
        <f t="shared" si="36"/>
        <v>80.145226884932413</v>
      </c>
      <c r="Y235" s="3">
        <v>5.3778305410109928</v>
      </c>
      <c r="Z235" s="3">
        <v>1.0459388998745751</v>
      </c>
      <c r="AA235" s="3">
        <v>3.598932618258758</v>
      </c>
      <c r="AB235" s="3">
        <v>52.1478162397406</v>
      </c>
      <c r="AC235" s="3">
        <f t="shared" si="37"/>
        <v>15.542629574721232</v>
      </c>
      <c r="AD235" s="3">
        <v>3.4811236342442262</v>
      </c>
      <c r="AE235" s="87">
        <v>0</v>
      </c>
      <c r="AF235" s="3">
        <v>74.261603375527429</v>
      </c>
      <c r="AG235" s="3">
        <v>39.29770329673071</v>
      </c>
      <c r="AH235" s="3">
        <v>26.031464941967503</v>
      </c>
      <c r="AI235" s="3">
        <f t="shared" si="38"/>
        <v>28.614379049693973</v>
      </c>
      <c r="AJ235" s="65">
        <f t="shared" si="42"/>
        <v>50.182809248409683</v>
      </c>
      <c r="AK235" s="75">
        <f>AJ235*K值!M236</f>
        <v>52.941078117655934</v>
      </c>
      <c r="AL235" s="3">
        <v>50</v>
      </c>
      <c r="AM235" s="3">
        <v>0</v>
      </c>
      <c r="AN235" s="65">
        <f t="shared" si="43"/>
        <v>25</v>
      </c>
      <c r="AP235" s="76">
        <f t="shared" si="44"/>
        <v>45.445933089382436</v>
      </c>
    </row>
    <row r="236" spans="1:42" x14ac:dyDescent="0.25">
      <c r="A236" s="92" t="s">
        <v>243</v>
      </c>
      <c r="B236" s="3">
        <v>4</v>
      </c>
      <c r="C236" s="7">
        <v>65</v>
      </c>
      <c r="D236" s="7">
        <v>80</v>
      </c>
      <c r="E236" s="7">
        <v>75</v>
      </c>
      <c r="F236" s="7">
        <v>60</v>
      </c>
      <c r="G236" s="74">
        <f t="shared" si="39"/>
        <v>70</v>
      </c>
      <c r="H236" s="75">
        <f>G236*K值!M237</f>
        <v>73.847509211600311</v>
      </c>
      <c r="I236" s="7">
        <v>0</v>
      </c>
      <c r="J236" s="7">
        <v>20</v>
      </c>
      <c r="K236" s="7">
        <v>0</v>
      </c>
      <c r="L236" s="7">
        <v>0</v>
      </c>
      <c r="M236" s="74">
        <f t="shared" si="40"/>
        <v>5</v>
      </c>
      <c r="N236" s="7">
        <v>0</v>
      </c>
      <c r="O236" s="7">
        <v>0</v>
      </c>
      <c r="P236" s="7">
        <v>35</v>
      </c>
      <c r="Q236" s="7">
        <v>0</v>
      </c>
      <c r="R236" s="74">
        <f t="shared" si="41"/>
        <v>8.75</v>
      </c>
      <c r="S236" s="3">
        <v>97.153325117563696</v>
      </c>
      <c r="T236" s="3">
        <f t="shared" si="45"/>
        <v>97.153325117563696</v>
      </c>
      <c r="U236" s="3">
        <v>99.788418897522192</v>
      </c>
      <c r="V236" s="3">
        <v>47.338706084742945</v>
      </c>
      <c r="W236" s="3">
        <v>100</v>
      </c>
      <c r="X236" s="3">
        <f t="shared" si="36"/>
        <v>82.375708327421719</v>
      </c>
      <c r="Y236" s="3">
        <v>1.1523046976408329</v>
      </c>
      <c r="Z236" s="3">
        <v>0.38403800965852464</v>
      </c>
      <c r="AA236" s="3">
        <v>3.2990215667371947</v>
      </c>
      <c r="AB236" s="3">
        <v>34.322048243233546</v>
      </c>
      <c r="AC236" s="3">
        <f t="shared" si="37"/>
        <v>9.789353129317524</v>
      </c>
      <c r="AD236" s="3">
        <v>2.8391566792489273</v>
      </c>
      <c r="AE236" s="87">
        <v>0</v>
      </c>
      <c r="AF236" s="3">
        <v>8.4388185654008439</v>
      </c>
      <c r="AG236" s="3">
        <v>0</v>
      </c>
      <c r="AH236" s="3">
        <v>6.5078662354918757</v>
      </c>
      <c r="AI236" s="3">
        <f t="shared" si="38"/>
        <v>3.5571682960283288</v>
      </c>
      <c r="AJ236" s="65">
        <f t="shared" si="42"/>
        <v>48.218888717582821</v>
      </c>
      <c r="AK236" s="75">
        <f>AJ236*K值!M237</f>
        <v>50.869211839211829</v>
      </c>
      <c r="AL236" s="3">
        <v>0</v>
      </c>
      <c r="AM236" s="3">
        <v>0</v>
      </c>
      <c r="AN236" s="65">
        <f t="shared" si="43"/>
        <v>0</v>
      </c>
      <c r="AP236" s="76">
        <f t="shared" si="44"/>
        <v>36.992186578004791</v>
      </c>
    </row>
    <row r="237" spans="1:42" x14ac:dyDescent="0.25">
      <c r="A237" s="92" t="s">
        <v>244</v>
      </c>
      <c r="B237" s="3">
        <v>3</v>
      </c>
      <c r="C237" s="7">
        <v>65</v>
      </c>
      <c r="D237" s="7">
        <v>100</v>
      </c>
      <c r="E237" s="7">
        <v>75</v>
      </c>
      <c r="F237" s="7">
        <v>75</v>
      </c>
      <c r="G237" s="74">
        <f t="shared" si="39"/>
        <v>78.75</v>
      </c>
      <c r="H237" s="75">
        <f>G237*K值!M238</f>
        <v>83.078447863050357</v>
      </c>
      <c r="I237" s="7">
        <v>0</v>
      </c>
      <c r="J237" s="7">
        <v>40</v>
      </c>
      <c r="K237" s="7">
        <v>0</v>
      </c>
      <c r="L237" s="7">
        <v>0</v>
      </c>
      <c r="M237" s="74">
        <f t="shared" si="40"/>
        <v>10</v>
      </c>
      <c r="N237" s="7">
        <v>35</v>
      </c>
      <c r="O237" s="7">
        <v>35</v>
      </c>
      <c r="P237" s="7">
        <v>35</v>
      </c>
      <c r="Q237" s="7">
        <v>35</v>
      </c>
      <c r="R237" s="74">
        <f t="shared" si="41"/>
        <v>35</v>
      </c>
      <c r="S237" s="3">
        <v>64.727244854566663</v>
      </c>
      <c r="T237" s="3">
        <f t="shared" si="45"/>
        <v>64.727244854566663</v>
      </c>
      <c r="U237" s="3">
        <v>67.799172727152225</v>
      </c>
      <c r="V237" s="3">
        <v>73.271358437059192</v>
      </c>
      <c r="W237" s="3">
        <v>100</v>
      </c>
      <c r="X237" s="3">
        <f t="shared" si="36"/>
        <v>80.356843721403806</v>
      </c>
      <c r="Y237" s="3">
        <v>3.7216990021676257</v>
      </c>
      <c r="Z237" s="3">
        <v>0.29158629524936142</v>
      </c>
      <c r="AA237" s="3">
        <v>2.84915498945485</v>
      </c>
      <c r="AB237" s="3">
        <v>35.286391052988868</v>
      </c>
      <c r="AC237" s="3">
        <f t="shared" si="37"/>
        <v>10.537207834965177</v>
      </c>
      <c r="AD237" s="3">
        <v>1.9380901109668207</v>
      </c>
      <c r="AE237" s="87">
        <v>0</v>
      </c>
      <c r="AF237" s="3">
        <v>57.805907172995788</v>
      </c>
      <c r="AG237" s="3">
        <v>0</v>
      </c>
      <c r="AH237" s="3">
        <v>10.846443725819793</v>
      </c>
      <c r="AI237" s="3">
        <f t="shared" si="38"/>
        <v>14.118088201956478</v>
      </c>
      <c r="AJ237" s="65">
        <f t="shared" si="42"/>
        <v>42.434846153223035</v>
      </c>
      <c r="AK237" s="75">
        <f>AJ237*K值!M238</f>
        <v>44.767252745614002</v>
      </c>
      <c r="AL237" s="3">
        <v>25</v>
      </c>
      <c r="AM237" s="3">
        <v>0</v>
      </c>
      <c r="AN237" s="65">
        <f t="shared" si="43"/>
        <v>12.5</v>
      </c>
      <c r="AP237" s="76">
        <f t="shared" si="44"/>
        <v>41.272590670855678</v>
      </c>
    </row>
    <row r="238" spans="1:42" x14ac:dyDescent="0.25">
      <c r="A238" s="92" t="s">
        <v>245</v>
      </c>
      <c r="B238" s="3">
        <v>2</v>
      </c>
      <c r="C238" s="7">
        <v>65</v>
      </c>
      <c r="D238" s="7">
        <v>100</v>
      </c>
      <c r="E238" s="7">
        <v>100</v>
      </c>
      <c r="F238" s="7">
        <v>60</v>
      </c>
      <c r="G238" s="74">
        <f t="shared" si="39"/>
        <v>81.25</v>
      </c>
      <c r="H238" s="75">
        <f>G238*K值!M239</f>
        <v>85.715858906321799</v>
      </c>
      <c r="I238" s="7">
        <v>0</v>
      </c>
      <c r="J238" s="7">
        <v>80</v>
      </c>
      <c r="K238" s="7">
        <v>25</v>
      </c>
      <c r="L238" s="7">
        <v>0</v>
      </c>
      <c r="M238" s="74">
        <f t="shared" si="40"/>
        <v>26.25</v>
      </c>
      <c r="N238" s="7">
        <v>65</v>
      </c>
      <c r="O238" s="7">
        <v>0</v>
      </c>
      <c r="P238" s="7">
        <v>100</v>
      </c>
      <c r="Q238" s="7">
        <v>35</v>
      </c>
      <c r="R238" s="74">
        <f t="shared" si="41"/>
        <v>50</v>
      </c>
      <c r="S238" s="3">
        <v>51.749262921699582</v>
      </c>
      <c r="T238" s="3">
        <f t="shared" ref="T238:T255" si="46">AVERAGE(S238)</f>
        <v>51.749262921699582</v>
      </c>
      <c r="U238" s="3">
        <v>39.585748953289993</v>
      </c>
      <c r="V238" s="3">
        <v>72.152670897803077</v>
      </c>
      <c r="W238" s="3">
        <v>93.901658417586361</v>
      </c>
      <c r="X238" s="3">
        <f t="shared" si="36"/>
        <v>68.546692756226477</v>
      </c>
      <c r="Y238" s="3">
        <v>17.074949078126767</v>
      </c>
      <c r="Z238" s="3">
        <v>0.76175106286288397</v>
      </c>
      <c r="AA238" s="3">
        <v>1.2746219689666434</v>
      </c>
      <c r="AB238" s="3">
        <v>47.586794198942087</v>
      </c>
      <c r="AC238" s="3">
        <f t="shared" si="37"/>
        <v>16.674529077224594</v>
      </c>
      <c r="AD238" s="3">
        <v>0.34098634269711359</v>
      </c>
      <c r="AE238" s="87">
        <v>0</v>
      </c>
      <c r="AF238" s="3">
        <v>33.755274261603375</v>
      </c>
      <c r="AG238" s="3">
        <v>19.648851648365355</v>
      </c>
      <c r="AH238" s="3">
        <v>15.185021216147712</v>
      </c>
      <c r="AI238" s="3">
        <f t="shared" si="38"/>
        <v>13.786026693762713</v>
      </c>
      <c r="AJ238" s="65">
        <f t="shared" si="42"/>
        <v>37.689127862228347</v>
      </c>
      <c r="AK238" s="75">
        <f>AJ238*K值!M239</f>
        <v>39.760688814044144</v>
      </c>
      <c r="AL238" s="3">
        <v>25</v>
      </c>
      <c r="AM238" s="3">
        <v>0</v>
      </c>
      <c r="AN238" s="65">
        <f t="shared" si="43"/>
        <v>12.5</v>
      </c>
      <c r="AP238" s="76">
        <f t="shared" si="44"/>
        <v>44.54744730688202</v>
      </c>
    </row>
    <row r="239" spans="1:42" x14ac:dyDescent="0.25">
      <c r="A239" s="92" t="s">
        <v>321</v>
      </c>
      <c r="B239" s="3">
        <v>3</v>
      </c>
      <c r="C239" s="7">
        <v>65</v>
      </c>
      <c r="D239" s="7">
        <v>100</v>
      </c>
      <c r="E239" s="7">
        <v>100</v>
      </c>
      <c r="F239" s="7">
        <v>100</v>
      </c>
      <c r="G239" s="74">
        <f t="shared" si="39"/>
        <v>91.25</v>
      </c>
      <c r="H239" s="75">
        <f>G239*K值!M240</f>
        <v>96.265503079407551</v>
      </c>
      <c r="I239" s="7">
        <v>0</v>
      </c>
      <c r="J239" s="7">
        <v>60</v>
      </c>
      <c r="K239" s="7">
        <v>25</v>
      </c>
      <c r="L239" s="7">
        <v>0</v>
      </c>
      <c r="M239" s="74">
        <f t="shared" si="40"/>
        <v>21.25</v>
      </c>
      <c r="N239" s="7">
        <v>35</v>
      </c>
      <c r="O239" s="7">
        <v>35</v>
      </c>
      <c r="P239" s="7">
        <v>35</v>
      </c>
      <c r="Q239" s="7">
        <v>0</v>
      </c>
      <c r="R239" s="74">
        <f t="shared" si="41"/>
        <v>26.25</v>
      </c>
      <c r="S239" s="3">
        <v>34.457341108181986</v>
      </c>
      <c r="T239" s="3">
        <f t="shared" si="46"/>
        <v>34.457341108181986</v>
      </c>
      <c r="U239" s="3">
        <v>7.1170126777772884</v>
      </c>
      <c r="V239" s="3">
        <v>41.158264762094454</v>
      </c>
      <c r="W239" s="3">
        <v>96.166756719625738</v>
      </c>
      <c r="X239" s="3">
        <f t="shared" si="36"/>
        <v>48.147344719832496</v>
      </c>
      <c r="Y239" s="3">
        <v>0.58105577306569656</v>
      </c>
      <c r="Z239" s="3">
        <v>0.48960385396347994</v>
      </c>
      <c r="AA239" s="3">
        <v>4.1987547213018841</v>
      </c>
      <c r="AB239" s="3">
        <v>24.895927943212673</v>
      </c>
      <c r="AC239" s="3">
        <f t="shared" si="37"/>
        <v>7.5413355728859335</v>
      </c>
      <c r="AD239" s="3">
        <v>4.8228783264520247</v>
      </c>
      <c r="AE239" s="87">
        <v>0</v>
      </c>
      <c r="AF239" s="3">
        <v>64.556962025316452</v>
      </c>
      <c r="AG239" s="3">
        <v>3.9297703296730706</v>
      </c>
      <c r="AH239" s="3">
        <v>4.3385774903279177</v>
      </c>
      <c r="AI239" s="3">
        <f t="shared" si="38"/>
        <v>15.529637634353895</v>
      </c>
      <c r="AJ239" s="65">
        <f t="shared" si="42"/>
        <v>26.418914758813575</v>
      </c>
      <c r="AK239" s="75">
        <f>AJ239*K值!M240</f>
        <v>27.871015014456699</v>
      </c>
      <c r="AL239" s="3">
        <v>50</v>
      </c>
      <c r="AM239" s="3">
        <v>0</v>
      </c>
      <c r="AN239" s="65">
        <f t="shared" si="43"/>
        <v>25</v>
      </c>
      <c r="AP239" s="76">
        <f t="shared" si="44"/>
        <v>39.77650662166419</v>
      </c>
    </row>
    <row r="240" spans="1:42" x14ac:dyDescent="0.25">
      <c r="A240" s="92" t="s">
        <v>246</v>
      </c>
      <c r="B240" s="3">
        <v>4</v>
      </c>
      <c r="C240" s="7">
        <v>65</v>
      </c>
      <c r="D240" s="7">
        <v>100</v>
      </c>
      <c r="E240" s="7">
        <v>100</v>
      </c>
      <c r="F240" s="7">
        <v>60</v>
      </c>
      <c r="G240" s="74">
        <f t="shared" si="39"/>
        <v>81.25</v>
      </c>
      <c r="H240" s="75">
        <f>G240*K值!M241</f>
        <v>85.715858906321799</v>
      </c>
      <c r="I240" s="7">
        <v>25</v>
      </c>
      <c r="J240" s="7">
        <v>40</v>
      </c>
      <c r="K240" s="7">
        <v>25</v>
      </c>
      <c r="L240" s="7">
        <v>50</v>
      </c>
      <c r="M240" s="74">
        <f t="shared" si="40"/>
        <v>35</v>
      </c>
      <c r="N240" s="7">
        <v>65</v>
      </c>
      <c r="O240" s="7">
        <v>0</v>
      </c>
      <c r="P240" s="7">
        <v>65</v>
      </c>
      <c r="Q240" s="7">
        <v>35</v>
      </c>
      <c r="R240" s="74">
        <f t="shared" si="41"/>
        <v>41.25</v>
      </c>
      <c r="S240" s="3">
        <v>85.813237080513645</v>
      </c>
      <c r="T240" s="3">
        <f t="shared" si="46"/>
        <v>85.813237080513645</v>
      </c>
      <c r="U240" s="3">
        <v>75.299490789864478</v>
      </c>
      <c r="V240" s="3">
        <v>94.237529845864771</v>
      </c>
      <c r="W240" s="3">
        <v>67.278041452077687</v>
      </c>
      <c r="X240" s="3">
        <f t="shared" si="36"/>
        <v>78.938354029268979</v>
      </c>
      <c r="Y240" s="3">
        <v>6.8672456555148349</v>
      </c>
      <c r="Z240" s="3">
        <v>0.66261172247810107</v>
      </c>
      <c r="AA240" s="3">
        <v>2.3992884121725053</v>
      </c>
      <c r="AB240" s="3">
        <v>19.898454135075102</v>
      </c>
      <c r="AC240" s="3">
        <f t="shared" si="37"/>
        <v>7.4568999813101362</v>
      </c>
      <c r="AD240" s="3">
        <v>1.1264113465448189</v>
      </c>
      <c r="AE240" s="87">
        <v>14.865092839693213</v>
      </c>
      <c r="AF240" s="3">
        <v>36.708860759493675</v>
      </c>
      <c r="AG240" s="3">
        <v>19.648851648365355</v>
      </c>
      <c r="AH240" s="3">
        <v>32.539331177459381</v>
      </c>
      <c r="AI240" s="3">
        <f t="shared" si="38"/>
        <v>20.977709554311286</v>
      </c>
      <c r="AJ240" s="65">
        <f t="shared" si="42"/>
        <v>48.296550161351007</v>
      </c>
      <c r="AK240" s="75">
        <f>AJ240*K值!M241</f>
        <v>50.951141898984076</v>
      </c>
      <c r="AL240" s="3">
        <v>50</v>
      </c>
      <c r="AM240" s="3">
        <v>0</v>
      </c>
      <c r="AN240" s="65">
        <f t="shared" si="43"/>
        <v>25</v>
      </c>
      <c r="AP240" s="76">
        <f t="shared" si="44"/>
        <v>51.148628540857992</v>
      </c>
    </row>
    <row r="241" spans="1:42" x14ac:dyDescent="0.25">
      <c r="A241" s="92" t="s">
        <v>247</v>
      </c>
      <c r="B241" s="3">
        <v>4</v>
      </c>
      <c r="C241" s="7">
        <v>65</v>
      </c>
      <c r="D241" s="7">
        <v>100</v>
      </c>
      <c r="E241" s="7">
        <v>60</v>
      </c>
      <c r="F241" s="7">
        <v>60</v>
      </c>
      <c r="G241" s="74">
        <f t="shared" si="39"/>
        <v>71.25</v>
      </c>
      <c r="H241" s="75">
        <f>G241*K值!M242</f>
        <v>75.166214733236032</v>
      </c>
      <c r="I241" s="7">
        <v>75</v>
      </c>
      <c r="J241" s="7">
        <v>40</v>
      </c>
      <c r="K241" s="7">
        <v>25</v>
      </c>
      <c r="L241" s="7">
        <v>25</v>
      </c>
      <c r="M241" s="74">
        <f t="shared" si="40"/>
        <v>41.25</v>
      </c>
      <c r="N241" s="7">
        <v>100</v>
      </c>
      <c r="O241" s="7">
        <v>35</v>
      </c>
      <c r="P241" s="7">
        <v>100</v>
      </c>
      <c r="Q241" s="7">
        <v>35</v>
      </c>
      <c r="R241" s="74">
        <f t="shared" si="41"/>
        <v>67.5</v>
      </c>
      <c r="S241" s="3">
        <v>70.113668596878426</v>
      </c>
      <c r="T241" s="3">
        <f t="shared" si="46"/>
        <v>70.113668596878426</v>
      </c>
      <c r="U241" s="3">
        <v>58.825840670891502</v>
      </c>
      <c r="V241" s="3">
        <v>89.781219593333532</v>
      </c>
      <c r="W241" s="3">
        <v>94.424373410364694</v>
      </c>
      <c r="X241" s="3">
        <f t="shared" si="36"/>
        <v>81.010477891529902</v>
      </c>
      <c r="Y241" s="3">
        <v>3.3686524565074558</v>
      </c>
      <c r="Z241" s="3">
        <v>0.52949750132346729</v>
      </c>
      <c r="AA241" s="3">
        <v>1.1996442060862527</v>
      </c>
      <c r="AB241" s="3">
        <v>29.842339455946686</v>
      </c>
      <c r="AC241" s="3">
        <f t="shared" si="37"/>
        <v>8.7350334049659644</v>
      </c>
      <c r="AD241" s="3">
        <v>1.2733073878533829</v>
      </c>
      <c r="AE241" s="87">
        <v>0</v>
      </c>
      <c r="AF241" s="3">
        <v>45.147679324894511</v>
      </c>
      <c r="AG241" s="3">
        <v>31.438162637384565</v>
      </c>
      <c r="AH241" s="3">
        <v>10.846443725819793</v>
      </c>
      <c r="AI241" s="3">
        <f t="shared" si="38"/>
        <v>17.741118615190452</v>
      </c>
      <c r="AJ241" s="65">
        <f t="shared" si="42"/>
        <v>44.400074627141187</v>
      </c>
      <c r="AK241" s="75">
        <f>AJ241*K值!M242</f>
        <v>46.84049885747929</v>
      </c>
      <c r="AL241" s="3">
        <v>0</v>
      </c>
      <c r="AM241" s="3">
        <v>0</v>
      </c>
      <c r="AN241" s="65">
        <f t="shared" si="43"/>
        <v>0</v>
      </c>
      <c r="AP241" s="76">
        <f t="shared" si="44"/>
        <v>48.769442489638919</v>
      </c>
    </row>
    <row r="242" spans="1:42" x14ac:dyDescent="0.25">
      <c r="A242" s="92" t="s">
        <v>248</v>
      </c>
      <c r="B242" s="3">
        <v>4</v>
      </c>
      <c r="C242" s="7">
        <v>65</v>
      </c>
      <c r="D242" s="7">
        <v>100</v>
      </c>
      <c r="E242" s="7">
        <v>75</v>
      </c>
      <c r="F242" s="7">
        <v>60</v>
      </c>
      <c r="G242" s="74">
        <f t="shared" si="39"/>
        <v>75</v>
      </c>
      <c r="H242" s="75">
        <f>G242*K值!M243</f>
        <v>79.122331298143195</v>
      </c>
      <c r="I242" s="7">
        <v>0</v>
      </c>
      <c r="J242" s="7">
        <v>60</v>
      </c>
      <c r="K242" s="7">
        <v>25</v>
      </c>
      <c r="L242" s="7">
        <v>25</v>
      </c>
      <c r="M242" s="74">
        <f t="shared" si="40"/>
        <v>27.5</v>
      </c>
      <c r="N242" s="7">
        <v>65</v>
      </c>
      <c r="O242" s="7">
        <v>35</v>
      </c>
      <c r="P242" s="7">
        <v>65</v>
      </c>
      <c r="Q242" s="7">
        <v>0</v>
      </c>
      <c r="R242" s="74">
        <f t="shared" si="41"/>
        <v>41.25</v>
      </c>
      <c r="S242" s="3">
        <v>70.821039635076062</v>
      </c>
      <c r="T242" s="3">
        <f t="shared" si="46"/>
        <v>70.821039635076062</v>
      </c>
      <c r="U242" s="3">
        <v>42.563855596656545</v>
      </c>
      <c r="V242" s="3">
        <v>100</v>
      </c>
      <c r="W242" s="3">
        <v>93.518334089548944</v>
      </c>
      <c r="X242" s="3">
        <f t="shared" si="36"/>
        <v>78.69406322873516</v>
      </c>
      <c r="Y242" s="3">
        <v>5.3741529728270327</v>
      </c>
      <c r="Z242" s="3">
        <v>0.51861741567983433</v>
      </c>
      <c r="AA242" s="3">
        <v>0.52484434016273551</v>
      </c>
      <c r="AB242" s="3">
        <v>48.099427893265933</v>
      </c>
      <c r="AC242" s="3">
        <f t="shared" si="37"/>
        <v>13.629260655483884</v>
      </c>
      <c r="AD242" s="3">
        <v>0.6885361255378013</v>
      </c>
      <c r="AE242" s="87">
        <v>14.865092839693213</v>
      </c>
      <c r="AF242" s="3">
        <v>31.223628691983123</v>
      </c>
      <c r="AG242" s="3">
        <v>0</v>
      </c>
      <c r="AH242" s="3">
        <v>0</v>
      </c>
      <c r="AI242" s="3">
        <f t="shared" si="38"/>
        <v>9.3554515314428279</v>
      </c>
      <c r="AJ242" s="65">
        <f t="shared" si="42"/>
        <v>43.124953762684484</v>
      </c>
      <c r="AK242" s="75">
        <f>AJ242*K值!M243</f>
        <v>45.495291717709719</v>
      </c>
      <c r="AL242" s="3">
        <v>25</v>
      </c>
      <c r="AM242" s="3">
        <v>0</v>
      </c>
      <c r="AN242" s="65">
        <f t="shared" si="43"/>
        <v>12.5</v>
      </c>
      <c r="AP242" s="76">
        <f t="shared" si="44"/>
        <v>44.897582946712532</v>
      </c>
    </row>
    <row r="243" spans="1:42" x14ac:dyDescent="0.25">
      <c r="A243" s="92" t="s">
        <v>249</v>
      </c>
      <c r="B243" s="3">
        <v>3</v>
      </c>
      <c r="C243" s="7">
        <v>65</v>
      </c>
      <c r="D243" s="7">
        <v>100</v>
      </c>
      <c r="E243" s="7">
        <v>60</v>
      </c>
      <c r="F243" s="7">
        <v>60</v>
      </c>
      <c r="G243" s="74">
        <f t="shared" si="39"/>
        <v>71.25</v>
      </c>
      <c r="H243" s="75">
        <f>G243*K值!M244</f>
        <v>75.166214733236032</v>
      </c>
      <c r="I243" s="7">
        <v>0</v>
      </c>
      <c r="J243" s="7">
        <v>60</v>
      </c>
      <c r="K243" s="7">
        <v>25</v>
      </c>
      <c r="L243" s="7">
        <v>0</v>
      </c>
      <c r="M243" s="74">
        <f t="shared" si="40"/>
        <v>21.25</v>
      </c>
      <c r="N243" s="7">
        <v>35</v>
      </c>
      <c r="O243" s="7">
        <v>35</v>
      </c>
      <c r="P243" s="7">
        <v>35</v>
      </c>
      <c r="Q243" s="7">
        <v>0</v>
      </c>
      <c r="R243" s="74">
        <f t="shared" si="41"/>
        <v>26.25</v>
      </c>
      <c r="S243" s="3">
        <v>23.967900495102903</v>
      </c>
      <c r="T243" s="3">
        <f t="shared" si="46"/>
        <v>23.967900495102903</v>
      </c>
      <c r="U243" s="3">
        <v>63.314752778200337</v>
      </c>
      <c r="V243" s="3">
        <v>55.532170314569342</v>
      </c>
      <c r="W243" s="3">
        <v>98.362159689294629</v>
      </c>
      <c r="X243" s="3">
        <f t="shared" si="36"/>
        <v>72.403027594021438</v>
      </c>
      <c r="Y243" s="3">
        <v>8.0158727849717071</v>
      </c>
      <c r="Z243" s="3">
        <v>0.22824243663213073</v>
      </c>
      <c r="AA243" s="3">
        <v>6.6730208963547799</v>
      </c>
      <c r="AB243" s="3">
        <v>47.702498549118829</v>
      </c>
      <c r="AC243" s="3">
        <f t="shared" si="37"/>
        <v>15.654908666769362</v>
      </c>
      <c r="AD243" s="3">
        <v>2.7385172637141237</v>
      </c>
      <c r="AE243" s="87">
        <v>0</v>
      </c>
      <c r="AF243" s="3">
        <v>5.485232067510549</v>
      </c>
      <c r="AG243" s="3">
        <v>3.9297703296730706</v>
      </c>
      <c r="AH243" s="3">
        <v>15.185021216147712</v>
      </c>
      <c r="AI243" s="3">
        <f t="shared" si="38"/>
        <v>5.4677081754090908</v>
      </c>
      <c r="AJ243" s="65">
        <f t="shared" si="42"/>
        <v>29.373386232825695</v>
      </c>
      <c r="AK243" s="75">
        <f>AJ243*K值!M244</f>
        <v>30.987877291492705</v>
      </c>
      <c r="AL243" s="3">
        <v>0</v>
      </c>
      <c r="AM243" s="3">
        <v>0</v>
      </c>
      <c r="AN243" s="65">
        <f t="shared" si="43"/>
        <v>0</v>
      </c>
      <c r="AP243" s="76">
        <f t="shared" si="44"/>
        <v>34.303393863244288</v>
      </c>
    </row>
    <row r="244" spans="1:42" x14ac:dyDescent="0.25">
      <c r="A244" s="92" t="s">
        <v>250</v>
      </c>
      <c r="B244" s="3">
        <v>4</v>
      </c>
      <c r="C244" s="7">
        <v>0</v>
      </c>
      <c r="D244" s="7">
        <v>60</v>
      </c>
      <c r="E244" s="7">
        <v>15</v>
      </c>
      <c r="F244" s="7">
        <v>30</v>
      </c>
      <c r="G244" s="74">
        <f t="shared" si="39"/>
        <v>26.25</v>
      </c>
      <c r="H244" s="75">
        <f>G244*K值!M245</f>
        <v>27.692815954350117</v>
      </c>
      <c r="I244" s="7">
        <v>0</v>
      </c>
      <c r="J244" s="7">
        <v>40</v>
      </c>
      <c r="K244" s="7">
        <v>25</v>
      </c>
      <c r="L244" s="7">
        <v>0</v>
      </c>
      <c r="M244" s="74">
        <f t="shared" si="40"/>
        <v>16.25</v>
      </c>
      <c r="N244" s="7">
        <v>65</v>
      </c>
      <c r="O244" s="7">
        <v>35</v>
      </c>
      <c r="P244" s="7">
        <v>35</v>
      </c>
      <c r="Q244" s="7">
        <v>35</v>
      </c>
      <c r="R244" s="74">
        <f t="shared" si="41"/>
        <v>42.5</v>
      </c>
      <c r="S244" s="3">
        <v>73.175280981480768</v>
      </c>
      <c r="T244" s="3">
        <f t="shared" si="46"/>
        <v>73.175280981480768</v>
      </c>
      <c r="U244" s="3">
        <v>53.00208456408194</v>
      </c>
      <c r="V244" s="3">
        <v>79.104514891751805</v>
      </c>
      <c r="W244" s="3">
        <v>51.213267340690905</v>
      </c>
      <c r="X244" s="3">
        <f t="shared" si="36"/>
        <v>61.106622265508214</v>
      </c>
      <c r="Y244" s="3">
        <v>1.6818745161310877</v>
      </c>
      <c r="Z244" s="3">
        <v>4.1997130584422948E-2</v>
      </c>
      <c r="AA244" s="3">
        <v>2.84915498945485</v>
      </c>
      <c r="AB244" s="3">
        <v>39.110501726095315</v>
      </c>
      <c r="AC244" s="3">
        <f t="shared" si="37"/>
        <v>10.920882090566419</v>
      </c>
      <c r="AD244" s="3">
        <v>0.43037414655721851</v>
      </c>
      <c r="AE244" s="87">
        <v>0</v>
      </c>
      <c r="AF244" s="3">
        <v>51.054852320675103</v>
      </c>
      <c r="AG244" s="3">
        <v>31.438162637384565</v>
      </c>
      <c r="AH244" s="3">
        <v>0</v>
      </c>
      <c r="AI244" s="3">
        <f t="shared" si="38"/>
        <v>16.584677820923378</v>
      </c>
      <c r="AJ244" s="65">
        <f t="shared" si="42"/>
        <v>40.446865789619693</v>
      </c>
      <c r="AK244" s="75">
        <f>AJ244*K值!M245</f>
        <v>42.670004199704316</v>
      </c>
      <c r="AL244" s="3">
        <v>0</v>
      </c>
      <c r="AM244" s="3">
        <v>0</v>
      </c>
      <c r="AN244" s="65">
        <f t="shared" si="43"/>
        <v>0</v>
      </c>
      <c r="AP244" s="76">
        <f t="shared" si="44"/>
        <v>30.106564870751754</v>
      </c>
    </row>
    <row r="245" spans="1:42" x14ac:dyDescent="0.25">
      <c r="A245" s="92" t="s">
        <v>251</v>
      </c>
      <c r="B245" s="3">
        <v>3</v>
      </c>
      <c r="C245" s="7">
        <v>65</v>
      </c>
      <c r="D245" s="7">
        <v>100</v>
      </c>
      <c r="E245" s="7">
        <v>45</v>
      </c>
      <c r="F245" s="7">
        <v>60</v>
      </c>
      <c r="G245" s="74">
        <f t="shared" si="39"/>
        <v>67.5</v>
      </c>
      <c r="H245" s="75">
        <f>G245*K值!M246</f>
        <v>71.210098168328869</v>
      </c>
      <c r="I245" s="7">
        <v>0</v>
      </c>
      <c r="J245" s="7">
        <v>40</v>
      </c>
      <c r="K245" s="7">
        <v>50</v>
      </c>
      <c r="L245" s="7">
        <v>50</v>
      </c>
      <c r="M245" s="74">
        <f t="shared" si="40"/>
        <v>35</v>
      </c>
      <c r="N245" s="7">
        <v>35</v>
      </c>
      <c r="O245" s="7">
        <v>0</v>
      </c>
      <c r="P245" s="7">
        <v>65</v>
      </c>
      <c r="Q245" s="7">
        <v>65</v>
      </c>
      <c r="R245" s="74">
        <f t="shared" si="41"/>
        <v>41.25</v>
      </c>
      <c r="S245" s="3">
        <v>74.586810472364732</v>
      </c>
      <c r="T245" s="3">
        <f t="shared" si="46"/>
        <v>74.586810472364732</v>
      </c>
      <c r="U245" s="3">
        <v>57.050742577646076</v>
      </c>
      <c r="V245" s="3">
        <v>96.831409744579517</v>
      </c>
      <c r="W245" s="3">
        <v>24.171478380959556</v>
      </c>
      <c r="X245" s="3">
        <f t="shared" si="36"/>
        <v>59.351210234395047</v>
      </c>
      <c r="Y245" s="3">
        <v>3.0523815926868867</v>
      </c>
      <c r="Z245" s="3">
        <v>0.18423611689885025</v>
      </c>
      <c r="AA245" s="3">
        <v>0.44986657728234475</v>
      </c>
      <c r="AB245" s="3">
        <v>47.922856628663546</v>
      </c>
      <c r="AC245" s="3">
        <f t="shared" si="37"/>
        <v>12.902335228882906</v>
      </c>
      <c r="AD245" s="3">
        <v>0.45318991467535719</v>
      </c>
      <c r="AE245" s="87">
        <v>0</v>
      </c>
      <c r="AF245" s="3">
        <v>24.894514767932492</v>
      </c>
      <c r="AG245" s="3">
        <v>3.9297703296730706</v>
      </c>
      <c r="AH245" s="3">
        <v>8.6771549806558355</v>
      </c>
      <c r="AI245" s="3">
        <f t="shared" si="38"/>
        <v>7.5909259985873501</v>
      </c>
      <c r="AJ245" s="65">
        <f t="shared" si="42"/>
        <v>38.607820483557511</v>
      </c>
      <c r="AK245" s="75">
        <f>AJ245*K值!M246</f>
        <v>40.729876839990354</v>
      </c>
      <c r="AL245" s="3">
        <v>75</v>
      </c>
      <c r="AM245" s="3">
        <v>0</v>
      </c>
      <c r="AN245" s="65">
        <f t="shared" si="43"/>
        <v>37.5</v>
      </c>
      <c r="AP245" s="76">
        <f t="shared" si="44"/>
        <v>45.408970369661915</v>
      </c>
    </row>
    <row r="246" spans="1:42" x14ac:dyDescent="0.25">
      <c r="A246" s="92" t="s">
        <v>322</v>
      </c>
      <c r="B246" s="3">
        <v>3</v>
      </c>
      <c r="C246" s="7">
        <v>100</v>
      </c>
      <c r="D246" s="7">
        <v>100</v>
      </c>
      <c r="E246" s="7">
        <v>75</v>
      </c>
      <c r="F246" s="7">
        <v>60</v>
      </c>
      <c r="G246" s="74">
        <f t="shared" si="39"/>
        <v>83.75</v>
      </c>
      <c r="H246" s="75">
        <f>G246*K值!M247</f>
        <v>88.353269949593241</v>
      </c>
      <c r="I246" s="7">
        <v>50</v>
      </c>
      <c r="J246" s="7">
        <v>40</v>
      </c>
      <c r="K246" s="7">
        <v>25</v>
      </c>
      <c r="L246" s="7">
        <v>0</v>
      </c>
      <c r="M246" s="74">
        <f t="shared" si="40"/>
        <v>28.75</v>
      </c>
      <c r="N246" s="7">
        <v>65</v>
      </c>
      <c r="O246" s="7">
        <v>35</v>
      </c>
      <c r="P246" s="7">
        <v>65</v>
      </c>
      <c r="Q246" s="7">
        <v>35</v>
      </c>
      <c r="R246" s="74">
        <f t="shared" si="41"/>
        <v>50</v>
      </c>
      <c r="S246" s="3">
        <v>66.565685343943883</v>
      </c>
      <c r="T246" s="3">
        <f t="shared" si="46"/>
        <v>66.565685343943883</v>
      </c>
      <c r="U246" s="3">
        <v>49.643533067770676</v>
      </c>
      <c r="V246" s="3">
        <v>39.584726245338594</v>
      </c>
      <c r="W246" s="3">
        <v>98.571245686405959</v>
      </c>
      <c r="X246" s="3">
        <f t="shared" si="36"/>
        <v>62.599834999838414</v>
      </c>
      <c r="Y246" s="3">
        <v>2.8096620925455196</v>
      </c>
      <c r="Z246" s="3">
        <v>0.36484553858315621</v>
      </c>
      <c r="AA246" s="3">
        <v>3.5239548553783666</v>
      </c>
      <c r="AB246" s="3">
        <v>19.22161476577676</v>
      </c>
      <c r="AC246" s="3">
        <f t="shared" si="37"/>
        <v>6.4800193130709509</v>
      </c>
      <c r="AD246" s="3">
        <v>1.7827553609022324</v>
      </c>
      <c r="AE246" s="87">
        <v>29.730185679386427</v>
      </c>
      <c r="AF246" s="3">
        <v>70.886075949367083</v>
      </c>
      <c r="AG246" s="3">
        <v>15.719081318692282</v>
      </c>
      <c r="AH246" s="3">
        <v>6.5078662354918757</v>
      </c>
      <c r="AI246" s="3">
        <f t="shared" si="38"/>
        <v>24.925192908767976</v>
      </c>
      <c r="AJ246" s="65">
        <f t="shared" si="42"/>
        <v>40.142683141405307</v>
      </c>
      <c r="AK246" s="75">
        <f>AJ246*K值!M247</f>
        <v>42.349102329475443</v>
      </c>
      <c r="AL246" s="3">
        <v>50</v>
      </c>
      <c r="AM246" s="3">
        <v>0</v>
      </c>
      <c r="AN246" s="65">
        <f t="shared" si="43"/>
        <v>25</v>
      </c>
      <c r="AP246" s="76">
        <f t="shared" si="44"/>
        <v>47.860294921708828</v>
      </c>
    </row>
    <row r="247" spans="1:42" x14ac:dyDescent="0.25">
      <c r="A247" s="92" t="s">
        <v>252</v>
      </c>
      <c r="B247" s="3">
        <v>3</v>
      </c>
      <c r="C247" s="7">
        <v>65</v>
      </c>
      <c r="D247" s="7">
        <v>60</v>
      </c>
      <c r="E247" s="7">
        <v>75</v>
      </c>
      <c r="F247" s="7">
        <v>75</v>
      </c>
      <c r="G247" s="74">
        <f t="shared" si="39"/>
        <v>68.75</v>
      </c>
      <c r="H247" s="75">
        <f>G247*K值!M248</f>
        <v>72.52880368996459</v>
      </c>
      <c r="I247" s="7">
        <v>0</v>
      </c>
      <c r="J247" s="7">
        <v>40</v>
      </c>
      <c r="K247" s="7">
        <v>25</v>
      </c>
      <c r="L247" s="7">
        <v>25</v>
      </c>
      <c r="M247" s="74">
        <f t="shared" si="40"/>
        <v>22.5</v>
      </c>
      <c r="N247" s="7">
        <v>35</v>
      </c>
      <c r="O247" s="7">
        <v>0</v>
      </c>
      <c r="P247" s="7">
        <v>100</v>
      </c>
      <c r="Q247" s="7">
        <v>35</v>
      </c>
      <c r="R247" s="74">
        <f t="shared" si="41"/>
        <v>42.5</v>
      </c>
      <c r="S247" s="3">
        <v>68.090995640196155</v>
      </c>
      <c r="T247" s="3">
        <f t="shared" si="46"/>
        <v>68.090995640196155</v>
      </c>
      <c r="U247" s="3">
        <v>56.322496678969728</v>
      </c>
      <c r="V247" s="3">
        <v>67.309122650913949</v>
      </c>
      <c r="W247" s="3">
        <v>100</v>
      </c>
      <c r="X247" s="3">
        <f t="shared" si="36"/>
        <v>74.543873109961226</v>
      </c>
      <c r="Y247" s="3">
        <v>8.7452571414571292</v>
      </c>
      <c r="Z247" s="3">
        <v>0.51789207663692549</v>
      </c>
      <c r="AA247" s="3">
        <v>2.84915498945485</v>
      </c>
      <c r="AB247" s="3">
        <v>44.262068752581143</v>
      </c>
      <c r="AC247" s="3">
        <f t="shared" si="37"/>
        <v>14.093593240032511</v>
      </c>
      <c r="AD247" s="3">
        <v>0.64165441022655745</v>
      </c>
      <c r="AE247" s="87">
        <v>0</v>
      </c>
      <c r="AF247" s="3">
        <v>29.535864978902953</v>
      </c>
      <c r="AG247" s="3">
        <v>0</v>
      </c>
      <c r="AH247" s="3">
        <v>6.5078662354918757</v>
      </c>
      <c r="AI247" s="3">
        <f t="shared" si="38"/>
        <v>7.3370771249242779</v>
      </c>
      <c r="AJ247" s="65">
        <f t="shared" si="42"/>
        <v>41.016384778778544</v>
      </c>
      <c r="AK247" s="75">
        <f>AJ247*K值!M248</f>
        <v>43.270826468248451</v>
      </c>
      <c r="AL247" s="3">
        <v>25</v>
      </c>
      <c r="AM247" s="3">
        <v>0</v>
      </c>
      <c r="AN247" s="65">
        <f t="shared" si="43"/>
        <v>12.5</v>
      </c>
      <c r="AP247" s="76">
        <f t="shared" si="44"/>
        <v>41.814091325292296</v>
      </c>
    </row>
    <row r="248" spans="1:42" x14ac:dyDescent="0.25">
      <c r="A248" s="92" t="s">
        <v>253</v>
      </c>
      <c r="B248" s="3">
        <v>4</v>
      </c>
      <c r="C248" s="7">
        <v>65</v>
      </c>
      <c r="D248" s="7">
        <v>100</v>
      </c>
      <c r="E248" s="7">
        <v>100</v>
      </c>
      <c r="F248" s="7">
        <v>100</v>
      </c>
      <c r="G248" s="74">
        <f t="shared" si="39"/>
        <v>91.25</v>
      </c>
      <c r="H248" s="75">
        <f>G248*K值!M249</f>
        <v>96.265503079407551</v>
      </c>
      <c r="I248" s="7">
        <v>0</v>
      </c>
      <c r="J248" s="7">
        <v>40</v>
      </c>
      <c r="K248" s="7">
        <v>25</v>
      </c>
      <c r="L248" s="7">
        <v>25</v>
      </c>
      <c r="M248" s="74">
        <f t="shared" si="40"/>
        <v>22.5</v>
      </c>
      <c r="N248" s="7">
        <v>0</v>
      </c>
      <c r="O248" s="7">
        <v>35</v>
      </c>
      <c r="P248" s="7">
        <v>65</v>
      </c>
      <c r="Q248" s="7">
        <v>35</v>
      </c>
      <c r="R248" s="74">
        <f t="shared" si="41"/>
        <v>33.75</v>
      </c>
      <c r="S248" s="3">
        <v>69.877150291642081</v>
      </c>
      <c r="T248" s="3">
        <f t="shared" si="46"/>
        <v>69.877150291642081</v>
      </c>
      <c r="U248" s="3">
        <v>73.321753143355522</v>
      </c>
      <c r="V248" s="3">
        <v>86.222318026139632</v>
      </c>
      <c r="W248" s="3">
        <v>46.996699732279204</v>
      </c>
      <c r="X248" s="3">
        <f t="shared" si="36"/>
        <v>68.846923633924789</v>
      </c>
      <c r="Y248" s="3">
        <v>0.80416157622594275</v>
      </c>
      <c r="Z248" s="3" t="s">
        <v>335</v>
      </c>
      <c r="AA248" s="3">
        <v>3.8988436697803213</v>
      </c>
      <c r="AB248" s="3">
        <v>85.369704534060148</v>
      </c>
      <c r="AC248" s="3">
        <f t="shared" si="37"/>
        <v>30.024236593355472</v>
      </c>
      <c r="AD248" s="3">
        <v>1.4292672274554541</v>
      </c>
      <c r="AE248" s="87">
        <v>0</v>
      </c>
      <c r="AF248" s="3">
        <v>40.928270042194093</v>
      </c>
      <c r="AG248" s="3">
        <v>39.29770329673071</v>
      </c>
      <c r="AH248" s="3">
        <v>10.846443725819793</v>
      </c>
      <c r="AI248" s="3">
        <f t="shared" si="38"/>
        <v>18.500336858440011</v>
      </c>
      <c r="AJ248" s="65">
        <f t="shared" si="42"/>
        <v>46.812161844340594</v>
      </c>
      <c r="AK248" s="75">
        <f>AJ248*K值!M249</f>
        <v>49.385165043069527</v>
      </c>
      <c r="AL248" s="3">
        <v>0</v>
      </c>
      <c r="AM248" s="3">
        <v>0</v>
      </c>
      <c r="AN248" s="65">
        <f t="shared" si="43"/>
        <v>0</v>
      </c>
      <c r="AP248" s="76">
        <f t="shared" si="44"/>
        <v>46.882166633109321</v>
      </c>
    </row>
    <row r="249" spans="1:42" x14ac:dyDescent="0.25">
      <c r="A249" s="92" t="s">
        <v>254</v>
      </c>
      <c r="B249" s="3">
        <v>3</v>
      </c>
      <c r="C249" s="7">
        <v>100</v>
      </c>
      <c r="D249" s="7">
        <v>100</v>
      </c>
      <c r="E249" s="7">
        <v>100</v>
      </c>
      <c r="F249" s="7">
        <v>75</v>
      </c>
      <c r="G249" s="74">
        <f t="shared" si="39"/>
        <v>93.75</v>
      </c>
      <c r="H249" s="75">
        <f>G249*K值!M250</f>
        <v>98.902914122678993</v>
      </c>
      <c r="I249" s="7">
        <v>0</v>
      </c>
      <c r="J249" s="7">
        <v>100</v>
      </c>
      <c r="K249" s="7">
        <v>25</v>
      </c>
      <c r="L249" s="7">
        <v>50</v>
      </c>
      <c r="M249" s="74">
        <f t="shared" si="40"/>
        <v>43.75</v>
      </c>
      <c r="N249" s="7">
        <v>35</v>
      </c>
      <c r="O249" s="7">
        <v>35</v>
      </c>
      <c r="P249" s="7">
        <v>100</v>
      </c>
      <c r="Q249" s="7">
        <v>65</v>
      </c>
      <c r="R249" s="74">
        <f t="shared" si="41"/>
        <v>58.75</v>
      </c>
      <c r="S249" s="3">
        <v>70.934797840984459</v>
      </c>
      <c r="T249" s="3">
        <f t="shared" si="46"/>
        <v>70.934797840984459</v>
      </c>
      <c r="U249" s="3">
        <v>69.146956916119393</v>
      </c>
      <c r="V249" s="3">
        <v>96.582471033920868</v>
      </c>
      <c r="W249" s="3">
        <v>98.153073692183284</v>
      </c>
      <c r="X249" s="3">
        <f t="shared" si="36"/>
        <v>87.960833880741177</v>
      </c>
      <c r="Y249" s="3">
        <v>2.183249645210982</v>
      </c>
      <c r="Z249" s="3">
        <v>0.308994432279174</v>
      </c>
      <c r="AA249" s="3">
        <v>1.8744440720097697</v>
      </c>
      <c r="AB249" s="3">
        <v>33.612099724996945</v>
      </c>
      <c r="AC249" s="3">
        <f t="shared" si="37"/>
        <v>9.4946969686242184</v>
      </c>
      <c r="AD249" s="3">
        <v>2.8138405529808557</v>
      </c>
      <c r="AE249" s="87">
        <v>0</v>
      </c>
      <c r="AF249" s="3">
        <v>67.932489451476798</v>
      </c>
      <c r="AG249" s="3">
        <v>19.648851648365355</v>
      </c>
      <c r="AH249" s="3">
        <v>21.692887451639585</v>
      </c>
      <c r="AI249" s="3">
        <f t="shared" si="38"/>
        <v>22.41761382089252</v>
      </c>
      <c r="AJ249" s="65">
        <f t="shared" si="42"/>
        <v>47.701985627810593</v>
      </c>
      <c r="AK249" s="75">
        <f>AJ249*K值!M250</f>
        <v>50.323897472305269</v>
      </c>
      <c r="AL249" s="3">
        <v>50</v>
      </c>
      <c r="AM249" s="3">
        <v>0</v>
      </c>
      <c r="AN249" s="65">
        <f t="shared" si="43"/>
        <v>25</v>
      </c>
      <c r="AP249" s="76">
        <f t="shared" si="44"/>
        <v>57.035141813457912</v>
      </c>
    </row>
    <row r="250" spans="1:42" x14ac:dyDescent="0.25">
      <c r="A250" s="92" t="s">
        <v>255</v>
      </c>
      <c r="B250" s="3">
        <v>4</v>
      </c>
      <c r="C250" s="7">
        <v>65</v>
      </c>
      <c r="D250" s="7">
        <v>100</v>
      </c>
      <c r="E250" s="7">
        <v>60</v>
      </c>
      <c r="F250" s="7">
        <v>75</v>
      </c>
      <c r="G250" s="74">
        <f t="shared" si="39"/>
        <v>75</v>
      </c>
      <c r="H250" s="75">
        <f>G250*K值!M251</f>
        <v>79.122331298143195</v>
      </c>
      <c r="I250" s="7">
        <v>0</v>
      </c>
      <c r="J250" s="7">
        <v>40</v>
      </c>
      <c r="K250" s="7">
        <v>25</v>
      </c>
      <c r="L250" s="7">
        <v>0</v>
      </c>
      <c r="M250" s="74">
        <f t="shared" si="40"/>
        <v>16.25</v>
      </c>
      <c r="N250" s="7">
        <v>35</v>
      </c>
      <c r="O250" s="7">
        <v>0</v>
      </c>
      <c r="P250" s="7">
        <v>65</v>
      </c>
      <c r="Q250" s="7">
        <v>0</v>
      </c>
      <c r="R250" s="74">
        <f t="shared" si="41"/>
        <v>25</v>
      </c>
      <c r="S250" s="3">
        <v>76.361591220638061</v>
      </c>
      <c r="T250" s="3">
        <f t="shared" si="46"/>
        <v>76.361591220638061</v>
      </c>
      <c r="U250" s="3">
        <v>61.78583029718191</v>
      </c>
      <c r="V250" s="3">
        <v>82.02723975392918</v>
      </c>
      <c r="W250" s="3">
        <v>76.582368323531639</v>
      </c>
      <c r="X250" s="3">
        <f t="shared" si="36"/>
        <v>73.465146124880903</v>
      </c>
      <c r="Y250" s="3">
        <v>0.53937666698081532</v>
      </c>
      <c r="Z250" s="3">
        <v>0.19504366863819222</v>
      </c>
      <c r="AA250" s="3">
        <v>0.37488881440195393</v>
      </c>
      <c r="AB250" s="3">
        <v>15.558130385747971</v>
      </c>
      <c r="AC250" s="3">
        <f t="shared" si="37"/>
        <v>4.1668598839422328</v>
      </c>
      <c r="AD250" s="3">
        <v>0.30941932105420938</v>
      </c>
      <c r="AE250" s="87">
        <v>0</v>
      </c>
      <c r="AF250" s="3">
        <v>40.084388185654007</v>
      </c>
      <c r="AG250" s="3">
        <v>23.578621978038424</v>
      </c>
      <c r="AH250" s="3">
        <v>13.015732470983751</v>
      </c>
      <c r="AI250" s="3">
        <f t="shared" si="38"/>
        <v>15.397632391146079</v>
      </c>
      <c r="AJ250" s="65">
        <f t="shared" si="42"/>
        <v>42.347807405151819</v>
      </c>
      <c r="AK250" s="75">
        <f>AJ250*K值!M251</f>
        <v>44.675429963471785</v>
      </c>
      <c r="AL250" s="3">
        <v>25</v>
      </c>
      <c r="AM250" s="3">
        <v>0</v>
      </c>
      <c r="AN250" s="65">
        <f t="shared" si="43"/>
        <v>12.5</v>
      </c>
      <c r="AP250" s="76">
        <f t="shared" si="44"/>
        <v>40.694638245017359</v>
      </c>
    </row>
    <row r="251" spans="1:42" x14ac:dyDescent="0.25">
      <c r="A251" s="92" t="s">
        <v>256</v>
      </c>
      <c r="B251" s="3">
        <v>4</v>
      </c>
      <c r="C251" s="7">
        <v>65</v>
      </c>
      <c r="D251" s="7">
        <v>100</v>
      </c>
      <c r="E251" s="7">
        <v>75</v>
      </c>
      <c r="F251" s="7">
        <v>100</v>
      </c>
      <c r="G251" s="74">
        <f t="shared" si="39"/>
        <v>85</v>
      </c>
      <c r="H251" s="75">
        <f>G251*K值!M252</f>
        <v>89.671975471228947</v>
      </c>
      <c r="I251" s="7">
        <v>0</v>
      </c>
      <c r="J251" s="7">
        <v>40</v>
      </c>
      <c r="K251" s="7">
        <v>0</v>
      </c>
      <c r="L251" s="7">
        <v>0</v>
      </c>
      <c r="M251" s="74">
        <f t="shared" si="40"/>
        <v>10</v>
      </c>
      <c r="N251" s="7">
        <v>0</v>
      </c>
      <c r="O251" s="7">
        <v>0</v>
      </c>
      <c r="P251" s="7">
        <v>35</v>
      </c>
      <c r="Q251" s="7">
        <v>0</v>
      </c>
      <c r="R251" s="74">
        <f t="shared" si="41"/>
        <v>8.75</v>
      </c>
      <c r="S251" s="3">
        <v>71.942284358178156</v>
      </c>
      <c r="T251" s="3">
        <f t="shared" si="46"/>
        <v>71.942284358178156</v>
      </c>
      <c r="U251" s="3">
        <v>53.792312102863903</v>
      </c>
      <c r="V251" s="3">
        <v>94.246749798111381</v>
      </c>
      <c r="W251" s="3">
        <v>100</v>
      </c>
      <c r="X251" s="3">
        <f t="shared" si="36"/>
        <v>82.679687300325099</v>
      </c>
      <c r="Y251" s="3">
        <v>0.8948749247636254</v>
      </c>
      <c r="Z251" s="3">
        <v>0.12214709482585191</v>
      </c>
      <c r="AA251" s="3">
        <v>1.1246664432058617</v>
      </c>
      <c r="AB251" s="3">
        <v>89.474572133723967</v>
      </c>
      <c r="AC251" s="3">
        <f t="shared" si="37"/>
        <v>22.904065149129828</v>
      </c>
      <c r="AD251" s="3">
        <v>0.66478272311343778</v>
      </c>
      <c r="AE251" s="87">
        <v>0</v>
      </c>
      <c r="AF251" s="3">
        <v>39.24050632911392</v>
      </c>
      <c r="AG251" s="3">
        <v>3.9297703296730706</v>
      </c>
      <c r="AH251" s="3">
        <v>36.877908667787295</v>
      </c>
      <c r="AI251" s="3">
        <f t="shared" si="38"/>
        <v>16.142593609937546</v>
      </c>
      <c r="AJ251" s="65">
        <f t="shared" si="42"/>
        <v>48.417157604392649</v>
      </c>
      <c r="AK251" s="75">
        <f>AJ251*K值!M252</f>
        <v>51.078378459855578</v>
      </c>
      <c r="AL251" s="3">
        <v>50</v>
      </c>
      <c r="AM251" s="3">
        <v>0</v>
      </c>
      <c r="AN251" s="65">
        <f t="shared" si="43"/>
        <v>25</v>
      </c>
      <c r="AP251" s="76">
        <f t="shared" si="44"/>
        <v>43.740746478188022</v>
      </c>
    </row>
    <row r="252" spans="1:42" x14ac:dyDescent="0.25">
      <c r="A252" s="92" t="s">
        <v>257</v>
      </c>
      <c r="B252" s="3">
        <v>4</v>
      </c>
      <c r="C252" s="7">
        <v>65</v>
      </c>
      <c r="D252" s="7">
        <v>100</v>
      </c>
      <c r="E252" s="7">
        <v>60</v>
      </c>
      <c r="F252" s="7">
        <v>60</v>
      </c>
      <c r="G252" s="74">
        <f t="shared" si="39"/>
        <v>71.25</v>
      </c>
      <c r="H252" s="75">
        <f>G252*K值!M253</f>
        <v>75.166214733236032</v>
      </c>
      <c r="I252" s="7">
        <v>0</v>
      </c>
      <c r="J252" s="7">
        <v>40</v>
      </c>
      <c r="K252" s="7">
        <v>0</v>
      </c>
      <c r="L252" s="7">
        <v>0</v>
      </c>
      <c r="M252" s="74">
        <f t="shared" si="40"/>
        <v>10</v>
      </c>
      <c r="N252" s="7">
        <v>0</v>
      </c>
      <c r="O252" s="7">
        <v>35</v>
      </c>
      <c r="P252" s="7">
        <v>65</v>
      </c>
      <c r="Q252" s="7">
        <v>0</v>
      </c>
      <c r="R252" s="74">
        <f t="shared" si="41"/>
        <v>25</v>
      </c>
      <c r="S252" s="3">
        <v>72.678388192282355</v>
      </c>
      <c r="T252" s="3">
        <f t="shared" si="46"/>
        <v>72.678388192282355</v>
      </c>
      <c r="U252" s="3">
        <v>62.056024510107441</v>
      </c>
      <c r="V252" s="3">
        <v>55.716569359501669</v>
      </c>
      <c r="W252" s="3">
        <v>69.05527242752396</v>
      </c>
      <c r="X252" s="3">
        <f t="shared" si="36"/>
        <v>62.275955432377692</v>
      </c>
      <c r="Y252" s="3">
        <v>7.2901659966702477</v>
      </c>
      <c r="Z252" s="3">
        <v>1.9500014829561774</v>
      </c>
      <c r="AA252" s="3">
        <v>2.4742661750528963</v>
      </c>
      <c r="AB252" s="3">
        <v>31.046430125052211</v>
      </c>
      <c r="AC252" s="3">
        <f t="shared" si="37"/>
        <v>10.690215944932884</v>
      </c>
      <c r="AD252" s="3">
        <v>1.0457747962094794</v>
      </c>
      <c r="AE252" s="87">
        <v>14.865092839693213</v>
      </c>
      <c r="AF252" s="3">
        <v>7.1729957805907167</v>
      </c>
      <c r="AG252" s="3">
        <v>0</v>
      </c>
      <c r="AH252" s="3">
        <v>10.846443725819793</v>
      </c>
      <c r="AI252" s="3">
        <f t="shared" si="38"/>
        <v>6.7860614284626406</v>
      </c>
      <c r="AJ252" s="65">
        <f t="shared" si="42"/>
        <v>38.10765524951389</v>
      </c>
      <c r="AK252" s="75">
        <f>AJ252*K值!M253</f>
        <v>40.202220315299513</v>
      </c>
      <c r="AL252" s="3">
        <v>25</v>
      </c>
      <c r="AM252" s="3">
        <v>0</v>
      </c>
      <c r="AN252" s="65">
        <f t="shared" si="43"/>
        <v>12.5</v>
      </c>
      <c r="AP252" s="76">
        <f t="shared" si="44"/>
        <v>36.864131072767009</v>
      </c>
    </row>
    <row r="253" spans="1:42" x14ac:dyDescent="0.25">
      <c r="A253" s="92" t="s">
        <v>258</v>
      </c>
      <c r="B253" s="3">
        <v>4</v>
      </c>
      <c r="C253" s="7">
        <v>65</v>
      </c>
      <c r="D253" s="7">
        <v>100</v>
      </c>
      <c r="E253" s="7">
        <v>100</v>
      </c>
      <c r="F253" s="7">
        <v>75</v>
      </c>
      <c r="G253" s="74">
        <f t="shared" si="39"/>
        <v>85</v>
      </c>
      <c r="H253" s="75">
        <f>G253*K值!M254</f>
        <v>89.671975471228947</v>
      </c>
      <c r="I253" s="7">
        <v>0</v>
      </c>
      <c r="J253" s="7">
        <v>100</v>
      </c>
      <c r="K253" s="7">
        <v>25</v>
      </c>
      <c r="L253" s="7">
        <v>25</v>
      </c>
      <c r="M253" s="74">
        <f t="shared" si="40"/>
        <v>37.5</v>
      </c>
      <c r="N253" s="7">
        <v>65</v>
      </c>
      <c r="O253" s="7">
        <v>35</v>
      </c>
      <c r="P253" s="7">
        <v>65</v>
      </c>
      <c r="Q253" s="7">
        <v>65</v>
      </c>
      <c r="R253" s="74">
        <f t="shared" si="41"/>
        <v>57.5</v>
      </c>
      <c r="S253" s="3">
        <v>73.572565108814501</v>
      </c>
      <c r="T253" s="3">
        <f t="shared" si="46"/>
        <v>73.572565108814501</v>
      </c>
      <c r="U253" s="3">
        <v>74.542899803006108</v>
      </c>
      <c r="V253" s="3">
        <v>67.428982030119982</v>
      </c>
      <c r="W253" s="3">
        <v>99.407589674851238</v>
      </c>
      <c r="X253" s="3">
        <f t="shared" si="36"/>
        <v>80.459823835992438</v>
      </c>
      <c r="Y253" s="3">
        <v>6.5374903750197459</v>
      </c>
      <c r="Z253" s="3">
        <v>0.23948519179721808</v>
      </c>
      <c r="AA253" s="3">
        <v>1.4995552576078157</v>
      </c>
      <c r="AB253" s="3">
        <v>28.97086861176798</v>
      </c>
      <c r="AC253" s="3">
        <f t="shared" si="37"/>
        <v>9.3118498590481895</v>
      </c>
      <c r="AD253" s="3">
        <v>0.71916551287448061</v>
      </c>
      <c r="AE253" s="87">
        <v>0</v>
      </c>
      <c r="AF253" s="3">
        <v>45.147679324894511</v>
      </c>
      <c r="AG253" s="3">
        <v>19.648851648365355</v>
      </c>
      <c r="AH253" s="3">
        <v>2.1692887451639589</v>
      </c>
      <c r="AI253" s="3">
        <f t="shared" si="38"/>
        <v>13.53699704625966</v>
      </c>
      <c r="AJ253" s="65">
        <f t="shared" si="42"/>
        <v>44.220308962528698</v>
      </c>
      <c r="AK253" s="75">
        <f>AJ253*K值!M254</f>
        <v>46.650852477859289</v>
      </c>
      <c r="AL253" s="3">
        <v>50</v>
      </c>
      <c r="AM253" s="3">
        <v>0</v>
      </c>
      <c r="AN253" s="65">
        <f t="shared" si="43"/>
        <v>25</v>
      </c>
      <c r="AP253" s="76">
        <f t="shared" si="44"/>
        <v>52.344736085389506</v>
      </c>
    </row>
    <row r="254" spans="1:42" x14ac:dyDescent="0.25">
      <c r="A254" s="92" t="s">
        <v>259</v>
      </c>
      <c r="B254" s="3">
        <v>3</v>
      </c>
      <c r="C254" s="7">
        <v>65</v>
      </c>
      <c r="D254" s="7">
        <v>80</v>
      </c>
      <c r="E254" s="7">
        <v>75</v>
      </c>
      <c r="F254" s="7">
        <v>0</v>
      </c>
      <c r="G254" s="74">
        <f t="shared" si="39"/>
        <v>55</v>
      </c>
      <c r="H254" s="75">
        <f>G254*K值!M255</f>
        <v>58.023042951971675</v>
      </c>
      <c r="I254" s="7">
        <v>0</v>
      </c>
      <c r="J254" s="7">
        <v>40</v>
      </c>
      <c r="K254" s="7">
        <v>0</v>
      </c>
      <c r="L254" s="7">
        <v>0</v>
      </c>
      <c r="M254" s="74">
        <f t="shared" si="40"/>
        <v>10</v>
      </c>
      <c r="N254" s="7">
        <v>0</v>
      </c>
      <c r="O254" s="7">
        <v>0</v>
      </c>
      <c r="P254" s="7">
        <v>35</v>
      </c>
      <c r="Q254" s="7">
        <v>0</v>
      </c>
      <c r="R254" s="74">
        <f t="shared" si="41"/>
        <v>8.75</v>
      </c>
      <c r="S254" s="3">
        <v>81.78385811395232</v>
      </c>
      <c r="T254" s="3">
        <f t="shared" si="46"/>
        <v>81.78385811395232</v>
      </c>
      <c r="U254" s="3">
        <v>69.329550895289643</v>
      </c>
      <c r="V254" s="3">
        <v>94.34816927282418</v>
      </c>
      <c r="W254" s="3">
        <v>0</v>
      </c>
      <c r="X254" s="3">
        <f t="shared" si="36"/>
        <v>54.559240056037936</v>
      </c>
      <c r="Y254" s="3">
        <v>8.8825530203249716</v>
      </c>
      <c r="Z254" s="3">
        <v>1.1116546171621176</v>
      </c>
      <c r="AA254" s="3">
        <v>0.29991105152156317</v>
      </c>
      <c r="AB254" s="3">
        <v>8.4394485855765442</v>
      </c>
      <c r="AC254" s="3">
        <f t="shared" si="37"/>
        <v>4.6833918186462995</v>
      </c>
      <c r="AD254" s="3">
        <v>7.3760565423023644E-2</v>
      </c>
      <c r="AE254" s="87">
        <v>0</v>
      </c>
      <c r="AF254" s="3">
        <v>38.396624472573833</v>
      </c>
      <c r="AG254" s="3">
        <v>27.5083923077115</v>
      </c>
      <c r="AH254" s="3">
        <v>6.5078662354918757</v>
      </c>
      <c r="AI254" s="3">
        <f t="shared" si="38"/>
        <v>14.497328716240045</v>
      </c>
      <c r="AJ254" s="65">
        <f t="shared" si="42"/>
        <v>38.880954676219147</v>
      </c>
      <c r="AK254" s="75">
        <f>AJ254*K值!M255</f>
        <v>41.018023694398686</v>
      </c>
      <c r="AL254" s="3">
        <v>25</v>
      </c>
      <c r="AM254" s="3">
        <v>0</v>
      </c>
      <c r="AN254" s="65">
        <f t="shared" si="43"/>
        <v>12.5</v>
      </c>
      <c r="AP254" s="76">
        <f t="shared" si="44"/>
        <v>32.136818068153815</v>
      </c>
    </row>
    <row r="255" spans="1:42" x14ac:dyDescent="0.25">
      <c r="A255" s="92" t="s">
        <v>260</v>
      </c>
      <c r="B255" s="3">
        <v>4</v>
      </c>
      <c r="C255" s="7">
        <v>65</v>
      </c>
      <c r="D255" s="7">
        <v>100</v>
      </c>
      <c r="E255" s="7">
        <v>100</v>
      </c>
      <c r="F255" s="7">
        <v>75</v>
      </c>
      <c r="G255" s="74">
        <f t="shared" si="39"/>
        <v>85</v>
      </c>
      <c r="H255" s="75">
        <f>G255*K值!M256</f>
        <v>89.671975471228947</v>
      </c>
      <c r="I255" s="7">
        <v>100</v>
      </c>
      <c r="J255" s="7">
        <v>60</v>
      </c>
      <c r="K255" s="7">
        <v>50</v>
      </c>
      <c r="L255" s="7">
        <v>25</v>
      </c>
      <c r="M255" s="74">
        <f t="shared" si="40"/>
        <v>58.75</v>
      </c>
      <c r="N255" s="7">
        <v>65</v>
      </c>
      <c r="O255" s="7">
        <v>35</v>
      </c>
      <c r="P255" s="7">
        <v>65</v>
      </c>
      <c r="Q255" s="7">
        <v>65</v>
      </c>
      <c r="R255" s="74">
        <f t="shared" si="41"/>
        <v>57.5</v>
      </c>
      <c r="S255" s="3">
        <v>88.729265462770883</v>
      </c>
      <c r="T255" s="3">
        <f t="shared" si="46"/>
        <v>88.729265462770883</v>
      </c>
      <c r="U255" s="3">
        <v>90.864619039748234</v>
      </c>
      <c r="V255" s="3">
        <v>81.271203669706651</v>
      </c>
      <c r="W255" s="3">
        <v>89.859329140100769</v>
      </c>
      <c r="X255" s="3">
        <f t="shared" si="36"/>
        <v>87.331717283185228</v>
      </c>
      <c r="Y255" s="3">
        <v>6.1832179732982562</v>
      </c>
      <c r="Z255" s="3">
        <v>1.2142175578294305</v>
      </c>
      <c r="AA255" s="3">
        <v>1.1996442060862527</v>
      </c>
      <c r="AB255" s="3">
        <v>64.590447401316055</v>
      </c>
      <c r="AC255" s="3">
        <f t="shared" si="37"/>
        <v>18.296881784632497</v>
      </c>
      <c r="AD255" s="3">
        <v>0.77417339217300674</v>
      </c>
      <c r="AE255" s="87">
        <v>0</v>
      </c>
      <c r="AF255" s="3">
        <v>70.886075949367083</v>
      </c>
      <c r="AG255" s="3">
        <v>43.227473626403778</v>
      </c>
      <c r="AH255" s="3">
        <v>10.846443725819793</v>
      </c>
      <c r="AI255" s="3">
        <f t="shared" si="38"/>
        <v>25.146833338752735</v>
      </c>
      <c r="AJ255" s="65">
        <f t="shared" si="42"/>
        <v>54.876174467335332</v>
      </c>
      <c r="AK255" s="75">
        <f>AJ255*K值!M256</f>
        <v>57.892411421056174</v>
      </c>
      <c r="AL255" s="3">
        <v>50</v>
      </c>
      <c r="AM255" s="3">
        <v>0</v>
      </c>
      <c r="AN255" s="65">
        <f t="shared" si="43"/>
        <v>25</v>
      </c>
      <c r="AP255" s="76">
        <f t="shared" si="44"/>
        <v>61.091359662668253</v>
      </c>
    </row>
    <row r="256" spans="1:42" x14ac:dyDescent="0.25">
      <c r="A256" s="92" t="s">
        <v>261</v>
      </c>
      <c r="B256" s="3">
        <v>4</v>
      </c>
      <c r="C256" s="7">
        <v>65</v>
      </c>
      <c r="D256" s="7">
        <v>100</v>
      </c>
      <c r="E256" s="7">
        <v>75</v>
      </c>
      <c r="F256" s="7">
        <v>100</v>
      </c>
      <c r="G256" s="74">
        <f t="shared" si="39"/>
        <v>85</v>
      </c>
      <c r="H256" s="75">
        <f>G256*K值!M257</f>
        <v>89.671975471228947</v>
      </c>
      <c r="I256" s="7">
        <v>0</v>
      </c>
      <c r="J256" s="7">
        <v>40</v>
      </c>
      <c r="K256" s="7">
        <v>25</v>
      </c>
      <c r="L256" s="7">
        <v>50</v>
      </c>
      <c r="M256" s="74">
        <f t="shared" si="40"/>
        <v>28.75</v>
      </c>
      <c r="N256" s="7">
        <v>65</v>
      </c>
      <c r="O256" s="7">
        <v>35</v>
      </c>
      <c r="P256" s="7">
        <v>100</v>
      </c>
      <c r="Q256" s="7">
        <v>35</v>
      </c>
      <c r="R256" s="74">
        <f t="shared" si="41"/>
        <v>58.75</v>
      </c>
      <c r="S256" s="3" t="s">
        <v>335</v>
      </c>
      <c r="T256" s="3" t="s">
        <v>372</v>
      </c>
      <c r="U256" s="3" t="s">
        <v>335</v>
      </c>
      <c r="V256" s="3">
        <v>45.473202413510897</v>
      </c>
      <c r="W256" s="3">
        <v>97.142491372811918</v>
      </c>
      <c r="X256" s="3">
        <f t="shared" si="36"/>
        <v>71.307846893161411</v>
      </c>
      <c r="Y256" s="3">
        <v>1.8571719328998526</v>
      </c>
      <c r="Z256" s="3">
        <v>0.69393186235090565</v>
      </c>
      <c r="AA256" s="3">
        <v>3.0740882780960224</v>
      </c>
      <c r="AB256" s="3">
        <v>50.695804443146272</v>
      </c>
      <c r="AC256" s="3">
        <f t="shared" si="37"/>
        <v>14.080249129123263</v>
      </c>
      <c r="AD256" s="3">
        <v>1.1789188676934119</v>
      </c>
      <c r="AE256" s="87">
        <v>14.865092839693213</v>
      </c>
      <c r="AF256" s="3">
        <v>57.383966244725734</v>
      </c>
      <c r="AG256" s="3">
        <v>11.789310989019212</v>
      </c>
      <c r="AH256" s="3">
        <v>4.3385774903279177</v>
      </c>
      <c r="AI256" s="3">
        <f t="shared" si="38"/>
        <v>17.911173286291898</v>
      </c>
      <c r="AJ256" s="65">
        <f t="shared" si="42"/>
        <v>34.433089769525523</v>
      </c>
      <c r="AK256" s="75">
        <f>AJ256*K值!M257</f>
        <v>36.325684484841382</v>
      </c>
      <c r="AL256" s="3">
        <v>50</v>
      </c>
      <c r="AM256" s="3">
        <v>50</v>
      </c>
      <c r="AN256" s="65">
        <f t="shared" si="43"/>
        <v>50</v>
      </c>
      <c r="AP256" s="76">
        <f t="shared" si="44"/>
        <v>49.089668888182345</v>
      </c>
    </row>
    <row r="257" spans="1:42" x14ac:dyDescent="0.25">
      <c r="A257" s="92" t="s">
        <v>262</v>
      </c>
      <c r="B257" s="3">
        <v>3</v>
      </c>
      <c r="C257" s="7">
        <v>65</v>
      </c>
      <c r="D257" s="7">
        <v>100</v>
      </c>
      <c r="E257" s="7">
        <v>45</v>
      </c>
      <c r="F257" s="7">
        <v>30</v>
      </c>
      <c r="G257" s="74">
        <f t="shared" si="39"/>
        <v>60</v>
      </c>
      <c r="H257" s="75">
        <f>G257*K值!M258</f>
        <v>63.297865038514558</v>
      </c>
      <c r="I257" s="7">
        <v>0</v>
      </c>
      <c r="J257" s="7">
        <v>40</v>
      </c>
      <c r="K257" s="7">
        <v>25</v>
      </c>
      <c r="L257" s="7">
        <v>0</v>
      </c>
      <c r="M257" s="74">
        <f t="shared" si="40"/>
        <v>16.25</v>
      </c>
      <c r="N257" s="7">
        <v>65</v>
      </c>
      <c r="O257" s="7">
        <v>35</v>
      </c>
      <c r="P257" s="7">
        <v>65</v>
      </c>
      <c r="Q257" s="7">
        <v>65</v>
      </c>
      <c r="R257" s="74">
        <f t="shared" si="41"/>
        <v>57.5</v>
      </c>
      <c r="S257" s="3">
        <v>57.730902634167094</v>
      </c>
      <c r="T257" s="3">
        <f t="shared" ref="T257:T284" si="47">AVERAGE(S257)</f>
        <v>57.730902634167094</v>
      </c>
      <c r="U257" s="3">
        <v>57.950211198669464</v>
      </c>
      <c r="V257" s="3">
        <v>79.442579807461073</v>
      </c>
      <c r="W257" s="3">
        <v>100</v>
      </c>
      <c r="X257" s="3">
        <f t="shared" si="36"/>
        <v>79.130930335376846</v>
      </c>
      <c r="Y257" s="3">
        <v>4.6165739269312516</v>
      </c>
      <c r="Z257" s="3">
        <v>0.34381070633879929</v>
      </c>
      <c r="AA257" s="3">
        <v>2.2493328864117235</v>
      </c>
      <c r="AB257" s="3">
        <v>38.21882044674809</v>
      </c>
      <c r="AC257" s="3">
        <f t="shared" si="37"/>
        <v>11.357134491607466</v>
      </c>
      <c r="AD257" s="3">
        <v>1.1626665397188474</v>
      </c>
      <c r="AE257" s="87">
        <v>29.730185679386427</v>
      </c>
      <c r="AF257" s="3">
        <v>49.367088607594937</v>
      </c>
      <c r="AG257" s="3">
        <v>35.367932967057634</v>
      </c>
      <c r="AH257" s="3">
        <v>17.354309961311671</v>
      </c>
      <c r="AI257" s="3">
        <f t="shared" si="38"/>
        <v>26.596436751013904</v>
      </c>
      <c r="AJ257" s="65">
        <f t="shared" si="42"/>
        <v>43.703851053041326</v>
      </c>
      <c r="AK257" s="75">
        <f>AJ257*K值!M258</f>
        <v>46.106007760312536</v>
      </c>
      <c r="AL257" s="3">
        <v>25</v>
      </c>
      <c r="AM257" s="3">
        <v>50</v>
      </c>
      <c r="AN257" s="65">
        <f t="shared" si="43"/>
        <v>37.5</v>
      </c>
      <c r="AP257" s="76">
        <f t="shared" si="44"/>
        <v>43.851976111827923</v>
      </c>
    </row>
    <row r="258" spans="1:42" x14ac:dyDescent="0.25">
      <c r="A258" s="92" t="s">
        <v>263</v>
      </c>
      <c r="B258" s="3">
        <v>4</v>
      </c>
      <c r="C258" s="7">
        <v>35</v>
      </c>
      <c r="D258" s="7">
        <v>80</v>
      </c>
      <c r="E258" s="7">
        <v>45</v>
      </c>
      <c r="F258" s="7">
        <v>15</v>
      </c>
      <c r="G258" s="74">
        <f t="shared" si="39"/>
        <v>43.75</v>
      </c>
      <c r="H258" s="75">
        <f>G258*K值!M259</f>
        <v>46.154693257250194</v>
      </c>
      <c r="I258" s="7">
        <v>0</v>
      </c>
      <c r="J258" s="7">
        <v>40</v>
      </c>
      <c r="K258" s="7">
        <v>25</v>
      </c>
      <c r="L258" s="7">
        <v>0</v>
      </c>
      <c r="M258" s="74">
        <f t="shared" si="40"/>
        <v>16.25</v>
      </c>
      <c r="N258" s="7">
        <v>0</v>
      </c>
      <c r="O258" s="7">
        <v>0</v>
      </c>
      <c r="P258" s="7">
        <v>35</v>
      </c>
      <c r="Q258" s="7">
        <v>35</v>
      </c>
      <c r="R258" s="74">
        <f t="shared" si="41"/>
        <v>17.5</v>
      </c>
      <c r="S258" s="3">
        <v>71.015907306724344</v>
      </c>
      <c r="T258" s="3">
        <f t="shared" si="47"/>
        <v>71.015907306724344</v>
      </c>
      <c r="U258" s="3">
        <v>76.947728221992051</v>
      </c>
      <c r="V258" s="3">
        <v>88.029428666476434</v>
      </c>
      <c r="W258" s="3">
        <v>100</v>
      </c>
      <c r="X258" s="3">
        <f t="shared" si="36"/>
        <v>88.325718962822819</v>
      </c>
      <c r="Y258" s="3">
        <v>2.4051295923099083</v>
      </c>
      <c r="Z258" s="3" t="s">
        <v>335</v>
      </c>
      <c r="AA258" s="3">
        <v>3.3739993296175856</v>
      </c>
      <c r="AB258" s="3">
        <v>46.874475958122382</v>
      </c>
      <c r="AC258" s="3">
        <f t="shared" si="37"/>
        <v>17.551201626683291</v>
      </c>
      <c r="AD258" s="3">
        <v>0.30098061229818551</v>
      </c>
      <c r="AE258" s="87">
        <v>0</v>
      </c>
      <c r="AF258" s="3">
        <v>66.666666666666657</v>
      </c>
      <c r="AG258" s="3">
        <v>3.9297703296730706</v>
      </c>
      <c r="AH258" s="3">
        <v>34.708619922623342</v>
      </c>
      <c r="AI258" s="3">
        <f t="shared" si="38"/>
        <v>21.121207506252254</v>
      </c>
      <c r="AJ258" s="65">
        <f t="shared" si="42"/>
        <v>49.503508850620676</v>
      </c>
      <c r="AK258" s="75">
        <f>AJ258*K值!M259</f>
        <v>52.224440369324974</v>
      </c>
      <c r="AL258" s="3">
        <v>50</v>
      </c>
      <c r="AM258" s="3">
        <v>0</v>
      </c>
      <c r="AN258" s="65">
        <f t="shared" si="43"/>
        <v>25</v>
      </c>
      <c r="AP258" s="76">
        <f t="shared" si="44"/>
        <v>37.620714799180028</v>
      </c>
    </row>
    <row r="259" spans="1:42" x14ac:dyDescent="0.25">
      <c r="A259" s="92" t="s">
        <v>264</v>
      </c>
      <c r="B259" s="3">
        <v>4</v>
      </c>
      <c r="C259" s="7">
        <v>35</v>
      </c>
      <c r="D259" s="7">
        <v>100</v>
      </c>
      <c r="E259" s="7">
        <v>60</v>
      </c>
      <c r="F259" s="7">
        <v>60</v>
      </c>
      <c r="G259" s="74">
        <f t="shared" si="39"/>
        <v>63.75</v>
      </c>
      <c r="H259" s="75">
        <f>G259*K值!M260</f>
        <v>67.253981603421721</v>
      </c>
      <c r="I259" s="7">
        <v>50</v>
      </c>
      <c r="J259" s="7">
        <v>40</v>
      </c>
      <c r="K259" s="7">
        <v>25</v>
      </c>
      <c r="L259" s="7">
        <v>25</v>
      </c>
      <c r="M259" s="74">
        <f t="shared" si="40"/>
        <v>35</v>
      </c>
      <c r="N259" s="7">
        <v>35</v>
      </c>
      <c r="O259" s="7">
        <v>35</v>
      </c>
      <c r="P259" s="7">
        <v>35</v>
      </c>
      <c r="Q259" s="7">
        <v>35</v>
      </c>
      <c r="R259" s="74">
        <f t="shared" si="41"/>
        <v>35</v>
      </c>
      <c r="S259" s="3">
        <v>25.470780487583628</v>
      </c>
      <c r="T259" s="3">
        <f t="shared" si="47"/>
        <v>25.470780487583628</v>
      </c>
      <c r="U259" s="3">
        <v>74.803081884750128</v>
      </c>
      <c r="V259" s="3">
        <v>80.441407967511182</v>
      </c>
      <c r="W259" s="3">
        <v>88.779051488358903</v>
      </c>
      <c r="X259" s="3">
        <f t="shared" ref="X259:X298" si="48">AVERAGE(U259:W259)</f>
        <v>81.341180446873409</v>
      </c>
      <c r="Y259" s="3">
        <v>0.37020853051865055</v>
      </c>
      <c r="Z259" s="3" t="s">
        <v>335</v>
      </c>
      <c r="AA259" s="3">
        <v>1.2746219689666434</v>
      </c>
      <c r="AB259" s="3">
        <v>52.767349723101667</v>
      </c>
      <c r="AC259" s="3">
        <f t="shared" ref="AC259:AC298" si="49">AVERAGE(Y259:AB259)</f>
        <v>18.137393407528986</v>
      </c>
      <c r="AD259" s="3">
        <v>0.19534048046351604</v>
      </c>
      <c r="AE259" s="87">
        <v>0</v>
      </c>
      <c r="AF259" s="3">
        <v>4.2194092827004219</v>
      </c>
      <c r="AG259" s="3">
        <v>0</v>
      </c>
      <c r="AH259" s="3">
        <v>4.3385774903279177</v>
      </c>
      <c r="AI259" s="3">
        <f t="shared" ref="AI259:AI298" si="50">AVERAGE(AD259:AH259)</f>
        <v>1.7506654506983712</v>
      </c>
      <c r="AJ259" s="65">
        <f t="shared" si="42"/>
        <v>31.6750049481711</v>
      </c>
      <c r="AK259" s="75">
        <f>AJ259*K值!M260</f>
        <v>33.416003138393584</v>
      </c>
      <c r="AL259" s="3">
        <v>0</v>
      </c>
      <c r="AM259" s="3">
        <v>0</v>
      </c>
      <c r="AN259" s="65">
        <f t="shared" si="43"/>
        <v>0</v>
      </c>
      <c r="AP259" s="76">
        <f t="shared" si="44"/>
        <v>37.317197576041778</v>
      </c>
    </row>
    <row r="260" spans="1:42" x14ac:dyDescent="0.25">
      <c r="A260" s="92" t="s">
        <v>265</v>
      </c>
      <c r="B260" s="3">
        <v>4</v>
      </c>
      <c r="C260" s="7">
        <v>65</v>
      </c>
      <c r="D260" s="7">
        <v>100</v>
      </c>
      <c r="E260" s="7">
        <v>75</v>
      </c>
      <c r="F260" s="7">
        <v>45</v>
      </c>
      <c r="G260" s="74">
        <f t="shared" ref="G260:G298" si="51">AVERAGE(C260:F260)</f>
        <v>71.25</v>
      </c>
      <c r="H260" s="75">
        <f>G260*K值!M261</f>
        <v>75.166214733236032</v>
      </c>
      <c r="I260" s="7">
        <v>0</v>
      </c>
      <c r="J260" s="7">
        <v>40</v>
      </c>
      <c r="K260" s="7">
        <v>25</v>
      </c>
      <c r="L260" s="7">
        <v>0</v>
      </c>
      <c r="M260" s="74">
        <f t="shared" ref="M260:M298" si="52">AVERAGE(I260:L260)</f>
        <v>16.25</v>
      </c>
      <c r="N260" s="7">
        <v>65</v>
      </c>
      <c r="O260" s="7">
        <v>0</v>
      </c>
      <c r="P260" s="7">
        <v>65</v>
      </c>
      <c r="Q260" s="7">
        <v>35</v>
      </c>
      <c r="R260" s="74">
        <f t="shared" ref="R260:R298" si="53">AVERAGE(N260:Q260)</f>
        <v>41.25</v>
      </c>
      <c r="S260" s="3">
        <v>77.086992225750649</v>
      </c>
      <c r="T260" s="3">
        <f t="shared" si="47"/>
        <v>77.086992225750649</v>
      </c>
      <c r="U260" s="3">
        <v>70.037117101863686</v>
      </c>
      <c r="V260" s="3">
        <v>66.574599788600182</v>
      </c>
      <c r="W260" s="3">
        <v>99.442437341036481</v>
      </c>
      <c r="X260" s="3">
        <f t="shared" si="48"/>
        <v>78.684718077166778</v>
      </c>
      <c r="Y260" s="3">
        <v>1.9454335693148952</v>
      </c>
      <c r="Z260" s="3">
        <v>0.42287266201586499</v>
      </c>
      <c r="AA260" s="3">
        <v>5.2484434016273545</v>
      </c>
      <c r="AB260" s="3">
        <v>25.398354228354496</v>
      </c>
      <c r="AC260" s="3">
        <f t="shared" si="49"/>
        <v>8.2537759653281526</v>
      </c>
      <c r="AD260" s="3">
        <v>1.6202320811565873</v>
      </c>
      <c r="AE260" s="87">
        <v>0</v>
      </c>
      <c r="AF260" s="3">
        <v>14.345991561181433</v>
      </c>
      <c r="AG260" s="3">
        <v>7.8595406593461412</v>
      </c>
      <c r="AH260" s="3">
        <v>8.6771549806558355</v>
      </c>
      <c r="AI260" s="3">
        <f t="shared" si="50"/>
        <v>6.5005838564679994</v>
      </c>
      <c r="AJ260" s="65">
        <f t="shared" ref="AJ260:AJ298" si="54">AVERAGE(T260,X260,AC260,AI260)</f>
        <v>42.631517531178396</v>
      </c>
      <c r="AK260" s="75">
        <f>AJ260*K值!M261</f>
        <v>44.974734051259958</v>
      </c>
      <c r="AL260" s="3">
        <v>50</v>
      </c>
      <c r="AM260" s="3">
        <v>0</v>
      </c>
      <c r="AN260" s="65">
        <f t="shared" ref="AN260:AN298" si="55">AVERAGE(AL260:AM260)</f>
        <v>25</v>
      </c>
      <c r="AP260" s="76">
        <f t="shared" ref="AP260:AP298" si="56">(H260*0.2)+(M260*0.2)+(R260*0.1)+(AK260*0.4)+(AN260*0.1)</f>
        <v>42.898136567151191</v>
      </c>
    </row>
    <row r="261" spans="1:42" x14ac:dyDescent="0.25">
      <c r="A261" s="92" t="s">
        <v>266</v>
      </c>
      <c r="B261" s="3">
        <v>4</v>
      </c>
      <c r="C261" s="7">
        <v>65</v>
      </c>
      <c r="D261" s="7">
        <v>100</v>
      </c>
      <c r="E261" s="7">
        <v>75</v>
      </c>
      <c r="F261" s="7">
        <v>100</v>
      </c>
      <c r="G261" s="74">
        <f t="shared" si="51"/>
        <v>85</v>
      </c>
      <c r="H261" s="75">
        <f>G261*K值!M262</f>
        <v>89.671975471228947</v>
      </c>
      <c r="I261" s="7">
        <v>0</v>
      </c>
      <c r="J261" s="7">
        <v>40</v>
      </c>
      <c r="K261" s="7">
        <v>25</v>
      </c>
      <c r="L261" s="7">
        <v>0</v>
      </c>
      <c r="M261" s="74">
        <f t="shared" si="52"/>
        <v>16.25</v>
      </c>
      <c r="N261" s="7">
        <v>35</v>
      </c>
      <c r="O261" s="7">
        <v>0</v>
      </c>
      <c r="P261" s="7">
        <v>65</v>
      </c>
      <c r="Q261" s="7">
        <v>0</v>
      </c>
      <c r="R261" s="74">
        <f t="shared" si="53"/>
        <v>25</v>
      </c>
      <c r="S261" s="3">
        <v>71.568816272618477</v>
      </c>
      <c r="T261" s="3">
        <f t="shared" si="47"/>
        <v>71.568816272618477</v>
      </c>
      <c r="U261" s="3">
        <v>58.169623127712121</v>
      </c>
      <c r="V261" s="3">
        <v>54.972826544941277</v>
      </c>
      <c r="W261" s="3">
        <v>97.839444696516296</v>
      </c>
      <c r="X261" s="3">
        <f t="shared" si="48"/>
        <v>70.327298123056565</v>
      </c>
      <c r="Y261" s="3">
        <v>0.79925815198066275</v>
      </c>
      <c r="Z261" s="3">
        <v>1.085469877713108</v>
      </c>
      <c r="AA261" s="3">
        <v>8.6974204941253319</v>
      </c>
      <c r="AB261" s="3">
        <v>51.690758437119108</v>
      </c>
      <c r="AC261" s="3">
        <f t="shared" si="49"/>
        <v>15.568226740234552</v>
      </c>
      <c r="AD261" s="3">
        <v>1.2454909034353783</v>
      </c>
      <c r="AE261" s="87">
        <v>0</v>
      </c>
      <c r="AF261" s="3">
        <v>3.3755274261603372</v>
      </c>
      <c r="AG261" s="3">
        <v>7.8595406593461412</v>
      </c>
      <c r="AH261" s="3">
        <v>8.6771549806558355</v>
      </c>
      <c r="AI261" s="3">
        <f t="shared" si="50"/>
        <v>4.2315427939195391</v>
      </c>
      <c r="AJ261" s="65">
        <f t="shared" si="54"/>
        <v>40.423970982457291</v>
      </c>
      <c r="AK261" s="75">
        <f>AJ261*K值!M262</f>
        <v>42.645850992806835</v>
      </c>
      <c r="AL261" s="3">
        <v>50</v>
      </c>
      <c r="AM261" s="3">
        <v>0</v>
      </c>
      <c r="AN261" s="65">
        <f t="shared" si="55"/>
        <v>25</v>
      </c>
      <c r="AP261" s="76">
        <f t="shared" si="56"/>
        <v>43.242735491368521</v>
      </c>
    </row>
    <row r="262" spans="1:42" x14ac:dyDescent="0.25">
      <c r="A262" s="92" t="s">
        <v>267</v>
      </c>
      <c r="B262" s="3">
        <v>3</v>
      </c>
      <c r="C262" s="7">
        <v>0</v>
      </c>
      <c r="D262" s="7">
        <v>80</v>
      </c>
      <c r="E262" s="7">
        <v>75</v>
      </c>
      <c r="F262" s="7">
        <v>100</v>
      </c>
      <c r="G262" s="74">
        <f t="shared" si="51"/>
        <v>63.75</v>
      </c>
      <c r="H262" s="75">
        <f>G262*K值!M263</f>
        <v>67.253981603421721</v>
      </c>
      <c r="I262" s="7">
        <v>50</v>
      </c>
      <c r="J262" s="7">
        <v>40</v>
      </c>
      <c r="K262" s="7">
        <v>25</v>
      </c>
      <c r="L262" s="7">
        <v>25</v>
      </c>
      <c r="M262" s="74">
        <f t="shared" si="52"/>
        <v>35</v>
      </c>
      <c r="N262" s="7">
        <v>65</v>
      </c>
      <c r="O262" s="7">
        <v>35</v>
      </c>
      <c r="P262" s="7">
        <v>35</v>
      </c>
      <c r="Q262" s="7">
        <v>65</v>
      </c>
      <c r="R262" s="74">
        <f t="shared" si="53"/>
        <v>50</v>
      </c>
      <c r="S262" s="3">
        <v>53.226530072425518</v>
      </c>
      <c r="T262" s="3">
        <f t="shared" si="47"/>
        <v>53.226530072425518</v>
      </c>
      <c r="U262" s="3">
        <v>33.230032327584233</v>
      </c>
      <c r="V262" s="3">
        <v>90.816927562370125</v>
      </c>
      <c r="W262" s="3">
        <v>97.978835361257197</v>
      </c>
      <c r="X262" s="3">
        <f t="shared" si="48"/>
        <v>74.008598417070516</v>
      </c>
      <c r="Y262" s="3">
        <v>14.077731008199279</v>
      </c>
      <c r="Z262" s="3">
        <v>0.48235046353439137</v>
      </c>
      <c r="AA262" s="3">
        <v>1.424577494727425</v>
      </c>
      <c r="AB262" s="3">
        <v>81.310001355172162</v>
      </c>
      <c r="AC262" s="3">
        <f t="shared" si="49"/>
        <v>24.323665080408315</v>
      </c>
      <c r="AD262" s="3">
        <v>0.27128885926773105</v>
      </c>
      <c r="AE262" s="87">
        <v>0</v>
      </c>
      <c r="AF262" s="3">
        <v>23.628691983122362</v>
      </c>
      <c r="AG262" s="3">
        <v>19.648851648365355</v>
      </c>
      <c r="AH262" s="3">
        <v>8.6771549806558355</v>
      </c>
      <c r="AI262" s="3">
        <f t="shared" si="50"/>
        <v>10.445197494282256</v>
      </c>
      <c r="AJ262" s="65">
        <f t="shared" si="54"/>
        <v>40.500997766046652</v>
      </c>
      <c r="AK262" s="75">
        <f>AJ262*K值!M263</f>
        <v>42.727111508673339</v>
      </c>
      <c r="AL262" s="3">
        <v>25</v>
      </c>
      <c r="AM262" s="3">
        <v>0</v>
      </c>
      <c r="AN262" s="65">
        <f t="shared" si="55"/>
        <v>12.5</v>
      </c>
      <c r="AP262" s="76">
        <f t="shared" si="56"/>
        <v>43.791640924153683</v>
      </c>
    </row>
    <row r="263" spans="1:42" x14ac:dyDescent="0.25">
      <c r="A263" s="92" t="s">
        <v>268</v>
      </c>
      <c r="B263" s="3">
        <v>3</v>
      </c>
      <c r="C263" s="7">
        <v>65</v>
      </c>
      <c r="D263" s="7">
        <v>100</v>
      </c>
      <c r="E263" s="7">
        <v>75</v>
      </c>
      <c r="F263" s="7">
        <v>45</v>
      </c>
      <c r="G263" s="74">
        <f t="shared" si="51"/>
        <v>71.25</v>
      </c>
      <c r="H263" s="75">
        <f>G263*K值!M264</f>
        <v>75.166214733236032</v>
      </c>
      <c r="I263" s="7">
        <v>100</v>
      </c>
      <c r="J263" s="7">
        <v>0</v>
      </c>
      <c r="K263" s="7">
        <v>50</v>
      </c>
      <c r="L263" s="7">
        <v>25</v>
      </c>
      <c r="M263" s="74">
        <f t="shared" si="52"/>
        <v>43.75</v>
      </c>
      <c r="N263" s="7">
        <v>0</v>
      </c>
      <c r="O263" s="7">
        <v>35</v>
      </c>
      <c r="P263" s="7">
        <v>35</v>
      </c>
      <c r="Q263" s="7">
        <v>0</v>
      </c>
      <c r="R263" s="74">
        <f t="shared" si="53"/>
        <v>17.5</v>
      </c>
      <c r="S263" s="3">
        <v>44.430680024095466</v>
      </c>
      <c r="T263" s="3">
        <f t="shared" si="47"/>
        <v>44.430680024095466</v>
      </c>
      <c r="U263" s="3">
        <v>57.62187272159175</v>
      </c>
      <c r="V263" s="3">
        <v>84.888498267795796</v>
      </c>
      <c r="W263" s="3">
        <v>80.067134942053713</v>
      </c>
      <c r="X263" s="3">
        <f t="shared" si="48"/>
        <v>74.192501977147089</v>
      </c>
      <c r="Y263" s="3">
        <v>15.912837531995372</v>
      </c>
      <c r="Z263" s="3" t="s">
        <v>335</v>
      </c>
      <c r="AA263" s="3">
        <v>4.7235990614646193</v>
      </c>
      <c r="AB263" s="3">
        <v>46.644787977311815</v>
      </c>
      <c r="AC263" s="3">
        <f t="shared" si="49"/>
        <v>22.427074856923934</v>
      </c>
      <c r="AD263" s="3">
        <v>2.2500097901709633</v>
      </c>
      <c r="AE263" s="87">
        <v>14.865092839693213</v>
      </c>
      <c r="AF263" s="3">
        <v>59.493670886075947</v>
      </c>
      <c r="AG263" s="3">
        <v>27.5083923077115</v>
      </c>
      <c r="AH263" s="3">
        <v>28.200753687131463</v>
      </c>
      <c r="AI263" s="3">
        <f t="shared" si="50"/>
        <v>26.463583902156621</v>
      </c>
      <c r="AJ263" s="65">
        <f t="shared" si="54"/>
        <v>41.878460190080773</v>
      </c>
      <c r="AK263" s="75">
        <f>AJ263*K值!M264</f>
        <v>44.180285352208955</v>
      </c>
      <c r="AL263" s="3">
        <v>75</v>
      </c>
      <c r="AM263" s="3">
        <v>0</v>
      </c>
      <c r="AN263" s="65">
        <f t="shared" si="55"/>
        <v>37.5</v>
      </c>
      <c r="AP263" s="76">
        <f t="shared" si="56"/>
        <v>46.955357087530786</v>
      </c>
    </row>
    <row r="264" spans="1:42" x14ac:dyDescent="0.25">
      <c r="A264" s="92" t="s">
        <v>269</v>
      </c>
      <c r="B264" s="3">
        <v>3</v>
      </c>
      <c r="C264" s="7">
        <v>65</v>
      </c>
      <c r="D264" s="7">
        <v>100</v>
      </c>
      <c r="E264" s="7">
        <v>100</v>
      </c>
      <c r="F264" s="7">
        <v>75</v>
      </c>
      <c r="G264" s="74">
        <f t="shared" si="51"/>
        <v>85</v>
      </c>
      <c r="H264" s="75">
        <f>G264*K值!M265</f>
        <v>89.671975471228947</v>
      </c>
      <c r="I264" s="36">
        <v>25</v>
      </c>
      <c r="J264" s="7">
        <v>100</v>
      </c>
      <c r="K264" s="7">
        <v>75</v>
      </c>
      <c r="L264" s="7">
        <v>25</v>
      </c>
      <c r="M264" s="74">
        <f t="shared" si="52"/>
        <v>56.25</v>
      </c>
      <c r="N264" s="36">
        <v>65</v>
      </c>
      <c r="O264" s="36">
        <v>65</v>
      </c>
      <c r="P264" s="7">
        <v>100</v>
      </c>
      <c r="Q264" s="36">
        <v>65</v>
      </c>
      <c r="R264" s="74">
        <f t="shared" si="53"/>
        <v>73.75</v>
      </c>
      <c r="S264" s="3">
        <v>63.339567143392706</v>
      </c>
      <c r="T264" s="3">
        <f t="shared" si="47"/>
        <v>63.339567143392706</v>
      </c>
      <c r="U264" s="3">
        <v>62.840256546812022</v>
      </c>
      <c r="V264" s="3">
        <v>58.178296609348223</v>
      </c>
      <c r="W264" s="3">
        <v>100</v>
      </c>
      <c r="X264" s="3">
        <f t="shared" si="48"/>
        <v>73.672851052053417</v>
      </c>
      <c r="Y264" s="3">
        <v>5.6180983290297197</v>
      </c>
      <c r="Z264" s="3">
        <v>0.24588993554610328</v>
      </c>
      <c r="AA264" s="3">
        <v>4.9485323501057925</v>
      </c>
      <c r="AB264" s="3">
        <v>30.247858854539999</v>
      </c>
      <c r="AC264" s="3">
        <f t="shared" si="49"/>
        <v>10.265094867305404</v>
      </c>
      <c r="AD264" s="3">
        <v>2.0406047951140738</v>
      </c>
      <c r="AE264" s="87">
        <v>14.865092839693213</v>
      </c>
      <c r="AF264" s="3">
        <v>69.198312236286924</v>
      </c>
      <c r="AG264" s="3">
        <v>47.157243956076847</v>
      </c>
      <c r="AH264" s="3">
        <v>4.3385774903279177</v>
      </c>
      <c r="AI264" s="3">
        <f t="shared" si="50"/>
        <v>27.519966263499793</v>
      </c>
      <c r="AJ264" s="65">
        <f t="shared" si="54"/>
        <v>43.699369831562827</v>
      </c>
      <c r="AK264" s="75">
        <f>AJ264*K值!M265</f>
        <v>46.101280231106642</v>
      </c>
      <c r="AL264" s="3">
        <v>50</v>
      </c>
      <c r="AM264" s="3">
        <v>75</v>
      </c>
      <c r="AN264" s="65">
        <f t="shared" si="55"/>
        <v>62.5</v>
      </c>
      <c r="AP264" s="76">
        <f t="shared" si="56"/>
        <v>61.249907186688446</v>
      </c>
    </row>
    <row r="265" spans="1:42" x14ac:dyDescent="0.25">
      <c r="A265" s="92" t="s">
        <v>270</v>
      </c>
      <c r="B265" s="3">
        <v>4</v>
      </c>
      <c r="C265" s="7">
        <v>35</v>
      </c>
      <c r="D265" s="7">
        <v>100</v>
      </c>
      <c r="E265" s="7">
        <v>60</v>
      </c>
      <c r="F265" s="7">
        <v>15</v>
      </c>
      <c r="G265" s="74">
        <f t="shared" si="51"/>
        <v>52.5</v>
      </c>
      <c r="H265" s="75">
        <f>G265*K值!M266</f>
        <v>55.385631908700233</v>
      </c>
      <c r="I265" s="7">
        <v>0</v>
      </c>
      <c r="J265" s="7">
        <v>20</v>
      </c>
      <c r="K265" s="7">
        <v>25</v>
      </c>
      <c r="L265" s="7">
        <v>0</v>
      </c>
      <c r="M265" s="74">
        <f t="shared" si="52"/>
        <v>11.25</v>
      </c>
      <c r="N265" s="7">
        <v>35</v>
      </c>
      <c r="O265" s="7">
        <v>35</v>
      </c>
      <c r="P265" s="7">
        <v>35</v>
      </c>
      <c r="Q265" s="7">
        <v>0</v>
      </c>
      <c r="R265" s="74">
        <f t="shared" si="53"/>
        <v>26.25</v>
      </c>
      <c r="S265" s="3">
        <v>80.225758157517902</v>
      </c>
      <c r="T265" s="3">
        <f t="shared" si="47"/>
        <v>80.225758157517902</v>
      </c>
      <c r="U265" s="3">
        <v>62.041704643220399</v>
      </c>
      <c r="V265" s="3">
        <v>88.017135396814282</v>
      </c>
      <c r="W265" s="3">
        <v>91.7759507802879</v>
      </c>
      <c r="X265" s="3">
        <f t="shared" si="48"/>
        <v>80.611596940107532</v>
      </c>
      <c r="Y265" s="3">
        <v>0.65705884886753874</v>
      </c>
      <c r="Z265" s="3">
        <v>0.11808519618556228</v>
      </c>
      <c r="AA265" s="3">
        <v>1.049688680325471</v>
      </c>
      <c r="AB265" s="3">
        <v>73.582585864400215</v>
      </c>
      <c r="AC265" s="3">
        <f t="shared" si="49"/>
        <v>18.851854647444696</v>
      </c>
      <c r="AD265" s="3">
        <v>4.5318991467535714E-2</v>
      </c>
      <c r="AE265" s="87">
        <v>0</v>
      </c>
      <c r="AF265" s="3">
        <v>10.970464135021098</v>
      </c>
      <c r="AG265" s="3">
        <v>7.8595406593461412</v>
      </c>
      <c r="AH265" s="3">
        <v>2.1692887451639589</v>
      </c>
      <c r="AI265" s="3">
        <f t="shared" si="50"/>
        <v>4.2089225061997464</v>
      </c>
      <c r="AJ265" s="65">
        <f t="shared" si="54"/>
        <v>45.974533062817471</v>
      </c>
      <c r="AK265" s="75">
        <f>AJ265*K值!M266</f>
        <v>48.501496483649092</v>
      </c>
      <c r="AL265" s="3">
        <v>50</v>
      </c>
      <c r="AM265" s="3">
        <v>0</v>
      </c>
      <c r="AN265" s="65">
        <f t="shared" si="55"/>
        <v>25</v>
      </c>
      <c r="AP265" s="76">
        <f t="shared" si="56"/>
        <v>37.852724975199685</v>
      </c>
    </row>
    <row r="266" spans="1:42" x14ac:dyDescent="0.25">
      <c r="A266" s="92" t="s">
        <v>271</v>
      </c>
      <c r="B266" s="3">
        <v>4</v>
      </c>
      <c r="C266" s="7">
        <v>65</v>
      </c>
      <c r="D266" s="7">
        <v>100</v>
      </c>
      <c r="E266" s="7">
        <v>75</v>
      </c>
      <c r="F266" s="7">
        <v>100</v>
      </c>
      <c r="G266" s="74">
        <f t="shared" si="51"/>
        <v>85</v>
      </c>
      <c r="H266" s="75">
        <f>G266*K值!M267</f>
        <v>89.671975471228947</v>
      </c>
      <c r="I266" s="7">
        <v>0</v>
      </c>
      <c r="J266" s="7">
        <v>40</v>
      </c>
      <c r="K266" s="7">
        <v>0</v>
      </c>
      <c r="L266" s="7">
        <v>25</v>
      </c>
      <c r="M266" s="74">
        <f t="shared" si="52"/>
        <v>16.25</v>
      </c>
      <c r="N266" s="7">
        <v>0</v>
      </c>
      <c r="O266" s="7">
        <v>35</v>
      </c>
      <c r="P266" s="7">
        <v>65</v>
      </c>
      <c r="Q266" s="7">
        <v>0</v>
      </c>
      <c r="R266" s="74">
        <f t="shared" si="53"/>
        <v>25</v>
      </c>
      <c r="S266" s="3">
        <v>75.856100603458032</v>
      </c>
      <c r="T266" s="3">
        <f t="shared" si="47"/>
        <v>75.856100603458032</v>
      </c>
      <c r="U266" s="3">
        <v>76.411536617277505</v>
      </c>
      <c r="V266" s="3">
        <v>44.351441556839241</v>
      </c>
      <c r="W266" s="3">
        <v>84.52763621376198</v>
      </c>
      <c r="X266" s="3">
        <f t="shared" si="48"/>
        <v>68.430204795959568</v>
      </c>
      <c r="Y266" s="3">
        <v>2.066793319385579</v>
      </c>
      <c r="Z266" s="3">
        <v>2.1462782279673145</v>
      </c>
      <c r="AA266" s="3">
        <v>8.9973315456468939</v>
      </c>
      <c r="AB266" s="3">
        <v>50.488812990102971</v>
      </c>
      <c r="AC266" s="3">
        <f t="shared" si="49"/>
        <v>15.924804020775689</v>
      </c>
      <c r="AD266" s="3">
        <v>1.3242521851582678</v>
      </c>
      <c r="AE266" s="87">
        <v>14.865092839693213</v>
      </c>
      <c r="AF266" s="3">
        <v>42.616033755274266</v>
      </c>
      <c r="AG266" s="3">
        <v>27.5083923077115</v>
      </c>
      <c r="AH266" s="3">
        <v>6.5078662354918757</v>
      </c>
      <c r="AI266" s="3">
        <f t="shared" si="50"/>
        <v>18.564327464665826</v>
      </c>
      <c r="AJ266" s="65">
        <f t="shared" si="54"/>
        <v>44.69385922121478</v>
      </c>
      <c r="AK266" s="75">
        <f>AJ266*K值!M267</f>
        <v>47.150431150580374</v>
      </c>
      <c r="AL266" s="3">
        <v>0</v>
      </c>
      <c r="AM266" s="3">
        <v>0</v>
      </c>
      <c r="AN266" s="65">
        <f t="shared" si="55"/>
        <v>0</v>
      </c>
      <c r="AP266" s="76">
        <f t="shared" si="56"/>
        <v>42.544567554477936</v>
      </c>
    </row>
    <row r="267" spans="1:42" x14ac:dyDescent="0.25">
      <c r="A267" s="92" t="s">
        <v>272</v>
      </c>
      <c r="B267" s="3">
        <v>3</v>
      </c>
      <c r="C267" s="7">
        <v>65</v>
      </c>
      <c r="D267" s="7">
        <v>80</v>
      </c>
      <c r="E267" s="7">
        <v>75</v>
      </c>
      <c r="F267" s="7">
        <v>15</v>
      </c>
      <c r="G267" s="74">
        <f t="shared" si="51"/>
        <v>58.75</v>
      </c>
      <c r="H267" s="75">
        <f>G267*K值!M268</f>
        <v>61.979159516878838</v>
      </c>
      <c r="I267" s="7">
        <v>50</v>
      </c>
      <c r="J267" s="7">
        <v>60</v>
      </c>
      <c r="K267" s="7">
        <v>25</v>
      </c>
      <c r="L267" s="7">
        <v>25</v>
      </c>
      <c r="M267" s="74">
        <f t="shared" si="52"/>
        <v>40</v>
      </c>
      <c r="N267" s="7">
        <v>65</v>
      </c>
      <c r="O267" s="7">
        <v>35</v>
      </c>
      <c r="P267" s="7">
        <v>35</v>
      </c>
      <c r="Q267" s="7">
        <v>65</v>
      </c>
      <c r="R267" s="74">
        <f t="shared" si="53"/>
        <v>50</v>
      </c>
      <c r="S267" s="3">
        <v>74.118182549263949</v>
      </c>
      <c r="T267" s="3">
        <f t="shared" si="47"/>
        <v>74.118182549263949</v>
      </c>
      <c r="U267" s="3">
        <v>52.627270656513303</v>
      </c>
      <c r="V267" s="3">
        <v>55.424604205025489</v>
      </c>
      <c r="W267" s="3">
        <v>95.295565064995216</v>
      </c>
      <c r="X267" s="3">
        <f t="shared" si="48"/>
        <v>67.782479975511336</v>
      </c>
      <c r="Y267" s="3">
        <v>10.091247096786526</v>
      </c>
      <c r="Z267" s="3">
        <v>1.0198266943298562</v>
      </c>
      <c r="AA267" s="3">
        <v>2.6991994636940682</v>
      </c>
      <c r="AB267" s="3">
        <v>51.116439001397431</v>
      </c>
      <c r="AC267" s="3">
        <f t="shared" si="49"/>
        <v>16.23167806405197</v>
      </c>
      <c r="AD267" s="3">
        <v>1.1179726377887949</v>
      </c>
      <c r="AE267" s="87">
        <v>0</v>
      </c>
      <c r="AF267" s="3">
        <v>54.430379746835442</v>
      </c>
      <c r="AG267" s="3">
        <v>43.227473626403778</v>
      </c>
      <c r="AH267" s="3">
        <v>17.354309961311671</v>
      </c>
      <c r="AI267" s="3">
        <f t="shared" si="50"/>
        <v>23.226027194467939</v>
      </c>
      <c r="AJ267" s="65">
        <f t="shared" si="54"/>
        <v>45.339591945823798</v>
      </c>
      <c r="AK267" s="75">
        <f>AJ267*K值!M268</f>
        <v>47.831656198134603</v>
      </c>
      <c r="AL267" s="3">
        <v>50</v>
      </c>
      <c r="AM267" s="3">
        <v>0</v>
      </c>
      <c r="AN267" s="65">
        <f t="shared" si="55"/>
        <v>25</v>
      </c>
      <c r="AP267" s="76">
        <f t="shared" si="56"/>
        <v>47.02849438262961</v>
      </c>
    </row>
    <row r="268" spans="1:42" x14ac:dyDescent="0.25">
      <c r="A268" s="92" t="s">
        <v>323</v>
      </c>
      <c r="B268" s="3">
        <v>4</v>
      </c>
      <c r="C268" s="7">
        <v>65</v>
      </c>
      <c r="D268" s="7">
        <v>100</v>
      </c>
      <c r="E268" s="7">
        <v>75</v>
      </c>
      <c r="F268" s="7">
        <v>75</v>
      </c>
      <c r="G268" s="74">
        <f t="shared" si="51"/>
        <v>78.75</v>
      </c>
      <c r="H268" s="75">
        <f>G268*K值!M269</f>
        <v>83.078447863050357</v>
      </c>
      <c r="I268" s="7">
        <v>50</v>
      </c>
      <c r="J268" s="7">
        <v>40</v>
      </c>
      <c r="K268" s="7">
        <v>0</v>
      </c>
      <c r="L268" s="7">
        <v>0</v>
      </c>
      <c r="M268" s="74">
        <f t="shared" si="52"/>
        <v>22.5</v>
      </c>
      <c r="N268" s="7">
        <v>35</v>
      </c>
      <c r="O268" s="7">
        <v>65</v>
      </c>
      <c r="P268" s="7">
        <v>35</v>
      </c>
      <c r="Q268" s="7">
        <v>65</v>
      </c>
      <c r="R268" s="74">
        <f t="shared" si="53"/>
        <v>50</v>
      </c>
      <c r="S268" s="3">
        <v>87.422196002047627</v>
      </c>
      <c r="T268" s="3">
        <f t="shared" si="47"/>
        <v>87.422196002047627</v>
      </c>
      <c r="U268" s="3">
        <v>83.364671833348126</v>
      </c>
      <c r="V268" s="3">
        <v>80.078756512477597</v>
      </c>
      <c r="W268" s="3">
        <v>14.414131849097744</v>
      </c>
      <c r="X268" s="3">
        <f t="shared" si="48"/>
        <v>59.285853398307829</v>
      </c>
      <c r="Y268" s="3">
        <v>3.792798653724188</v>
      </c>
      <c r="Z268" s="3">
        <v>0.46711834363330534</v>
      </c>
      <c r="AA268" s="3">
        <v>7.4977762880390791E-2</v>
      </c>
      <c r="AB268" s="3">
        <v>25.453849974135444</v>
      </c>
      <c r="AC268" s="3">
        <f t="shared" si="49"/>
        <v>7.447186183593332</v>
      </c>
      <c r="AD268" s="3">
        <v>0.11157848244076035</v>
      </c>
      <c r="AE268" s="87">
        <v>14.865092839693213</v>
      </c>
      <c r="AF268" s="3">
        <v>32.067510548523209</v>
      </c>
      <c r="AG268" s="3">
        <v>27.5083923077115</v>
      </c>
      <c r="AH268" s="3">
        <v>10.846443725819793</v>
      </c>
      <c r="AI268" s="3">
        <f t="shared" si="50"/>
        <v>17.079803580837698</v>
      </c>
      <c r="AJ268" s="65">
        <f t="shared" si="54"/>
        <v>42.808759791196628</v>
      </c>
      <c r="AK268" s="75">
        <f>AJ268*K值!M269</f>
        <v>45.161718328822545</v>
      </c>
      <c r="AL268" s="3">
        <v>50</v>
      </c>
      <c r="AM268" s="3">
        <v>0</v>
      </c>
      <c r="AN268" s="65">
        <f t="shared" si="55"/>
        <v>25</v>
      </c>
      <c r="AP268" s="76">
        <f t="shared" si="56"/>
        <v>46.680376904139095</v>
      </c>
    </row>
    <row r="269" spans="1:42" x14ac:dyDescent="0.25">
      <c r="A269" s="92" t="s">
        <v>273</v>
      </c>
      <c r="B269" s="3">
        <v>3</v>
      </c>
      <c r="C269" s="7">
        <v>65</v>
      </c>
      <c r="D269" s="7">
        <v>80</v>
      </c>
      <c r="E269" s="7">
        <v>60</v>
      </c>
      <c r="F269" s="7">
        <v>60</v>
      </c>
      <c r="G269" s="74">
        <f t="shared" si="51"/>
        <v>66.25</v>
      </c>
      <c r="H269" s="75">
        <f>G269*K值!M270</f>
        <v>69.891392646693149</v>
      </c>
      <c r="I269" s="7">
        <v>0</v>
      </c>
      <c r="J269" s="7">
        <v>40</v>
      </c>
      <c r="K269" s="7">
        <v>25</v>
      </c>
      <c r="L269" s="7">
        <v>0</v>
      </c>
      <c r="M269" s="74">
        <f t="shared" si="52"/>
        <v>16.25</v>
      </c>
      <c r="N269" s="7">
        <v>100</v>
      </c>
      <c r="O269" s="7">
        <v>0</v>
      </c>
      <c r="P269" s="7">
        <v>65</v>
      </c>
      <c r="Q269" s="7">
        <v>0</v>
      </c>
      <c r="R269" s="74">
        <f t="shared" si="53"/>
        <v>41.25</v>
      </c>
      <c r="S269" s="3">
        <v>56.941965716710151</v>
      </c>
      <c r="T269" s="3">
        <f t="shared" si="47"/>
        <v>56.941965716710151</v>
      </c>
      <c r="U269" s="3">
        <v>51.970187324699758</v>
      </c>
      <c r="V269" s="3">
        <v>50.811554764301761</v>
      </c>
      <c r="W269" s="3">
        <v>98.989417680628577</v>
      </c>
      <c r="X269" s="3">
        <f t="shared" si="48"/>
        <v>67.257053256543358</v>
      </c>
      <c r="Y269" s="3">
        <v>2.2114443346213428</v>
      </c>
      <c r="Z269" s="3">
        <v>0.25241798693228301</v>
      </c>
      <c r="AA269" s="3">
        <v>3.5239548553783666</v>
      </c>
      <c r="AB269" s="3">
        <v>64.524013971710829</v>
      </c>
      <c r="AC269" s="3">
        <f t="shared" si="49"/>
        <v>17.627957787160707</v>
      </c>
      <c r="AD269" s="3">
        <v>1.7571266898654194</v>
      </c>
      <c r="AE269" s="87">
        <v>0</v>
      </c>
      <c r="AF269" s="3">
        <v>59.493670886075947</v>
      </c>
      <c r="AG269" s="3">
        <v>15.719081318692282</v>
      </c>
      <c r="AH269" s="3">
        <v>21.692887451639585</v>
      </c>
      <c r="AI269" s="3">
        <f t="shared" si="50"/>
        <v>19.732553269254645</v>
      </c>
      <c r="AJ269" s="65">
        <f t="shared" si="54"/>
        <v>40.389882507417219</v>
      </c>
      <c r="AK269" s="75">
        <f>AJ269*K值!M270</f>
        <v>42.609888864599249</v>
      </c>
      <c r="AL269" s="3">
        <v>50</v>
      </c>
      <c r="AM269" s="3">
        <v>0</v>
      </c>
      <c r="AN269" s="65">
        <f t="shared" si="55"/>
        <v>25</v>
      </c>
      <c r="AP269" s="76">
        <f t="shared" si="56"/>
        <v>40.897234075178332</v>
      </c>
    </row>
    <row r="270" spans="1:42" x14ac:dyDescent="0.25">
      <c r="A270" s="92" t="s">
        <v>274</v>
      </c>
      <c r="B270" s="3">
        <v>3</v>
      </c>
      <c r="C270" s="7">
        <v>65</v>
      </c>
      <c r="D270" s="7">
        <v>100</v>
      </c>
      <c r="E270" s="7">
        <v>75</v>
      </c>
      <c r="F270" s="7">
        <v>60</v>
      </c>
      <c r="G270" s="74">
        <f t="shared" si="51"/>
        <v>75</v>
      </c>
      <c r="H270" s="75">
        <f>G270*K值!M271</f>
        <v>79.122331298143195</v>
      </c>
      <c r="I270" s="7">
        <v>75</v>
      </c>
      <c r="J270" s="7">
        <v>40</v>
      </c>
      <c r="K270" s="7">
        <v>25</v>
      </c>
      <c r="L270" s="7">
        <v>50</v>
      </c>
      <c r="M270" s="74">
        <f t="shared" si="52"/>
        <v>47.5</v>
      </c>
      <c r="N270" s="7">
        <v>100</v>
      </c>
      <c r="O270" s="7">
        <v>35</v>
      </c>
      <c r="P270" s="7">
        <v>100</v>
      </c>
      <c r="Q270" s="7">
        <v>35</v>
      </c>
      <c r="R270" s="74">
        <f t="shared" si="53"/>
        <v>67.5</v>
      </c>
      <c r="S270" s="3">
        <v>31.843516397227116</v>
      </c>
      <c r="T270" s="3">
        <f t="shared" si="47"/>
        <v>31.843516397227116</v>
      </c>
      <c r="U270" s="3">
        <v>27.543195480796591</v>
      </c>
      <c r="V270" s="3">
        <v>75.880604922851631</v>
      </c>
      <c r="W270" s="3">
        <v>100</v>
      </c>
      <c r="X270" s="3">
        <f t="shared" si="48"/>
        <v>67.807933467882734</v>
      </c>
      <c r="Y270" s="3">
        <v>6.939571163132717</v>
      </c>
      <c r="Z270" s="3">
        <v>1.9069163438073911</v>
      </c>
      <c r="AA270" s="3">
        <v>10.047020225972366</v>
      </c>
      <c r="AB270" s="3">
        <v>23.084328704566463</v>
      </c>
      <c r="AC270" s="3">
        <f t="shared" si="49"/>
        <v>10.494459109369735</v>
      </c>
      <c r="AD270" s="3">
        <v>1.7552514212529697</v>
      </c>
      <c r="AE270" s="87">
        <v>0</v>
      </c>
      <c r="AF270" s="3">
        <v>64.556962025316452</v>
      </c>
      <c r="AG270" s="3">
        <v>86.454947252807557</v>
      </c>
      <c r="AH270" s="3">
        <v>19.523598706475628</v>
      </c>
      <c r="AI270" s="3">
        <f t="shared" si="50"/>
        <v>34.458151881170522</v>
      </c>
      <c r="AJ270" s="65">
        <f t="shared" si="54"/>
        <v>36.15101521391253</v>
      </c>
      <c r="AK270" s="75">
        <f>AJ270*K值!M271</f>
        <v>38.138034700258693</v>
      </c>
      <c r="AL270" s="3">
        <v>25</v>
      </c>
      <c r="AM270" s="3">
        <v>0</v>
      </c>
      <c r="AN270" s="65">
        <f t="shared" si="55"/>
        <v>12.5</v>
      </c>
      <c r="AP270" s="76">
        <f t="shared" si="56"/>
        <v>48.579680139732112</v>
      </c>
    </row>
    <row r="271" spans="1:42" x14ac:dyDescent="0.25">
      <c r="A271" s="92" t="s">
        <v>275</v>
      </c>
      <c r="B271" s="3">
        <v>4</v>
      </c>
      <c r="C271" s="7">
        <v>65</v>
      </c>
      <c r="D271" s="7">
        <v>100</v>
      </c>
      <c r="E271" s="7">
        <v>100</v>
      </c>
      <c r="F271" s="7">
        <v>60</v>
      </c>
      <c r="G271" s="74">
        <f t="shared" si="51"/>
        <v>81.25</v>
      </c>
      <c r="H271" s="75">
        <f>G271*K值!M272</f>
        <v>85.715858906321799</v>
      </c>
      <c r="I271" s="7">
        <v>100</v>
      </c>
      <c r="J271" s="7">
        <v>40</v>
      </c>
      <c r="K271" s="7">
        <v>25</v>
      </c>
      <c r="L271" s="7">
        <v>50</v>
      </c>
      <c r="M271" s="74">
        <f t="shared" si="52"/>
        <v>53.75</v>
      </c>
      <c r="N271" s="7">
        <v>100</v>
      </c>
      <c r="O271" s="7">
        <v>35</v>
      </c>
      <c r="P271" s="7">
        <v>100</v>
      </c>
      <c r="Q271" s="7">
        <v>65</v>
      </c>
      <c r="R271" s="74">
        <f t="shared" si="53"/>
        <v>75</v>
      </c>
      <c r="S271" s="3">
        <v>74.41985343430774</v>
      </c>
      <c r="T271" s="3">
        <f t="shared" si="47"/>
        <v>74.41985343430774</v>
      </c>
      <c r="U271" s="3">
        <v>63.478407149848202</v>
      </c>
      <c r="V271" s="3">
        <v>67.631820979545537</v>
      </c>
      <c r="W271" s="3">
        <v>95.992518388699594</v>
      </c>
      <c r="X271" s="3">
        <f t="shared" si="48"/>
        <v>75.700915506031109</v>
      </c>
      <c r="Y271" s="3">
        <v>1.2957298568152769</v>
      </c>
      <c r="Z271" s="3">
        <v>1.1303683644691662</v>
      </c>
      <c r="AA271" s="3">
        <v>1.9494218348901606</v>
      </c>
      <c r="AB271" s="3">
        <v>48.391864742654661</v>
      </c>
      <c r="AC271" s="3">
        <f t="shared" si="49"/>
        <v>13.191846199707316</v>
      </c>
      <c r="AD271" s="3">
        <v>1.0529633258905369</v>
      </c>
      <c r="AE271" s="87">
        <v>0</v>
      </c>
      <c r="AF271" s="3">
        <v>38.396624472573833</v>
      </c>
      <c r="AG271" s="3">
        <v>7.8595406593461412</v>
      </c>
      <c r="AH271" s="3">
        <v>43.38577490327917</v>
      </c>
      <c r="AI271" s="3">
        <f t="shared" si="50"/>
        <v>18.138980672217937</v>
      </c>
      <c r="AJ271" s="65">
        <f t="shared" si="54"/>
        <v>45.362898953066029</v>
      </c>
      <c r="AK271" s="75">
        <f>AJ271*K值!M272</f>
        <v>47.856244261449113</v>
      </c>
      <c r="AL271" s="3">
        <v>50</v>
      </c>
      <c r="AM271" s="3">
        <v>75</v>
      </c>
      <c r="AN271" s="65">
        <f t="shared" si="55"/>
        <v>62.5</v>
      </c>
      <c r="AP271" s="76">
        <f t="shared" si="56"/>
        <v>60.785669485844004</v>
      </c>
    </row>
    <row r="272" spans="1:42" x14ac:dyDescent="0.25">
      <c r="A272" s="92" t="s">
        <v>276</v>
      </c>
      <c r="B272" s="3">
        <v>4</v>
      </c>
      <c r="C272" s="7">
        <v>65</v>
      </c>
      <c r="D272" s="7">
        <v>80</v>
      </c>
      <c r="E272" s="7">
        <v>60</v>
      </c>
      <c r="F272" s="7">
        <v>0</v>
      </c>
      <c r="G272" s="74">
        <f t="shared" si="51"/>
        <v>51.25</v>
      </c>
      <c r="H272" s="75">
        <f>G272*K值!M273</f>
        <v>54.06692638706452</v>
      </c>
      <c r="I272" s="7">
        <v>0</v>
      </c>
      <c r="J272" s="7">
        <v>0</v>
      </c>
      <c r="K272" s="7">
        <v>25</v>
      </c>
      <c r="L272" s="7">
        <v>50</v>
      </c>
      <c r="M272" s="74">
        <f t="shared" si="52"/>
        <v>18.75</v>
      </c>
      <c r="N272" s="7">
        <v>0</v>
      </c>
      <c r="O272" s="7">
        <v>0</v>
      </c>
      <c r="P272" s="7">
        <v>65</v>
      </c>
      <c r="Q272" s="7">
        <v>0</v>
      </c>
      <c r="R272" s="74">
        <f t="shared" si="53"/>
        <v>16.25</v>
      </c>
      <c r="S272" s="3">
        <v>75.953794571217472</v>
      </c>
      <c r="T272" s="3">
        <f t="shared" si="47"/>
        <v>75.953794571217472</v>
      </c>
      <c r="U272" s="3">
        <v>79.679986495277973</v>
      </c>
      <c r="V272" s="3">
        <v>87.221146186189742</v>
      </c>
      <c r="W272" s="3">
        <v>75.153614009937598</v>
      </c>
      <c r="X272" s="3">
        <f t="shared" si="48"/>
        <v>80.684915563801766</v>
      </c>
      <c r="Y272" s="3">
        <v>1.8755597738196534</v>
      </c>
      <c r="Z272" s="3">
        <v>1.2367030681596052E-2</v>
      </c>
      <c r="AA272" s="3">
        <v>1.8744440720097697</v>
      </c>
      <c r="AB272" s="3">
        <v>19.702382339716213</v>
      </c>
      <c r="AC272" s="3">
        <f t="shared" si="49"/>
        <v>5.8661883040568075</v>
      </c>
      <c r="AD272" s="3">
        <v>0.16846163035173622</v>
      </c>
      <c r="AE272" s="87">
        <v>0</v>
      </c>
      <c r="AF272" s="3">
        <v>7.1729957805907167</v>
      </c>
      <c r="AG272" s="3">
        <v>19.648851648365355</v>
      </c>
      <c r="AH272" s="3">
        <v>0</v>
      </c>
      <c r="AI272" s="3">
        <f t="shared" si="50"/>
        <v>5.3980618118615613</v>
      </c>
      <c r="AJ272" s="65">
        <f t="shared" si="54"/>
        <v>41.975740062734403</v>
      </c>
      <c r="AK272" s="75">
        <f>AJ272*K值!M273</f>
        <v>44.282912156378849</v>
      </c>
      <c r="AL272" s="3">
        <v>25</v>
      </c>
      <c r="AM272" s="3">
        <v>0</v>
      </c>
      <c r="AN272" s="65">
        <f t="shared" si="55"/>
        <v>12.5</v>
      </c>
      <c r="AP272" s="76">
        <f t="shared" si="56"/>
        <v>35.151550139964442</v>
      </c>
    </row>
    <row r="273" spans="1:42" x14ac:dyDescent="0.25">
      <c r="A273" s="92" t="s">
        <v>277</v>
      </c>
      <c r="B273" s="3">
        <v>4</v>
      </c>
      <c r="C273" s="7">
        <v>65</v>
      </c>
      <c r="D273" s="7">
        <v>100</v>
      </c>
      <c r="E273" s="7">
        <v>100</v>
      </c>
      <c r="F273" s="7">
        <v>100</v>
      </c>
      <c r="G273" s="74">
        <f t="shared" si="51"/>
        <v>91.25</v>
      </c>
      <c r="H273" s="75">
        <f>G273*K值!M274</f>
        <v>96.265503079407551</v>
      </c>
      <c r="I273" s="7">
        <v>0</v>
      </c>
      <c r="J273" s="7">
        <v>60</v>
      </c>
      <c r="K273" s="7">
        <v>25</v>
      </c>
      <c r="L273" s="7">
        <v>50</v>
      </c>
      <c r="M273" s="74">
        <f t="shared" si="52"/>
        <v>33.75</v>
      </c>
      <c r="N273" s="7">
        <v>65</v>
      </c>
      <c r="O273" s="7">
        <v>35</v>
      </c>
      <c r="P273" s="7">
        <v>65</v>
      </c>
      <c r="Q273" s="7">
        <v>35</v>
      </c>
      <c r="R273" s="74">
        <f t="shared" si="53"/>
        <v>50</v>
      </c>
      <c r="S273" s="3">
        <v>75.049871421210185</v>
      </c>
      <c r="T273" s="3">
        <f t="shared" si="47"/>
        <v>75.049871421210185</v>
      </c>
      <c r="U273" s="3">
        <v>76.411309266226198</v>
      </c>
      <c r="V273" s="3">
        <v>61.008821949059445</v>
      </c>
      <c r="W273" s="3">
        <v>91.671407781732228</v>
      </c>
      <c r="X273" s="3">
        <f t="shared" si="48"/>
        <v>76.363846332339293</v>
      </c>
      <c r="Y273" s="3">
        <v>1.3190211219803576</v>
      </c>
      <c r="Z273" s="3" t="s">
        <v>335</v>
      </c>
      <c r="AA273" s="3">
        <v>3.6739103811391485</v>
      </c>
      <c r="AB273" s="3">
        <v>47.147058304165839</v>
      </c>
      <c r="AC273" s="3">
        <f t="shared" si="49"/>
        <v>17.379996602428449</v>
      </c>
      <c r="AD273" s="3">
        <v>0.64509240268271539</v>
      </c>
      <c r="AE273" s="87">
        <v>0</v>
      </c>
      <c r="AF273" s="3">
        <v>63.291139240506332</v>
      </c>
      <c r="AG273" s="3">
        <v>3.9297703296730706</v>
      </c>
      <c r="AH273" s="3">
        <v>17.354309961311671</v>
      </c>
      <c r="AI273" s="3">
        <f t="shared" si="50"/>
        <v>17.04406238683476</v>
      </c>
      <c r="AJ273" s="65">
        <f t="shared" si="54"/>
        <v>46.459444185703163</v>
      </c>
      <c r="AK273" s="75">
        <f>AJ273*K值!M274</f>
        <v>49.013060463850643</v>
      </c>
      <c r="AL273" s="3">
        <v>50</v>
      </c>
      <c r="AM273" s="3">
        <v>50</v>
      </c>
      <c r="AN273" s="65">
        <f t="shared" si="55"/>
        <v>50</v>
      </c>
      <c r="AP273" s="76">
        <f t="shared" si="56"/>
        <v>55.608324801421773</v>
      </c>
    </row>
    <row r="274" spans="1:42" x14ac:dyDescent="0.25">
      <c r="A274" s="92" t="s">
        <v>278</v>
      </c>
      <c r="B274" s="3">
        <v>4</v>
      </c>
      <c r="C274" s="7">
        <v>65</v>
      </c>
      <c r="D274" s="7">
        <v>100</v>
      </c>
      <c r="E274" s="7">
        <v>75</v>
      </c>
      <c r="F274" s="7">
        <v>100</v>
      </c>
      <c r="G274" s="74">
        <f t="shared" si="51"/>
        <v>85</v>
      </c>
      <c r="H274" s="75">
        <f>G274*K值!M275</f>
        <v>89.671975471228947</v>
      </c>
      <c r="I274" s="7">
        <v>0</v>
      </c>
      <c r="J274" s="7">
        <v>60</v>
      </c>
      <c r="K274" s="7">
        <v>25</v>
      </c>
      <c r="L274" s="7">
        <v>0</v>
      </c>
      <c r="M274" s="74">
        <f t="shared" si="52"/>
        <v>21.25</v>
      </c>
      <c r="N274" s="7">
        <v>65</v>
      </c>
      <c r="O274" s="7">
        <v>65</v>
      </c>
      <c r="P274" s="7">
        <v>100</v>
      </c>
      <c r="Q274" s="7">
        <v>35</v>
      </c>
      <c r="R274" s="74">
        <f t="shared" si="53"/>
        <v>66.25</v>
      </c>
      <c r="S274" s="3">
        <v>51.651858886773404</v>
      </c>
      <c r="T274" s="3">
        <f t="shared" si="47"/>
        <v>51.651858886773404</v>
      </c>
      <c r="U274" s="3">
        <v>38.918220218623375</v>
      </c>
      <c r="V274" s="3">
        <v>65.889250004935036</v>
      </c>
      <c r="W274" s="3">
        <v>99.651523338147811</v>
      </c>
      <c r="X274" s="3">
        <f t="shared" si="48"/>
        <v>68.152997853902079</v>
      </c>
      <c r="Y274" s="3">
        <v>3.2558736988660124</v>
      </c>
      <c r="Z274" s="3" t="s">
        <v>335</v>
      </c>
      <c r="AA274" s="3">
        <v>4.348710247062666</v>
      </c>
      <c r="AB274" s="3">
        <v>40.165841025142875</v>
      </c>
      <c r="AC274" s="3">
        <f t="shared" si="49"/>
        <v>15.923474990357185</v>
      </c>
      <c r="AD274" s="3">
        <v>0.64821785037013158</v>
      </c>
      <c r="AE274" s="87">
        <v>0</v>
      </c>
      <c r="AF274" s="3">
        <v>42.194092827004219</v>
      </c>
      <c r="AG274" s="3">
        <v>27.5083923077115</v>
      </c>
      <c r="AH274" s="3">
        <v>8.6771549806558355</v>
      </c>
      <c r="AI274" s="3">
        <f t="shared" si="50"/>
        <v>15.805571593148334</v>
      </c>
      <c r="AJ274" s="65">
        <f t="shared" si="54"/>
        <v>37.883475831045253</v>
      </c>
      <c r="AK274" s="75">
        <f>AJ274*K值!M275</f>
        <v>39.965719005722171</v>
      </c>
      <c r="AL274" s="3">
        <v>75</v>
      </c>
      <c r="AM274" s="3">
        <v>0</v>
      </c>
      <c r="AN274" s="65">
        <f t="shared" si="55"/>
        <v>37.5</v>
      </c>
      <c r="AP274" s="76">
        <f t="shared" si="56"/>
        <v>48.545682696534655</v>
      </c>
    </row>
    <row r="275" spans="1:42" x14ac:dyDescent="0.25">
      <c r="A275" s="92" t="s">
        <v>279</v>
      </c>
      <c r="B275" s="3">
        <v>4</v>
      </c>
      <c r="C275" s="7">
        <v>100</v>
      </c>
      <c r="D275" s="7">
        <v>80</v>
      </c>
      <c r="E275" s="7">
        <v>100</v>
      </c>
      <c r="F275" s="7">
        <v>45</v>
      </c>
      <c r="G275" s="74">
        <f t="shared" si="51"/>
        <v>81.25</v>
      </c>
      <c r="H275" s="75">
        <f>G275*K值!M276</f>
        <v>85.715858906321799</v>
      </c>
      <c r="I275" s="7">
        <v>0</v>
      </c>
      <c r="J275" s="7">
        <v>20</v>
      </c>
      <c r="K275" s="7">
        <v>25</v>
      </c>
      <c r="L275" s="7">
        <v>0</v>
      </c>
      <c r="M275" s="74">
        <f t="shared" si="52"/>
        <v>11.25</v>
      </c>
      <c r="N275" s="7">
        <v>35</v>
      </c>
      <c r="O275" s="7">
        <v>0</v>
      </c>
      <c r="P275" s="7">
        <v>65</v>
      </c>
      <c r="Q275" s="7">
        <v>65</v>
      </c>
      <c r="R275" s="74">
        <f t="shared" si="53"/>
        <v>41.25</v>
      </c>
      <c r="S275" s="3">
        <v>48.622302953196971</v>
      </c>
      <c r="T275" s="3">
        <f t="shared" si="47"/>
        <v>48.622302953196971</v>
      </c>
      <c r="U275" s="3">
        <v>88.662591121066441</v>
      </c>
      <c r="V275" s="3">
        <v>61.116388058603299</v>
      </c>
      <c r="W275" s="3">
        <v>89.963872138656427</v>
      </c>
      <c r="X275" s="3">
        <f t="shared" si="48"/>
        <v>79.914283772775391</v>
      </c>
      <c r="Y275" s="3">
        <v>1.0370742278767493</v>
      </c>
      <c r="Z275" s="3" t="s">
        <v>335</v>
      </c>
      <c r="AA275" s="3">
        <v>2.9991105152156314</v>
      </c>
      <c r="AB275" s="3">
        <v>37.806943432800054</v>
      </c>
      <c r="AC275" s="3">
        <f t="shared" si="49"/>
        <v>13.947709391964144</v>
      </c>
      <c r="AD275" s="3">
        <v>0.26003724759303254</v>
      </c>
      <c r="AE275" s="87">
        <v>0</v>
      </c>
      <c r="AF275" s="3">
        <v>1.2658227848101267</v>
      </c>
      <c r="AG275" s="3">
        <v>3.9297703296730706</v>
      </c>
      <c r="AH275" s="3">
        <v>10.846443725819793</v>
      </c>
      <c r="AI275" s="3">
        <f t="shared" si="50"/>
        <v>3.2604148175792047</v>
      </c>
      <c r="AJ275" s="65">
        <f t="shared" si="54"/>
        <v>36.436177733878928</v>
      </c>
      <c r="AK275" s="75">
        <f>AJ275*K值!M276</f>
        <v>38.438871011973291</v>
      </c>
      <c r="AL275" s="3">
        <v>50</v>
      </c>
      <c r="AM275" s="3">
        <v>0</v>
      </c>
      <c r="AN275" s="65">
        <f t="shared" si="55"/>
        <v>25</v>
      </c>
      <c r="AP275" s="76">
        <f t="shared" si="56"/>
        <v>41.393720186053677</v>
      </c>
    </row>
    <row r="276" spans="1:42" x14ac:dyDescent="0.25">
      <c r="A276" s="92" t="s">
        <v>280</v>
      </c>
      <c r="B276" s="3">
        <v>4</v>
      </c>
      <c r="C276" s="7">
        <v>65</v>
      </c>
      <c r="D276" s="7">
        <v>100</v>
      </c>
      <c r="E276" s="7">
        <v>60</v>
      </c>
      <c r="F276" s="7">
        <v>60</v>
      </c>
      <c r="G276" s="74">
        <f t="shared" si="51"/>
        <v>71.25</v>
      </c>
      <c r="H276" s="75">
        <f>G276*K值!M277</f>
        <v>75.166214733236032</v>
      </c>
      <c r="I276" s="7">
        <v>0</v>
      </c>
      <c r="J276" s="7">
        <v>40</v>
      </c>
      <c r="K276" s="7">
        <v>50</v>
      </c>
      <c r="L276" s="7">
        <v>25</v>
      </c>
      <c r="M276" s="74">
        <f t="shared" si="52"/>
        <v>28.75</v>
      </c>
      <c r="N276" s="7">
        <v>35</v>
      </c>
      <c r="O276" s="7">
        <v>0</v>
      </c>
      <c r="P276" s="7">
        <v>35</v>
      </c>
      <c r="Q276" s="7">
        <v>35</v>
      </c>
      <c r="R276" s="74">
        <f t="shared" si="53"/>
        <v>26.25</v>
      </c>
      <c r="S276" s="3">
        <v>70.986592853761735</v>
      </c>
      <c r="T276" s="3">
        <f t="shared" si="47"/>
        <v>70.986592853761735</v>
      </c>
      <c r="U276" s="3">
        <v>66.768376099863701</v>
      </c>
      <c r="V276" s="3">
        <v>77.340430695232556</v>
      </c>
      <c r="W276" s="3">
        <v>98.919722348258148</v>
      </c>
      <c r="X276" s="3">
        <f t="shared" si="48"/>
        <v>81.009509714451468</v>
      </c>
      <c r="Y276" s="3">
        <v>3.2240014412716915</v>
      </c>
      <c r="Z276" s="3">
        <v>2.0128158440720845</v>
      </c>
      <c r="AA276" s="3">
        <v>3.2990215667371947</v>
      </c>
      <c r="AB276" s="3">
        <v>27.90606193988603</v>
      </c>
      <c r="AC276" s="3">
        <f t="shared" si="49"/>
        <v>9.1104751979917502</v>
      </c>
      <c r="AD276" s="3">
        <v>0.6413418654578158</v>
      </c>
      <c r="AE276" s="87">
        <v>0</v>
      </c>
      <c r="AF276" s="3">
        <v>10.126582278481013</v>
      </c>
      <c r="AG276" s="3">
        <v>11.789310989019212</v>
      </c>
      <c r="AH276" s="3">
        <v>4.3385774903279177</v>
      </c>
      <c r="AI276" s="3">
        <f t="shared" si="50"/>
        <v>5.3791625246571915</v>
      </c>
      <c r="AJ276" s="65">
        <f t="shared" si="54"/>
        <v>41.621435072715535</v>
      </c>
      <c r="AK276" s="75">
        <f>AJ276*K值!M277</f>
        <v>43.909132999034071</v>
      </c>
      <c r="AL276" s="3">
        <v>50</v>
      </c>
      <c r="AM276" s="3">
        <v>0</v>
      </c>
      <c r="AN276" s="65">
        <f t="shared" si="55"/>
        <v>25</v>
      </c>
      <c r="AP276" s="76">
        <f t="shared" si="56"/>
        <v>43.471896146260832</v>
      </c>
    </row>
    <row r="277" spans="1:42" x14ac:dyDescent="0.25">
      <c r="A277" s="92" t="s">
        <v>281</v>
      </c>
      <c r="B277" s="3">
        <v>4</v>
      </c>
      <c r="C277" s="7">
        <v>65</v>
      </c>
      <c r="D277" s="7">
        <v>100</v>
      </c>
      <c r="E277" s="7">
        <v>75</v>
      </c>
      <c r="F277" s="7">
        <v>75</v>
      </c>
      <c r="G277" s="74">
        <f t="shared" si="51"/>
        <v>78.75</v>
      </c>
      <c r="H277" s="75">
        <f>G277*K值!M278</f>
        <v>83.078447863050357</v>
      </c>
      <c r="I277" s="7">
        <v>0</v>
      </c>
      <c r="J277" s="7">
        <v>40</v>
      </c>
      <c r="K277" s="7">
        <v>0</v>
      </c>
      <c r="L277" s="7">
        <v>0</v>
      </c>
      <c r="M277" s="74">
        <f t="shared" si="52"/>
        <v>10</v>
      </c>
      <c r="N277" s="7">
        <v>0</v>
      </c>
      <c r="O277" s="7">
        <v>0</v>
      </c>
      <c r="P277" s="7">
        <v>65</v>
      </c>
      <c r="Q277" s="7">
        <v>0</v>
      </c>
      <c r="R277" s="74">
        <f t="shared" si="53"/>
        <v>16.25</v>
      </c>
      <c r="S277" s="3">
        <v>49.778268006759376</v>
      </c>
      <c r="T277" s="3">
        <f t="shared" si="47"/>
        <v>49.778268006759376</v>
      </c>
      <c r="U277" s="3">
        <v>15.069838138470049</v>
      </c>
      <c r="V277" s="3">
        <v>26.019103173150388</v>
      </c>
      <c r="W277" s="3">
        <v>99.756066336703469</v>
      </c>
      <c r="X277" s="3">
        <f t="shared" si="48"/>
        <v>46.948335882774636</v>
      </c>
      <c r="Y277" s="3">
        <v>0.8948749247636254</v>
      </c>
      <c r="Z277" s="3">
        <v>0.12185695920868835</v>
      </c>
      <c r="AA277" s="3">
        <v>5.6233322160293095</v>
      </c>
      <c r="AB277" s="3">
        <v>56.979660449847749</v>
      </c>
      <c r="AC277" s="3">
        <f t="shared" si="49"/>
        <v>15.904931137462343</v>
      </c>
      <c r="AD277" s="3">
        <v>1.4949016288911954</v>
      </c>
      <c r="AE277" s="87">
        <v>0</v>
      </c>
      <c r="AF277" s="3">
        <v>24.894514767932492</v>
      </c>
      <c r="AG277" s="3">
        <v>3.9297703296730706</v>
      </c>
      <c r="AH277" s="3">
        <v>8.6771549806558355</v>
      </c>
      <c r="AI277" s="3">
        <f t="shared" si="50"/>
        <v>7.7992683414305191</v>
      </c>
      <c r="AJ277" s="65">
        <f t="shared" si="54"/>
        <v>30.107700842106716</v>
      </c>
      <c r="AK277" s="75">
        <f>AJ277*K值!M278</f>
        <v>31.762553075394031</v>
      </c>
      <c r="AL277" s="3">
        <v>0</v>
      </c>
      <c r="AM277" s="3">
        <v>0</v>
      </c>
      <c r="AN277" s="65">
        <f t="shared" si="55"/>
        <v>0</v>
      </c>
      <c r="AP277" s="76">
        <f t="shared" si="56"/>
        <v>32.945710802767685</v>
      </c>
    </row>
    <row r="278" spans="1:42" x14ac:dyDescent="0.25">
      <c r="A278" s="92" t="s">
        <v>282</v>
      </c>
      <c r="B278" s="3">
        <v>3</v>
      </c>
      <c r="C278" s="7">
        <v>65</v>
      </c>
      <c r="D278" s="7">
        <v>100</v>
      </c>
      <c r="E278" s="7">
        <v>100</v>
      </c>
      <c r="F278" s="7">
        <v>75</v>
      </c>
      <c r="G278" s="74">
        <f t="shared" si="51"/>
        <v>85</v>
      </c>
      <c r="H278" s="75">
        <f>G278*K值!M279</f>
        <v>89.671975471228947</v>
      </c>
      <c r="I278" s="7">
        <v>50</v>
      </c>
      <c r="J278" s="7">
        <v>60</v>
      </c>
      <c r="K278" s="7">
        <v>25</v>
      </c>
      <c r="L278" s="7">
        <v>25</v>
      </c>
      <c r="M278" s="74">
        <f t="shared" si="52"/>
        <v>40</v>
      </c>
      <c r="N278" s="7">
        <v>0</v>
      </c>
      <c r="O278" s="7">
        <v>35</v>
      </c>
      <c r="P278" s="7">
        <v>35</v>
      </c>
      <c r="Q278" s="7">
        <v>35</v>
      </c>
      <c r="R278" s="74">
        <f t="shared" si="53"/>
        <v>26.25</v>
      </c>
      <c r="S278" s="3">
        <v>25.536772376208578</v>
      </c>
      <c r="T278" s="3">
        <f t="shared" si="47"/>
        <v>25.536772376208578</v>
      </c>
      <c r="U278" s="3">
        <v>0</v>
      </c>
      <c r="V278" s="3">
        <v>0</v>
      </c>
      <c r="W278" s="3">
        <v>100</v>
      </c>
      <c r="X278" s="3">
        <f t="shared" si="48"/>
        <v>33.333333333333336</v>
      </c>
      <c r="Y278" s="3">
        <v>4.0416474341721544</v>
      </c>
      <c r="Z278" s="3">
        <v>1.05656511685319</v>
      </c>
      <c r="AA278" s="3">
        <v>14.545685998795813</v>
      </c>
      <c r="AB278" s="3">
        <v>72.91906609086864</v>
      </c>
      <c r="AC278" s="3">
        <f t="shared" si="49"/>
        <v>23.14074116017245</v>
      </c>
      <c r="AD278" s="3">
        <v>12.579301852312948</v>
      </c>
      <c r="AE278" s="87">
        <v>0</v>
      </c>
      <c r="AF278" s="3">
        <v>16.455696202531644</v>
      </c>
      <c r="AG278" s="3">
        <v>7.8595406593461412</v>
      </c>
      <c r="AH278" s="3">
        <v>6.5078662354918757</v>
      </c>
      <c r="AI278" s="3">
        <f t="shared" si="50"/>
        <v>8.6804809899365214</v>
      </c>
      <c r="AJ278" s="65">
        <f t="shared" si="54"/>
        <v>22.672831964912724</v>
      </c>
      <c r="AK278" s="75">
        <f>AJ278*K值!M279</f>
        <v>23.919030962599408</v>
      </c>
      <c r="AL278" s="3">
        <v>50</v>
      </c>
      <c r="AM278" s="3">
        <v>50</v>
      </c>
      <c r="AN278" s="65">
        <f t="shared" si="55"/>
        <v>50</v>
      </c>
      <c r="AP278" s="76">
        <f t="shared" si="56"/>
        <v>43.127007479285552</v>
      </c>
    </row>
    <row r="279" spans="1:42" x14ac:dyDescent="0.25">
      <c r="A279" s="92" t="s">
        <v>283</v>
      </c>
      <c r="B279" s="3">
        <v>4</v>
      </c>
      <c r="C279" s="7">
        <v>65</v>
      </c>
      <c r="D279" s="7">
        <v>100</v>
      </c>
      <c r="E279" s="7">
        <v>75</v>
      </c>
      <c r="F279" s="7">
        <v>100</v>
      </c>
      <c r="G279" s="74">
        <f t="shared" si="51"/>
        <v>85</v>
      </c>
      <c r="H279" s="75">
        <f>G279*K值!M280</f>
        <v>89.671975471228947</v>
      </c>
      <c r="I279" s="7">
        <v>50</v>
      </c>
      <c r="J279" s="7">
        <v>60</v>
      </c>
      <c r="K279" s="7">
        <v>25</v>
      </c>
      <c r="L279" s="7">
        <v>0</v>
      </c>
      <c r="M279" s="74">
        <f t="shared" si="52"/>
        <v>33.75</v>
      </c>
      <c r="N279" s="7">
        <v>65</v>
      </c>
      <c r="O279" s="7">
        <v>65</v>
      </c>
      <c r="P279" s="7">
        <v>65</v>
      </c>
      <c r="Q279" s="7">
        <v>35</v>
      </c>
      <c r="R279" s="74">
        <f t="shared" si="53"/>
        <v>57.5</v>
      </c>
      <c r="S279" s="3">
        <v>79.231717537427372</v>
      </c>
      <c r="T279" s="3">
        <f t="shared" si="47"/>
        <v>79.231717537427372</v>
      </c>
      <c r="U279" s="3">
        <v>61.181381727690528</v>
      </c>
      <c r="V279" s="3">
        <v>97.919364109680245</v>
      </c>
      <c r="W279" s="3">
        <v>91.49716945080614</v>
      </c>
      <c r="X279" s="3">
        <f t="shared" si="48"/>
        <v>83.532638429392307</v>
      </c>
      <c r="Y279" s="3">
        <v>4.424114525304006</v>
      </c>
      <c r="Z279" s="3">
        <v>0.33811679485196472</v>
      </c>
      <c r="AA279" s="3">
        <v>0.29991105152156317</v>
      </c>
      <c r="AB279" s="3">
        <v>46.711765130861863</v>
      </c>
      <c r="AC279" s="3">
        <f t="shared" si="49"/>
        <v>12.943476875634849</v>
      </c>
      <c r="AD279" s="3">
        <v>0.12814335518406653</v>
      </c>
      <c r="AE279" s="87">
        <v>0</v>
      </c>
      <c r="AF279" s="3">
        <v>3.79746835443038</v>
      </c>
      <c r="AG279" s="3">
        <v>0</v>
      </c>
      <c r="AH279" s="3">
        <v>2.1692887451639589</v>
      </c>
      <c r="AI279" s="3">
        <f t="shared" si="50"/>
        <v>1.2189800909556812</v>
      </c>
      <c r="AJ279" s="65">
        <f t="shared" si="54"/>
        <v>44.231703233352547</v>
      </c>
      <c r="AK279" s="75">
        <f>AJ279*K值!M280</f>
        <v>46.662873028139622</v>
      </c>
      <c r="AL279" s="3">
        <v>0</v>
      </c>
      <c r="AM279" s="3">
        <v>0</v>
      </c>
      <c r="AN279" s="65">
        <f t="shared" si="55"/>
        <v>0</v>
      </c>
      <c r="AP279" s="76">
        <f t="shared" si="56"/>
        <v>49.099544305501638</v>
      </c>
    </row>
    <row r="280" spans="1:42" x14ac:dyDescent="0.25">
      <c r="A280" s="92" t="s">
        <v>284</v>
      </c>
      <c r="B280" s="3">
        <v>4</v>
      </c>
      <c r="C280" s="7">
        <v>65</v>
      </c>
      <c r="D280" s="7">
        <v>100</v>
      </c>
      <c r="E280" s="7">
        <v>100</v>
      </c>
      <c r="F280" s="7">
        <v>60</v>
      </c>
      <c r="G280" s="74">
        <f t="shared" si="51"/>
        <v>81.25</v>
      </c>
      <c r="H280" s="75">
        <f>G280*K值!M281</f>
        <v>85.715858906321799</v>
      </c>
      <c r="I280" s="7">
        <v>0</v>
      </c>
      <c r="J280" s="7">
        <v>60</v>
      </c>
      <c r="K280" s="7">
        <v>25</v>
      </c>
      <c r="L280" s="7">
        <v>0</v>
      </c>
      <c r="M280" s="74">
        <f t="shared" si="52"/>
        <v>21.25</v>
      </c>
      <c r="N280" s="7">
        <v>65</v>
      </c>
      <c r="O280" s="7">
        <v>35</v>
      </c>
      <c r="P280" s="7">
        <v>100</v>
      </c>
      <c r="Q280" s="7">
        <v>65</v>
      </c>
      <c r="R280" s="74">
        <f t="shared" si="53"/>
        <v>66.25</v>
      </c>
      <c r="S280" s="3">
        <v>63.307662932723893</v>
      </c>
      <c r="T280" s="3">
        <f t="shared" si="47"/>
        <v>63.307662932723893</v>
      </c>
      <c r="U280" s="3">
        <v>37.027834600169008</v>
      </c>
      <c r="V280" s="3">
        <v>92.765410803821709</v>
      </c>
      <c r="W280" s="3">
        <v>86.060933525911693</v>
      </c>
      <c r="X280" s="3">
        <f t="shared" si="48"/>
        <v>71.951392976634125</v>
      </c>
      <c r="Y280" s="3">
        <v>3.1712896306349303</v>
      </c>
      <c r="Z280" s="3">
        <v>0.25735029242406326</v>
      </c>
      <c r="AA280" s="3">
        <v>1.049688680325471</v>
      </c>
      <c r="AB280" s="3">
        <v>29.531271852894946</v>
      </c>
      <c r="AC280" s="3">
        <f t="shared" si="49"/>
        <v>8.502400114069852</v>
      </c>
      <c r="AD280" s="3">
        <v>0.29754261984202762</v>
      </c>
      <c r="AE280" s="87">
        <v>0</v>
      </c>
      <c r="AF280" s="3">
        <v>13.502109704641349</v>
      </c>
      <c r="AG280" s="3">
        <v>3.9297703296730706</v>
      </c>
      <c r="AH280" s="3">
        <v>2.1692887451639589</v>
      </c>
      <c r="AI280" s="3">
        <f t="shared" si="50"/>
        <v>3.9797422798640811</v>
      </c>
      <c r="AJ280" s="65">
        <f t="shared" si="54"/>
        <v>36.935299575822981</v>
      </c>
      <c r="AK280" s="75">
        <f>AJ280*K值!M281</f>
        <v>38.965426795125779</v>
      </c>
      <c r="AL280" s="3">
        <v>0</v>
      </c>
      <c r="AM280" s="3">
        <v>0</v>
      </c>
      <c r="AN280" s="65">
        <f t="shared" si="55"/>
        <v>0</v>
      </c>
      <c r="AP280" s="76">
        <f t="shared" si="56"/>
        <v>43.604342499314669</v>
      </c>
    </row>
    <row r="281" spans="1:42" x14ac:dyDescent="0.25">
      <c r="A281" s="92" t="s">
        <v>285</v>
      </c>
      <c r="B281" s="3">
        <v>4</v>
      </c>
      <c r="C281" s="7">
        <v>65</v>
      </c>
      <c r="D281" s="7">
        <v>80</v>
      </c>
      <c r="E281" s="7">
        <v>75</v>
      </c>
      <c r="F281" s="7">
        <v>75</v>
      </c>
      <c r="G281" s="74">
        <f t="shared" si="51"/>
        <v>73.75</v>
      </c>
      <c r="H281" s="75">
        <f>G281*K值!M282</f>
        <v>77.803625776507474</v>
      </c>
      <c r="I281" s="7">
        <v>0</v>
      </c>
      <c r="J281" s="7">
        <v>40</v>
      </c>
      <c r="K281" s="7">
        <v>50</v>
      </c>
      <c r="L281" s="7">
        <v>0</v>
      </c>
      <c r="M281" s="74">
        <f t="shared" si="52"/>
        <v>22.5</v>
      </c>
      <c r="N281" s="7">
        <v>0</v>
      </c>
      <c r="O281" s="7">
        <v>35</v>
      </c>
      <c r="P281" s="7">
        <v>35</v>
      </c>
      <c r="Q281" s="7">
        <v>0</v>
      </c>
      <c r="R281" s="74">
        <f t="shared" si="53"/>
        <v>17.5</v>
      </c>
      <c r="S281" s="3">
        <v>85.755405373955256</v>
      </c>
      <c r="T281" s="3">
        <f t="shared" si="47"/>
        <v>85.755405373955256</v>
      </c>
      <c r="U281" s="3">
        <v>81.420089542827768</v>
      </c>
      <c r="V281" s="3">
        <v>51.263332424385965</v>
      </c>
      <c r="W281" s="3">
        <v>100</v>
      </c>
      <c r="X281" s="3">
        <f t="shared" si="48"/>
        <v>77.561140655737915</v>
      </c>
      <c r="Y281" s="3" t="s">
        <v>335</v>
      </c>
      <c r="Z281" s="3" t="s">
        <v>335</v>
      </c>
      <c r="AA281" s="3">
        <v>2.3243106492921144</v>
      </c>
      <c r="AB281" s="3">
        <v>24.781037289524136</v>
      </c>
      <c r="AC281" s="3">
        <f t="shared" si="49"/>
        <v>13.552673969408126</v>
      </c>
      <c r="AD281" s="3">
        <v>0.94138484344977647</v>
      </c>
      <c r="AE281" s="87">
        <v>59.460371358772854</v>
      </c>
      <c r="AF281" s="3">
        <v>3.3755274261603372</v>
      </c>
      <c r="AG281" s="3">
        <v>15.719081318692282</v>
      </c>
      <c r="AH281" s="3">
        <v>10.846443725819793</v>
      </c>
      <c r="AI281" s="3">
        <f t="shared" si="50"/>
        <v>18.06856173457901</v>
      </c>
      <c r="AJ281" s="65">
        <f t="shared" si="54"/>
        <v>48.734445433420078</v>
      </c>
      <c r="AK281" s="75">
        <f>AJ281*K值!M282</f>
        <v>51.413105829524604</v>
      </c>
      <c r="AL281" s="3">
        <v>0</v>
      </c>
      <c r="AM281" s="3">
        <v>0</v>
      </c>
      <c r="AN281" s="65">
        <f t="shared" si="55"/>
        <v>0</v>
      </c>
      <c r="AP281" s="76">
        <f t="shared" si="56"/>
        <v>42.375967487111339</v>
      </c>
    </row>
    <row r="282" spans="1:42" x14ac:dyDescent="0.25">
      <c r="A282" s="92" t="s">
        <v>324</v>
      </c>
      <c r="B282" s="3">
        <v>3</v>
      </c>
      <c r="C282" s="7">
        <v>65</v>
      </c>
      <c r="D282" s="7">
        <v>100</v>
      </c>
      <c r="E282" s="7">
        <v>75</v>
      </c>
      <c r="F282" s="7">
        <v>60</v>
      </c>
      <c r="G282" s="74">
        <f t="shared" si="51"/>
        <v>75</v>
      </c>
      <c r="H282" s="75">
        <f>G282*K值!M283</f>
        <v>79.122331298143195</v>
      </c>
      <c r="I282" s="7">
        <v>0</v>
      </c>
      <c r="J282" s="7">
        <v>20</v>
      </c>
      <c r="K282" s="7">
        <v>25</v>
      </c>
      <c r="L282" s="7">
        <v>0</v>
      </c>
      <c r="M282" s="74">
        <f t="shared" si="52"/>
        <v>11.25</v>
      </c>
      <c r="N282" s="7">
        <v>35</v>
      </c>
      <c r="O282" s="7">
        <v>65</v>
      </c>
      <c r="P282" s="7">
        <v>35</v>
      </c>
      <c r="Q282" s="7">
        <v>35</v>
      </c>
      <c r="R282" s="74">
        <f t="shared" si="53"/>
        <v>42.5</v>
      </c>
      <c r="S282" s="3">
        <v>71.81980266572748</v>
      </c>
      <c r="T282" s="3">
        <f t="shared" si="47"/>
        <v>71.81980266572748</v>
      </c>
      <c r="U282" s="3">
        <v>58.020272638840709</v>
      </c>
      <c r="V282" s="3">
        <v>88.997523652371143</v>
      </c>
      <c r="W282" s="3">
        <v>0.30082704408333616</v>
      </c>
      <c r="X282" s="3">
        <f t="shared" si="48"/>
        <v>49.106207778431731</v>
      </c>
      <c r="Y282" s="3">
        <v>7.4225584512928116</v>
      </c>
      <c r="Z282" s="3">
        <v>0.1138782297366909</v>
      </c>
      <c r="AA282" s="3">
        <v>0.14995552576078158</v>
      </c>
      <c r="AB282" s="3">
        <v>17.455205685814917</v>
      </c>
      <c r="AC282" s="3">
        <f t="shared" si="49"/>
        <v>6.2853994731513003</v>
      </c>
      <c r="AD282" s="3">
        <v>4.094336470515296E-2</v>
      </c>
      <c r="AE282" s="87">
        <v>0</v>
      </c>
      <c r="AF282" s="3">
        <v>26.160337552742618</v>
      </c>
      <c r="AG282" s="3">
        <v>11.789310989019212</v>
      </c>
      <c r="AH282" s="3">
        <v>8.6771549806558355</v>
      </c>
      <c r="AI282" s="3">
        <f t="shared" si="50"/>
        <v>9.3335493774245641</v>
      </c>
      <c r="AJ282" s="65">
        <f t="shared" si="54"/>
        <v>34.136239823683766</v>
      </c>
      <c r="AK282" s="75">
        <f>AJ282*K值!M283</f>
        <v>36.012518354698351</v>
      </c>
      <c r="AL282" s="3">
        <v>50</v>
      </c>
      <c r="AM282" s="3">
        <v>0</v>
      </c>
      <c r="AN282" s="65">
        <f t="shared" si="55"/>
        <v>25</v>
      </c>
      <c r="AP282" s="76">
        <f t="shared" si="56"/>
        <v>39.229473601507976</v>
      </c>
    </row>
    <row r="283" spans="1:42" x14ac:dyDescent="0.25">
      <c r="A283" s="92" t="s">
        <v>286</v>
      </c>
      <c r="B283" s="3">
        <v>4</v>
      </c>
      <c r="C283" s="7">
        <v>100</v>
      </c>
      <c r="D283" s="7">
        <v>80</v>
      </c>
      <c r="E283" s="7">
        <v>75</v>
      </c>
      <c r="F283" s="7">
        <v>75</v>
      </c>
      <c r="G283" s="74">
        <f t="shared" si="51"/>
        <v>82.5</v>
      </c>
      <c r="H283" s="75">
        <f>G283*K值!M284</f>
        <v>87.03456442795752</v>
      </c>
      <c r="I283" s="7">
        <v>0</v>
      </c>
      <c r="J283" s="7">
        <v>40</v>
      </c>
      <c r="K283" s="7">
        <v>25</v>
      </c>
      <c r="L283" s="7">
        <v>50</v>
      </c>
      <c r="M283" s="74">
        <f t="shared" si="52"/>
        <v>28.75</v>
      </c>
      <c r="N283" s="7">
        <v>65</v>
      </c>
      <c r="O283" s="7">
        <v>35</v>
      </c>
      <c r="P283" s="7">
        <v>65</v>
      </c>
      <c r="Q283" s="7">
        <v>35</v>
      </c>
      <c r="R283" s="74">
        <f t="shared" si="53"/>
        <v>50</v>
      </c>
      <c r="S283" s="3">
        <v>64.403404468751972</v>
      </c>
      <c r="T283" s="3">
        <f t="shared" si="47"/>
        <v>64.403404468751972</v>
      </c>
      <c r="U283" s="3">
        <v>41.859297757965408</v>
      </c>
      <c r="V283" s="3">
        <v>92.793070660561554</v>
      </c>
      <c r="W283" s="3">
        <v>78.115665635681339</v>
      </c>
      <c r="X283" s="3">
        <f t="shared" si="48"/>
        <v>70.922678018069448</v>
      </c>
      <c r="Y283" s="3">
        <v>3.7977020779694679</v>
      </c>
      <c r="Z283" s="3">
        <v>3.3184261213080308</v>
      </c>
      <c r="AA283" s="3">
        <v>0</v>
      </c>
      <c r="AB283" s="3">
        <v>15.620892334954602</v>
      </c>
      <c r="AC283" s="3">
        <f t="shared" si="49"/>
        <v>5.6842551335580254</v>
      </c>
      <c r="AD283" s="3">
        <v>1.6252327974564534E-2</v>
      </c>
      <c r="AE283" s="87">
        <v>0</v>
      </c>
      <c r="AF283" s="3">
        <v>43.881856540084392</v>
      </c>
      <c r="AG283" s="3">
        <v>0</v>
      </c>
      <c r="AH283" s="3">
        <v>32.539331177459381</v>
      </c>
      <c r="AI283" s="3">
        <f t="shared" si="50"/>
        <v>15.287488009103669</v>
      </c>
      <c r="AJ283" s="65">
        <f t="shared" si="54"/>
        <v>39.074456407370775</v>
      </c>
      <c r="AK283" s="75">
        <f>AJ283*K值!M284</f>
        <v>41.222161135451259</v>
      </c>
      <c r="AL283" s="3">
        <v>0</v>
      </c>
      <c r="AM283" s="3">
        <v>0</v>
      </c>
      <c r="AN283" s="65">
        <f t="shared" si="55"/>
        <v>0</v>
      </c>
      <c r="AP283" s="76">
        <f t="shared" si="56"/>
        <v>44.64577733977201</v>
      </c>
    </row>
    <row r="284" spans="1:42" x14ac:dyDescent="0.25">
      <c r="A284" s="92" t="s">
        <v>287</v>
      </c>
      <c r="B284" s="3">
        <v>3</v>
      </c>
      <c r="C284" s="7">
        <v>65</v>
      </c>
      <c r="D284" s="7">
        <v>20</v>
      </c>
      <c r="E284" s="7">
        <v>75</v>
      </c>
      <c r="F284" s="7">
        <v>30</v>
      </c>
      <c r="G284" s="74">
        <f t="shared" si="51"/>
        <v>47.5</v>
      </c>
      <c r="H284" s="75">
        <f>G284*K值!M285</f>
        <v>50.110809822157357</v>
      </c>
      <c r="I284" s="7">
        <v>0</v>
      </c>
      <c r="J284" s="7">
        <v>40</v>
      </c>
      <c r="K284" s="7">
        <v>25</v>
      </c>
      <c r="L284" s="36">
        <v>75</v>
      </c>
      <c r="M284" s="74">
        <f t="shared" si="52"/>
        <v>35</v>
      </c>
      <c r="N284" s="36">
        <v>100</v>
      </c>
      <c r="O284" s="36">
        <v>100</v>
      </c>
      <c r="P284" s="36">
        <v>100</v>
      </c>
      <c r="Q284" s="7">
        <v>35</v>
      </c>
      <c r="R284" s="74">
        <f t="shared" si="53"/>
        <v>83.75</v>
      </c>
      <c r="S284" s="3">
        <v>50.601932601418852</v>
      </c>
      <c r="T284" s="3">
        <f t="shared" si="47"/>
        <v>50.601932601418852</v>
      </c>
      <c r="U284" s="3">
        <v>82.93601951145159</v>
      </c>
      <c r="V284" s="3">
        <v>57.797205249821424</v>
      </c>
      <c r="W284" s="3">
        <v>0</v>
      </c>
      <c r="X284" s="3">
        <f t="shared" si="48"/>
        <v>46.91107492042434</v>
      </c>
      <c r="Y284" s="3">
        <v>8.1225222623065498</v>
      </c>
      <c r="Z284" s="3">
        <v>0.33459890049385682</v>
      </c>
      <c r="AA284" s="3">
        <v>1.424577494727425</v>
      </c>
      <c r="AB284" s="3">
        <v>75.140483994651206</v>
      </c>
      <c r="AC284" s="3">
        <f t="shared" si="49"/>
        <v>21.25554566304476</v>
      </c>
      <c r="AD284" s="3">
        <v>0.47475550371852937</v>
      </c>
      <c r="AE284" s="87">
        <v>0</v>
      </c>
      <c r="AF284" s="3">
        <v>72.573839662447256</v>
      </c>
      <c r="AG284" s="3">
        <v>3.9297703296730706</v>
      </c>
      <c r="AH284" s="3">
        <v>2.1692887451639589</v>
      </c>
      <c r="AI284" s="3">
        <f t="shared" si="50"/>
        <v>15.829530848200562</v>
      </c>
      <c r="AJ284" s="65">
        <f t="shared" si="54"/>
        <v>33.649521008272131</v>
      </c>
      <c r="AK284" s="75">
        <f>AJ284*K值!M285</f>
        <v>35.499047323204493</v>
      </c>
      <c r="AL284" s="3">
        <v>50</v>
      </c>
      <c r="AM284" s="3">
        <v>0</v>
      </c>
      <c r="AN284" s="65">
        <f t="shared" si="55"/>
        <v>25</v>
      </c>
      <c r="AP284" s="76">
        <f t="shared" si="56"/>
        <v>42.096780893713273</v>
      </c>
    </row>
    <row r="285" spans="1:42" x14ac:dyDescent="0.25">
      <c r="A285" s="92" t="s">
        <v>325</v>
      </c>
      <c r="B285" s="3">
        <v>4</v>
      </c>
      <c r="C285" s="7">
        <v>35</v>
      </c>
      <c r="D285" s="7">
        <v>80</v>
      </c>
      <c r="E285" s="7">
        <v>30</v>
      </c>
      <c r="F285" s="7">
        <v>15</v>
      </c>
      <c r="G285" s="74">
        <f t="shared" si="51"/>
        <v>40</v>
      </c>
      <c r="H285" s="75">
        <f>G285*K值!M286</f>
        <v>42.198576692343039</v>
      </c>
      <c r="I285" s="7">
        <v>50</v>
      </c>
      <c r="J285" s="7">
        <v>60</v>
      </c>
      <c r="K285" s="7">
        <v>0</v>
      </c>
      <c r="L285" s="7">
        <v>0</v>
      </c>
      <c r="M285" s="74">
        <f t="shared" si="52"/>
        <v>27.5</v>
      </c>
      <c r="N285" s="7">
        <v>35</v>
      </c>
      <c r="O285" s="7">
        <v>35</v>
      </c>
      <c r="P285" s="7">
        <v>35</v>
      </c>
      <c r="Q285" s="7">
        <v>35</v>
      </c>
      <c r="R285" s="74">
        <f t="shared" si="53"/>
        <v>35</v>
      </c>
      <c r="S285" s="3" t="s">
        <v>335</v>
      </c>
      <c r="T285" s="3" t="s">
        <v>372</v>
      </c>
      <c r="U285" s="3" t="s">
        <v>335</v>
      </c>
      <c r="V285" s="3">
        <v>2.6157910538225568</v>
      </c>
      <c r="W285" s="3">
        <v>0</v>
      </c>
      <c r="X285" s="3">
        <f t="shared" si="48"/>
        <v>1.3078955269112784</v>
      </c>
      <c r="Y285" s="3">
        <v>8.5809924292402431E-3</v>
      </c>
      <c r="Z285" s="3">
        <v>0.14533618402764811</v>
      </c>
      <c r="AA285" s="3">
        <v>0.29991105152156317</v>
      </c>
      <c r="AB285" s="3">
        <v>80.058512253243819</v>
      </c>
      <c r="AC285" s="3">
        <f t="shared" si="49"/>
        <v>20.128085120305567</v>
      </c>
      <c r="AD285" s="3">
        <v>3.8130461786478324E-2</v>
      </c>
      <c r="AE285" s="87">
        <v>100</v>
      </c>
      <c r="AF285" s="3">
        <v>34.599156118143462</v>
      </c>
      <c r="AG285" s="3">
        <v>7.8595406593461412</v>
      </c>
      <c r="AH285" s="3">
        <v>100</v>
      </c>
      <c r="AI285" s="3">
        <f t="shared" si="50"/>
        <v>48.499365447855219</v>
      </c>
      <c r="AJ285" s="65">
        <f t="shared" si="54"/>
        <v>23.311782031690687</v>
      </c>
      <c r="AK285" s="75">
        <f>AJ285*K值!M286</f>
        <v>24.593100547487097</v>
      </c>
      <c r="AL285" s="3">
        <v>75</v>
      </c>
      <c r="AM285" s="3">
        <v>0</v>
      </c>
      <c r="AN285" s="65">
        <f t="shared" si="55"/>
        <v>37.5</v>
      </c>
      <c r="AP285" s="76">
        <f t="shared" si="56"/>
        <v>31.026955557463449</v>
      </c>
    </row>
    <row r="286" spans="1:42" x14ac:dyDescent="0.25">
      <c r="A286" s="92" t="s">
        <v>288</v>
      </c>
      <c r="B286" s="3">
        <v>4</v>
      </c>
      <c r="C286" s="7">
        <v>35</v>
      </c>
      <c r="D286" s="7">
        <v>80</v>
      </c>
      <c r="E286" s="7">
        <v>30</v>
      </c>
      <c r="F286" s="7">
        <v>60</v>
      </c>
      <c r="G286" s="74">
        <f t="shared" si="51"/>
        <v>51.25</v>
      </c>
      <c r="H286" s="75">
        <f>G286*K值!M287</f>
        <v>54.06692638706452</v>
      </c>
      <c r="I286" s="7">
        <v>75</v>
      </c>
      <c r="J286" s="7">
        <v>40</v>
      </c>
      <c r="K286" s="7">
        <v>25</v>
      </c>
      <c r="L286" s="7">
        <v>25</v>
      </c>
      <c r="M286" s="74">
        <f t="shared" si="52"/>
        <v>41.25</v>
      </c>
      <c r="N286" s="7">
        <v>65</v>
      </c>
      <c r="O286" s="7">
        <v>0</v>
      </c>
      <c r="P286" s="7">
        <v>35</v>
      </c>
      <c r="Q286" s="7">
        <v>35</v>
      </c>
      <c r="R286" s="74">
        <f t="shared" si="53"/>
        <v>33.75</v>
      </c>
      <c r="S286" s="3">
        <v>100</v>
      </c>
      <c r="T286" s="3">
        <v>100</v>
      </c>
      <c r="U286" s="3" t="s">
        <v>335</v>
      </c>
      <c r="V286" s="3">
        <v>85.500088433488017</v>
      </c>
      <c r="W286" s="3">
        <v>0</v>
      </c>
      <c r="X286" s="3">
        <f t="shared" si="48"/>
        <v>42.750044216744008</v>
      </c>
      <c r="Y286" s="3" t="s">
        <v>335</v>
      </c>
      <c r="Z286" s="3">
        <v>2.0809977141055171E-2</v>
      </c>
      <c r="AA286" s="3">
        <v>0.67479986592351704</v>
      </c>
      <c r="AB286" s="3">
        <v>7.5109240297469153</v>
      </c>
      <c r="AC286" s="3">
        <f t="shared" si="49"/>
        <v>2.7355112909371626</v>
      </c>
      <c r="AD286" s="3">
        <v>6.2508953748325127E-4</v>
      </c>
      <c r="AE286" s="87">
        <v>44.595278519079642</v>
      </c>
      <c r="AF286" s="3">
        <v>23.206751054852319</v>
      </c>
      <c r="AG286" s="3">
        <v>43.227473626403778</v>
      </c>
      <c r="AH286" s="3">
        <v>2.1692887451639589</v>
      </c>
      <c r="AI286" s="3">
        <f t="shared" si="50"/>
        <v>22.639883407007435</v>
      </c>
      <c r="AJ286" s="65">
        <f t="shared" si="54"/>
        <v>42.03135972867215</v>
      </c>
      <c r="AK286" s="75">
        <f>AJ286*K值!M287</f>
        <v>44.341588924845759</v>
      </c>
      <c r="AL286" s="3">
        <v>25</v>
      </c>
      <c r="AM286" s="3">
        <v>0</v>
      </c>
      <c r="AN286" s="65">
        <f t="shared" si="55"/>
        <v>12.5</v>
      </c>
      <c r="AP286" s="76">
        <f t="shared" si="56"/>
        <v>41.425020847351206</v>
      </c>
    </row>
    <row r="287" spans="1:42" x14ac:dyDescent="0.25">
      <c r="A287" s="92" t="s">
        <v>289</v>
      </c>
      <c r="B287" s="3">
        <v>4</v>
      </c>
      <c r="C287" s="7">
        <v>100</v>
      </c>
      <c r="D287" s="7">
        <v>100</v>
      </c>
      <c r="E287" s="7">
        <v>100</v>
      </c>
      <c r="F287" s="7">
        <v>100</v>
      </c>
      <c r="G287" s="74">
        <f t="shared" si="51"/>
        <v>100</v>
      </c>
      <c r="H287" s="75">
        <f>G287*K值!M288</f>
        <v>105.4964417308576</v>
      </c>
      <c r="I287" s="7">
        <v>50</v>
      </c>
      <c r="J287" s="7">
        <v>60</v>
      </c>
      <c r="K287" s="7">
        <v>25</v>
      </c>
      <c r="L287" s="7">
        <v>0</v>
      </c>
      <c r="M287" s="74">
        <f t="shared" si="52"/>
        <v>33.75</v>
      </c>
      <c r="N287" s="7">
        <v>35</v>
      </c>
      <c r="O287" s="7">
        <v>35</v>
      </c>
      <c r="P287" s="7">
        <v>100</v>
      </c>
      <c r="Q287" s="7">
        <v>35</v>
      </c>
      <c r="R287" s="74">
        <f t="shared" si="53"/>
        <v>51.25</v>
      </c>
      <c r="S287" s="3">
        <v>48.305216953120755</v>
      </c>
      <c r="T287" s="3">
        <f t="shared" ref="T287:T293" si="57">AVERAGE(S287)</f>
        <v>48.305216953120755</v>
      </c>
      <c r="U287" s="3" t="s">
        <v>335</v>
      </c>
      <c r="V287" s="3">
        <v>44.686433155132974</v>
      </c>
      <c r="W287" s="3">
        <v>77.558102976717819</v>
      </c>
      <c r="X287" s="3">
        <f t="shared" si="48"/>
        <v>61.122268065925397</v>
      </c>
      <c r="Y287" s="3">
        <v>1.0174605308956288</v>
      </c>
      <c r="Z287" s="3" t="s">
        <v>335</v>
      </c>
      <c r="AA287" s="3">
        <v>3.8238659068999299</v>
      </c>
      <c r="AB287" s="3">
        <v>1.3988944184969383</v>
      </c>
      <c r="AC287" s="3">
        <f t="shared" si="49"/>
        <v>2.0800736187641657</v>
      </c>
      <c r="AD287" s="3">
        <v>0.21909388288787959</v>
      </c>
      <c r="AE287" s="87">
        <v>0</v>
      </c>
      <c r="AF287" s="3">
        <v>51.898734177215189</v>
      </c>
      <c r="AG287" s="3">
        <v>3.9297703296730706</v>
      </c>
      <c r="AH287" s="3">
        <v>4.3385774903279177</v>
      </c>
      <c r="AI287" s="3">
        <f t="shared" si="50"/>
        <v>12.077235176020812</v>
      </c>
      <c r="AJ287" s="65">
        <f t="shared" si="54"/>
        <v>30.896198453457778</v>
      </c>
      <c r="AK287" s="75">
        <f>AJ287*K值!M288</f>
        <v>32.594389998502209</v>
      </c>
      <c r="AL287" s="3">
        <v>50</v>
      </c>
      <c r="AM287" s="3">
        <v>0</v>
      </c>
      <c r="AN287" s="65">
        <f t="shared" si="55"/>
        <v>25</v>
      </c>
      <c r="AP287" s="76">
        <f t="shared" si="56"/>
        <v>48.512044345572406</v>
      </c>
    </row>
    <row r="288" spans="1:42" x14ac:dyDescent="0.25">
      <c r="A288" s="92" t="s">
        <v>290</v>
      </c>
      <c r="B288" s="3">
        <v>4</v>
      </c>
      <c r="C288" s="7">
        <v>65</v>
      </c>
      <c r="D288" s="7">
        <v>80</v>
      </c>
      <c r="E288" s="7">
        <v>75</v>
      </c>
      <c r="F288" s="7">
        <v>45</v>
      </c>
      <c r="G288" s="74">
        <f t="shared" si="51"/>
        <v>66.25</v>
      </c>
      <c r="H288" s="75">
        <f>G288*K值!M289</f>
        <v>69.891392646693149</v>
      </c>
      <c r="I288" s="7">
        <v>50</v>
      </c>
      <c r="J288" s="7">
        <v>80</v>
      </c>
      <c r="K288" s="7">
        <v>25</v>
      </c>
      <c r="L288" s="7">
        <v>50</v>
      </c>
      <c r="M288" s="74">
        <f t="shared" si="52"/>
        <v>51.25</v>
      </c>
      <c r="N288" s="7">
        <v>100</v>
      </c>
      <c r="O288" s="7">
        <v>35</v>
      </c>
      <c r="P288" s="7">
        <v>65</v>
      </c>
      <c r="Q288" s="7">
        <v>35</v>
      </c>
      <c r="R288" s="74">
        <f t="shared" si="53"/>
        <v>58.75</v>
      </c>
      <c r="S288" s="3">
        <v>23.792042279359197</v>
      </c>
      <c r="T288" s="3">
        <f t="shared" si="57"/>
        <v>23.792042279359197</v>
      </c>
      <c r="U288" s="3">
        <v>58.600990740410616</v>
      </c>
      <c r="V288" s="3">
        <v>88.954497208553605</v>
      </c>
      <c r="W288" s="3">
        <v>90.765368460916477</v>
      </c>
      <c r="X288" s="3">
        <f t="shared" si="48"/>
        <v>79.44028546996023</v>
      </c>
      <c r="Y288" s="3">
        <v>3.4262676913894974</v>
      </c>
      <c r="Z288" s="3" t="s">
        <v>335</v>
      </c>
      <c r="AA288" s="3">
        <v>2.3243106492921144</v>
      </c>
      <c r="AB288" s="3">
        <v>45.808096273670344</v>
      </c>
      <c r="AC288" s="3">
        <f t="shared" si="49"/>
        <v>17.186224871450651</v>
      </c>
      <c r="AD288" s="3">
        <v>0.4306866913259601</v>
      </c>
      <c r="AE288" s="87">
        <v>0</v>
      </c>
      <c r="AF288" s="3">
        <v>47.679324894514771</v>
      </c>
      <c r="AG288" s="3">
        <v>19.648851648365355</v>
      </c>
      <c r="AH288" s="3">
        <v>13.015732470983751</v>
      </c>
      <c r="AI288" s="3">
        <f t="shared" si="50"/>
        <v>16.154919141037968</v>
      </c>
      <c r="AJ288" s="65">
        <f t="shared" si="54"/>
        <v>34.143367940452009</v>
      </c>
      <c r="AK288" s="75">
        <f>AJ288*K值!M289</f>
        <v>36.020038264251269</v>
      </c>
      <c r="AL288" s="3">
        <v>50</v>
      </c>
      <c r="AM288" s="3">
        <v>0</v>
      </c>
      <c r="AN288" s="65">
        <f t="shared" si="55"/>
        <v>25</v>
      </c>
      <c r="AP288" s="76">
        <f t="shared" si="56"/>
        <v>47.01129383503914</v>
      </c>
    </row>
    <row r="289" spans="1:42" x14ac:dyDescent="0.25">
      <c r="A289" s="92" t="s">
        <v>291</v>
      </c>
      <c r="B289" s="3">
        <v>4</v>
      </c>
      <c r="C289" s="7">
        <v>35</v>
      </c>
      <c r="D289" s="7">
        <v>40</v>
      </c>
      <c r="E289" s="7">
        <v>60</v>
      </c>
      <c r="F289" s="7">
        <v>45</v>
      </c>
      <c r="G289" s="74">
        <f t="shared" si="51"/>
        <v>45</v>
      </c>
      <c r="H289" s="75">
        <f>G289*K值!M290</f>
        <v>47.473398778885915</v>
      </c>
      <c r="I289" s="7">
        <v>0</v>
      </c>
      <c r="J289" s="7">
        <v>40</v>
      </c>
      <c r="K289" s="7">
        <v>25</v>
      </c>
      <c r="L289" s="7">
        <v>25</v>
      </c>
      <c r="M289" s="74">
        <f t="shared" si="52"/>
        <v>22.5</v>
      </c>
      <c r="N289" s="7">
        <v>35</v>
      </c>
      <c r="O289" s="7">
        <v>35</v>
      </c>
      <c r="P289" s="7">
        <v>100</v>
      </c>
      <c r="Q289" s="7">
        <v>35</v>
      </c>
      <c r="R289" s="74">
        <f t="shared" si="53"/>
        <v>51.25</v>
      </c>
      <c r="S289" s="3">
        <v>73.606799755910743</v>
      </c>
      <c r="T289" s="3">
        <f t="shared" si="57"/>
        <v>73.606799755910743</v>
      </c>
      <c r="U289" s="3">
        <v>73.474519274105518</v>
      </c>
      <c r="V289" s="3">
        <v>84.479747051529145</v>
      </c>
      <c r="W289" s="3">
        <v>97.177339038997118</v>
      </c>
      <c r="X289" s="3">
        <f t="shared" si="48"/>
        <v>85.043868454877256</v>
      </c>
      <c r="Y289" s="3">
        <v>0.2954313107781284</v>
      </c>
      <c r="Z289" s="3">
        <v>9.7775702984114226</v>
      </c>
      <c r="AA289" s="3">
        <v>1.3495997318470341</v>
      </c>
      <c r="AB289" s="3">
        <v>31.409332206310015</v>
      </c>
      <c r="AC289" s="3">
        <f t="shared" si="49"/>
        <v>10.70798338683665</v>
      </c>
      <c r="AD289" s="3">
        <v>8.5012177097722172E-2</v>
      </c>
      <c r="AE289" s="87">
        <v>44.595278519079642</v>
      </c>
      <c r="AF289" s="3">
        <v>12.658227848101266</v>
      </c>
      <c r="AG289" s="3">
        <v>0</v>
      </c>
      <c r="AH289" s="3">
        <v>8.6771549806558355</v>
      </c>
      <c r="AI289" s="3">
        <f t="shared" si="50"/>
        <v>13.203134704986894</v>
      </c>
      <c r="AJ289" s="65">
        <f t="shared" si="54"/>
        <v>45.640446575652888</v>
      </c>
      <c r="AK289" s="75">
        <f>AJ289*K值!M290</f>
        <v>48.149047127386837</v>
      </c>
      <c r="AL289" s="3">
        <v>0</v>
      </c>
      <c r="AM289" s="3">
        <v>0</v>
      </c>
      <c r="AN289" s="65">
        <f t="shared" si="55"/>
        <v>0</v>
      </c>
      <c r="AP289" s="76">
        <f t="shared" si="56"/>
        <v>38.379298606731922</v>
      </c>
    </row>
    <row r="290" spans="1:42" x14ac:dyDescent="0.25">
      <c r="A290" s="92" t="s">
        <v>292</v>
      </c>
      <c r="B290" s="3">
        <v>4</v>
      </c>
      <c r="C290" s="7">
        <v>100</v>
      </c>
      <c r="D290" s="7">
        <v>100</v>
      </c>
      <c r="E290" s="7">
        <v>100</v>
      </c>
      <c r="F290" s="7">
        <v>75</v>
      </c>
      <c r="G290" s="74">
        <f t="shared" si="51"/>
        <v>93.75</v>
      </c>
      <c r="H290" s="75">
        <f>G290*K值!M291</f>
        <v>98.902914122678993</v>
      </c>
      <c r="I290" s="7">
        <v>50</v>
      </c>
      <c r="J290" s="7">
        <v>40</v>
      </c>
      <c r="K290" s="7">
        <v>25</v>
      </c>
      <c r="L290" s="7">
        <v>50</v>
      </c>
      <c r="M290" s="74">
        <f t="shared" si="52"/>
        <v>41.25</v>
      </c>
      <c r="N290" s="7">
        <v>35</v>
      </c>
      <c r="O290" s="7">
        <v>35</v>
      </c>
      <c r="P290" s="7">
        <v>100</v>
      </c>
      <c r="Q290" s="7">
        <v>35</v>
      </c>
      <c r="R290" s="74">
        <f t="shared" si="53"/>
        <v>51.25</v>
      </c>
      <c r="S290" s="3">
        <v>88.923320827839675</v>
      </c>
      <c r="T290" s="3">
        <f t="shared" si="57"/>
        <v>88.923320827839675</v>
      </c>
      <c r="U290" s="3">
        <v>78.688376954141972</v>
      </c>
      <c r="V290" s="3">
        <v>96.053860438448197</v>
      </c>
      <c r="W290" s="3">
        <v>100</v>
      </c>
      <c r="X290" s="3">
        <f t="shared" si="48"/>
        <v>91.580745797530042</v>
      </c>
      <c r="Y290" s="3">
        <v>4.9046501013414598</v>
      </c>
      <c r="Z290" s="3">
        <v>0.10756778006338384</v>
      </c>
      <c r="AA290" s="3">
        <v>0</v>
      </c>
      <c r="AB290" s="3">
        <v>39.028979097201088</v>
      </c>
      <c r="AC290" s="3">
        <f t="shared" si="49"/>
        <v>11.010299244651483</v>
      </c>
      <c r="AD290" s="3">
        <v>7.8136192185406406E-2</v>
      </c>
      <c r="AE290" s="87">
        <v>0</v>
      </c>
      <c r="AF290" s="3">
        <v>56.540084388185655</v>
      </c>
      <c r="AG290" s="3">
        <v>19.648851648365355</v>
      </c>
      <c r="AH290" s="3">
        <v>6.5078662354918757</v>
      </c>
      <c r="AI290" s="3">
        <f t="shared" si="50"/>
        <v>16.554987692845657</v>
      </c>
      <c r="AJ290" s="65">
        <f t="shared" si="54"/>
        <v>52.017338390716716</v>
      </c>
      <c r="AK290" s="75">
        <f>AJ290*K值!M291</f>
        <v>54.87644108530548</v>
      </c>
      <c r="AL290" s="3">
        <v>0</v>
      </c>
      <c r="AM290" s="3">
        <v>0</v>
      </c>
      <c r="AN290" s="65">
        <f t="shared" si="55"/>
        <v>0</v>
      </c>
      <c r="AP290" s="76">
        <f t="shared" si="56"/>
        <v>55.106159258657996</v>
      </c>
    </row>
    <row r="291" spans="1:42" x14ac:dyDescent="0.25">
      <c r="A291" s="92" t="s">
        <v>293</v>
      </c>
      <c r="B291" s="3">
        <v>4</v>
      </c>
      <c r="C291" s="7">
        <v>65</v>
      </c>
      <c r="D291" s="7">
        <v>100</v>
      </c>
      <c r="E291" s="7">
        <v>75</v>
      </c>
      <c r="F291" s="7">
        <v>75</v>
      </c>
      <c r="G291" s="74">
        <f t="shared" si="51"/>
        <v>78.75</v>
      </c>
      <c r="H291" s="75">
        <f>G291*K值!M292</f>
        <v>83.078447863050357</v>
      </c>
      <c r="I291" s="7">
        <v>0</v>
      </c>
      <c r="J291" s="7">
        <v>40</v>
      </c>
      <c r="K291" s="7">
        <v>0</v>
      </c>
      <c r="L291" s="7">
        <v>0</v>
      </c>
      <c r="M291" s="74">
        <f t="shared" si="52"/>
        <v>10</v>
      </c>
      <c r="N291" s="7">
        <v>0</v>
      </c>
      <c r="O291" s="7">
        <v>0</v>
      </c>
      <c r="P291" s="7">
        <v>65</v>
      </c>
      <c r="Q291" s="7">
        <v>0</v>
      </c>
      <c r="R291" s="74">
        <f t="shared" si="53"/>
        <v>16.25</v>
      </c>
      <c r="S291" s="3">
        <v>49.872225769878398</v>
      </c>
      <c r="T291" s="3">
        <f t="shared" si="57"/>
        <v>49.872225769878398</v>
      </c>
      <c r="U291" s="3">
        <v>53.778692069730674</v>
      </c>
      <c r="V291" s="3">
        <v>13.421575086856929</v>
      </c>
      <c r="W291" s="3">
        <v>97.456120368478878</v>
      </c>
      <c r="X291" s="3">
        <f t="shared" si="48"/>
        <v>54.885462508355488</v>
      </c>
      <c r="Y291" s="3">
        <v>2.4700999635598704</v>
      </c>
      <c r="Z291" s="3">
        <v>5.5923640208273048E-2</v>
      </c>
      <c r="AA291" s="3">
        <v>1.424577494727425</v>
      </c>
      <c r="AB291" s="3">
        <v>30.974159947849351</v>
      </c>
      <c r="AC291" s="3">
        <f t="shared" si="49"/>
        <v>8.7311902615862298</v>
      </c>
      <c r="AD291" s="3">
        <v>0.42662360933231902</v>
      </c>
      <c r="AE291" s="87">
        <v>14.865092839693213</v>
      </c>
      <c r="AF291" s="3">
        <v>39.24050632911392</v>
      </c>
      <c r="AG291" s="3">
        <v>31.438162637384565</v>
      </c>
      <c r="AH291" s="3">
        <v>2.1692887451639589</v>
      </c>
      <c r="AI291" s="3">
        <f t="shared" si="50"/>
        <v>17.627934832137594</v>
      </c>
      <c r="AJ291" s="65">
        <f t="shared" si="54"/>
        <v>32.779203342989426</v>
      </c>
      <c r="AK291" s="75">
        <f>AJ291*K值!M292</f>
        <v>34.580893154576167</v>
      </c>
      <c r="AL291" s="3">
        <v>25</v>
      </c>
      <c r="AM291" s="3">
        <v>50</v>
      </c>
      <c r="AN291" s="65">
        <f t="shared" si="55"/>
        <v>37.5</v>
      </c>
      <c r="AP291" s="76">
        <f t="shared" si="56"/>
        <v>37.823046834440539</v>
      </c>
    </row>
    <row r="292" spans="1:42" x14ac:dyDescent="0.25">
      <c r="A292" s="92" t="s">
        <v>294</v>
      </c>
      <c r="B292" s="3">
        <v>3</v>
      </c>
      <c r="C292" s="7">
        <v>65</v>
      </c>
      <c r="D292" s="7">
        <v>100</v>
      </c>
      <c r="E292" s="7">
        <v>100</v>
      </c>
      <c r="F292" s="7">
        <v>30</v>
      </c>
      <c r="G292" s="74">
        <f t="shared" si="51"/>
        <v>73.75</v>
      </c>
      <c r="H292" s="75">
        <f>G292*K值!M293</f>
        <v>77.803625776507474</v>
      </c>
      <c r="I292" s="7">
        <v>0</v>
      </c>
      <c r="J292" s="7">
        <v>40</v>
      </c>
      <c r="K292" s="7">
        <v>25</v>
      </c>
      <c r="L292" s="7">
        <v>50</v>
      </c>
      <c r="M292" s="74">
        <f t="shared" si="52"/>
        <v>28.75</v>
      </c>
      <c r="N292" s="7">
        <v>35</v>
      </c>
      <c r="O292" s="7">
        <v>0</v>
      </c>
      <c r="P292" s="7">
        <v>65</v>
      </c>
      <c r="Q292" s="7">
        <v>0</v>
      </c>
      <c r="R292" s="74">
        <f t="shared" si="53"/>
        <v>25</v>
      </c>
      <c r="S292" s="3">
        <v>47.436903987813707</v>
      </c>
      <c r="T292" s="3">
        <f t="shared" si="57"/>
        <v>47.436903987813707</v>
      </c>
      <c r="U292" s="3">
        <v>36.882013245055653</v>
      </c>
      <c r="V292" s="3">
        <v>86.203878121646397</v>
      </c>
      <c r="W292" s="3">
        <v>97.560663367034536</v>
      </c>
      <c r="X292" s="3">
        <f t="shared" si="48"/>
        <v>73.548851577912203</v>
      </c>
      <c r="Y292" s="3">
        <v>1.6034197282066054</v>
      </c>
      <c r="Z292" s="3">
        <v>0.31886629665316363</v>
      </c>
      <c r="AA292" s="3">
        <v>0.74977762880390786</v>
      </c>
      <c r="AB292" s="3">
        <v>42.335780718895357</v>
      </c>
      <c r="AC292" s="3">
        <f t="shared" si="49"/>
        <v>11.251961093139759</v>
      </c>
      <c r="AD292" s="3">
        <v>0.51663650272990713</v>
      </c>
      <c r="AE292" s="87">
        <v>0</v>
      </c>
      <c r="AF292" s="3">
        <v>47.679324894514771</v>
      </c>
      <c r="AG292" s="3">
        <v>23.578621978038424</v>
      </c>
      <c r="AH292" s="3">
        <v>19.523598706475628</v>
      </c>
      <c r="AI292" s="3">
        <f t="shared" si="50"/>
        <v>18.259636416351746</v>
      </c>
      <c r="AJ292" s="65">
        <f t="shared" si="54"/>
        <v>37.624338268804358</v>
      </c>
      <c r="AK292" s="75">
        <f>AJ292*K值!M293</f>
        <v>39.692338098369945</v>
      </c>
      <c r="AL292" s="3">
        <v>50</v>
      </c>
      <c r="AM292" s="3">
        <v>0</v>
      </c>
      <c r="AN292" s="65">
        <f t="shared" si="55"/>
        <v>25</v>
      </c>
      <c r="AP292" s="76">
        <f t="shared" si="56"/>
        <v>42.187660394649477</v>
      </c>
    </row>
    <row r="293" spans="1:42" x14ac:dyDescent="0.25">
      <c r="A293" s="92" t="s">
        <v>295</v>
      </c>
      <c r="B293" s="3">
        <v>4</v>
      </c>
      <c r="C293" s="7">
        <v>35</v>
      </c>
      <c r="D293" s="7">
        <v>60</v>
      </c>
      <c r="E293" s="7">
        <v>15</v>
      </c>
      <c r="F293" s="7">
        <v>15</v>
      </c>
      <c r="G293" s="74">
        <f t="shared" si="51"/>
        <v>31.25</v>
      </c>
      <c r="H293" s="75">
        <f>G293*K值!M294</f>
        <v>32.967638040893</v>
      </c>
      <c r="I293" s="7">
        <v>25</v>
      </c>
      <c r="J293" s="7">
        <v>0</v>
      </c>
      <c r="K293" s="7">
        <v>0</v>
      </c>
      <c r="L293" s="7">
        <v>0</v>
      </c>
      <c r="M293" s="74">
        <f t="shared" si="52"/>
        <v>6.25</v>
      </c>
      <c r="N293" s="7">
        <v>0</v>
      </c>
      <c r="O293" s="7">
        <v>35</v>
      </c>
      <c r="P293" s="7">
        <v>0</v>
      </c>
      <c r="Q293" s="7">
        <v>0</v>
      </c>
      <c r="R293" s="74">
        <f t="shared" si="53"/>
        <v>8.75</v>
      </c>
      <c r="S293" s="3">
        <v>89.475436584839926</v>
      </c>
      <c r="T293" s="3">
        <f t="shared" si="57"/>
        <v>89.475436584839926</v>
      </c>
      <c r="U293" s="3">
        <v>77.988234973403621</v>
      </c>
      <c r="V293" s="3">
        <v>6.0363933373172216</v>
      </c>
      <c r="W293" s="3">
        <v>0</v>
      </c>
      <c r="X293" s="3">
        <f t="shared" si="48"/>
        <v>28.008209436906949</v>
      </c>
      <c r="Y293" s="3" t="s">
        <v>335</v>
      </c>
      <c r="Z293" s="3" t="s">
        <v>335</v>
      </c>
      <c r="AA293" s="3">
        <v>0.14995552576078158</v>
      </c>
      <c r="AB293" s="3">
        <v>88.875808186358313</v>
      </c>
      <c r="AC293" s="3">
        <f t="shared" si="49"/>
        <v>44.512881856059551</v>
      </c>
      <c r="AD293" s="3">
        <v>9.8139057384870457E-2</v>
      </c>
      <c r="AE293" s="87">
        <v>14.865092839693213</v>
      </c>
      <c r="AF293" s="3">
        <v>5.485232067510549</v>
      </c>
      <c r="AG293" s="3">
        <v>0</v>
      </c>
      <c r="AH293" s="3">
        <v>13.015732470983751</v>
      </c>
      <c r="AI293" s="3">
        <f t="shared" si="50"/>
        <v>6.6928392871144764</v>
      </c>
      <c r="AJ293" s="65">
        <f t="shared" si="54"/>
        <v>42.172341791230231</v>
      </c>
      <c r="AK293" s="75">
        <f>AJ293*K值!M294</f>
        <v>44.490319984323307</v>
      </c>
      <c r="AL293" s="3">
        <v>50</v>
      </c>
      <c r="AM293" s="3">
        <v>0</v>
      </c>
      <c r="AN293" s="65">
        <f t="shared" si="55"/>
        <v>25</v>
      </c>
      <c r="AP293" s="76">
        <f t="shared" si="56"/>
        <v>29.014655601907926</v>
      </c>
    </row>
    <row r="294" spans="1:42" x14ac:dyDescent="0.25">
      <c r="A294" s="92" t="s">
        <v>296</v>
      </c>
      <c r="B294" s="3">
        <v>4</v>
      </c>
      <c r="C294" s="7">
        <v>65</v>
      </c>
      <c r="D294" s="7">
        <v>60</v>
      </c>
      <c r="E294" s="7">
        <v>75</v>
      </c>
      <c r="F294" s="7">
        <v>60</v>
      </c>
      <c r="G294" s="74">
        <f t="shared" si="51"/>
        <v>65</v>
      </c>
      <c r="H294" s="75">
        <f>G294*K值!M295</f>
        <v>68.572687125057442</v>
      </c>
      <c r="I294" s="7">
        <v>0</v>
      </c>
      <c r="J294" s="7">
        <v>40</v>
      </c>
      <c r="K294" s="7">
        <v>0</v>
      </c>
      <c r="L294" s="7">
        <v>50</v>
      </c>
      <c r="M294" s="74">
        <f t="shared" si="52"/>
        <v>22.5</v>
      </c>
      <c r="N294" s="7">
        <v>0</v>
      </c>
      <c r="O294" s="7">
        <v>0</v>
      </c>
      <c r="P294" s="7">
        <v>35</v>
      </c>
      <c r="Q294" s="7">
        <v>0</v>
      </c>
      <c r="R294" s="74">
        <f t="shared" si="53"/>
        <v>8.75</v>
      </c>
      <c r="S294" s="3">
        <v>0</v>
      </c>
      <c r="T294" s="3">
        <v>0</v>
      </c>
      <c r="U294" s="3">
        <v>13.38412198779011</v>
      </c>
      <c r="V294" s="3">
        <v>53.943265210735781</v>
      </c>
      <c r="W294" s="3">
        <v>100</v>
      </c>
      <c r="X294" s="3">
        <f>AVERAGE(U294:W294)</f>
        <v>55.775795732841964</v>
      </c>
      <c r="Y294" s="3">
        <v>2.9776043729463648</v>
      </c>
      <c r="Z294" s="3">
        <v>0.11967368868953271</v>
      </c>
      <c r="AA294" s="3">
        <v>0.67479986592351704</v>
      </c>
      <c r="AB294" s="3">
        <v>19.452566883193818</v>
      </c>
      <c r="AC294" s="3">
        <f t="shared" si="49"/>
        <v>5.8061612026883083</v>
      </c>
      <c r="AD294" s="3">
        <v>0.29973043322321896</v>
      </c>
      <c r="AE294" s="87">
        <v>0</v>
      </c>
      <c r="AF294" s="3">
        <v>35.864978902953588</v>
      </c>
      <c r="AG294" s="3">
        <v>11.789310989019212</v>
      </c>
      <c r="AH294" s="3">
        <v>4.3385774903279177</v>
      </c>
      <c r="AI294" s="3">
        <f t="shared" si="50"/>
        <v>10.458519563104787</v>
      </c>
      <c r="AJ294" s="65">
        <f t="shared" si="54"/>
        <v>18.010119124658765</v>
      </c>
      <c r="AK294" s="75">
        <f>AJ294*K值!M295</f>
        <v>19.000034828003674</v>
      </c>
      <c r="AL294" s="3">
        <v>0</v>
      </c>
      <c r="AM294" s="3">
        <v>0</v>
      </c>
      <c r="AN294" s="65">
        <f t="shared" si="55"/>
        <v>0</v>
      </c>
      <c r="AP294" s="76">
        <f t="shared" si="56"/>
        <v>26.689551356212959</v>
      </c>
    </row>
    <row r="295" spans="1:42" x14ac:dyDescent="0.25">
      <c r="A295" s="92" t="s">
        <v>297</v>
      </c>
      <c r="B295" s="3">
        <v>4</v>
      </c>
      <c r="C295" s="7">
        <v>100</v>
      </c>
      <c r="D295" s="7">
        <v>100</v>
      </c>
      <c r="E295" s="7">
        <v>75</v>
      </c>
      <c r="F295" s="7">
        <v>100</v>
      </c>
      <c r="G295" s="74">
        <f t="shared" si="51"/>
        <v>93.75</v>
      </c>
      <c r="H295" s="75">
        <f>G295*K值!M296</f>
        <v>98.902914122678993</v>
      </c>
      <c r="I295" s="7">
        <v>0</v>
      </c>
      <c r="J295" s="7">
        <v>40</v>
      </c>
      <c r="K295" s="7">
        <v>25</v>
      </c>
      <c r="L295" s="7">
        <v>25</v>
      </c>
      <c r="M295" s="74">
        <f t="shared" si="52"/>
        <v>22.5</v>
      </c>
      <c r="N295" s="7">
        <v>65</v>
      </c>
      <c r="O295" s="7">
        <v>0</v>
      </c>
      <c r="P295" s="7">
        <v>35</v>
      </c>
      <c r="Q295" s="7">
        <v>35</v>
      </c>
      <c r="R295" s="74">
        <f t="shared" si="53"/>
        <v>33.75</v>
      </c>
      <c r="S295" s="3">
        <v>68.604160594941987</v>
      </c>
      <c r="T295" s="3">
        <f>AVERAGE(S295)</f>
        <v>68.604160594941987</v>
      </c>
      <c r="U295" s="3">
        <v>51.363456678740306</v>
      </c>
      <c r="V295" s="3">
        <v>68.981007324967052</v>
      </c>
      <c r="W295" s="3">
        <v>61.667567196257131</v>
      </c>
      <c r="X295" s="3">
        <f t="shared" si="48"/>
        <v>60.670677066654832</v>
      </c>
      <c r="Y295" s="3">
        <v>2.2764147058713045</v>
      </c>
      <c r="Z295" s="3">
        <v>5.8360779392446813E-2</v>
      </c>
      <c r="AA295" s="3">
        <v>2.174355123531333</v>
      </c>
      <c r="AB295" s="3">
        <v>27.283961560621428</v>
      </c>
      <c r="AC295" s="3">
        <f t="shared" si="49"/>
        <v>7.9482730423541277</v>
      </c>
      <c r="AD295" s="3">
        <v>0.37536626725869243</v>
      </c>
      <c r="AE295" s="87">
        <v>0</v>
      </c>
      <c r="AF295" s="3">
        <v>54.852320675105481</v>
      </c>
      <c r="AG295" s="3">
        <v>23.578621978038424</v>
      </c>
      <c r="AH295" s="3">
        <v>2.1692887451639589</v>
      </c>
      <c r="AI295" s="3">
        <f t="shared" si="50"/>
        <v>16.19511953311331</v>
      </c>
      <c r="AJ295" s="65">
        <f t="shared" si="54"/>
        <v>38.354557559266063</v>
      </c>
      <c r="AK295" s="75">
        <f>AJ295*K值!M296</f>
        <v>40.462693466639358</v>
      </c>
      <c r="AL295" s="3">
        <v>50</v>
      </c>
      <c r="AM295" s="3">
        <v>50</v>
      </c>
      <c r="AN295" s="65">
        <f t="shared" si="55"/>
        <v>50</v>
      </c>
      <c r="AP295" s="76">
        <f t="shared" si="56"/>
        <v>48.840660211191548</v>
      </c>
    </row>
    <row r="296" spans="1:42" x14ac:dyDescent="0.25">
      <c r="A296" s="92" t="s">
        <v>326</v>
      </c>
      <c r="B296" s="3">
        <v>4</v>
      </c>
      <c r="C296" s="7">
        <v>35</v>
      </c>
      <c r="D296" s="7">
        <v>100</v>
      </c>
      <c r="E296" s="7">
        <v>60</v>
      </c>
      <c r="F296" s="7">
        <v>45</v>
      </c>
      <c r="G296" s="74">
        <f t="shared" si="51"/>
        <v>60</v>
      </c>
      <c r="H296" s="75">
        <f>G296*K值!M297</f>
        <v>63.297865038514558</v>
      </c>
      <c r="I296" s="7">
        <v>0</v>
      </c>
      <c r="J296" s="7">
        <v>50</v>
      </c>
      <c r="K296" s="7">
        <v>0</v>
      </c>
      <c r="L296" s="36">
        <v>25</v>
      </c>
      <c r="M296" s="74">
        <f t="shared" si="52"/>
        <v>18.75</v>
      </c>
      <c r="N296" s="7">
        <v>35</v>
      </c>
      <c r="O296" s="7">
        <v>35</v>
      </c>
      <c r="P296" s="7">
        <v>0</v>
      </c>
      <c r="Q296" s="7">
        <v>0</v>
      </c>
      <c r="R296" s="74">
        <f t="shared" si="53"/>
        <v>17.5</v>
      </c>
      <c r="S296" s="3">
        <v>94.616676741431348</v>
      </c>
      <c r="T296" s="3">
        <f>AVERAGE(S296)</f>
        <v>94.616676741431348</v>
      </c>
      <c r="U296" s="3" t="s">
        <v>335</v>
      </c>
      <c r="V296" s="3">
        <v>2.1209869499208085</v>
      </c>
      <c r="W296" s="3">
        <v>0.99778036778776169</v>
      </c>
      <c r="X296" s="3">
        <f t="shared" si="48"/>
        <v>1.5593836588542851</v>
      </c>
      <c r="Y296" s="3">
        <v>0</v>
      </c>
      <c r="Z296" s="3">
        <v>5.8440566687166788E-2</v>
      </c>
      <c r="AA296" s="3">
        <v>0</v>
      </c>
      <c r="AB296" s="3">
        <v>82.00933201170065</v>
      </c>
      <c r="AC296" s="3">
        <f t="shared" si="49"/>
        <v>20.516943144596954</v>
      </c>
      <c r="AD296" s="3">
        <v>0</v>
      </c>
      <c r="AE296" s="87">
        <v>0</v>
      </c>
      <c r="AF296" s="3">
        <v>13.924050632911392</v>
      </c>
      <c r="AG296" s="3">
        <v>7.8595406593461412</v>
      </c>
      <c r="AH296" s="3">
        <v>0</v>
      </c>
      <c r="AI296" s="3">
        <f t="shared" si="50"/>
        <v>4.3567182584515063</v>
      </c>
      <c r="AJ296" s="65">
        <f t="shared" si="54"/>
        <v>30.262430450833524</v>
      </c>
      <c r="AK296" s="75">
        <f>AJ296*K值!M297</f>
        <v>31.925787306904894</v>
      </c>
      <c r="AL296" s="3">
        <v>50</v>
      </c>
      <c r="AM296" s="3">
        <v>0</v>
      </c>
      <c r="AN296" s="65">
        <f t="shared" si="55"/>
        <v>25</v>
      </c>
      <c r="AP296" s="76">
        <f t="shared" si="56"/>
        <v>33.429887930464872</v>
      </c>
    </row>
    <row r="297" spans="1:42" x14ac:dyDescent="0.25">
      <c r="A297" s="92" t="s">
        <v>298</v>
      </c>
      <c r="B297" s="3">
        <v>4</v>
      </c>
      <c r="C297" s="7">
        <v>65</v>
      </c>
      <c r="D297" s="7">
        <v>100</v>
      </c>
      <c r="E297" s="7">
        <v>75</v>
      </c>
      <c r="F297" s="7">
        <v>45</v>
      </c>
      <c r="G297" s="74">
        <f t="shared" si="51"/>
        <v>71.25</v>
      </c>
      <c r="H297" s="75">
        <f>G297*K值!M298</f>
        <v>75.166214733236032</v>
      </c>
      <c r="I297" s="7">
        <v>50</v>
      </c>
      <c r="J297" s="7">
        <v>60</v>
      </c>
      <c r="K297" s="7">
        <v>25</v>
      </c>
      <c r="L297" s="7">
        <v>50</v>
      </c>
      <c r="M297" s="74">
        <f t="shared" si="52"/>
        <v>46.25</v>
      </c>
      <c r="N297" s="7">
        <v>100</v>
      </c>
      <c r="O297" s="7">
        <v>65</v>
      </c>
      <c r="P297" s="7">
        <v>100</v>
      </c>
      <c r="Q297" s="7">
        <v>35</v>
      </c>
      <c r="R297" s="74">
        <f t="shared" si="53"/>
        <v>75</v>
      </c>
      <c r="S297" s="3">
        <v>43.926112016635912</v>
      </c>
      <c r="T297" s="3">
        <f>AVERAGE(S297)</f>
        <v>43.926112016635912</v>
      </c>
      <c r="U297" s="3">
        <v>27.287577218627302</v>
      </c>
      <c r="V297" s="3">
        <v>72.81650745955946</v>
      </c>
      <c r="W297" s="3">
        <v>95.678889393032634</v>
      </c>
      <c r="X297" s="3">
        <f t="shared" si="48"/>
        <v>65.260991357073138</v>
      </c>
      <c r="Y297" s="3">
        <v>1.3361831068388379</v>
      </c>
      <c r="Z297" s="3">
        <v>2.6438608114027917</v>
      </c>
      <c r="AA297" s="3">
        <v>0.52484434016273551</v>
      </c>
      <c r="AB297" s="3">
        <v>90.033084959596934</v>
      </c>
      <c r="AC297" s="3">
        <f t="shared" si="49"/>
        <v>23.634493304500324</v>
      </c>
      <c r="AD297" s="3">
        <v>0.17533761526405198</v>
      </c>
      <c r="AE297" s="87">
        <v>0</v>
      </c>
      <c r="AF297" s="3">
        <v>48.945147679324897</v>
      </c>
      <c r="AG297" s="3">
        <v>51.087014285749923</v>
      </c>
      <c r="AH297" s="3">
        <v>28.200753687131463</v>
      </c>
      <c r="AI297" s="3">
        <f t="shared" si="50"/>
        <v>25.681650653494064</v>
      </c>
      <c r="AJ297" s="65">
        <f t="shared" si="54"/>
        <v>39.625811832925862</v>
      </c>
      <c r="AK297" s="75">
        <f>AJ297*K值!M298</f>
        <v>41.803821490701907</v>
      </c>
      <c r="AL297" s="3">
        <v>50</v>
      </c>
      <c r="AM297" s="3">
        <v>0</v>
      </c>
      <c r="AN297" s="65">
        <f t="shared" si="55"/>
        <v>25</v>
      </c>
      <c r="AP297" s="76">
        <f t="shared" si="56"/>
        <v>51.004771542927969</v>
      </c>
    </row>
    <row r="298" spans="1:42" x14ac:dyDescent="0.25">
      <c r="A298" s="92" t="s">
        <v>299</v>
      </c>
      <c r="B298" s="3">
        <v>4</v>
      </c>
      <c r="C298" s="7">
        <v>65</v>
      </c>
      <c r="D298" s="7">
        <v>100</v>
      </c>
      <c r="E298" s="7">
        <v>75</v>
      </c>
      <c r="F298" s="7">
        <v>45</v>
      </c>
      <c r="G298" s="74">
        <f t="shared" si="51"/>
        <v>71.25</v>
      </c>
      <c r="H298" s="75">
        <f>G298*K值!M299</f>
        <v>75.166214733236032</v>
      </c>
      <c r="I298" s="7">
        <v>0</v>
      </c>
      <c r="J298" s="7">
        <v>20</v>
      </c>
      <c r="K298" s="7">
        <v>25</v>
      </c>
      <c r="L298" s="7">
        <v>0</v>
      </c>
      <c r="M298" s="74">
        <f t="shared" si="52"/>
        <v>11.25</v>
      </c>
      <c r="N298" s="7">
        <v>0</v>
      </c>
      <c r="O298" s="7">
        <v>0</v>
      </c>
      <c r="P298" s="7">
        <v>35</v>
      </c>
      <c r="Q298" s="7">
        <v>0</v>
      </c>
      <c r="R298" s="74">
        <f t="shared" si="53"/>
        <v>8.75</v>
      </c>
      <c r="S298" s="3">
        <v>55.508382729191418</v>
      </c>
      <c r="T298" s="3">
        <f>AVERAGE(S298)</f>
        <v>55.508382729191418</v>
      </c>
      <c r="U298" s="3">
        <v>38.143070729011988</v>
      </c>
      <c r="V298" s="3">
        <v>0</v>
      </c>
      <c r="W298" s="3">
        <v>95.400108063550874</v>
      </c>
      <c r="X298" s="3">
        <f t="shared" si="48"/>
        <v>44.514392930854285</v>
      </c>
      <c r="Y298" s="3">
        <v>8.5809924292402431E-3</v>
      </c>
      <c r="Z298" s="3">
        <v>8.4908188362911058E-2</v>
      </c>
      <c r="AA298" s="3">
        <v>0.8997331545646895</v>
      </c>
      <c r="AB298" s="3">
        <v>28.475270473226743</v>
      </c>
      <c r="AC298" s="3">
        <f t="shared" si="49"/>
        <v>7.3671232021458959</v>
      </c>
      <c r="AD298" s="3">
        <v>8.2199274179047543E-2</v>
      </c>
      <c r="AE298" s="87">
        <v>0</v>
      </c>
      <c r="AF298" s="3">
        <v>7.59493670886076</v>
      </c>
      <c r="AG298" s="3">
        <v>23.578621978038424</v>
      </c>
      <c r="AH298" s="3">
        <v>4.3385774903279177</v>
      </c>
      <c r="AI298" s="3">
        <f t="shared" si="50"/>
        <v>7.1188670902812303</v>
      </c>
      <c r="AJ298" s="65">
        <f t="shared" si="54"/>
        <v>28.627191488118207</v>
      </c>
      <c r="AK298" s="75">
        <f>AJ298*K值!M299</f>
        <v>30.200668387443649</v>
      </c>
      <c r="AL298" s="3">
        <v>0</v>
      </c>
      <c r="AM298" s="3">
        <v>0</v>
      </c>
      <c r="AN298" s="65">
        <f t="shared" si="55"/>
        <v>0</v>
      </c>
      <c r="AP298" s="76">
        <f t="shared" si="56"/>
        <v>30.238510301624665</v>
      </c>
    </row>
  </sheetData>
  <mergeCells count="7">
    <mergeCell ref="AL1:AN1"/>
    <mergeCell ref="A1:A2"/>
    <mergeCell ref="C1:H1"/>
    <mergeCell ref="I1:M1"/>
    <mergeCell ref="N1:R1"/>
    <mergeCell ref="S1:AK1"/>
    <mergeCell ref="B1:B2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E633-3F6F-4684-B1DD-B55265B9B2D6}">
  <dimension ref="A1:M299"/>
  <sheetViews>
    <sheetView workbookViewId="0">
      <selection activeCell="O32" sqref="O32"/>
    </sheetView>
  </sheetViews>
  <sheetFormatPr defaultRowHeight="13.8" x14ac:dyDescent="0.25"/>
  <sheetData>
    <row r="1" spans="1:13" ht="15.6" x14ac:dyDescent="0.25">
      <c r="A1" s="107" t="s">
        <v>336</v>
      </c>
      <c r="B1" s="108"/>
      <c r="C1" s="11"/>
      <c r="D1" s="12"/>
      <c r="E1" s="13"/>
      <c r="F1" s="13"/>
      <c r="G1" s="13"/>
      <c r="H1" s="13"/>
      <c r="I1" s="13"/>
      <c r="J1" s="13"/>
      <c r="K1" s="13"/>
      <c r="L1" s="13"/>
      <c r="M1" s="13"/>
    </row>
    <row r="2" spans="1:13" ht="15.6" x14ac:dyDescent="0.25">
      <c r="A2" s="108" t="s">
        <v>337</v>
      </c>
      <c r="B2" s="14" t="s">
        <v>338</v>
      </c>
      <c r="C2" s="15" t="s">
        <v>339</v>
      </c>
      <c r="D2" s="12"/>
      <c r="E2" s="13"/>
      <c r="F2" s="13"/>
      <c r="G2" s="13"/>
      <c r="H2" s="13"/>
      <c r="I2" s="13"/>
      <c r="J2" s="13"/>
      <c r="K2" s="13"/>
      <c r="L2" s="13"/>
      <c r="M2" s="13"/>
    </row>
    <row r="3" spans="1:13" ht="93.6" x14ac:dyDescent="0.25">
      <c r="A3" s="108"/>
      <c r="B3" s="16" t="s">
        <v>340</v>
      </c>
      <c r="C3" s="17" t="s">
        <v>341</v>
      </c>
      <c r="D3" s="18" t="s">
        <v>342</v>
      </c>
      <c r="E3" s="11" t="s">
        <v>343</v>
      </c>
      <c r="F3" s="13" t="s">
        <v>344</v>
      </c>
      <c r="G3" s="13" t="s">
        <v>345</v>
      </c>
      <c r="H3" s="13" t="s">
        <v>346</v>
      </c>
      <c r="I3" s="13" t="s">
        <v>347</v>
      </c>
      <c r="J3" s="13" t="s">
        <v>348</v>
      </c>
      <c r="K3" s="13" t="s">
        <v>349</v>
      </c>
      <c r="L3" s="13" t="s">
        <v>350</v>
      </c>
      <c r="M3" s="13" t="s">
        <v>351</v>
      </c>
    </row>
    <row r="4" spans="1:13" ht="15" x14ac:dyDescent="0.25">
      <c r="A4" t="s">
        <v>22</v>
      </c>
      <c r="B4">
        <f>VLOOKUP(A4,'[1]统计年鉴数据-徐 '!$A:$H,8,0)</f>
        <v>9.4700000000000006</v>
      </c>
      <c r="C4" s="11">
        <f>LN(B4)</f>
        <v>2.2481289071979869</v>
      </c>
      <c r="D4" s="19">
        <f>MEDIAN(C4:C299)</f>
        <v>2.3267753712351116</v>
      </c>
      <c r="E4" s="11">
        <f>AVERAGE(C4:C299)</f>
        <v>2.3104553551308116</v>
      </c>
      <c r="F4" s="11">
        <f>STDEVP(C4:C299)</f>
        <v>0.1049066815829602</v>
      </c>
      <c r="G4" s="11">
        <f>E4+F4</f>
        <v>2.4153620367137716</v>
      </c>
      <c r="H4" s="11">
        <f>MAX(C4:C299)</f>
        <v>2.5022552881226132</v>
      </c>
      <c r="I4" s="11">
        <f>E4-F4</f>
        <v>2.2055486735478516</v>
      </c>
      <c r="J4" s="11">
        <f>MIN(C4:C299)</f>
        <v>2.0955609235597192</v>
      </c>
      <c r="K4" s="13">
        <f>MIN(G4:H4)</f>
        <v>2.4153620367137716</v>
      </c>
      <c r="L4" s="13">
        <f>MAX(I4:J4)</f>
        <v>2.2055486735478516</v>
      </c>
      <c r="M4" s="13">
        <f>IF(AND(L$4&lt;=C4, C4&lt;=K$4),D$4/C4,IF(C4&gt;=K$4,D$4/K$4,D$4/L$4))</f>
        <v>1.0349830758304459</v>
      </c>
    </row>
    <row r="5" spans="1:13" x14ac:dyDescent="0.25">
      <c r="A5" t="s">
        <v>23</v>
      </c>
      <c r="B5">
        <f>VLOOKUP(A5,'[1]统计年鉴数据-徐 '!$A:$H,8,0)</f>
        <v>11.5</v>
      </c>
      <c r="C5" s="11">
        <f t="shared" ref="C5:C39" si="0">LN(B5)</f>
        <v>2.4423470353692043</v>
      </c>
      <c r="D5" s="12"/>
      <c r="E5" s="13"/>
      <c r="F5" s="13"/>
      <c r="G5" s="13"/>
      <c r="H5" s="13"/>
      <c r="I5" s="13"/>
      <c r="J5" s="13"/>
      <c r="K5" s="13"/>
      <c r="L5" s="13"/>
      <c r="M5" s="13">
        <f t="shared" ref="M5:M68" si="1">IF(AND(L$4&lt;=C5, C5&lt;=K$4),D$4/C5,IF(C5&gt;=K$4,D$4/K$4,D$4/L$4))</f>
        <v>0.96332364915398483</v>
      </c>
    </row>
    <row r="6" spans="1:13" x14ac:dyDescent="0.25">
      <c r="A6" t="s">
        <v>24</v>
      </c>
      <c r="B6">
        <f>VLOOKUP(A6,'[1]统计年鉴数据-徐 '!$A:$H,8,0)</f>
        <v>12.21</v>
      </c>
      <c r="C6" s="11">
        <f t="shared" si="0"/>
        <v>2.5022552881226132</v>
      </c>
      <c r="D6" s="12"/>
      <c r="E6" s="13"/>
      <c r="F6" s="13"/>
      <c r="G6" s="13"/>
      <c r="H6" s="13"/>
      <c r="I6" s="13"/>
      <c r="J6" s="13"/>
      <c r="K6" s="13"/>
      <c r="L6" s="13"/>
      <c r="M6" s="13">
        <f t="shared" si="1"/>
        <v>0.96332364915398483</v>
      </c>
    </row>
    <row r="7" spans="1:13" x14ac:dyDescent="0.25">
      <c r="A7" t="s">
        <v>25</v>
      </c>
      <c r="B7">
        <f>VLOOKUP(A7,'[1]统计年鉴数据-徐 '!$A:$H,8,0)</f>
        <v>10.51</v>
      </c>
      <c r="C7" s="11">
        <f t="shared" si="0"/>
        <v>2.3523271848888596</v>
      </c>
      <c r="D7" s="12"/>
      <c r="E7" s="13"/>
      <c r="F7" s="13"/>
      <c r="G7" s="13"/>
      <c r="H7" s="13"/>
      <c r="I7" s="13"/>
      <c r="J7" s="13"/>
      <c r="K7" s="13"/>
      <c r="L7" s="13"/>
      <c r="M7" s="13">
        <f t="shared" si="1"/>
        <v>0.98913764470440568</v>
      </c>
    </row>
    <row r="8" spans="1:13" x14ac:dyDescent="0.25">
      <c r="A8" t="s">
        <v>26</v>
      </c>
      <c r="B8">
        <f>VLOOKUP(A8,'[1]统计年鉴数据-徐 '!$A:$H,8,0)</f>
        <v>11.2</v>
      </c>
      <c r="C8" s="11">
        <f t="shared" si="0"/>
        <v>2.4159137783010487</v>
      </c>
      <c r="D8" s="12"/>
      <c r="E8" s="13"/>
      <c r="F8" s="13"/>
      <c r="G8" s="13"/>
      <c r="H8" s="13"/>
      <c r="I8" s="13"/>
      <c r="J8" s="13"/>
      <c r="K8" s="13"/>
      <c r="L8" s="13"/>
      <c r="M8" s="13">
        <f t="shared" si="1"/>
        <v>0.96332364915398483</v>
      </c>
    </row>
    <row r="9" spans="1:13" x14ac:dyDescent="0.25">
      <c r="A9" t="s">
        <v>27</v>
      </c>
      <c r="B9">
        <f>VLOOKUP(A9,'[1]统计年鉴数据-徐 '!$A:$H,8,0)</f>
        <v>11.38</v>
      </c>
      <c r="C9" s="11">
        <f t="shared" si="0"/>
        <v>2.4318574286981849</v>
      </c>
      <c r="D9" s="12"/>
      <c r="E9" s="13"/>
      <c r="F9" s="13"/>
      <c r="G9" s="13"/>
      <c r="H9" s="13"/>
      <c r="I9" s="13"/>
      <c r="J9" s="13"/>
      <c r="K9" s="13"/>
      <c r="L9" s="13"/>
      <c r="M9" s="13">
        <f t="shared" si="1"/>
        <v>0.96332364915398483</v>
      </c>
    </row>
    <row r="10" spans="1:13" x14ac:dyDescent="0.25">
      <c r="A10" t="s">
        <v>28</v>
      </c>
      <c r="B10">
        <f>VLOOKUP(A10,'[1]统计年鉴数据-徐 '!$A:$H,8,0)</f>
        <v>10.87</v>
      </c>
      <c r="C10" s="11">
        <f t="shared" si="0"/>
        <v>2.3860067011331179</v>
      </c>
      <c r="D10" s="12"/>
      <c r="E10" s="13"/>
      <c r="F10" s="13"/>
      <c r="G10" s="13"/>
      <c r="H10" s="13"/>
      <c r="I10" s="13"/>
      <c r="J10" s="13"/>
      <c r="K10" s="13"/>
      <c r="L10" s="13"/>
      <c r="M10" s="13">
        <f t="shared" si="1"/>
        <v>0.97517553916764887</v>
      </c>
    </row>
    <row r="11" spans="1:13" x14ac:dyDescent="0.25">
      <c r="A11" t="s">
        <v>29</v>
      </c>
      <c r="B11">
        <f>VLOOKUP(A11,'[1]统计年鉴数据-徐 '!$A:$H,8,0)</f>
        <v>10.3</v>
      </c>
      <c r="C11" s="11">
        <f t="shared" si="0"/>
        <v>2.33214389523559</v>
      </c>
      <c r="D11" s="12"/>
      <c r="E11" s="13"/>
      <c r="F11" s="13"/>
      <c r="G11" s="13"/>
      <c r="H11" s="13"/>
      <c r="I11" s="13"/>
      <c r="J11" s="13"/>
      <c r="K11" s="13"/>
      <c r="L11" s="13"/>
      <c r="M11" s="13">
        <f t="shared" si="1"/>
        <v>0.99769803054972472</v>
      </c>
    </row>
    <row r="12" spans="1:13" x14ac:dyDescent="0.25">
      <c r="A12" t="s">
        <v>30</v>
      </c>
      <c r="B12">
        <f>VLOOKUP(A12,'[1]统计年鉴数据-徐 '!$A:$H,8,0)</f>
        <v>11.11</v>
      </c>
      <c r="C12" s="11">
        <f t="shared" si="0"/>
        <v>2.4078456036515385</v>
      </c>
      <c r="D12" s="12"/>
      <c r="E12" s="13"/>
      <c r="F12" s="13"/>
      <c r="G12" s="13"/>
      <c r="H12" s="13"/>
      <c r="I12" s="13"/>
      <c r="J12" s="13"/>
      <c r="K12" s="13"/>
      <c r="L12" s="13"/>
      <c r="M12" s="13">
        <f t="shared" si="1"/>
        <v>0.96633080115540526</v>
      </c>
    </row>
    <row r="13" spans="1:13" x14ac:dyDescent="0.25">
      <c r="A13" t="s">
        <v>31</v>
      </c>
      <c r="B13">
        <f>VLOOKUP(A13,'[1]统计年鉴数据-徐 '!$A:$H,8,0)</f>
        <v>11.54</v>
      </c>
      <c r="C13" s="11">
        <f t="shared" si="0"/>
        <v>2.4458192610799534</v>
      </c>
      <c r="D13" s="12"/>
      <c r="E13" s="13"/>
      <c r="F13" s="13"/>
      <c r="G13" s="13"/>
      <c r="H13" s="13"/>
      <c r="I13" s="13"/>
      <c r="J13" s="13"/>
      <c r="K13" s="13"/>
      <c r="L13" s="13"/>
      <c r="M13" s="13">
        <f t="shared" si="1"/>
        <v>0.96332364915398483</v>
      </c>
    </row>
    <row r="14" spans="1:13" x14ac:dyDescent="0.25">
      <c r="A14" t="s">
        <v>32</v>
      </c>
      <c r="B14">
        <f>VLOOKUP(A14,'[1]统计年鉴数据-徐 '!$A:$H,8,0)</f>
        <v>11.38</v>
      </c>
      <c r="C14" s="11">
        <f t="shared" si="0"/>
        <v>2.4318574286981849</v>
      </c>
      <c r="D14" s="12"/>
      <c r="E14" s="13"/>
      <c r="F14" s="13"/>
      <c r="G14" s="13"/>
      <c r="H14" s="13"/>
      <c r="I14" s="13"/>
      <c r="J14" s="13"/>
      <c r="K14" s="13"/>
      <c r="L14" s="13"/>
      <c r="M14" s="13">
        <f t="shared" si="1"/>
        <v>0.96332364915398483</v>
      </c>
    </row>
    <row r="15" spans="1:13" x14ac:dyDescent="0.25">
      <c r="A15" t="s">
        <v>33</v>
      </c>
      <c r="B15">
        <f>VLOOKUP(A15,'[1]统计年鉴数据-徐 '!$A:$H,8,0)</f>
        <v>10.76</v>
      </c>
      <c r="C15" s="11">
        <f t="shared" si="0"/>
        <v>2.3758355547336385</v>
      </c>
      <c r="D15" s="12"/>
      <c r="E15" s="13"/>
      <c r="F15" s="13"/>
      <c r="G15" s="13"/>
      <c r="H15" s="13"/>
      <c r="I15" s="13"/>
      <c r="J15" s="13"/>
      <c r="K15" s="13"/>
      <c r="L15" s="13"/>
      <c r="M15" s="13">
        <f t="shared" si="1"/>
        <v>0.97935034543919552</v>
      </c>
    </row>
    <row r="16" spans="1:13" x14ac:dyDescent="0.25">
      <c r="A16" t="s">
        <v>34</v>
      </c>
      <c r="B16">
        <f>VLOOKUP(A16,'[1]统计年鉴数据-徐 '!$A:$H,8,0)</f>
        <v>9.19</v>
      </c>
      <c r="C16" s="11">
        <f t="shared" si="0"/>
        <v>2.2181159363675955</v>
      </c>
      <c r="D16" s="12"/>
      <c r="E16" s="13"/>
      <c r="F16" s="13"/>
      <c r="G16" s="13"/>
      <c r="H16" s="13"/>
      <c r="I16" s="13"/>
      <c r="J16" s="13"/>
      <c r="K16" s="13"/>
      <c r="L16" s="13"/>
      <c r="M16" s="13">
        <f t="shared" si="1"/>
        <v>1.0489872657627886</v>
      </c>
    </row>
    <row r="17" spans="1:13" x14ac:dyDescent="0.25">
      <c r="A17" t="s">
        <v>35</v>
      </c>
      <c r="B17">
        <f>VLOOKUP(A17,'[1]统计年鉴数据-徐 '!$A:$H,8,0)</f>
        <v>10.19</v>
      </c>
      <c r="C17" s="11">
        <f t="shared" si="0"/>
        <v>2.3214068472346332</v>
      </c>
      <c r="D17" s="12"/>
      <c r="E17" s="13"/>
      <c r="F17" s="13"/>
      <c r="G17" s="13"/>
      <c r="H17" s="13"/>
      <c r="I17" s="13"/>
      <c r="J17" s="13"/>
      <c r="K17" s="13"/>
      <c r="L17" s="13"/>
      <c r="M17" s="13">
        <f t="shared" si="1"/>
        <v>1.0023126165957827</v>
      </c>
    </row>
    <row r="18" spans="1:13" x14ac:dyDescent="0.25">
      <c r="A18" t="s">
        <v>36</v>
      </c>
      <c r="B18">
        <f>VLOOKUP(A18,'[1]统计年鉴数据-徐 '!$A:$H,8,0)</f>
        <v>8.35</v>
      </c>
      <c r="C18" s="11">
        <f t="shared" si="0"/>
        <v>2.1222615388627641</v>
      </c>
      <c r="D18" s="12"/>
      <c r="E18" s="13"/>
      <c r="F18" s="13"/>
      <c r="G18" s="13"/>
      <c r="H18" s="13"/>
      <c r="I18" s="13"/>
      <c r="J18" s="13"/>
      <c r="K18" s="13"/>
      <c r="L18" s="13"/>
      <c r="M18" s="13">
        <f t="shared" si="1"/>
        <v>1.0549644173085759</v>
      </c>
    </row>
    <row r="19" spans="1:13" x14ac:dyDescent="0.25">
      <c r="A19" t="s">
        <v>37</v>
      </c>
      <c r="B19">
        <f>VLOOKUP(A19,'[1]统计年鉴数据-徐 '!$A:$H,8,0)</f>
        <v>10.07</v>
      </c>
      <c r="C19" s="11">
        <f t="shared" si="0"/>
        <v>2.3095607067304709</v>
      </c>
      <c r="D19" s="12"/>
      <c r="E19" s="13"/>
      <c r="F19" s="13"/>
      <c r="G19" s="13"/>
      <c r="H19" s="13"/>
      <c r="I19" s="13"/>
      <c r="J19" s="13"/>
      <c r="K19" s="13"/>
      <c r="L19" s="13"/>
      <c r="M19" s="13">
        <f t="shared" si="1"/>
        <v>1.0074536531793574</v>
      </c>
    </row>
    <row r="20" spans="1:13" x14ac:dyDescent="0.25">
      <c r="A20" t="s">
        <v>38</v>
      </c>
      <c r="B20">
        <f>VLOOKUP(A20,'[1]统计年鉴数据-徐 '!$A:$H,8,0)</f>
        <v>10.43</v>
      </c>
      <c r="C20" s="11">
        <f t="shared" si="0"/>
        <v>2.3446862690126808</v>
      </c>
      <c r="D20" s="12"/>
      <c r="E20" s="13"/>
      <c r="F20" s="13"/>
      <c r="G20" s="13"/>
      <c r="H20" s="13"/>
      <c r="I20" s="13"/>
      <c r="J20" s="13"/>
      <c r="K20" s="13"/>
      <c r="L20" s="13"/>
      <c r="M20" s="13">
        <f t="shared" si="1"/>
        <v>0.99236106850870442</v>
      </c>
    </row>
    <row r="21" spans="1:13" x14ac:dyDescent="0.25">
      <c r="A21" t="s">
        <v>39</v>
      </c>
      <c r="B21">
        <f>VLOOKUP(A21,'[1]统计年鉴数据-徐 '!$A:$H,8,0)</f>
        <v>11.02</v>
      </c>
      <c r="C21" s="11">
        <f t="shared" si="0"/>
        <v>2.3997118037247684</v>
      </c>
      <c r="D21" s="12"/>
      <c r="E21" s="13"/>
      <c r="F21" s="13"/>
      <c r="G21" s="13"/>
      <c r="H21" s="13"/>
      <c r="I21" s="13"/>
      <c r="J21" s="13"/>
      <c r="K21" s="13"/>
      <c r="L21" s="13"/>
      <c r="M21" s="13">
        <f t="shared" si="1"/>
        <v>0.96960617005073402</v>
      </c>
    </row>
    <row r="22" spans="1:13" x14ac:dyDescent="0.25">
      <c r="A22" t="s">
        <v>40</v>
      </c>
      <c r="B22">
        <f>VLOOKUP(A22,'[1]统计年鉴数据-徐 '!$A:$H,8,0)</f>
        <v>10.18</v>
      </c>
      <c r="C22" s="11">
        <f t="shared" si="0"/>
        <v>2.3204250111223765</v>
      </c>
      <c r="D22" s="12"/>
      <c r="E22" s="13"/>
      <c r="F22" s="13"/>
      <c r="G22" s="13"/>
      <c r="H22" s="13"/>
      <c r="I22" s="13"/>
      <c r="J22" s="13"/>
      <c r="K22" s="13"/>
      <c r="L22" s="13"/>
      <c r="M22" s="13">
        <f t="shared" si="1"/>
        <v>1.0027367228340913</v>
      </c>
    </row>
    <row r="23" spans="1:13" x14ac:dyDescent="0.25">
      <c r="A23" t="s">
        <v>41</v>
      </c>
      <c r="B23">
        <f>VLOOKUP(A23,'[1]统计年鉴数据-徐 '!$A:$H,8,0)</f>
        <v>8.65</v>
      </c>
      <c r="C23" s="11">
        <f t="shared" si="0"/>
        <v>2.157559320943788</v>
      </c>
      <c r="D23" s="12"/>
      <c r="E23" s="13"/>
      <c r="F23" s="13"/>
      <c r="G23" s="13"/>
      <c r="H23" s="13"/>
      <c r="I23" s="13"/>
      <c r="J23" s="13"/>
      <c r="K23" s="13"/>
      <c r="L23" s="13"/>
      <c r="M23" s="13">
        <f t="shared" si="1"/>
        <v>1.0549644173085759</v>
      </c>
    </row>
    <row r="24" spans="1:13" x14ac:dyDescent="0.25">
      <c r="A24" t="s">
        <v>42</v>
      </c>
      <c r="B24">
        <f>VLOOKUP(A24,'[1]统计年鉴数据-徐 '!$A:$H,8,0)</f>
        <v>8.8800000000000008</v>
      </c>
      <c r="C24" s="11">
        <f t="shared" si="0"/>
        <v>2.1838015570040787</v>
      </c>
      <c r="D24" s="12"/>
      <c r="E24" s="13"/>
      <c r="F24" s="13"/>
      <c r="G24" s="13"/>
      <c r="H24" s="13"/>
      <c r="I24" s="13"/>
      <c r="J24" s="13"/>
      <c r="K24" s="13"/>
      <c r="L24" s="13"/>
      <c r="M24" s="13">
        <f t="shared" si="1"/>
        <v>1.0549644173085759</v>
      </c>
    </row>
    <row r="25" spans="1:13" x14ac:dyDescent="0.25">
      <c r="A25" t="s">
        <v>43</v>
      </c>
      <c r="B25">
        <f>VLOOKUP(A25,'[1]统计年鉴数据-徐 '!$A:$H,8,0)</f>
        <v>10.11</v>
      </c>
      <c r="C25" s="11">
        <f t="shared" si="0"/>
        <v>2.3135250330323798</v>
      </c>
      <c r="D25" s="12"/>
      <c r="E25" s="13"/>
      <c r="F25" s="13"/>
      <c r="G25" s="13"/>
      <c r="H25" s="13"/>
      <c r="I25" s="13"/>
      <c r="J25" s="13"/>
      <c r="K25" s="13"/>
      <c r="L25" s="13"/>
      <c r="M25" s="13">
        <f t="shared" si="1"/>
        <v>1.0057273372941915</v>
      </c>
    </row>
    <row r="26" spans="1:13" x14ac:dyDescent="0.25">
      <c r="A26" t="s">
        <v>44</v>
      </c>
      <c r="B26">
        <f>VLOOKUP(A26,'[1]统计年鉴数据-徐 '!$A:$H,8,0)</f>
        <v>8.8699999999999992</v>
      </c>
      <c r="C26" s="11">
        <f t="shared" si="0"/>
        <v>2.1826747963214879</v>
      </c>
      <c r="D26" s="12"/>
      <c r="E26" s="13"/>
      <c r="F26" s="13"/>
      <c r="G26" s="13"/>
      <c r="H26" s="13"/>
      <c r="I26" s="13"/>
      <c r="J26" s="13"/>
      <c r="K26" s="13"/>
      <c r="L26" s="13"/>
      <c r="M26" s="13">
        <f t="shared" si="1"/>
        <v>1.0549644173085759</v>
      </c>
    </row>
    <row r="27" spans="1:13" x14ac:dyDescent="0.25">
      <c r="A27" t="s">
        <v>45</v>
      </c>
      <c r="B27">
        <f>VLOOKUP(A27,'[1]统计年鉴数据-徐 '!$A:$H,8,0)</f>
        <v>9.6999999999999993</v>
      </c>
      <c r="C27" s="11">
        <f t="shared" si="0"/>
        <v>2.2721258855093369</v>
      </c>
      <c r="D27" s="12"/>
      <c r="E27" s="13"/>
      <c r="F27" s="13"/>
      <c r="G27" s="13"/>
      <c r="H27" s="13"/>
      <c r="I27" s="13"/>
      <c r="J27" s="13"/>
      <c r="K27" s="13"/>
      <c r="L27" s="13"/>
      <c r="M27" s="13">
        <f t="shared" si="1"/>
        <v>1.0240521381646617</v>
      </c>
    </row>
    <row r="28" spans="1:13" x14ac:dyDescent="0.25">
      <c r="A28" t="s">
        <v>46</v>
      </c>
      <c r="B28">
        <f>VLOOKUP(A28,'[1]统计年鉴数据-徐 '!$A:$H,8,0)</f>
        <v>9.6</v>
      </c>
      <c r="C28" s="11">
        <f t="shared" si="0"/>
        <v>2.2617630984737906</v>
      </c>
      <c r="D28" s="12"/>
      <c r="E28" s="13"/>
      <c r="F28" s="13"/>
      <c r="G28" s="13"/>
      <c r="H28" s="13"/>
      <c r="I28" s="13"/>
      <c r="J28" s="13"/>
      <c r="K28" s="13"/>
      <c r="L28" s="13"/>
      <c r="M28" s="13">
        <f t="shared" si="1"/>
        <v>1.0287440682028945</v>
      </c>
    </row>
    <row r="29" spans="1:13" x14ac:dyDescent="0.25">
      <c r="A29" t="s">
        <v>47</v>
      </c>
      <c r="B29">
        <f>VLOOKUP(A29,'[1]统计年鉴数据-徐 '!$A:$H,8,0)</f>
        <v>10.39</v>
      </c>
      <c r="C29" s="11">
        <f t="shared" si="0"/>
        <v>2.340843805111136</v>
      </c>
      <c r="D29" s="12"/>
      <c r="E29" s="13"/>
      <c r="F29" s="13"/>
      <c r="G29" s="13"/>
      <c r="H29" s="13"/>
      <c r="I29" s="13"/>
      <c r="J29" s="13"/>
      <c r="K29" s="13"/>
      <c r="L29" s="13"/>
      <c r="M29" s="13">
        <f t="shared" si="1"/>
        <v>0.99399001597402337</v>
      </c>
    </row>
    <row r="30" spans="1:13" x14ac:dyDescent="0.25">
      <c r="A30" t="s">
        <v>48</v>
      </c>
      <c r="B30">
        <f>VLOOKUP(A30,'[1]统计年鉴数据-徐 '!$A:$H,8,0)</f>
        <v>11.36</v>
      </c>
      <c r="C30" s="11">
        <f t="shared" si="0"/>
        <v>2.4300984132930052</v>
      </c>
      <c r="D30" s="12"/>
      <c r="E30" s="13"/>
      <c r="F30" s="13"/>
      <c r="G30" s="13"/>
      <c r="H30" s="13"/>
      <c r="I30" s="13"/>
      <c r="J30" s="13"/>
      <c r="K30" s="13"/>
      <c r="L30" s="13"/>
      <c r="M30" s="13">
        <f t="shared" si="1"/>
        <v>0.96332364915398483</v>
      </c>
    </row>
    <row r="31" spans="1:13" x14ac:dyDescent="0.25">
      <c r="A31" t="s">
        <v>49</v>
      </c>
      <c r="B31">
        <f>VLOOKUP(A31,'[1]统计年鉴数据-徐 '!$A:$H,8,0)</f>
        <v>10.54</v>
      </c>
      <c r="C31" s="11">
        <f t="shared" si="0"/>
        <v>2.355177543113216</v>
      </c>
      <c r="D31" s="12"/>
      <c r="E31" s="13"/>
      <c r="F31" s="13"/>
      <c r="G31" s="13"/>
      <c r="H31" s="13"/>
      <c r="I31" s="13"/>
      <c r="J31" s="13"/>
      <c r="K31" s="13"/>
      <c r="L31" s="13"/>
      <c r="M31" s="13">
        <f t="shared" si="1"/>
        <v>0.98794053893679679</v>
      </c>
    </row>
    <row r="32" spans="1:13" x14ac:dyDescent="0.25">
      <c r="A32" t="s">
        <v>50</v>
      </c>
      <c r="B32">
        <f>VLOOKUP(A32,'[1]统计年鉴数据-徐 '!$A:$H,8,0)</f>
        <v>9.19</v>
      </c>
      <c r="C32" s="11">
        <f t="shared" si="0"/>
        <v>2.2181159363675955</v>
      </c>
      <c r="D32" s="12"/>
      <c r="E32" s="13"/>
      <c r="F32" s="13"/>
      <c r="G32" s="13"/>
      <c r="H32" s="13"/>
      <c r="I32" s="13"/>
      <c r="J32" s="13"/>
      <c r="K32" s="13"/>
      <c r="L32" s="13"/>
      <c r="M32" s="13">
        <f t="shared" si="1"/>
        <v>1.0489872657627886</v>
      </c>
    </row>
    <row r="33" spans="1:13" x14ac:dyDescent="0.25">
      <c r="A33" t="s">
        <v>51</v>
      </c>
      <c r="B33">
        <f>VLOOKUP(A33,'[1]统计年鉴数据-徐 '!$A:$H,8,0)</f>
        <v>11.04</v>
      </c>
      <c r="C33" s="11">
        <f t="shared" si="0"/>
        <v>2.401525040848949</v>
      </c>
      <c r="D33" s="12"/>
      <c r="E33" s="13"/>
      <c r="F33" s="13"/>
      <c r="G33" s="13"/>
      <c r="H33" s="13"/>
      <c r="I33" s="13"/>
      <c r="J33" s="13"/>
      <c r="K33" s="13"/>
      <c r="L33" s="13"/>
      <c r="M33" s="13">
        <f t="shared" si="1"/>
        <v>0.96887408278390752</v>
      </c>
    </row>
    <row r="34" spans="1:13" x14ac:dyDescent="0.25">
      <c r="A34" t="s">
        <v>52</v>
      </c>
      <c r="B34">
        <f>VLOOKUP(A34,'[1]统计年鉴数据-徐 '!$A:$H,8,0)</f>
        <v>10.35</v>
      </c>
      <c r="C34" s="11">
        <f t="shared" si="0"/>
        <v>2.3369865197113779</v>
      </c>
      <c r="D34" s="12"/>
      <c r="E34" s="13"/>
      <c r="F34" s="13"/>
      <c r="G34" s="13"/>
      <c r="H34" s="13"/>
      <c r="I34" s="13"/>
      <c r="J34" s="13"/>
      <c r="K34" s="13"/>
      <c r="L34" s="13"/>
      <c r="M34" s="13">
        <f t="shared" si="1"/>
        <v>0.99563063441310418</v>
      </c>
    </row>
    <row r="35" spans="1:13" x14ac:dyDescent="0.25">
      <c r="A35" t="s">
        <v>53</v>
      </c>
      <c r="B35">
        <f>VLOOKUP(A35,'[1]统计年鉴数据-徐 '!$A:$H,8,0)</f>
        <v>8.31</v>
      </c>
      <c r="C35" s="11">
        <f t="shared" si="0"/>
        <v>2.1174596088673567</v>
      </c>
      <c r="D35" s="12"/>
      <c r="E35" s="13"/>
      <c r="F35" s="13"/>
      <c r="G35" s="13"/>
      <c r="H35" s="13"/>
      <c r="I35" s="13"/>
      <c r="J35" s="13"/>
      <c r="K35" s="13"/>
      <c r="L35" s="13"/>
      <c r="M35" s="13">
        <f t="shared" si="1"/>
        <v>1.0549644173085759</v>
      </c>
    </row>
    <row r="36" spans="1:13" x14ac:dyDescent="0.25">
      <c r="A36" t="s">
        <v>54</v>
      </c>
      <c r="B36">
        <f>VLOOKUP(A36,'[1]统计年鉴数据-徐 '!$A:$H,8,0)</f>
        <v>9.09</v>
      </c>
      <c r="C36" s="11">
        <f t="shared" si="0"/>
        <v>2.2071749081893874</v>
      </c>
      <c r="D36" s="12"/>
      <c r="E36" s="13"/>
      <c r="F36" s="13"/>
      <c r="G36" s="13"/>
      <c r="H36" s="13"/>
      <c r="I36" s="13"/>
      <c r="J36" s="13"/>
      <c r="K36" s="13"/>
      <c r="L36" s="13"/>
      <c r="M36" s="13">
        <f t="shared" si="1"/>
        <v>1.0541871251806845</v>
      </c>
    </row>
    <row r="37" spans="1:13" x14ac:dyDescent="0.25">
      <c r="A37" t="s">
        <v>55</v>
      </c>
      <c r="B37">
        <f>VLOOKUP(A37,'[1]统计年鉴数据-徐 '!$A:$H,8,0)</f>
        <v>8.1300000000000008</v>
      </c>
      <c r="C37" s="11">
        <f t="shared" si="0"/>
        <v>2.0955609235597192</v>
      </c>
      <c r="D37" s="12"/>
      <c r="E37" s="13"/>
      <c r="F37" s="13"/>
      <c r="G37" s="13"/>
      <c r="H37" s="13"/>
      <c r="I37" s="13"/>
      <c r="J37" s="13"/>
      <c r="K37" s="13"/>
      <c r="L37" s="13"/>
      <c r="M37" s="13">
        <f t="shared" si="1"/>
        <v>1.0549644173085759</v>
      </c>
    </row>
    <row r="38" spans="1:13" x14ac:dyDescent="0.25">
      <c r="A38" t="s">
        <v>56</v>
      </c>
      <c r="B38">
        <f>VLOOKUP(A38,'[1]统计年鉴数据-徐 '!$A:$H,8,0)</f>
        <v>8.89</v>
      </c>
      <c r="C38" s="11">
        <f t="shared" si="0"/>
        <v>2.1849270495258133</v>
      </c>
      <c r="D38" s="12"/>
      <c r="E38" s="13"/>
      <c r="F38" s="13"/>
      <c r="G38" s="13"/>
      <c r="H38" s="13"/>
      <c r="I38" s="13"/>
      <c r="J38" s="13"/>
      <c r="K38" s="13"/>
      <c r="L38" s="13"/>
      <c r="M38" s="13">
        <f t="shared" si="1"/>
        <v>1.0549644173085759</v>
      </c>
    </row>
    <row r="39" spans="1:13" x14ac:dyDescent="0.25">
      <c r="A39" t="s">
        <v>57</v>
      </c>
      <c r="B39">
        <f>VLOOKUP(A39,'[1]统计年鉴数据-徐 '!$A:$H,8,0)</f>
        <v>10.06</v>
      </c>
      <c r="C39" s="11">
        <f t="shared" si="0"/>
        <v>2.3085671646715933</v>
      </c>
      <c r="D39" s="12"/>
      <c r="E39" s="13"/>
      <c r="F39" s="13"/>
      <c r="G39" s="13"/>
      <c r="H39" s="13"/>
      <c r="I39" s="13"/>
      <c r="J39" s="13"/>
      <c r="K39" s="13"/>
      <c r="L39" s="13"/>
      <c r="M39" s="13">
        <f t="shared" si="1"/>
        <v>1.0078872327572539</v>
      </c>
    </row>
    <row r="40" spans="1:13" x14ac:dyDescent="0.25">
      <c r="A40" t="s">
        <v>58</v>
      </c>
      <c r="B40">
        <f>VLOOKUP(A40,'[1]统计年鉴数据-徐 '!$A:$H,8,0)</f>
        <v>10.220000000000001</v>
      </c>
      <c r="M40" s="13">
        <f t="shared" si="1"/>
        <v>1.0549644173085759</v>
      </c>
    </row>
    <row r="41" spans="1:13" x14ac:dyDescent="0.25">
      <c r="A41" t="s">
        <v>59</v>
      </c>
      <c r="B41">
        <f>VLOOKUP(A41,'[1]统计年鉴数据-徐 '!$A:$H,8,0)</f>
        <v>8.9700000000000006</v>
      </c>
      <c r="M41" s="13">
        <f t="shared" si="1"/>
        <v>1.0549644173085759</v>
      </c>
    </row>
    <row r="42" spans="1:13" x14ac:dyDescent="0.25">
      <c r="A42" t="s">
        <v>60</v>
      </c>
      <c r="B42">
        <f>VLOOKUP(A42,'[1]统计年鉴数据-徐 '!$A:$H,8,0)</f>
        <v>9.9499999999999993</v>
      </c>
      <c r="M42" s="13">
        <f t="shared" si="1"/>
        <v>1.0549644173085759</v>
      </c>
    </row>
    <row r="43" spans="1:13" x14ac:dyDescent="0.25">
      <c r="A43" t="s">
        <v>61</v>
      </c>
      <c r="B43">
        <f>VLOOKUP(A43,'[1]统计年鉴数据-徐 '!$A:$H,8,0)</f>
        <v>8.18</v>
      </c>
      <c r="M43" s="13">
        <f t="shared" si="1"/>
        <v>1.0549644173085759</v>
      </c>
    </row>
    <row r="44" spans="1:13" x14ac:dyDescent="0.25">
      <c r="A44" t="s">
        <v>62</v>
      </c>
      <c r="B44">
        <f>VLOOKUP(A44,'[1]统计年鉴数据-徐 '!$A:$H,8,0)</f>
        <v>8.59</v>
      </c>
      <c r="M44" s="13">
        <f t="shared" si="1"/>
        <v>1.0549644173085759</v>
      </c>
    </row>
    <row r="45" spans="1:13" x14ac:dyDescent="0.25">
      <c r="A45" t="s">
        <v>352</v>
      </c>
      <c r="B45">
        <f>VLOOKUP(A45,'[1]统计年鉴数据-徐 '!$A:$H,8,0)</f>
        <v>9.43</v>
      </c>
      <c r="M45" s="13">
        <f t="shared" si="1"/>
        <v>1.0549644173085759</v>
      </c>
    </row>
    <row r="46" spans="1:13" x14ac:dyDescent="0.25">
      <c r="A46" t="s">
        <v>63</v>
      </c>
      <c r="B46">
        <f>VLOOKUP(A46,'[1]统计年鉴数据-徐 '!$A:$H,8,0)</f>
        <v>9.67</v>
      </c>
      <c r="M46" s="13">
        <f t="shared" si="1"/>
        <v>1.0549644173085759</v>
      </c>
    </row>
    <row r="47" spans="1:13" x14ac:dyDescent="0.25">
      <c r="A47" t="s">
        <v>64</v>
      </c>
      <c r="B47">
        <f>VLOOKUP(A47,'[1]统计年鉴数据-徐 '!$A:$H,8,0)</f>
        <v>10.39</v>
      </c>
      <c r="M47" s="13">
        <f t="shared" si="1"/>
        <v>1.0549644173085759</v>
      </c>
    </row>
    <row r="48" spans="1:13" x14ac:dyDescent="0.25">
      <c r="A48" t="s">
        <v>65</v>
      </c>
      <c r="B48">
        <f>VLOOKUP(A48,'[1]统计年鉴数据-徐 '!$A:$H,8,0)</f>
        <v>10.49</v>
      </c>
      <c r="M48" s="13">
        <f t="shared" si="1"/>
        <v>1.0549644173085759</v>
      </c>
    </row>
    <row r="49" spans="1:13" x14ac:dyDescent="0.25">
      <c r="A49" t="s">
        <v>353</v>
      </c>
      <c r="B49">
        <f>VLOOKUP(A49,'[1]统计年鉴数据-徐 '!$A:$H,8,0)</f>
        <v>8.8800000000000008</v>
      </c>
      <c r="M49" s="13">
        <f t="shared" si="1"/>
        <v>1.0549644173085759</v>
      </c>
    </row>
    <row r="50" spans="1:13" x14ac:dyDescent="0.25">
      <c r="A50" t="s">
        <v>66</v>
      </c>
      <c r="B50">
        <f>VLOOKUP(A50,'[1]统计年鉴数据-徐 '!$A:$H,8,0)</f>
        <v>8.84</v>
      </c>
      <c r="M50" s="13">
        <f t="shared" si="1"/>
        <v>1.0549644173085759</v>
      </c>
    </row>
    <row r="51" spans="1:13" x14ac:dyDescent="0.25">
      <c r="A51" t="s">
        <v>67</v>
      </c>
      <c r="B51">
        <f>VLOOKUP(A51,'[1]统计年鉴数据-徐 '!$A:$H,8,0)</f>
        <v>10.01</v>
      </c>
      <c r="M51" s="13">
        <f t="shared" si="1"/>
        <v>1.0549644173085759</v>
      </c>
    </row>
    <row r="52" spans="1:13" x14ac:dyDescent="0.25">
      <c r="A52" t="s">
        <v>68</v>
      </c>
      <c r="B52">
        <f>VLOOKUP(A52,'[1]统计年鉴数据-徐 '!$A:$H,8,0)</f>
        <v>9.74</v>
      </c>
      <c r="M52" s="13">
        <f t="shared" si="1"/>
        <v>1.0549644173085759</v>
      </c>
    </row>
    <row r="53" spans="1:13" x14ac:dyDescent="0.25">
      <c r="A53" t="s">
        <v>69</v>
      </c>
      <c r="B53">
        <f>VLOOKUP(A53,'[1]统计年鉴数据-徐 '!$A:$H,8,0)</f>
        <v>9.3800000000000008</v>
      </c>
      <c r="M53" s="13">
        <f t="shared" si="1"/>
        <v>1.0549644173085759</v>
      </c>
    </row>
    <row r="54" spans="1:13" x14ac:dyDescent="0.25">
      <c r="A54" t="s">
        <v>70</v>
      </c>
      <c r="B54">
        <f>VLOOKUP(A54,'[1]统计年鉴数据-徐 '!$A:$H,8,0)</f>
        <v>8.64</v>
      </c>
      <c r="M54" s="13">
        <f t="shared" si="1"/>
        <v>1.0549644173085759</v>
      </c>
    </row>
    <row r="55" spans="1:13" x14ac:dyDescent="0.25">
      <c r="A55" t="s">
        <v>71</v>
      </c>
      <c r="B55">
        <f>VLOOKUP(A55,'[1]统计年鉴数据-徐 '!$A:$H,8,0)</f>
        <v>8.8699999999999992</v>
      </c>
      <c r="M55" s="13">
        <f t="shared" si="1"/>
        <v>1.0549644173085759</v>
      </c>
    </row>
    <row r="56" spans="1:13" x14ac:dyDescent="0.25">
      <c r="A56" t="s">
        <v>72</v>
      </c>
      <c r="B56">
        <f>VLOOKUP(A56,'[1]统计年鉴数据-徐 '!$A:$H,8,0)</f>
        <v>7.43</v>
      </c>
      <c r="M56" s="13">
        <f t="shared" si="1"/>
        <v>1.0549644173085759</v>
      </c>
    </row>
    <row r="57" spans="1:13" x14ac:dyDescent="0.25">
      <c r="A57" t="s">
        <v>73</v>
      </c>
      <c r="B57">
        <f>VLOOKUP(A57,'[1]统计年鉴数据-徐 '!$A:$H,8,0)</f>
        <v>8.93</v>
      </c>
      <c r="M57" s="13">
        <f t="shared" si="1"/>
        <v>1.0549644173085759</v>
      </c>
    </row>
    <row r="58" spans="1:13" x14ac:dyDescent="0.25">
      <c r="A58" t="s">
        <v>74</v>
      </c>
      <c r="B58">
        <f>VLOOKUP(A58,'[1]统计年鉴数据-徐 '!$A:$H,8,0)</f>
        <v>9.06</v>
      </c>
      <c r="M58" s="13">
        <f t="shared" si="1"/>
        <v>1.0549644173085759</v>
      </c>
    </row>
    <row r="59" spans="1:13" x14ac:dyDescent="0.25">
      <c r="A59" t="s">
        <v>75</v>
      </c>
      <c r="B59">
        <f>VLOOKUP(A59,'[1]统计年鉴数据-徐 '!$A:$H,8,0)</f>
        <v>8.77</v>
      </c>
      <c r="M59" s="13">
        <f t="shared" si="1"/>
        <v>1.0549644173085759</v>
      </c>
    </row>
    <row r="60" spans="1:13" x14ac:dyDescent="0.25">
      <c r="A60" t="s">
        <v>76</v>
      </c>
      <c r="B60">
        <f>VLOOKUP(A60,'[1]统计年鉴数据-徐 '!$A:$H,8,0)</f>
        <v>8.4600000000000009</v>
      </c>
      <c r="M60" s="13">
        <f t="shared" si="1"/>
        <v>1.0549644173085759</v>
      </c>
    </row>
    <row r="61" spans="1:13" x14ac:dyDescent="0.25">
      <c r="A61" t="s">
        <v>77</v>
      </c>
      <c r="B61">
        <f>VLOOKUP(A61,'[1]统计年鉴数据-徐 '!$A:$H,8,0)</f>
        <v>9.0299999999999994</v>
      </c>
      <c r="M61" s="13">
        <f t="shared" si="1"/>
        <v>1.0549644173085759</v>
      </c>
    </row>
    <row r="62" spans="1:13" x14ac:dyDescent="0.25">
      <c r="A62" t="s">
        <v>78</v>
      </c>
      <c r="B62">
        <f>VLOOKUP(A62,'[1]统计年鉴数据-徐 '!$A:$H,8,0)</f>
        <v>8.85</v>
      </c>
      <c r="M62" s="13">
        <f t="shared" si="1"/>
        <v>1.0549644173085759</v>
      </c>
    </row>
    <row r="63" spans="1:13" x14ac:dyDescent="0.25">
      <c r="A63" t="s">
        <v>79</v>
      </c>
      <c r="B63">
        <f>VLOOKUP(A63,'[1]统计年鉴数据-徐 '!$A:$H,8,0)</f>
        <v>10.52</v>
      </c>
      <c r="M63" s="13">
        <f t="shared" si="1"/>
        <v>1.0549644173085759</v>
      </c>
    </row>
    <row r="64" spans="1:13" x14ac:dyDescent="0.25">
      <c r="A64" t="s">
        <v>80</v>
      </c>
      <c r="B64">
        <f>VLOOKUP(A64,'[1]统计年鉴数据-徐 '!$A:$H,8,0)</f>
        <v>9.68</v>
      </c>
      <c r="M64" s="13">
        <f t="shared" si="1"/>
        <v>1.0549644173085759</v>
      </c>
    </row>
    <row r="65" spans="1:13" x14ac:dyDescent="0.25">
      <c r="A65" t="s">
        <v>81</v>
      </c>
      <c r="B65">
        <f>VLOOKUP(A65,'[1]统计年鉴数据-徐 '!$A:$H,8,0)</f>
        <v>8.51</v>
      </c>
      <c r="M65" s="13">
        <f t="shared" si="1"/>
        <v>1.0549644173085759</v>
      </c>
    </row>
    <row r="66" spans="1:13" x14ac:dyDescent="0.25">
      <c r="A66" t="s">
        <v>82</v>
      </c>
      <c r="B66">
        <f>VLOOKUP(A66,'[1]统计年鉴数据-徐 '!$A:$H,8,0)</f>
        <v>8.8699999999999992</v>
      </c>
      <c r="M66" s="13">
        <f t="shared" si="1"/>
        <v>1.0549644173085759</v>
      </c>
    </row>
    <row r="67" spans="1:13" x14ac:dyDescent="0.25">
      <c r="A67" t="s">
        <v>83</v>
      </c>
      <c r="B67">
        <f>VLOOKUP(A67,'[1]统计年鉴数据-徐 '!$A:$H,8,0)</f>
        <v>9.58</v>
      </c>
      <c r="M67" s="13">
        <f t="shared" si="1"/>
        <v>1.0549644173085759</v>
      </c>
    </row>
    <row r="68" spans="1:13" x14ac:dyDescent="0.25">
      <c r="A68" t="s">
        <v>84</v>
      </c>
      <c r="B68">
        <f>VLOOKUP(A68,'[1]统计年鉴数据-徐 '!$A:$H,8,0)</f>
        <v>10.28</v>
      </c>
      <c r="M68" s="13">
        <f t="shared" si="1"/>
        <v>1.0549644173085759</v>
      </c>
    </row>
    <row r="69" spans="1:13" x14ac:dyDescent="0.25">
      <c r="A69" t="s">
        <v>85</v>
      </c>
      <c r="B69">
        <f>VLOOKUP(A69,'[1]统计年鉴数据-徐 '!$A:$H,8,0)</f>
        <v>8.84</v>
      </c>
      <c r="M69" s="13">
        <f t="shared" ref="M69:M132" si="2">IF(AND(L$4&lt;=C69, C69&lt;=K$4),D$4/C69,IF(C69&gt;=K$4,D$4/K$4,D$4/L$4))</f>
        <v>1.0549644173085759</v>
      </c>
    </row>
    <row r="70" spans="1:13" x14ac:dyDescent="0.25">
      <c r="A70" t="s">
        <v>86</v>
      </c>
      <c r="B70">
        <f>VLOOKUP(A70,'[1]统计年鉴数据-徐 '!$A:$H,8,0)</f>
        <v>8.6199999999999992</v>
      </c>
      <c r="M70" s="13">
        <f t="shared" si="2"/>
        <v>1.0549644173085759</v>
      </c>
    </row>
    <row r="71" spans="1:13" x14ac:dyDescent="0.25">
      <c r="A71" t="s">
        <v>354</v>
      </c>
      <c r="B71">
        <f>VLOOKUP(A71,'[1]统计年鉴数据-徐 '!$A:$H,8,0)</f>
        <v>8.67</v>
      </c>
      <c r="M71" s="13">
        <f t="shared" si="2"/>
        <v>1.0549644173085759</v>
      </c>
    </row>
    <row r="72" spans="1:13" x14ac:dyDescent="0.25">
      <c r="A72" t="s">
        <v>87</v>
      </c>
      <c r="B72">
        <f>VLOOKUP(A72,'[1]统计年鉴数据-徐 '!$A:$H,8,0)</f>
        <v>8.2100000000000009</v>
      </c>
      <c r="M72" s="13">
        <f t="shared" si="2"/>
        <v>1.0549644173085759</v>
      </c>
    </row>
    <row r="73" spans="1:13" x14ac:dyDescent="0.25">
      <c r="A73" t="s">
        <v>88</v>
      </c>
      <c r="B73">
        <f>VLOOKUP(A73,'[1]统计年鉴数据-徐 '!$A:$H,8,0)</f>
        <v>8.9600000000000009</v>
      </c>
      <c r="M73" s="13">
        <f t="shared" si="2"/>
        <v>1.0549644173085759</v>
      </c>
    </row>
    <row r="74" spans="1:13" x14ac:dyDescent="0.25">
      <c r="A74" t="s">
        <v>89</v>
      </c>
      <c r="B74">
        <f>VLOOKUP(A74,'[1]统计年鉴数据-徐 '!$A:$H,8,0)</f>
        <v>8.41</v>
      </c>
      <c r="M74" s="13">
        <f t="shared" si="2"/>
        <v>1.0549644173085759</v>
      </c>
    </row>
    <row r="75" spans="1:13" x14ac:dyDescent="0.25">
      <c r="A75" t="s">
        <v>90</v>
      </c>
      <c r="B75">
        <f>VLOOKUP(A75,'[1]统计年鉴数据-徐 '!$A:$H,8,0)</f>
        <v>8.3699999999999992</v>
      </c>
      <c r="M75" s="13">
        <f t="shared" si="2"/>
        <v>1.0549644173085759</v>
      </c>
    </row>
    <row r="76" spans="1:13" x14ac:dyDescent="0.25">
      <c r="A76" t="s">
        <v>91</v>
      </c>
      <c r="B76">
        <f>VLOOKUP(A76,'[1]统计年鉴数据-徐 '!$A:$H,8,0)</f>
        <v>8.82</v>
      </c>
      <c r="M76" s="13">
        <f t="shared" si="2"/>
        <v>1.0549644173085759</v>
      </c>
    </row>
    <row r="77" spans="1:13" x14ac:dyDescent="0.25">
      <c r="A77" t="s">
        <v>92</v>
      </c>
      <c r="B77">
        <f>VLOOKUP(A77,'[1]统计年鉴数据-徐 '!$A:$H,8,0)</f>
        <v>8.9700000000000006</v>
      </c>
      <c r="M77" s="13">
        <f t="shared" si="2"/>
        <v>1.0549644173085759</v>
      </c>
    </row>
    <row r="78" spans="1:13" x14ac:dyDescent="0.25">
      <c r="A78" t="s">
        <v>93</v>
      </c>
      <c r="B78">
        <f>VLOOKUP(A78,'[1]统计年鉴数据-徐 '!$A:$H,8,0)</f>
        <v>9.27</v>
      </c>
      <c r="M78" s="13">
        <f t="shared" si="2"/>
        <v>1.0549644173085759</v>
      </c>
    </row>
    <row r="79" spans="1:13" x14ac:dyDescent="0.25">
      <c r="A79" t="s">
        <v>94</v>
      </c>
      <c r="B79">
        <f>VLOOKUP(A79,'[1]统计年鉴数据-徐 '!$A:$H,8,0)</f>
        <v>9.61</v>
      </c>
      <c r="M79" s="13">
        <f t="shared" si="2"/>
        <v>1.0549644173085759</v>
      </c>
    </row>
    <row r="80" spans="1:13" x14ac:dyDescent="0.25">
      <c r="A80" t="s">
        <v>95</v>
      </c>
      <c r="B80">
        <f>VLOOKUP(A80,'[1]统计年鉴数据-徐 '!$A:$H,8,0)</f>
        <v>9.34</v>
      </c>
      <c r="M80" s="13">
        <f t="shared" si="2"/>
        <v>1.0549644173085759</v>
      </c>
    </row>
    <row r="81" spans="1:13" x14ac:dyDescent="0.25">
      <c r="A81" t="s">
        <v>96</v>
      </c>
      <c r="B81">
        <f>VLOOKUP(A81,'[1]统计年鉴数据-徐 '!$A:$H,8,0)</f>
        <v>8.56</v>
      </c>
      <c r="M81" s="13">
        <f t="shared" si="2"/>
        <v>1.0549644173085759</v>
      </c>
    </row>
    <row r="82" spans="1:13" x14ac:dyDescent="0.25">
      <c r="A82" t="s">
        <v>97</v>
      </c>
      <c r="B82">
        <f>VLOOKUP(A82,'[1]统计年鉴数据-徐 '!$A:$H,8,0)</f>
        <v>9.08</v>
      </c>
      <c r="M82" s="13">
        <f t="shared" si="2"/>
        <v>1.0549644173085759</v>
      </c>
    </row>
    <row r="83" spans="1:13" x14ac:dyDescent="0.25">
      <c r="A83" t="s">
        <v>98</v>
      </c>
      <c r="B83">
        <f>VLOOKUP(A83,'[1]统计年鉴数据-徐 '!$A:$H,8,0)</f>
        <v>11.32</v>
      </c>
      <c r="M83" s="13">
        <f t="shared" si="2"/>
        <v>1.0549644173085759</v>
      </c>
    </row>
    <row r="84" spans="1:13" x14ac:dyDescent="0.25">
      <c r="A84" t="s">
        <v>99</v>
      </c>
      <c r="B84">
        <f>VLOOKUP(A84,'[1]统计年鉴数据-徐 '!$A:$H,8,0)</f>
        <v>8.86</v>
      </c>
      <c r="M84" s="13">
        <f t="shared" si="2"/>
        <v>1.0549644173085759</v>
      </c>
    </row>
    <row r="85" spans="1:13" x14ac:dyDescent="0.25">
      <c r="A85" t="s">
        <v>100</v>
      </c>
      <c r="B85">
        <f>VLOOKUP(A85,'[1]统计年鉴数据-徐 '!$A:$H,8,0)</f>
        <v>9.23</v>
      </c>
      <c r="M85" s="13">
        <f t="shared" si="2"/>
        <v>1.0549644173085759</v>
      </c>
    </row>
    <row r="86" spans="1:13" x14ac:dyDescent="0.25">
      <c r="A86" t="s">
        <v>101</v>
      </c>
      <c r="B86">
        <f>VLOOKUP(A86,'[1]统计年鉴数据-徐 '!$A:$H,8,0)</f>
        <v>10.23</v>
      </c>
      <c r="M86" s="13">
        <f t="shared" si="2"/>
        <v>1.0549644173085759</v>
      </c>
    </row>
    <row r="87" spans="1:13" x14ac:dyDescent="0.25">
      <c r="A87" t="s">
        <v>102</v>
      </c>
      <c r="B87">
        <f>VLOOKUP(A87,'[1]统计年鉴数据-徐 '!$A:$H,8,0)</f>
        <v>9.5500000000000007</v>
      </c>
      <c r="M87" s="13">
        <f t="shared" si="2"/>
        <v>1.0549644173085759</v>
      </c>
    </row>
    <row r="88" spans="1:13" x14ac:dyDescent="0.25">
      <c r="A88" t="s">
        <v>103</v>
      </c>
      <c r="B88">
        <f>VLOOKUP(A88,'[1]统计年鉴数据-徐 '!$A:$H,8,0)</f>
        <v>9.27</v>
      </c>
      <c r="M88" s="13">
        <f t="shared" si="2"/>
        <v>1.0549644173085759</v>
      </c>
    </row>
    <row r="89" spans="1:13" x14ac:dyDescent="0.25">
      <c r="A89" t="s">
        <v>104</v>
      </c>
      <c r="B89">
        <f>VLOOKUP(A89,'[1]统计年鉴数据-徐 '!$A:$H,8,0)</f>
        <v>9.0299999999999994</v>
      </c>
      <c r="M89" s="13">
        <f t="shared" si="2"/>
        <v>1.0549644173085759</v>
      </c>
    </row>
    <row r="90" spans="1:13" x14ac:dyDescent="0.25">
      <c r="A90" t="s">
        <v>355</v>
      </c>
      <c r="B90">
        <f>VLOOKUP(A90,'[1]统计年鉴数据-徐 '!$A:$H,8,0)</f>
        <v>10.68</v>
      </c>
      <c r="M90" s="13">
        <f t="shared" si="2"/>
        <v>1.0549644173085759</v>
      </c>
    </row>
    <row r="91" spans="1:13" x14ac:dyDescent="0.25">
      <c r="A91" t="s">
        <v>105</v>
      </c>
      <c r="B91">
        <f>VLOOKUP(A91,'[1]统计年鉴数据-徐 '!$A:$H,8,0)</f>
        <v>7.76</v>
      </c>
      <c r="M91" s="13">
        <f t="shared" si="2"/>
        <v>1.0549644173085759</v>
      </c>
    </row>
    <row r="92" spans="1:13" x14ac:dyDescent="0.25">
      <c r="A92" t="s">
        <v>356</v>
      </c>
      <c r="B92">
        <f>VLOOKUP(A92,'[1]统计年鉴数据-徐 '!$A:$H,8,0)</f>
        <v>8.61</v>
      </c>
      <c r="M92" s="13">
        <f t="shared" si="2"/>
        <v>1.0549644173085759</v>
      </c>
    </row>
    <row r="93" spans="1:13" x14ac:dyDescent="0.25">
      <c r="A93" t="s">
        <v>106</v>
      </c>
      <c r="B93">
        <f>VLOOKUP(A93,'[1]统计年鉴数据-徐 '!$A:$H,8,0)</f>
        <v>9.64</v>
      </c>
      <c r="M93" s="13">
        <f t="shared" si="2"/>
        <v>1.0549644173085759</v>
      </c>
    </row>
    <row r="94" spans="1:13" x14ac:dyDescent="0.25">
      <c r="A94" t="s">
        <v>107</v>
      </c>
      <c r="B94">
        <f>VLOOKUP(A94,'[1]统计年鉴数据-徐 '!$A:$H,8,0)</f>
        <v>9.0500000000000007</v>
      </c>
      <c r="M94" s="13">
        <f t="shared" si="2"/>
        <v>1.0549644173085759</v>
      </c>
    </row>
    <row r="95" spans="1:13" x14ac:dyDescent="0.25">
      <c r="A95" t="s">
        <v>108</v>
      </c>
      <c r="B95">
        <f>VLOOKUP(A95,'[1]统计年鉴数据-徐 '!$A:$H,8,0)</f>
        <v>8.0500000000000007</v>
      </c>
      <c r="M95" s="13">
        <f t="shared" si="2"/>
        <v>1.0549644173085759</v>
      </c>
    </row>
    <row r="96" spans="1:13" x14ac:dyDescent="0.25">
      <c r="A96" t="s">
        <v>109</v>
      </c>
      <c r="B96">
        <f>VLOOKUP(A96,'[1]统计年鉴数据-徐 '!$A:$H,8,0)</f>
        <v>9.1</v>
      </c>
      <c r="M96" s="13">
        <f t="shared" si="2"/>
        <v>1.0549644173085759</v>
      </c>
    </row>
    <row r="97" spans="1:13" x14ac:dyDescent="0.25">
      <c r="A97" t="s">
        <v>110</v>
      </c>
      <c r="B97">
        <f>VLOOKUP(A97,'[1]统计年鉴数据-徐 '!$A:$H,8,0)</f>
        <v>9</v>
      </c>
      <c r="M97" s="13">
        <f t="shared" si="2"/>
        <v>1.0549644173085759</v>
      </c>
    </row>
    <row r="98" spans="1:13" x14ac:dyDescent="0.25">
      <c r="A98" t="s">
        <v>111</v>
      </c>
      <c r="B98">
        <f>VLOOKUP(A98,'[1]统计年鉴数据-徐 '!$A:$H,8,0)</f>
        <v>9.75</v>
      </c>
      <c r="M98" s="13">
        <f t="shared" si="2"/>
        <v>1.0549644173085759</v>
      </c>
    </row>
    <row r="99" spans="1:13" x14ac:dyDescent="0.25">
      <c r="A99" t="s">
        <v>112</v>
      </c>
      <c r="B99">
        <f>VLOOKUP(A99,'[1]统计年鉴数据-徐 '!$A:$H,8,0)</f>
        <v>9.27</v>
      </c>
      <c r="M99" s="13">
        <f t="shared" si="2"/>
        <v>1.0549644173085759</v>
      </c>
    </row>
    <row r="100" spans="1:13" x14ac:dyDescent="0.25">
      <c r="A100" t="s">
        <v>113</v>
      </c>
      <c r="B100">
        <f>VLOOKUP(A100,'[1]统计年鉴数据-徐 '!$A:$H,8,0)</f>
        <v>8.94</v>
      </c>
      <c r="M100" s="13">
        <f t="shared" si="2"/>
        <v>1.0549644173085759</v>
      </c>
    </row>
    <row r="101" spans="1:13" x14ac:dyDescent="0.25">
      <c r="A101" t="s">
        <v>114</v>
      </c>
      <c r="B101">
        <f>VLOOKUP(A101,'[1]统计年鉴数据-徐 '!$A:$H,8,0)</f>
        <v>8.94</v>
      </c>
      <c r="M101" s="13">
        <f t="shared" si="2"/>
        <v>1.0549644173085759</v>
      </c>
    </row>
    <row r="102" spans="1:13" x14ac:dyDescent="0.25">
      <c r="A102" t="s">
        <v>115</v>
      </c>
      <c r="B102">
        <f>VLOOKUP(A102,'[1]统计年鉴数据-徐 '!$A:$H,8,0)</f>
        <v>9.65</v>
      </c>
      <c r="M102" s="13">
        <f t="shared" si="2"/>
        <v>1.0549644173085759</v>
      </c>
    </row>
    <row r="103" spans="1:13" x14ac:dyDescent="0.25">
      <c r="A103" t="s">
        <v>116</v>
      </c>
      <c r="B103">
        <f>VLOOKUP(A103,'[1]统计年鉴数据-徐 '!$A:$H,8,0)</f>
        <v>9.8800000000000008</v>
      </c>
      <c r="M103" s="13">
        <f t="shared" si="2"/>
        <v>1.0549644173085759</v>
      </c>
    </row>
    <row r="104" spans="1:13" x14ac:dyDescent="0.25">
      <c r="A104" t="s">
        <v>117</v>
      </c>
      <c r="B104">
        <f>VLOOKUP(A104,'[1]统计年鉴数据-徐 '!$A:$H,8,0)</f>
        <v>10.07</v>
      </c>
      <c r="M104" s="13">
        <f t="shared" si="2"/>
        <v>1.0549644173085759</v>
      </c>
    </row>
    <row r="105" spans="1:13" x14ac:dyDescent="0.25">
      <c r="A105" t="s">
        <v>118</v>
      </c>
      <c r="B105">
        <f>VLOOKUP(A105,'[1]统计年鉴数据-徐 '!$A:$H,8,0)</f>
        <v>9.32</v>
      </c>
      <c r="M105" s="13">
        <f t="shared" si="2"/>
        <v>1.0549644173085759</v>
      </c>
    </row>
    <row r="106" spans="1:13" x14ac:dyDescent="0.25">
      <c r="A106" t="s">
        <v>119</v>
      </c>
      <c r="B106">
        <f>VLOOKUP(A106,'[1]统计年鉴数据-徐 '!$A:$H,8,0)</f>
        <v>9.09</v>
      </c>
      <c r="M106" s="13">
        <f t="shared" si="2"/>
        <v>1.0549644173085759</v>
      </c>
    </row>
    <row r="107" spans="1:13" x14ac:dyDescent="0.25">
      <c r="A107" t="s">
        <v>120</v>
      </c>
      <c r="B107">
        <f>VLOOKUP(A107,'[1]统计年鉴数据-徐 '!$A:$H,8,0)</f>
        <v>9.31</v>
      </c>
      <c r="M107" s="13">
        <f t="shared" si="2"/>
        <v>1.0549644173085759</v>
      </c>
    </row>
    <row r="108" spans="1:13" x14ac:dyDescent="0.25">
      <c r="A108" t="s">
        <v>121</v>
      </c>
      <c r="B108">
        <f>VLOOKUP(A108,'[1]统计年鉴数据-徐 '!$A:$H,8,0)</f>
        <v>9.51</v>
      </c>
      <c r="M108" s="13">
        <f t="shared" si="2"/>
        <v>1.0549644173085759</v>
      </c>
    </row>
    <row r="109" spans="1:13" x14ac:dyDescent="0.25">
      <c r="A109" t="s">
        <v>122</v>
      </c>
      <c r="B109">
        <f>VLOOKUP(A109,'[1]统计年鉴数据-徐 '!$A:$H,8,0)</f>
        <v>8.6300000000000008</v>
      </c>
      <c r="M109" s="13">
        <f t="shared" si="2"/>
        <v>1.0549644173085759</v>
      </c>
    </row>
    <row r="110" spans="1:13" x14ac:dyDescent="0.25">
      <c r="A110" t="s">
        <v>123</v>
      </c>
      <c r="B110">
        <f>VLOOKUP(A110,'[1]统计年鉴数据-徐 '!$A:$H,8,0)</f>
        <v>8.8000000000000007</v>
      </c>
      <c r="M110" s="13">
        <f t="shared" si="2"/>
        <v>1.0549644173085759</v>
      </c>
    </row>
    <row r="111" spans="1:13" x14ac:dyDescent="0.25">
      <c r="A111" t="s">
        <v>124</v>
      </c>
      <c r="B111">
        <f>VLOOKUP(A111,'[1]统计年鉴数据-徐 '!$A:$H,8,0)</f>
        <v>9.48</v>
      </c>
      <c r="M111" s="13">
        <f t="shared" si="2"/>
        <v>1.0549644173085759</v>
      </c>
    </row>
    <row r="112" spans="1:13" x14ac:dyDescent="0.25">
      <c r="A112" t="s">
        <v>125</v>
      </c>
      <c r="B112">
        <f>VLOOKUP(A112,'[1]统计年鉴数据-徐 '!$A:$H,8,0)</f>
        <v>9.18</v>
      </c>
      <c r="M112" s="13">
        <f t="shared" si="2"/>
        <v>1.0549644173085759</v>
      </c>
    </row>
    <row r="113" spans="1:13" x14ac:dyDescent="0.25">
      <c r="A113" t="s">
        <v>126</v>
      </c>
      <c r="B113">
        <f>VLOOKUP(A113,'[1]统计年鉴数据-徐 '!$A:$H,8,0)</f>
        <v>9.32</v>
      </c>
      <c r="M113" s="13">
        <f t="shared" si="2"/>
        <v>1.0549644173085759</v>
      </c>
    </row>
    <row r="114" spans="1:13" x14ac:dyDescent="0.25">
      <c r="A114" t="s">
        <v>127</v>
      </c>
      <c r="B114">
        <f>VLOOKUP(A114,'[1]统计年鉴数据-徐 '!$A:$H,8,0)</f>
        <v>8.7100000000000009</v>
      </c>
      <c r="M114" s="13">
        <f t="shared" si="2"/>
        <v>1.0549644173085759</v>
      </c>
    </row>
    <row r="115" spans="1:13" x14ac:dyDescent="0.25">
      <c r="A115" t="s">
        <v>128</v>
      </c>
      <c r="B115">
        <f>VLOOKUP(A115,'[1]统计年鉴数据-徐 '!$A:$H,8,0)</f>
        <v>9.83</v>
      </c>
      <c r="M115" s="13">
        <f t="shared" si="2"/>
        <v>1.0549644173085759</v>
      </c>
    </row>
    <row r="116" spans="1:13" x14ac:dyDescent="0.25">
      <c r="A116" t="s">
        <v>129</v>
      </c>
      <c r="B116">
        <f>VLOOKUP(A116,'[1]统计年鉴数据-徐 '!$A:$H,8,0)</f>
        <v>8.7100000000000009</v>
      </c>
      <c r="M116" s="13">
        <f t="shared" si="2"/>
        <v>1.0549644173085759</v>
      </c>
    </row>
    <row r="117" spans="1:13" x14ac:dyDescent="0.25">
      <c r="A117" t="s">
        <v>130</v>
      </c>
      <c r="B117">
        <f>VLOOKUP(A117,'[1]统计年鉴数据-徐 '!$A:$H,8,0)</f>
        <v>9.24</v>
      </c>
      <c r="M117" s="13">
        <f t="shared" si="2"/>
        <v>1.0549644173085759</v>
      </c>
    </row>
    <row r="118" spans="1:13" x14ac:dyDescent="0.25">
      <c r="A118" t="s">
        <v>131</v>
      </c>
      <c r="B118">
        <f>VLOOKUP(A118,'[1]统计年鉴数据-徐 '!$A:$H,8,0)</f>
        <v>10.91</v>
      </c>
      <c r="M118" s="13">
        <f t="shared" si="2"/>
        <v>1.0549644173085759</v>
      </c>
    </row>
    <row r="119" spans="1:13" x14ac:dyDescent="0.25">
      <c r="A119" t="s">
        <v>132</v>
      </c>
      <c r="B119">
        <f>VLOOKUP(A119,'[1]统计年鉴数据-徐 '!$A:$H,8,0)</f>
        <v>8.6300000000000008</v>
      </c>
      <c r="M119" s="13">
        <f t="shared" si="2"/>
        <v>1.0549644173085759</v>
      </c>
    </row>
    <row r="120" spans="1:13" x14ac:dyDescent="0.25">
      <c r="A120" t="s">
        <v>133</v>
      </c>
      <c r="B120">
        <f>VLOOKUP(A120,'[1]统计年鉴数据-徐 '!$A:$H,8,0)</f>
        <v>8.8000000000000007</v>
      </c>
      <c r="M120" s="13">
        <f t="shared" si="2"/>
        <v>1.0549644173085759</v>
      </c>
    </row>
    <row r="121" spans="1:13" x14ac:dyDescent="0.25">
      <c r="A121" t="s">
        <v>134</v>
      </c>
      <c r="B121">
        <f>VLOOKUP(A121,'[1]统计年鉴数据-徐 '!$A:$H,8,0)</f>
        <v>8.4</v>
      </c>
      <c r="M121" s="13">
        <f t="shared" si="2"/>
        <v>1.0549644173085759</v>
      </c>
    </row>
    <row r="122" spans="1:13" x14ac:dyDescent="0.25">
      <c r="A122" t="s">
        <v>135</v>
      </c>
      <c r="B122">
        <f>VLOOKUP(A122,'[1]统计年鉴数据-徐 '!$A:$H,8,0)</f>
        <v>9.15</v>
      </c>
      <c r="M122" s="13">
        <f t="shared" si="2"/>
        <v>1.0549644173085759</v>
      </c>
    </row>
    <row r="123" spans="1:13" x14ac:dyDescent="0.25">
      <c r="A123" t="s">
        <v>136</v>
      </c>
      <c r="B123">
        <f>VLOOKUP(A123,'[1]统计年鉴数据-徐 '!$A:$H,8,0)</f>
        <v>8.93</v>
      </c>
      <c r="M123" s="13">
        <f t="shared" si="2"/>
        <v>1.0549644173085759</v>
      </c>
    </row>
    <row r="124" spans="1:13" x14ac:dyDescent="0.25">
      <c r="A124" t="s">
        <v>137</v>
      </c>
      <c r="B124">
        <f>VLOOKUP(A124,'[1]统计年鉴数据-徐 '!$A:$H,8,0)</f>
        <v>9.4600000000000009</v>
      </c>
      <c r="M124" s="13">
        <f t="shared" si="2"/>
        <v>1.0549644173085759</v>
      </c>
    </row>
    <row r="125" spans="1:13" x14ac:dyDescent="0.25">
      <c r="A125" t="s">
        <v>138</v>
      </c>
      <c r="B125">
        <f>VLOOKUP(A125,'[1]统计年鉴数据-徐 '!$A:$H,8,0)</f>
        <v>9.19</v>
      </c>
      <c r="M125" s="13">
        <f t="shared" si="2"/>
        <v>1.0549644173085759</v>
      </c>
    </row>
    <row r="126" spans="1:13" x14ac:dyDescent="0.25">
      <c r="A126" t="s">
        <v>139</v>
      </c>
      <c r="B126">
        <f>VLOOKUP(A126,'[1]统计年鉴数据-徐 '!$A:$H,8,0)</f>
        <v>9.02</v>
      </c>
      <c r="M126" s="13">
        <f t="shared" si="2"/>
        <v>1.0549644173085759</v>
      </c>
    </row>
    <row r="127" spans="1:13" x14ac:dyDescent="0.25">
      <c r="A127" t="s">
        <v>357</v>
      </c>
      <c r="B127">
        <f>VLOOKUP(A127,'[1]统计年鉴数据-徐 '!$A:$H,8,0)</f>
        <v>9.35</v>
      </c>
      <c r="M127" s="13">
        <f t="shared" si="2"/>
        <v>1.0549644173085759</v>
      </c>
    </row>
    <row r="128" spans="1:13" x14ac:dyDescent="0.25">
      <c r="A128" t="s">
        <v>140</v>
      </c>
      <c r="B128">
        <f>VLOOKUP(A128,'[1]统计年鉴数据-徐 '!$A:$H,8,0)</f>
        <v>11.06</v>
      </c>
      <c r="M128" s="13">
        <f t="shared" si="2"/>
        <v>1.0549644173085759</v>
      </c>
    </row>
    <row r="129" spans="1:13" x14ac:dyDescent="0.25">
      <c r="A129" t="s">
        <v>358</v>
      </c>
      <c r="B129">
        <f>VLOOKUP(A129,'[1]统计年鉴数据-徐 '!$A:$H,8,0)</f>
        <v>9.2100000000000009</v>
      </c>
      <c r="M129" s="13">
        <f t="shared" si="2"/>
        <v>1.0549644173085759</v>
      </c>
    </row>
    <row r="130" spans="1:13" x14ac:dyDescent="0.25">
      <c r="A130" t="s">
        <v>141</v>
      </c>
      <c r="B130">
        <f>VLOOKUP(A130,'[1]统计年鉴数据-徐 '!$A:$H,8,0)</f>
        <v>9.4499999999999993</v>
      </c>
      <c r="M130" s="13">
        <f t="shared" si="2"/>
        <v>1.0549644173085759</v>
      </c>
    </row>
    <row r="131" spans="1:13" x14ac:dyDescent="0.25">
      <c r="A131" t="s">
        <v>142</v>
      </c>
      <c r="B131">
        <f>VLOOKUP(A131,'[1]统计年鉴数据-徐 '!$A:$H,8,0)</f>
        <v>9.81</v>
      </c>
      <c r="M131" s="13">
        <f t="shared" si="2"/>
        <v>1.0549644173085759</v>
      </c>
    </row>
    <row r="132" spans="1:13" x14ac:dyDescent="0.25">
      <c r="A132" t="s">
        <v>143</v>
      </c>
      <c r="B132">
        <f>VLOOKUP(A132,'[1]统计年鉴数据-徐 '!$A:$H,8,0)</f>
        <v>8.7899999999999991</v>
      </c>
      <c r="M132" s="13">
        <f t="shared" si="2"/>
        <v>1.0549644173085759</v>
      </c>
    </row>
    <row r="133" spans="1:13" x14ac:dyDescent="0.25">
      <c r="A133" t="s">
        <v>144</v>
      </c>
      <c r="B133">
        <f>VLOOKUP(A133,'[1]统计年鉴数据-徐 '!$A:$H,8,0)</f>
        <v>8.93</v>
      </c>
      <c r="M133" s="13">
        <f t="shared" ref="M133:M196" si="3">IF(AND(L$4&lt;=C133, C133&lt;=K$4),D$4/C133,IF(C133&gt;=K$4,D$4/K$4,D$4/L$4))</f>
        <v>1.0549644173085759</v>
      </c>
    </row>
    <row r="134" spans="1:13" x14ac:dyDescent="0.25">
      <c r="A134" t="s">
        <v>145</v>
      </c>
      <c r="B134">
        <f>VLOOKUP(A134,'[1]统计年鉴数据-徐 '!$A:$H,8,0)</f>
        <v>9.76</v>
      </c>
      <c r="M134" s="13">
        <f t="shared" si="3"/>
        <v>1.0549644173085759</v>
      </c>
    </row>
    <row r="135" spans="1:13" x14ac:dyDescent="0.25">
      <c r="A135" t="s">
        <v>146</v>
      </c>
      <c r="B135">
        <f>VLOOKUP(A135,'[1]统计年鉴数据-徐 '!$A:$H,8,0)</f>
        <v>9.1199999999999992</v>
      </c>
      <c r="M135" s="13">
        <f t="shared" si="3"/>
        <v>1.0549644173085759</v>
      </c>
    </row>
    <row r="136" spans="1:13" x14ac:dyDescent="0.25">
      <c r="A136" t="s">
        <v>147</v>
      </c>
      <c r="B136">
        <f>VLOOKUP(A136,'[1]统计年鉴数据-徐 '!$A:$H,8,0)</f>
        <v>8.86</v>
      </c>
      <c r="M136" s="13">
        <f t="shared" si="3"/>
        <v>1.0549644173085759</v>
      </c>
    </row>
    <row r="137" spans="1:13" x14ac:dyDescent="0.25">
      <c r="A137" t="s">
        <v>148</v>
      </c>
      <c r="B137">
        <f>VLOOKUP(A137,'[1]统计年鉴数据-徐 '!$A:$H,8,0)</f>
        <v>8.99</v>
      </c>
      <c r="M137" s="13">
        <f t="shared" si="3"/>
        <v>1.0549644173085759</v>
      </c>
    </row>
    <row r="138" spans="1:13" x14ac:dyDescent="0.25">
      <c r="A138" t="s">
        <v>149</v>
      </c>
      <c r="B138">
        <f>VLOOKUP(A138,'[1]统计年鉴数据-徐 '!$A:$H,8,0)</f>
        <v>9.23</v>
      </c>
      <c r="M138" s="13">
        <f t="shared" si="3"/>
        <v>1.0549644173085759</v>
      </c>
    </row>
    <row r="139" spans="1:13" x14ac:dyDescent="0.25">
      <c r="A139" t="s">
        <v>359</v>
      </c>
      <c r="B139">
        <f>VLOOKUP(A139,'[1]统计年鉴数据-徐 '!$A:$H,8,0)</f>
        <v>8.86</v>
      </c>
      <c r="M139" s="13">
        <f t="shared" si="3"/>
        <v>1.0549644173085759</v>
      </c>
    </row>
    <row r="140" spans="1:13" x14ac:dyDescent="0.25">
      <c r="A140" t="s">
        <v>150</v>
      </c>
      <c r="B140">
        <f>VLOOKUP(A140,'[1]统计年鉴数据-徐 '!$A:$H,8,0)</f>
        <v>9.9600000000000009</v>
      </c>
      <c r="M140" s="13">
        <f t="shared" si="3"/>
        <v>1.0549644173085759</v>
      </c>
    </row>
    <row r="141" spans="1:13" x14ac:dyDescent="0.25">
      <c r="A141" t="s">
        <v>360</v>
      </c>
      <c r="B141">
        <f>VLOOKUP(A141,'[1]统计年鉴数据-徐 '!$A:$H,8,0)</f>
        <v>8.69</v>
      </c>
      <c r="M141" s="13">
        <f t="shared" si="3"/>
        <v>1.0549644173085759</v>
      </c>
    </row>
    <row r="142" spans="1:13" x14ac:dyDescent="0.25">
      <c r="A142" t="s">
        <v>151</v>
      </c>
      <c r="B142">
        <f>VLOOKUP(A142,'[1]统计年鉴数据-徐 '!$A:$H,8,0)</f>
        <v>9.24</v>
      </c>
      <c r="M142" s="13">
        <f t="shared" si="3"/>
        <v>1.0549644173085759</v>
      </c>
    </row>
    <row r="143" spans="1:13" x14ac:dyDescent="0.25">
      <c r="A143" t="s">
        <v>152</v>
      </c>
      <c r="B143">
        <f>VLOOKUP(A143,'[1]统计年鉴数据-徐 '!$A:$H,8,0)</f>
        <v>8.8699999999999992</v>
      </c>
      <c r="M143" s="13">
        <f t="shared" si="3"/>
        <v>1.0549644173085759</v>
      </c>
    </row>
    <row r="144" spans="1:13" x14ac:dyDescent="0.25">
      <c r="A144" t="s">
        <v>153</v>
      </c>
      <c r="B144">
        <f>VLOOKUP(A144,'[1]统计年鉴数据-徐 '!$A:$H,8,0)</f>
        <v>9.85</v>
      </c>
      <c r="M144" s="13">
        <f t="shared" si="3"/>
        <v>1.0549644173085759</v>
      </c>
    </row>
    <row r="145" spans="1:13" x14ac:dyDescent="0.25">
      <c r="A145" t="s">
        <v>154</v>
      </c>
      <c r="B145">
        <f>VLOOKUP(A145,'[1]统计年鉴数据-徐 '!$A:$H,8,0)</f>
        <v>8.68</v>
      </c>
      <c r="M145" s="13">
        <f t="shared" si="3"/>
        <v>1.0549644173085759</v>
      </c>
    </row>
    <row r="146" spans="1:13" x14ac:dyDescent="0.25">
      <c r="A146" t="s">
        <v>155</v>
      </c>
      <c r="B146">
        <f>VLOOKUP(A146,'[1]统计年鉴数据-徐 '!$A:$H,8,0)</f>
        <v>8.3000000000000007</v>
      </c>
      <c r="M146" s="13">
        <f t="shared" si="3"/>
        <v>1.0549644173085759</v>
      </c>
    </row>
    <row r="147" spans="1:13" x14ac:dyDescent="0.25">
      <c r="A147" t="s">
        <v>156</v>
      </c>
      <c r="B147">
        <f>VLOOKUP(A147,'[1]统计年鉴数据-徐 '!$A:$H,8,0)</f>
        <v>10</v>
      </c>
      <c r="M147" s="13">
        <f t="shared" si="3"/>
        <v>1.0549644173085759</v>
      </c>
    </row>
    <row r="148" spans="1:13" x14ac:dyDescent="0.25">
      <c r="A148" t="s">
        <v>157</v>
      </c>
      <c r="B148">
        <f>VLOOKUP(A148,'[1]统计年鉴数据-徐 '!$A:$H,8,0)</f>
        <v>8.77</v>
      </c>
      <c r="M148" s="13">
        <f t="shared" si="3"/>
        <v>1.0549644173085759</v>
      </c>
    </row>
    <row r="149" spans="1:13" x14ac:dyDescent="0.25">
      <c r="A149" t="s">
        <v>158</v>
      </c>
      <c r="B149">
        <f>VLOOKUP(A149,'[1]统计年鉴数据-徐 '!$A:$H,8,0)</f>
        <v>10.85</v>
      </c>
      <c r="M149" s="13">
        <f t="shared" si="3"/>
        <v>1.0549644173085759</v>
      </c>
    </row>
    <row r="150" spans="1:13" x14ac:dyDescent="0.25">
      <c r="A150" t="s">
        <v>159</v>
      </c>
      <c r="B150">
        <f>VLOOKUP(A150,'[1]统计年鉴数据-徐 '!$A:$H,8,0)</f>
        <v>8.24</v>
      </c>
      <c r="M150" s="13">
        <f t="shared" si="3"/>
        <v>1.0549644173085759</v>
      </c>
    </row>
    <row r="151" spans="1:13" x14ac:dyDescent="0.25">
      <c r="A151" t="s">
        <v>160</v>
      </c>
      <c r="B151">
        <f>VLOOKUP(A151,'[1]统计年鉴数据-徐 '!$A:$H,8,0)</f>
        <v>9.43</v>
      </c>
      <c r="M151" s="13">
        <f t="shared" si="3"/>
        <v>1.0549644173085759</v>
      </c>
    </row>
    <row r="152" spans="1:13" x14ac:dyDescent="0.25">
      <c r="A152" t="s">
        <v>161</v>
      </c>
      <c r="B152">
        <f>VLOOKUP(A152,'[1]统计年鉴数据-徐 '!$A:$H,8,0)</f>
        <v>10.01</v>
      </c>
      <c r="M152" s="13">
        <f t="shared" si="3"/>
        <v>1.0549644173085759</v>
      </c>
    </row>
    <row r="153" spans="1:13" x14ac:dyDescent="0.25">
      <c r="A153" t="s">
        <v>162</v>
      </c>
      <c r="B153">
        <f>VLOOKUP(A153,'[1]统计年鉴数据-徐 '!$A:$H,8,0)</f>
        <v>9.2100000000000009</v>
      </c>
      <c r="M153" s="13">
        <f t="shared" si="3"/>
        <v>1.0549644173085759</v>
      </c>
    </row>
    <row r="154" spans="1:13" x14ac:dyDescent="0.25">
      <c r="A154" t="s">
        <v>163</v>
      </c>
      <c r="B154">
        <f>VLOOKUP(A154,'[1]统计年鉴数据-徐 '!$A:$H,8,0)</f>
        <v>9.1199999999999992</v>
      </c>
      <c r="M154" s="13">
        <f t="shared" si="3"/>
        <v>1.0549644173085759</v>
      </c>
    </row>
    <row r="155" spans="1:13" x14ac:dyDescent="0.25">
      <c r="A155" t="s">
        <v>164</v>
      </c>
      <c r="B155">
        <f>VLOOKUP(A155,'[1]统计年鉴数据-徐 '!$A:$H,8,0)</f>
        <v>9.82</v>
      </c>
      <c r="M155" s="13">
        <f t="shared" si="3"/>
        <v>1.0549644173085759</v>
      </c>
    </row>
    <row r="156" spans="1:13" x14ac:dyDescent="0.25">
      <c r="A156" t="s">
        <v>165</v>
      </c>
      <c r="B156">
        <f>VLOOKUP(A156,'[1]统计年鉴数据-徐 '!$A:$H,8,0)</f>
        <v>9.51</v>
      </c>
      <c r="M156" s="13">
        <f t="shared" si="3"/>
        <v>1.0549644173085759</v>
      </c>
    </row>
    <row r="157" spans="1:13" x14ac:dyDescent="0.25">
      <c r="A157" t="s">
        <v>166</v>
      </c>
      <c r="B157">
        <f>VLOOKUP(A157,'[1]统计年鉴数据-徐 '!$A:$H,8,0)</f>
        <v>8.5</v>
      </c>
      <c r="M157" s="13">
        <f t="shared" si="3"/>
        <v>1.0549644173085759</v>
      </c>
    </row>
    <row r="158" spans="1:13" x14ac:dyDescent="0.25">
      <c r="A158" t="s">
        <v>167</v>
      </c>
      <c r="B158">
        <f>VLOOKUP(A158,'[1]统计年鉴数据-徐 '!$A:$H,8,0)</f>
        <v>8.2899999999999991</v>
      </c>
      <c r="M158" s="13">
        <f t="shared" si="3"/>
        <v>1.0549644173085759</v>
      </c>
    </row>
    <row r="159" spans="1:13" x14ac:dyDescent="0.25">
      <c r="A159" t="s">
        <v>168</v>
      </c>
      <c r="B159">
        <f>VLOOKUP(A159,'[1]统计年鉴数据-徐 '!$A:$H,8,0)</f>
        <v>8.7799999999999994</v>
      </c>
      <c r="M159" s="13">
        <f t="shared" si="3"/>
        <v>1.0549644173085759</v>
      </c>
    </row>
    <row r="160" spans="1:13" x14ac:dyDescent="0.25">
      <c r="A160" t="s">
        <v>169</v>
      </c>
      <c r="B160">
        <f>VLOOKUP(A160,'[1]统计年鉴数据-徐 '!$A:$H,8,0)</f>
        <v>8.25</v>
      </c>
      <c r="M160" s="13">
        <f t="shared" si="3"/>
        <v>1.0549644173085759</v>
      </c>
    </row>
    <row r="161" spans="1:13" x14ac:dyDescent="0.25">
      <c r="A161" t="s">
        <v>170</v>
      </c>
      <c r="B161">
        <f>VLOOKUP(A161,'[1]统计年鉴数据-徐 '!$A:$H,8,0)</f>
        <v>8.7799999999999994</v>
      </c>
      <c r="M161" s="13">
        <f t="shared" si="3"/>
        <v>1.0549644173085759</v>
      </c>
    </row>
    <row r="162" spans="1:13" x14ac:dyDescent="0.25">
      <c r="A162" t="s">
        <v>171</v>
      </c>
      <c r="B162">
        <f>VLOOKUP(A162,'[1]统计年鉴数据-徐 '!$A:$H,8,0)</f>
        <v>8.76</v>
      </c>
      <c r="M162" s="13">
        <f t="shared" si="3"/>
        <v>1.0549644173085759</v>
      </c>
    </row>
    <row r="163" spans="1:13" x14ac:dyDescent="0.25">
      <c r="A163" t="s">
        <v>172</v>
      </c>
      <c r="B163">
        <f>VLOOKUP(A163,'[1]统计年鉴数据-徐 '!$A:$H,8,0)</f>
        <v>10.02</v>
      </c>
      <c r="M163" s="13">
        <f t="shared" si="3"/>
        <v>1.0549644173085759</v>
      </c>
    </row>
    <row r="164" spans="1:13" x14ac:dyDescent="0.25">
      <c r="A164" t="s">
        <v>173</v>
      </c>
      <c r="B164">
        <f>VLOOKUP(A164,'[1]统计年鉴数据-徐 '!$A:$H,8,0)</f>
        <v>9.17</v>
      </c>
      <c r="M164" s="13">
        <f t="shared" si="3"/>
        <v>1.0549644173085759</v>
      </c>
    </row>
    <row r="165" spans="1:13" x14ac:dyDescent="0.25">
      <c r="A165" t="s">
        <v>174</v>
      </c>
      <c r="B165">
        <f>VLOOKUP(A165,'[1]统计年鉴数据-徐 '!$A:$H,8,0)</f>
        <v>9.85</v>
      </c>
      <c r="M165" s="13">
        <f t="shared" si="3"/>
        <v>1.0549644173085759</v>
      </c>
    </row>
    <row r="166" spans="1:13" x14ac:dyDescent="0.25">
      <c r="A166" t="s">
        <v>175</v>
      </c>
      <c r="B166">
        <f>VLOOKUP(A166,'[1]统计年鉴数据-徐 '!$A:$H,8,0)</f>
        <v>8.7200000000000006</v>
      </c>
      <c r="M166" s="13">
        <f t="shared" si="3"/>
        <v>1.0549644173085759</v>
      </c>
    </row>
    <row r="167" spans="1:13" x14ac:dyDescent="0.25">
      <c r="A167" t="s">
        <v>176</v>
      </c>
      <c r="B167">
        <f>VLOOKUP(A167,'[1]统计年鉴数据-徐 '!$A:$H,8,0)</f>
        <v>8.49</v>
      </c>
      <c r="M167" s="13">
        <f t="shared" si="3"/>
        <v>1.0549644173085759</v>
      </c>
    </row>
    <row r="168" spans="1:13" x14ac:dyDescent="0.25">
      <c r="A168" t="s">
        <v>177</v>
      </c>
      <c r="B168">
        <f>VLOOKUP(A168,'[1]统计年鉴数据-徐 '!$A:$H,8,0)</f>
        <v>8.51</v>
      </c>
      <c r="M168" s="13">
        <f t="shared" si="3"/>
        <v>1.0549644173085759</v>
      </c>
    </row>
    <row r="169" spans="1:13" x14ac:dyDescent="0.25">
      <c r="A169" t="s">
        <v>178</v>
      </c>
      <c r="B169">
        <f>VLOOKUP(A169,'[1]统计年鉴数据-徐 '!$A:$H,8,0)</f>
        <v>9.9700000000000006</v>
      </c>
      <c r="M169" s="13">
        <f t="shared" si="3"/>
        <v>1.0549644173085759</v>
      </c>
    </row>
    <row r="170" spans="1:13" x14ac:dyDescent="0.25">
      <c r="A170" t="s">
        <v>179</v>
      </c>
      <c r="B170">
        <f>VLOOKUP(A170,'[1]统计年鉴数据-徐 '!$A:$H,8,0)</f>
        <v>9.7899999999999991</v>
      </c>
      <c r="M170" s="13">
        <f t="shared" si="3"/>
        <v>1.0549644173085759</v>
      </c>
    </row>
    <row r="171" spans="1:13" x14ac:dyDescent="0.25">
      <c r="A171" t="s">
        <v>180</v>
      </c>
      <c r="B171">
        <f>VLOOKUP(A171,'[1]统计年鉴数据-徐 '!$A:$H,8,0)</f>
        <v>8.8800000000000008</v>
      </c>
      <c r="M171" s="13">
        <f t="shared" si="3"/>
        <v>1.0549644173085759</v>
      </c>
    </row>
    <row r="172" spans="1:13" x14ac:dyDescent="0.25">
      <c r="A172" t="s">
        <v>181</v>
      </c>
      <c r="B172">
        <f>VLOOKUP(A172,'[1]统计年鉴数据-徐 '!$A:$H,8,0)</f>
        <v>8.0399999999999991</v>
      </c>
      <c r="M172" s="13">
        <f t="shared" si="3"/>
        <v>1.0549644173085759</v>
      </c>
    </row>
    <row r="173" spans="1:13" x14ac:dyDescent="0.25">
      <c r="A173" t="s">
        <v>182</v>
      </c>
      <c r="B173">
        <f>VLOOKUP(A173,'[1]统计年鉴数据-徐 '!$A:$H,8,0)</f>
        <v>8.31</v>
      </c>
      <c r="M173" s="13">
        <f t="shared" si="3"/>
        <v>1.0549644173085759</v>
      </c>
    </row>
    <row r="174" spans="1:13" x14ac:dyDescent="0.25">
      <c r="A174" t="s">
        <v>183</v>
      </c>
      <c r="B174">
        <f>VLOOKUP(A174,'[1]统计年鉴数据-徐 '!$A:$H,8,0)</f>
        <v>9.07</v>
      </c>
      <c r="M174" s="13">
        <f t="shared" si="3"/>
        <v>1.0549644173085759</v>
      </c>
    </row>
    <row r="175" spans="1:13" x14ac:dyDescent="0.25">
      <c r="A175" t="s">
        <v>184</v>
      </c>
      <c r="B175">
        <f>VLOOKUP(A175,'[1]统计年鉴数据-徐 '!$A:$H,8,0)</f>
        <v>8.57</v>
      </c>
      <c r="M175" s="13">
        <f t="shared" si="3"/>
        <v>1.0549644173085759</v>
      </c>
    </row>
    <row r="176" spans="1:13" x14ac:dyDescent="0.25">
      <c r="A176" t="s">
        <v>185</v>
      </c>
      <c r="B176">
        <f>VLOOKUP(A176,'[1]统计年鉴数据-徐 '!$A:$H,8,0)</f>
        <v>10.09</v>
      </c>
      <c r="M176" s="13">
        <f t="shared" si="3"/>
        <v>1.0549644173085759</v>
      </c>
    </row>
    <row r="177" spans="1:13" x14ac:dyDescent="0.25">
      <c r="A177" t="s">
        <v>186</v>
      </c>
      <c r="B177">
        <f>VLOOKUP(A177,'[1]统计年鉴数据-徐 '!$A:$H,8,0)</f>
        <v>10.85</v>
      </c>
      <c r="M177" s="13">
        <f t="shared" si="3"/>
        <v>1.0549644173085759</v>
      </c>
    </row>
    <row r="178" spans="1:13" x14ac:dyDescent="0.25">
      <c r="A178" t="s">
        <v>187</v>
      </c>
      <c r="B178">
        <f>VLOOKUP(A178,'[1]统计年鉴数据-徐 '!$A:$H,8,0)</f>
        <v>9.34</v>
      </c>
      <c r="M178" s="13">
        <f t="shared" si="3"/>
        <v>1.0549644173085759</v>
      </c>
    </row>
    <row r="179" spans="1:13" x14ac:dyDescent="0.25">
      <c r="A179" t="s">
        <v>188</v>
      </c>
      <c r="B179">
        <f>VLOOKUP(A179,'[1]统计年鉴数据-徐 '!$A:$H,8,0)</f>
        <v>9.08</v>
      </c>
      <c r="M179" s="13">
        <f t="shared" si="3"/>
        <v>1.0549644173085759</v>
      </c>
    </row>
    <row r="180" spans="1:13" x14ac:dyDescent="0.25">
      <c r="A180" t="s">
        <v>189</v>
      </c>
      <c r="B180">
        <f>VLOOKUP(A180,'[1]统计年鉴数据-徐 '!$A:$H,8,0)</f>
        <v>10.51</v>
      </c>
      <c r="M180" s="13">
        <f t="shared" si="3"/>
        <v>1.0549644173085759</v>
      </c>
    </row>
    <row r="181" spans="1:13" x14ac:dyDescent="0.25">
      <c r="A181" t="s">
        <v>190</v>
      </c>
      <c r="B181">
        <f>VLOOKUP(A181,'[1]统计年鉴数据-徐 '!$A:$H,8,0)</f>
        <v>9.18</v>
      </c>
      <c r="M181" s="13">
        <f t="shared" si="3"/>
        <v>1.0549644173085759</v>
      </c>
    </row>
    <row r="182" spans="1:13" x14ac:dyDescent="0.25">
      <c r="A182" t="s">
        <v>191</v>
      </c>
      <c r="B182">
        <f>VLOOKUP(A182,'[1]统计年鉴数据-徐 '!$A:$H,8,0)</f>
        <v>9</v>
      </c>
      <c r="M182" s="13">
        <f t="shared" si="3"/>
        <v>1.0549644173085759</v>
      </c>
    </row>
    <row r="183" spans="1:13" x14ac:dyDescent="0.25">
      <c r="A183" t="s">
        <v>192</v>
      </c>
      <c r="B183">
        <f>VLOOKUP(A183,'[1]统计年鉴数据-徐 '!$A:$H,8,0)</f>
        <v>8.8000000000000007</v>
      </c>
      <c r="M183" s="13">
        <f t="shared" si="3"/>
        <v>1.0549644173085759</v>
      </c>
    </row>
    <row r="184" spans="1:13" x14ac:dyDescent="0.25">
      <c r="A184" t="s">
        <v>193</v>
      </c>
      <c r="B184">
        <f>VLOOKUP(A184,'[1]统计年鉴数据-徐 '!$A:$H,8,0)</f>
        <v>8.4</v>
      </c>
      <c r="M184" s="13">
        <f t="shared" si="3"/>
        <v>1.0549644173085759</v>
      </c>
    </row>
    <row r="185" spans="1:13" x14ac:dyDescent="0.25">
      <c r="A185" t="s">
        <v>194</v>
      </c>
      <c r="B185">
        <f>VLOOKUP(A185,'[1]统计年鉴数据-徐 '!$A:$H,8,0)</f>
        <v>10.02</v>
      </c>
      <c r="M185" s="13">
        <f t="shared" si="3"/>
        <v>1.0549644173085759</v>
      </c>
    </row>
    <row r="186" spans="1:13" x14ac:dyDescent="0.25">
      <c r="A186" t="s">
        <v>195</v>
      </c>
      <c r="B186">
        <f>VLOOKUP(A186,'[1]统计年鉴数据-徐 '!$A:$H,8,0)</f>
        <v>8</v>
      </c>
      <c r="M186" s="13">
        <f t="shared" si="3"/>
        <v>1.0549644173085759</v>
      </c>
    </row>
    <row r="187" spans="1:13" x14ac:dyDescent="0.25">
      <c r="A187" t="s">
        <v>196</v>
      </c>
      <c r="B187">
        <f>VLOOKUP(A187,'[1]统计年鉴数据-徐 '!$A:$H,8,0)</f>
        <v>10.09</v>
      </c>
      <c r="M187" s="13">
        <f t="shared" si="3"/>
        <v>1.0549644173085759</v>
      </c>
    </row>
    <row r="188" spans="1:13" x14ac:dyDescent="0.25">
      <c r="A188" t="s">
        <v>197</v>
      </c>
      <c r="B188">
        <f>VLOOKUP(A188,'[1]统计年鉴数据-徐 '!$A:$H,8,0)</f>
        <v>8.98</v>
      </c>
      <c r="M188" s="13">
        <f t="shared" si="3"/>
        <v>1.0549644173085759</v>
      </c>
    </row>
    <row r="189" spans="1:13" x14ac:dyDescent="0.25">
      <c r="A189" t="s">
        <v>198</v>
      </c>
      <c r="B189">
        <f>VLOOKUP(A189,'[1]统计年鉴数据-徐 '!$A:$H,8,0)</f>
        <v>8.73</v>
      </c>
      <c r="M189" s="13">
        <f t="shared" si="3"/>
        <v>1.0549644173085759</v>
      </c>
    </row>
    <row r="190" spans="1:13" x14ac:dyDescent="0.25">
      <c r="A190" t="s">
        <v>199</v>
      </c>
      <c r="B190">
        <f>VLOOKUP(A190,'[1]统计年鉴数据-徐 '!$A:$H,8,0)</f>
        <v>10.39</v>
      </c>
      <c r="M190" s="13">
        <f t="shared" si="3"/>
        <v>1.0549644173085759</v>
      </c>
    </row>
    <row r="191" spans="1:13" x14ac:dyDescent="0.25">
      <c r="A191" t="s">
        <v>200</v>
      </c>
      <c r="B191">
        <f>VLOOKUP(A191,'[1]统计年鉴数据-徐 '!$A:$H,8,0)</f>
        <v>9.75</v>
      </c>
      <c r="M191" s="13">
        <f t="shared" si="3"/>
        <v>1.0549644173085759</v>
      </c>
    </row>
    <row r="192" spans="1:13" x14ac:dyDescent="0.25">
      <c r="A192" t="s">
        <v>201</v>
      </c>
      <c r="B192">
        <f>VLOOKUP(A192,'[1]统计年鉴数据-徐 '!$A:$H,8,0)</f>
        <v>9.43</v>
      </c>
      <c r="M192" s="13">
        <f t="shared" si="3"/>
        <v>1.0549644173085759</v>
      </c>
    </row>
    <row r="193" spans="1:13" x14ac:dyDescent="0.25">
      <c r="A193" t="s">
        <v>202</v>
      </c>
      <c r="B193">
        <f>VLOOKUP(A193,'[1]统计年鉴数据-徐 '!$A:$H,8,0)</f>
        <v>8.74</v>
      </c>
      <c r="M193" s="13">
        <f t="shared" si="3"/>
        <v>1.0549644173085759</v>
      </c>
    </row>
    <row r="194" spans="1:13" x14ac:dyDescent="0.25">
      <c r="A194" t="s">
        <v>203</v>
      </c>
      <c r="B194">
        <f>VLOOKUP(A194,'[1]统计年鉴数据-徐 '!$A:$H,8,0)</f>
        <v>9.08</v>
      </c>
      <c r="M194" s="13">
        <f t="shared" si="3"/>
        <v>1.0549644173085759</v>
      </c>
    </row>
    <row r="195" spans="1:13" x14ac:dyDescent="0.25">
      <c r="A195" t="s">
        <v>204</v>
      </c>
      <c r="B195">
        <f>VLOOKUP(A195,'[1]统计年鉴数据-徐 '!$A:$H,8,0)</f>
        <v>8.91</v>
      </c>
      <c r="M195" s="13">
        <f t="shared" si="3"/>
        <v>1.0549644173085759</v>
      </c>
    </row>
    <row r="196" spans="1:13" x14ac:dyDescent="0.25">
      <c r="A196" t="s">
        <v>205</v>
      </c>
      <c r="B196">
        <f>VLOOKUP(A196,'[1]统计年鉴数据-徐 '!$A:$H,8,0)</f>
        <v>9.98</v>
      </c>
      <c r="M196" s="13">
        <f t="shared" si="3"/>
        <v>1.0549644173085759</v>
      </c>
    </row>
    <row r="197" spans="1:13" x14ac:dyDescent="0.25">
      <c r="A197" t="s">
        <v>206</v>
      </c>
      <c r="B197">
        <f>VLOOKUP(A197,'[1]统计年鉴数据-徐 '!$A:$H,8,0)</f>
        <v>8.6199999999999992</v>
      </c>
      <c r="M197" s="13">
        <f t="shared" ref="M197:M260" si="4">IF(AND(L$4&lt;=C197, C197&lt;=K$4),D$4/C197,IF(C197&gt;=K$4,D$4/K$4,D$4/L$4))</f>
        <v>1.0549644173085759</v>
      </c>
    </row>
    <row r="198" spans="1:13" x14ac:dyDescent="0.25">
      <c r="A198" t="s">
        <v>207</v>
      </c>
      <c r="B198">
        <f>VLOOKUP(A198,'[1]统计年鉴数据-徐 '!$A:$H,8,0)</f>
        <v>8.1</v>
      </c>
      <c r="M198" s="13">
        <f t="shared" si="4"/>
        <v>1.0549644173085759</v>
      </c>
    </row>
    <row r="199" spans="1:13" x14ac:dyDescent="0.25">
      <c r="A199" t="s">
        <v>208</v>
      </c>
      <c r="B199">
        <f>VLOOKUP(A199,'[1]统计年鉴数据-徐 '!$A:$H,8,0)</f>
        <v>8.8800000000000008</v>
      </c>
      <c r="M199" s="13">
        <f t="shared" si="4"/>
        <v>1.0549644173085759</v>
      </c>
    </row>
    <row r="200" spans="1:13" x14ac:dyDescent="0.25">
      <c r="A200" t="s">
        <v>209</v>
      </c>
      <c r="B200">
        <f>VLOOKUP(A200,'[1]统计年鉴数据-徐 '!$A:$H,8,0)</f>
        <v>8.61</v>
      </c>
      <c r="M200" s="13">
        <f t="shared" si="4"/>
        <v>1.0549644173085759</v>
      </c>
    </row>
    <row r="201" spans="1:13" x14ac:dyDescent="0.25">
      <c r="A201" t="s">
        <v>210</v>
      </c>
      <c r="B201">
        <f>VLOOKUP(A201,'[1]统计年鉴数据-徐 '!$A:$H,8,0)</f>
        <v>8.24</v>
      </c>
      <c r="M201" s="13">
        <f t="shared" si="4"/>
        <v>1.0549644173085759</v>
      </c>
    </row>
    <row r="202" spans="1:13" x14ac:dyDescent="0.25">
      <c r="A202" t="s">
        <v>211</v>
      </c>
      <c r="B202">
        <f>VLOOKUP(A202,'[1]统计年鉴数据-徐 '!$A:$H,8,0)</f>
        <v>8.6199999999999992</v>
      </c>
      <c r="M202" s="13">
        <f t="shared" si="4"/>
        <v>1.0549644173085759</v>
      </c>
    </row>
    <row r="203" spans="1:13" x14ac:dyDescent="0.25">
      <c r="A203" t="s">
        <v>212</v>
      </c>
      <c r="B203">
        <f>VLOOKUP(A203,'[1]统计年鉴数据-徐 '!$A:$H,8,0)</f>
        <v>8.84</v>
      </c>
      <c r="M203" s="13">
        <f t="shared" si="4"/>
        <v>1.0549644173085759</v>
      </c>
    </row>
    <row r="204" spans="1:13" x14ac:dyDescent="0.25">
      <c r="A204" t="s">
        <v>213</v>
      </c>
      <c r="B204">
        <f>VLOOKUP(A204,'[1]统计年鉴数据-徐 '!$A:$H,8,0)</f>
        <v>7.94</v>
      </c>
      <c r="M204" s="13">
        <f t="shared" si="4"/>
        <v>1.0549644173085759</v>
      </c>
    </row>
    <row r="205" spans="1:13" x14ac:dyDescent="0.25">
      <c r="A205" t="s">
        <v>214</v>
      </c>
      <c r="B205">
        <f>VLOOKUP(A205,'[1]统计年鉴数据-徐 '!$A:$H,8,0)</f>
        <v>9.19</v>
      </c>
      <c r="M205" s="13">
        <f t="shared" si="4"/>
        <v>1.0549644173085759</v>
      </c>
    </row>
    <row r="206" spans="1:13" x14ac:dyDescent="0.25">
      <c r="A206" t="s">
        <v>215</v>
      </c>
      <c r="B206">
        <f>VLOOKUP(A206,'[1]统计年鉴数据-徐 '!$A:$H,8,0)</f>
        <v>9.77</v>
      </c>
      <c r="M206" s="13">
        <f t="shared" si="4"/>
        <v>1.0549644173085759</v>
      </c>
    </row>
    <row r="207" spans="1:13" x14ac:dyDescent="0.25">
      <c r="A207" t="s">
        <v>216</v>
      </c>
      <c r="B207">
        <f>VLOOKUP(A207,'[1]统计年鉴数据-徐 '!$A:$H,8,0)</f>
        <v>10.99</v>
      </c>
      <c r="M207" s="13">
        <f t="shared" si="4"/>
        <v>1.0549644173085759</v>
      </c>
    </row>
    <row r="208" spans="1:13" x14ac:dyDescent="0.25">
      <c r="A208" t="s">
        <v>217</v>
      </c>
      <c r="B208">
        <f>VLOOKUP(A208,'[1]统计年鉴数据-徐 '!$A:$H,8,0)</f>
        <v>9.31</v>
      </c>
      <c r="M208" s="13">
        <f t="shared" si="4"/>
        <v>1.0549644173085759</v>
      </c>
    </row>
    <row r="209" spans="1:13" x14ac:dyDescent="0.25">
      <c r="A209" t="s">
        <v>218</v>
      </c>
      <c r="B209">
        <f>VLOOKUP(A209,'[1]统计年鉴数据-徐 '!$A:$H,8,0)</f>
        <v>8.24</v>
      </c>
      <c r="M209" s="13">
        <f t="shared" si="4"/>
        <v>1.0549644173085759</v>
      </c>
    </row>
    <row r="210" spans="1:13" x14ac:dyDescent="0.25">
      <c r="A210" t="s">
        <v>219</v>
      </c>
      <c r="B210">
        <f>VLOOKUP(A210,'[1]统计年鉴数据-徐 '!$A:$H,8,0)</f>
        <v>7.39</v>
      </c>
      <c r="M210" s="13">
        <f t="shared" si="4"/>
        <v>1.0549644173085759</v>
      </c>
    </row>
    <row r="211" spans="1:13" x14ac:dyDescent="0.25">
      <c r="A211" t="s">
        <v>220</v>
      </c>
      <c r="B211">
        <f>VLOOKUP(A211,'[1]统计年鉴数据-徐 '!$A:$H,8,0)</f>
        <v>7.92</v>
      </c>
      <c r="M211" s="13">
        <f t="shared" si="4"/>
        <v>1.0549644173085759</v>
      </c>
    </row>
    <row r="212" spans="1:13" x14ac:dyDescent="0.25">
      <c r="A212" t="s">
        <v>221</v>
      </c>
      <c r="B212">
        <f>VLOOKUP(A212,'[1]统计年鉴数据-徐 '!$A:$H,8,0)</f>
        <v>9.1</v>
      </c>
      <c r="M212" s="13">
        <f t="shared" si="4"/>
        <v>1.0549644173085759</v>
      </c>
    </row>
    <row r="213" spans="1:13" x14ac:dyDescent="0.25">
      <c r="A213" t="s">
        <v>222</v>
      </c>
      <c r="B213">
        <f>VLOOKUP(A213,'[1]统计年鉴数据-徐 '!$A:$H,8,0)</f>
        <v>8.76</v>
      </c>
      <c r="M213" s="13">
        <f t="shared" si="4"/>
        <v>1.0549644173085759</v>
      </c>
    </row>
    <row r="214" spans="1:13" x14ac:dyDescent="0.25">
      <c r="A214" t="s">
        <v>223</v>
      </c>
      <c r="B214">
        <f>VLOOKUP(A214,'[1]统计年鉴数据-徐 '!$A:$H,8,0)</f>
        <v>9.33</v>
      </c>
      <c r="M214" s="13">
        <f t="shared" si="4"/>
        <v>1.0549644173085759</v>
      </c>
    </row>
    <row r="215" spans="1:13" x14ac:dyDescent="0.25">
      <c r="A215" t="s">
        <v>361</v>
      </c>
      <c r="B215">
        <f>VLOOKUP(A215,'[1]统计年鉴数据-徐 '!$A:$H,8,0)</f>
        <v>9.48</v>
      </c>
      <c r="M215" s="13">
        <f t="shared" si="4"/>
        <v>1.0549644173085759</v>
      </c>
    </row>
    <row r="216" spans="1:13" x14ac:dyDescent="0.25">
      <c r="A216" t="s">
        <v>224</v>
      </c>
      <c r="B216">
        <f>VLOOKUP(A216,'[1]统计年鉴数据-徐 '!$A:$H,8,0)</f>
        <v>8.08</v>
      </c>
      <c r="M216" s="13">
        <f t="shared" si="4"/>
        <v>1.0549644173085759</v>
      </c>
    </row>
    <row r="217" spans="1:13" x14ac:dyDescent="0.25">
      <c r="A217" t="s">
        <v>225</v>
      </c>
      <c r="B217">
        <f>VLOOKUP(A217,'[1]统计年鉴数据-徐 '!$A:$H,8,0)</f>
        <v>8.5</v>
      </c>
      <c r="M217" s="13">
        <f t="shared" si="4"/>
        <v>1.0549644173085759</v>
      </c>
    </row>
    <row r="218" spans="1:13" x14ac:dyDescent="0.25">
      <c r="A218" t="s">
        <v>226</v>
      </c>
      <c r="B218">
        <f>VLOOKUP(A218,'[1]统计年鉴数据-徐 '!$A:$H,8,0)</f>
        <v>9.74</v>
      </c>
      <c r="M218" s="13">
        <f t="shared" si="4"/>
        <v>1.0549644173085759</v>
      </c>
    </row>
    <row r="219" spans="1:13" x14ac:dyDescent="0.25">
      <c r="A219" t="s">
        <v>227</v>
      </c>
      <c r="B219">
        <f>VLOOKUP(A219,'[1]统计年鉴数据-徐 '!$A:$H,8,0)</f>
        <v>9.17</v>
      </c>
      <c r="M219" s="13">
        <f t="shared" si="4"/>
        <v>1.0549644173085759</v>
      </c>
    </row>
    <row r="220" spans="1:13" x14ac:dyDescent="0.25">
      <c r="A220" t="s">
        <v>228</v>
      </c>
      <c r="B220">
        <f>VLOOKUP(A220,'[1]统计年鉴数据-徐 '!$A:$H,8,0)</f>
        <v>8.83</v>
      </c>
      <c r="M220" s="13">
        <f t="shared" si="4"/>
        <v>1.0549644173085759</v>
      </c>
    </row>
    <row r="221" spans="1:13" x14ac:dyDescent="0.25">
      <c r="A221" t="s">
        <v>229</v>
      </c>
      <c r="B221">
        <f>VLOOKUP(A221,'[1]统计年鉴数据-徐 '!$A:$H,8,0)</f>
        <v>7.65</v>
      </c>
      <c r="M221" s="13">
        <f t="shared" si="4"/>
        <v>1.0549644173085759</v>
      </c>
    </row>
    <row r="222" spans="1:13" x14ac:dyDescent="0.25">
      <c r="A222" t="s">
        <v>362</v>
      </c>
      <c r="B222">
        <f>VLOOKUP(A222,'[1]统计年鉴数据-徐 '!$A:$H,8,0)</f>
        <v>8.99</v>
      </c>
      <c r="M222" s="13">
        <f t="shared" si="4"/>
        <v>1.0549644173085759</v>
      </c>
    </row>
    <row r="223" spans="1:13" x14ac:dyDescent="0.25">
      <c r="A223" t="s">
        <v>230</v>
      </c>
      <c r="B223">
        <f>VLOOKUP(A223,'[1]统计年鉴数据-徐 '!$A:$H,8,0)</f>
        <v>8.7200000000000006</v>
      </c>
      <c r="M223" s="13">
        <f t="shared" si="4"/>
        <v>1.0549644173085759</v>
      </c>
    </row>
    <row r="224" spans="1:13" x14ac:dyDescent="0.25">
      <c r="A224" t="s">
        <v>231</v>
      </c>
      <c r="B224">
        <f>VLOOKUP(A224,'[1]统计年鉴数据-徐 '!$A:$H,8,0)</f>
        <v>9.84</v>
      </c>
      <c r="M224" s="13">
        <f t="shared" si="4"/>
        <v>1.0549644173085759</v>
      </c>
    </row>
    <row r="225" spans="1:13" x14ac:dyDescent="0.25">
      <c r="A225" t="s">
        <v>232</v>
      </c>
      <c r="B225">
        <f>VLOOKUP(A225,'[1]统计年鉴数据-徐 '!$A:$H,8,0)</f>
        <v>10.15</v>
      </c>
      <c r="M225" s="13">
        <f t="shared" si="4"/>
        <v>1.0549644173085759</v>
      </c>
    </row>
    <row r="226" spans="1:13" x14ac:dyDescent="0.25">
      <c r="A226" t="s">
        <v>233</v>
      </c>
      <c r="B226">
        <f>VLOOKUP(A226,'[1]统计年鉴数据-徐 '!$A:$H,8,0)</f>
        <v>10.220000000000001</v>
      </c>
      <c r="M226" s="13">
        <f t="shared" si="4"/>
        <v>1.0549644173085759</v>
      </c>
    </row>
    <row r="227" spans="1:13" x14ac:dyDescent="0.25">
      <c r="A227" t="s">
        <v>234</v>
      </c>
      <c r="B227">
        <f>VLOOKUP(A227,'[1]统计年鉴数据-徐 '!$A:$H,8,0)</f>
        <v>9.44</v>
      </c>
      <c r="M227" s="13">
        <f t="shared" si="4"/>
        <v>1.0549644173085759</v>
      </c>
    </row>
    <row r="228" spans="1:13" x14ac:dyDescent="0.25">
      <c r="A228" t="s">
        <v>235</v>
      </c>
      <c r="B228">
        <f>VLOOKUP(A228,'[1]统计年鉴数据-徐 '!$A:$H,8,0)</f>
        <v>8.51</v>
      </c>
      <c r="M228" s="13">
        <f t="shared" si="4"/>
        <v>1.0549644173085759</v>
      </c>
    </row>
    <row r="229" spans="1:13" x14ac:dyDescent="0.25">
      <c r="A229" t="s">
        <v>236</v>
      </c>
      <c r="B229">
        <f>VLOOKUP(A229,'[1]统计年鉴数据-徐 '!$A:$H,8,0)</f>
        <v>9.0399999999999991</v>
      </c>
      <c r="M229" s="13">
        <f t="shared" si="4"/>
        <v>1.0549644173085759</v>
      </c>
    </row>
    <row r="230" spans="1:13" x14ac:dyDescent="0.25">
      <c r="A230" t="s">
        <v>237</v>
      </c>
      <c r="B230">
        <f>VLOOKUP(A230,'[1]统计年鉴数据-徐 '!$A:$H,8,0)</f>
        <v>9.67</v>
      </c>
      <c r="M230" s="13">
        <f t="shared" si="4"/>
        <v>1.0549644173085759</v>
      </c>
    </row>
    <row r="231" spans="1:13" x14ac:dyDescent="0.25">
      <c r="A231" t="s">
        <v>238</v>
      </c>
      <c r="B231">
        <f>VLOOKUP(A231,'[1]统计年鉴数据-徐 '!$A:$H,8,0)</f>
        <v>9.73</v>
      </c>
      <c r="M231" s="13">
        <f t="shared" si="4"/>
        <v>1.0549644173085759</v>
      </c>
    </row>
    <row r="232" spans="1:13" x14ac:dyDescent="0.25">
      <c r="A232" t="s">
        <v>363</v>
      </c>
      <c r="B232">
        <f>VLOOKUP(A232,'[1]统计年鉴数据-徐 '!$A:$H,8,0)</f>
        <v>8.86</v>
      </c>
      <c r="M232" s="13">
        <f t="shared" si="4"/>
        <v>1.0549644173085759</v>
      </c>
    </row>
    <row r="233" spans="1:13" x14ac:dyDescent="0.25">
      <c r="A233" t="s">
        <v>239</v>
      </c>
      <c r="B233">
        <f>VLOOKUP(A233,'[1]统计年鉴数据-徐 '!$A:$H,8,0)</f>
        <v>8.65</v>
      </c>
      <c r="M233" s="13">
        <f t="shared" si="4"/>
        <v>1.0549644173085759</v>
      </c>
    </row>
    <row r="234" spans="1:13" x14ac:dyDescent="0.25">
      <c r="A234" t="s">
        <v>240</v>
      </c>
      <c r="B234">
        <f>VLOOKUP(A234,'[1]统计年鉴数据-徐 '!$A:$H,8,0)</f>
        <v>9.1199999999999992</v>
      </c>
      <c r="M234" s="13">
        <f t="shared" si="4"/>
        <v>1.0549644173085759</v>
      </c>
    </row>
    <row r="235" spans="1:13" x14ac:dyDescent="0.25">
      <c r="A235" t="s">
        <v>241</v>
      </c>
      <c r="B235">
        <f>VLOOKUP(A235,'[1]统计年鉴数据-徐 '!$A:$H,8,0)</f>
        <v>8.58</v>
      </c>
      <c r="M235" s="13">
        <f t="shared" si="4"/>
        <v>1.0549644173085759</v>
      </c>
    </row>
    <row r="236" spans="1:13" x14ac:dyDescent="0.25">
      <c r="A236" t="s">
        <v>242</v>
      </c>
      <c r="B236">
        <f>VLOOKUP(A236,'[1]统计年鉴数据-徐 '!$A:$H,8,0)</f>
        <v>9.66</v>
      </c>
      <c r="M236" s="13">
        <f t="shared" si="4"/>
        <v>1.0549644173085759</v>
      </c>
    </row>
    <row r="237" spans="1:13" x14ac:dyDescent="0.25">
      <c r="A237" t="s">
        <v>243</v>
      </c>
      <c r="B237">
        <f>VLOOKUP(A237,'[1]统计年鉴数据-徐 '!$A:$H,8,0)</f>
        <v>8.36</v>
      </c>
      <c r="M237" s="13">
        <f t="shared" si="4"/>
        <v>1.0549644173085759</v>
      </c>
    </row>
    <row r="238" spans="1:13" x14ac:dyDescent="0.25">
      <c r="A238" t="s">
        <v>244</v>
      </c>
      <c r="B238">
        <f>VLOOKUP(A238,'[1]统计年鉴数据-徐 '!$A:$H,8,0)</f>
        <v>9.0299999999999994</v>
      </c>
      <c r="M238" s="13">
        <f t="shared" si="4"/>
        <v>1.0549644173085759</v>
      </c>
    </row>
    <row r="239" spans="1:13" x14ac:dyDescent="0.25">
      <c r="A239" t="s">
        <v>245</v>
      </c>
      <c r="B239">
        <f>VLOOKUP(A239,'[1]统计年鉴数据-徐 '!$A:$H,8,0)</f>
        <v>10.029999999999999</v>
      </c>
      <c r="M239" s="13">
        <f t="shared" si="4"/>
        <v>1.0549644173085759</v>
      </c>
    </row>
    <row r="240" spans="1:13" x14ac:dyDescent="0.25">
      <c r="A240" t="s">
        <v>364</v>
      </c>
      <c r="B240">
        <f>VLOOKUP(A240,'[1]统计年鉴数据-徐 '!$A:$H,8,0)</f>
        <v>9.42</v>
      </c>
      <c r="M240" s="13">
        <f t="shared" si="4"/>
        <v>1.0549644173085759</v>
      </c>
    </row>
    <row r="241" spans="1:13" x14ac:dyDescent="0.25">
      <c r="A241" t="s">
        <v>246</v>
      </c>
      <c r="B241">
        <f>VLOOKUP(A241,'[1]统计年鉴数据-徐 '!$A:$H,8,0)</f>
        <v>8.3000000000000007</v>
      </c>
      <c r="M241" s="13">
        <f t="shared" si="4"/>
        <v>1.0549644173085759</v>
      </c>
    </row>
    <row r="242" spans="1:13" x14ac:dyDescent="0.25">
      <c r="A242" t="s">
        <v>247</v>
      </c>
      <c r="B242">
        <f>VLOOKUP(A242,'[1]统计年鉴数据-徐 '!$A:$H,8,0)</f>
        <v>9.39</v>
      </c>
      <c r="M242" s="13">
        <f t="shared" si="4"/>
        <v>1.0549644173085759</v>
      </c>
    </row>
    <row r="243" spans="1:13" x14ac:dyDescent="0.25">
      <c r="A243" t="s">
        <v>248</v>
      </c>
      <c r="B243">
        <f>VLOOKUP(A243,'[1]统计年鉴数据-徐 '!$A:$H,8,0)</f>
        <v>9.59</v>
      </c>
      <c r="M243" s="13">
        <f t="shared" si="4"/>
        <v>1.0549644173085759</v>
      </c>
    </row>
    <row r="244" spans="1:13" x14ac:dyDescent="0.25">
      <c r="A244" t="s">
        <v>249</v>
      </c>
      <c r="B244">
        <f>VLOOKUP(A244,'[1]统计年鉴数据-徐 '!$A:$H,8,0)</f>
        <v>9.5</v>
      </c>
      <c r="M244" s="13">
        <f t="shared" si="4"/>
        <v>1.0549644173085759</v>
      </c>
    </row>
    <row r="245" spans="1:13" x14ac:dyDescent="0.25">
      <c r="A245" t="s">
        <v>250</v>
      </c>
      <c r="B245">
        <f>VLOOKUP(A245,'[1]统计年鉴数据-徐 '!$A:$H,8,0)</f>
        <v>8.83</v>
      </c>
      <c r="M245" s="13">
        <f t="shared" si="4"/>
        <v>1.0549644173085759</v>
      </c>
    </row>
    <row r="246" spans="1:13" x14ac:dyDescent="0.25">
      <c r="A246" t="s">
        <v>251</v>
      </c>
      <c r="B246">
        <f>VLOOKUP(A246,'[1]统计年鉴数据-徐 '!$A:$H,8,0)</f>
        <v>9.81</v>
      </c>
      <c r="M246" s="13">
        <f t="shared" si="4"/>
        <v>1.0549644173085759</v>
      </c>
    </row>
    <row r="247" spans="1:13" x14ac:dyDescent="0.25">
      <c r="A247" t="s">
        <v>365</v>
      </c>
      <c r="B247">
        <f>VLOOKUP(A247,'[1]统计年鉴数据-徐 '!$A:$H,8,0)</f>
        <v>9.06</v>
      </c>
      <c r="M247" s="13">
        <f t="shared" si="4"/>
        <v>1.0549644173085759</v>
      </c>
    </row>
    <row r="248" spans="1:13" x14ac:dyDescent="0.25">
      <c r="A248" t="s">
        <v>252</v>
      </c>
      <c r="B248">
        <f>VLOOKUP(A248,'[1]统计年鉴数据-徐 '!$A:$H,8,0)</f>
        <v>9.73</v>
      </c>
      <c r="M248" s="13">
        <f t="shared" si="4"/>
        <v>1.0549644173085759</v>
      </c>
    </row>
    <row r="249" spans="1:13" x14ac:dyDescent="0.25">
      <c r="A249" t="s">
        <v>253</v>
      </c>
      <c r="B249">
        <f>VLOOKUP(A249,'[1]统计年鉴数据-徐 '!$A:$H,8,0)</f>
        <v>9.64</v>
      </c>
      <c r="M249" s="13">
        <f t="shared" si="4"/>
        <v>1.0549644173085759</v>
      </c>
    </row>
    <row r="250" spans="1:13" x14ac:dyDescent="0.25">
      <c r="A250" t="s">
        <v>254</v>
      </c>
      <c r="B250">
        <f>VLOOKUP(A250,'[1]统计年鉴数据-徐 '!$A:$H,8,0)</f>
        <v>9.26</v>
      </c>
      <c r="M250" s="13">
        <f t="shared" si="4"/>
        <v>1.0549644173085759</v>
      </c>
    </row>
    <row r="251" spans="1:13" x14ac:dyDescent="0.25">
      <c r="A251" t="s">
        <v>255</v>
      </c>
      <c r="B251">
        <f>VLOOKUP(A251,'[1]统计年鉴数据-徐 '!$A:$H,8,0)</f>
        <v>9.31</v>
      </c>
      <c r="M251" s="13">
        <f t="shared" si="4"/>
        <v>1.0549644173085759</v>
      </c>
    </row>
    <row r="252" spans="1:13" x14ac:dyDescent="0.25">
      <c r="A252" t="s">
        <v>256</v>
      </c>
      <c r="B252">
        <f>VLOOKUP(A252,'[1]统计年鉴数据-徐 '!$A:$H,8,0)</f>
        <v>9.3699999999999992</v>
      </c>
      <c r="M252" s="13">
        <f t="shared" si="4"/>
        <v>1.0549644173085759</v>
      </c>
    </row>
    <row r="253" spans="1:13" x14ac:dyDescent="0.25">
      <c r="A253" t="s">
        <v>257</v>
      </c>
      <c r="B253">
        <f>VLOOKUP(A253,'[1]统计年鉴数据-徐 '!$A:$H,8,0)</f>
        <v>8.94</v>
      </c>
      <c r="M253" s="13">
        <f t="shared" si="4"/>
        <v>1.0549644173085759</v>
      </c>
    </row>
    <row r="254" spans="1:13" x14ac:dyDescent="0.25">
      <c r="A254" t="s">
        <v>258</v>
      </c>
      <c r="B254">
        <f>VLOOKUP(A254,'[1]统计年鉴数据-徐 '!$A:$H,8,0)</f>
        <v>9.25</v>
      </c>
      <c r="M254" s="13">
        <f t="shared" si="4"/>
        <v>1.0549644173085759</v>
      </c>
    </row>
    <row r="255" spans="1:13" x14ac:dyDescent="0.25">
      <c r="A255" t="s">
        <v>259</v>
      </c>
      <c r="B255">
        <f>VLOOKUP(A255,'[1]统计年鉴数据-徐 '!$A:$H,8,0)</f>
        <v>9.49</v>
      </c>
      <c r="M255" s="13">
        <f t="shared" si="4"/>
        <v>1.0549644173085759</v>
      </c>
    </row>
    <row r="256" spans="1:13" x14ac:dyDescent="0.25">
      <c r="A256" t="s">
        <v>260</v>
      </c>
      <c r="B256">
        <f>VLOOKUP(A256,'[1]统计年鉴数据-徐 '!$A:$H,8,0)</f>
        <v>8.83</v>
      </c>
      <c r="M256" s="13">
        <f t="shared" si="4"/>
        <v>1.0549644173085759</v>
      </c>
    </row>
    <row r="257" spans="1:13" x14ac:dyDescent="0.25">
      <c r="A257" t="s">
        <v>261</v>
      </c>
      <c r="B257">
        <f>VLOOKUP(A257,'[1]统计年鉴数据-徐 '!$A:$H,8,0)</f>
        <v>8.8000000000000007</v>
      </c>
      <c r="M257" s="13">
        <f t="shared" si="4"/>
        <v>1.0549644173085759</v>
      </c>
    </row>
    <row r="258" spans="1:13" x14ac:dyDescent="0.25">
      <c r="A258" t="s">
        <v>262</v>
      </c>
      <c r="B258">
        <f>VLOOKUP(A258,'[1]统计年鉴数据-徐 '!$A:$H,8,0)</f>
        <v>10.24</v>
      </c>
      <c r="M258" s="13">
        <f t="shared" si="4"/>
        <v>1.0549644173085759</v>
      </c>
    </row>
    <row r="259" spans="1:13" x14ac:dyDescent="0.25">
      <c r="A259" t="s">
        <v>263</v>
      </c>
      <c r="B259">
        <f>VLOOKUP(A259,'[1]统计年鉴数据-徐 '!$A:$H,8,0)</f>
        <v>8.52</v>
      </c>
      <c r="M259" s="13">
        <f t="shared" si="4"/>
        <v>1.0549644173085759</v>
      </c>
    </row>
    <row r="260" spans="1:13" x14ac:dyDescent="0.25">
      <c r="A260" t="s">
        <v>264</v>
      </c>
      <c r="B260">
        <f>VLOOKUP(A260,'[1]统计年鉴数据-徐 '!$A:$H,8,0)</f>
        <v>7.46</v>
      </c>
      <c r="M260" s="13">
        <f t="shared" si="4"/>
        <v>1.0549644173085759</v>
      </c>
    </row>
    <row r="261" spans="1:13" x14ac:dyDescent="0.25">
      <c r="A261" t="s">
        <v>265</v>
      </c>
      <c r="B261">
        <f>VLOOKUP(A261,'[1]统计年鉴数据-徐 '!$A:$H,8,0)</f>
        <v>8.56</v>
      </c>
      <c r="M261" s="13">
        <f t="shared" ref="M261:M299" si="5">IF(AND(L$4&lt;=C261, C261&lt;=K$4),D$4/C261,IF(C261&gt;=K$4,D$4/K$4,D$4/L$4))</f>
        <v>1.0549644173085759</v>
      </c>
    </row>
    <row r="262" spans="1:13" x14ac:dyDescent="0.25">
      <c r="A262" t="s">
        <v>266</v>
      </c>
      <c r="B262">
        <f>VLOOKUP(A262,'[1]统计年鉴数据-徐 '!$A:$H,8,0)</f>
        <v>8.93</v>
      </c>
      <c r="M262" s="13">
        <f t="shared" si="5"/>
        <v>1.0549644173085759</v>
      </c>
    </row>
    <row r="263" spans="1:13" x14ac:dyDescent="0.25">
      <c r="A263" t="s">
        <v>267</v>
      </c>
      <c r="B263">
        <f>VLOOKUP(A263,'[1]统计年鉴数据-徐 '!$A:$H,8,0)</f>
        <v>10.050000000000001</v>
      </c>
      <c r="M263" s="13">
        <f t="shared" si="5"/>
        <v>1.0549644173085759</v>
      </c>
    </row>
    <row r="264" spans="1:13" x14ac:dyDescent="0.25">
      <c r="A264" t="s">
        <v>268</v>
      </c>
      <c r="B264">
        <f>VLOOKUP(A264,'[1]统计年鉴数据-徐 '!$A:$H,8,0)</f>
        <v>10.06</v>
      </c>
      <c r="M264" s="13">
        <f t="shared" si="5"/>
        <v>1.0549644173085759</v>
      </c>
    </row>
    <row r="265" spans="1:13" x14ac:dyDescent="0.25">
      <c r="A265" t="s">
        <v>269</v>
      </c>
      <c r="B265">
        <f>VLOOKUP(A265,'[1]统计年鉴数据-徐 '!$A:$H,8,0)</f>
        <v>8.82</v>
      </c>
      <c r="M265" s="13">
        <f t="shared" si="5"/>
        <v>1.0549644173085759</v>
      </c>
    </row>
    <row r="266" spans="1:13" x14ac:dyDescent="0.25">
      <c r="A266" t="s">
        <v>270</v>
      </c>
      <c r="B266">
        <f>VLOOKUP(A266,'[1]统计年鉴数据-徐 '!$A:$H,8,0)</f>
        <v>9.5500000000000007</v>
      </c>
      <c r="M266" s="13">
        <f t="shared" si="5"/>
        <v>1.0549644173085759</v>
      </c>
    </row>
    <row r="267" spans="1:13" x14ac:dyDescent="0.25">
      <c r="A267" t="s">
        <v>271</v>
      </c>
      <c r="B267">
        <f>VLOOKUP(A267,'[1]统计年鉴数据-徐 '!$A:$H,8,0)</f>
        <v>8.57</v>
      </c>
      <c r="M267" s="13">
        <f t="shared" si="5"/>
        <v>1.0549644173085759</v>
      </c>
    </row>
    <row r="268" spans="1:13" x14ac:dyDescent="0.25">
      <c r="A268" t="s">
        <v>272</v>
      </c>
      <c r="B268">
        <f>VLOOKUP(A268,'[1]统计年鉴数据-徐 '!$A:$H,8,0)</f>
        <v>9.2200000000000006</v>
      </c>
      <c r="M268" s="13">
        <f t="shared" si="5"/>
        <v>1.0549644173085759</v>
      </c>
    </row>
    <row r="269" spans="1:13" x14ac:dyDescent="0.25">
      <c r="A269" t="s">
        <v>366</v>
      </c>
      <c r="B269">
        <f>VLOOKUP(A269,'[1]统计年鉴数据-徐 '!$A:$H,8,0)</f>
        <v>9.43</v>
      </c>
      <c r="M269" s="13">
        <f t="shared" si="5"/>
        <v>1.0549644173085759</v>
      </c>
    </row>
    <row r="270" spans="1:13" x14ac:dyDescent="0.25">
      <c r="A270" t="s">
        <v>273</v>
      </c>
      <c r="B270">
        <f>VLOOKUP(A270,'[1]统计年鉴数据-徐 '!$A:$H,8,0)</f>
        <v>9.41</v>
      </c>
      <c r="M270" s="13">
        <f t="shared" si="5"/>
        <v>1.0549644173085759</v>
      </c>
    </row>
    <row r="271" spans="1:13" x14ac:dyDescent="0.25">
      <c r="A271" t="s">
        <v>274</v>
      </c>
      <c r="B271">
        <f>VLOOKUP(A271,'[1]统计年鉴数据-徐 '!$A:$H,8,0)</f>
        <v>9.5</v>
      </c>
      <c r="M271" s="13">
        <f t="shared" si="5"/>
        <v>1.0549644173085759</v>
      </c>
    </row>
    <row r="272" spans="1:13" x14ac:dyDescent="0.25">
      <c r="A272" t="s">
        <v>275</v>
      </c>
      <c r="B272">
        <f>VLOOKUP(A272,'[1]统计年鉴数据-徐 '!$A:$H,8,0)</f>
        <v>9.34</v>
      </c>
      <c r="M272" s="13">
        <f t="shared" si="5"/>
        <v>1.0549644173085759</v>
      </c>
    </row>
    <row r="273" spans="1:13" x14ac:dyDescent="0.25">
      <c r="A273" t="s">
        <v>276</v>
      </c>
      <c r="B273">
        <f>VLOOKUP(A273,'[1]统计年鉴数据-徐 '!$A:$H,8,0)</f>
        <v>8.24</v>
      </c>
      <c r="M273" s="13">
        <f t="shared" si="5"/>
        <v>1.0549644173085759</v>
      </c>
    </row>
    <row r="274" spans="1:13" x14ac:dyDescent="0.25">
      <c r="A274" t="s">
        <v>277</v>
      </c>
      <c r="B274">
        <f>VLOOKUP(A274,'[1]统计年鉴数据-徐 '!$A:$H,8,0)</f>
        <v>9.11</v>
      </c>
      <c r="M274" s="13">
        <f t="shared" si="5"/>
        <v>1.0549644173085759</v>
      </c>
    </row>
    <row r="275" spans="1:13" x14ac:dyDescent="0.25">
      <c r="A275" t="s">
        <v>278</v>
      </c>
      <c r="B275">
        <f>VLOOKUP(A275,'[1]统计年鉴数据-徐 '!$A:$H,8,0)</f>
        <v>9.57</v>
      </c>
      <c r="M275" s="13">
        <f t="shared" si="5"/>
        <v>1.0549644173085759</v>
      </c>
    </row>
    <row r="276" spans="1:13" x14ac:dyDescent="0.25">
      <c r="A276" t="s">
        <v>279</v>
      </c>
      <c r="B276">
        <f>VLOOKUP(A276,'[1]统计年鉴数据-徐 '!$A:$H,8,0)</f>
        <v>8.51</v>
      </c>
      <c r="M276" s="13">
        <f t="shared" si="5"/>
        <v>1.0549644173085759</v>
      </c>
    </row>
    <row r="277" spans="1:13" x14ac:dyDescent="0.25">
      <c r="A277" t="s">
        <v>280</v>
      </c>
      <c r="B277">
        <f>VLOOKUP(A277,'[1]统计年鉴数据-徐 '!$A:$H,8,0)</f>
        <v>9.56</v>
      </c>
      <c r="M277" s="13">
        <f t="shared" si="5"/>
        <v>1.0549644173085759</v>
      </c>
    </row>
    <row r="278" spans="1:13" x14ac:dyDescent="0.25">
      <c r="A278" t="s">
        <v>281</v>
      </c>
      <c r="B278">
        <f>VLOOKUP(A278,'[1]统计年鉴数据-徐 '!$A:$H,8,0)</f>
        <v>9.08</v>
      </c>
      <c r="M278" s="13">
        <f t="shared" si="5"/>
        <v>1.0549644173085759</v>
      </c>
    </row>
    <row r="279" spans="1:13" x14ac:dyDescent="0.25">
      <c r="A279" t="s">
        <v>282</v>
      </c>
      <c r="B279">
        <f>VLOOKUP(A279,'[1]统计年鉴数据-徐 '!$A:$H,8,0)</f>
        <v>10.36</v>
      </c>
      <c r="M279" s="13">
        <f t="shared" si="5"/>
        <v>1.0549644173085759</v>
      </c>
    </row>
    <row r="280" spans="1:13" x14ac:dyDescent="0.25">
      <c r="A280" t="s">
        <v>283</v>
      </c>
      <c r="B280">
        <f>VLOOKUP(A280,'[1]统计年鉴数据-徐 '!$A:$H,8,0)</f>
        <v>9.3000000000000007</v>
      </c>
      <c r="M280" s="13">
        <f t="shared" si="5"/>
        <v>1.0549644173085759</v>
      </c>
    </row>
    <row r="281" spans="1:13" x14ac:dyDescent="0.25">
      <c r="A281" t="s">
        <v>284</v>
      </c>
      <c r="B281">
        <f>VLOOKUP(A281,'[1]统计年鉴数据-徐 '!$A:$H,8,0)</f>
        <v>9.86</v>
      </c>
      <c r="M281" s="13">
        <f t="shared" si="5"/>
        <v>1.0549644173085759</v>
      </c>
    </row>
    <row r="282" spans="1:13" x14ac:dyDescent="0.25">
      <c r="A282" t="s">
        <v>285</v>
      </c>
      <c r="B282">
        <f>VLOOKUP(A282,'[1]统计年鉴数据-徐 '!$A:$H,8,0)</f>
        <v>8.52</v>
      </c>
      <c r="M282" s="13">
        <f t="shared" si="5"/>
        <v>1.0549644173085759</v>
      </c>
    </row>
    <row r="283" spans="1:13" x14ac:dyDescent="0.25">
      <c r="A283" t="s">
        <v>367</v>
      </c>
      <c r="B283">
        <f>VLOOKUP(A283,'[1]统计年鉴数据-徐 '!$A:$H,8,0)</f>
        <v>9.68</v>
      </c>
      <c r="M283" s="13">
        <f t="shared" si="5"/>
        <v>1.0549644173085759</v>
      </c>
    </row>
    <row r="284" spans="1:13" x14ac:dyDescent="0.25">
      <c r="A284" t="s">
        <v>286</v>
      </c>
      <c r="B284">
        <f>VLOOKUP(A284,'[1]统计年鉴数据-徐 '!$A:$H,8,0)</f>
        <v>9.81</v>
      </c>
      <c r="M284" s="13">
        <f t="shared" si="5"/>
        <v>1.0549644173085759</v>
      </c>
    </row>
    <row r="285" spans="1:13" x14ac:dyDescent="0.25">
      <c r="A285" t="s">
        <v>287</v>
      </c>
      <c r="B285">
        <f>VLOOKUP(A285,'[1]统计年鉴数据-徐 '!$A:$H,8,0)</f>
        <v>8.34</v>
      </c>
      <c r="M285" s="13">
        <f t="shared" si="5"/>
        <v>1.0549644173085759</v>
      </c>
    </row>
    <row r="286" spans="1:13" x14ac:dyDescent="0.25">
      <c r="A286" t="s">
        <v>368</v>
      </c>
      <c r="B286">
        <f>VLOOKUP(A286,'[1]统计年鉴数据-徐 '!$A:$H,8,0)</f>
        <v>6.1</v>
      </c>
      <c r="M286" s="13">
        <f t="shared" si="5"/>
        <v>1.0549644173085759</v>
      </c>
    </row>
    <row r="287" spans="1:13" x14ac:dyDescent="0.25">
      <c r="A287" t="s">
        <v>288</v>
      </c>
      <c r="B287">
        <f>VLOOKUP(A287,'[1]统计年鉴数据-徐 '!$A:$H,8,0)</f>
        <v>5.77</v>
      </c>
      <c r="M287" s="13">
        <f t="shared" si="5"/>
        <v>1.0549644173085759</v>
      </c>
    </row>
    <row r="288" spans="1:13" x14ac:dyDescent="0.25">
      <c r="A288" t="s">
        <v>289</v>
      </c>
      <c r="B288">
        <f>VLOOKUP(A288,'[1]统计年鉴数据-徐 '!$A:$H,8,0)</f>
        <v>9.52</v>
      </c>
      <c r="M288" s="13">
        <f t="shared" si="5"/>
        <v>1.0549644173085759</v>
      </c>
    </row>
    <row r="289" spans="1:13" x14ac:dyDescent="0.25">
      <c r="A289" t="s">
        <v>290</v>
      </c>
      <c r="B289">
        <f>VLOOKUP(A289,'[1]统计年鉴数据-徐 '!$A:$H,8,0)</f>
        <v>9.69</v>
      </c>
      <c r="M289" s="13">
        <f t="shared" si="5"/>
        <v>1.0549644173085759</v>
      </c>
    </row>
    <row r="290" spans="1:13" x14ac:dyDescent="0.25">
      <c r="A290" t="s">
        <v>291</v>
      </c>
      <c r="B290">
        <f>VLOOKUP(A290,'[1]统计年鉴数据-徐 '!$A:$H,8,0)</f>
        <v>9.1999999999999993</v>
      </c>
      <c r="M290" s="13">
        <f t="shared" si="5"/>
        <v>1.0549644173085759</v>
      </c>
    </row>
    <row r="291" spans="1:13" x14ac:dyDescent="0.25">
      <c r="A291" t="s">
        <v>292</v>
      </c>
      <c r="B291">
        <f>VLOOKUP(A291,'[1]统计年鉴数据-徐 '!$A:$H,8,0)</f>
        <v>9.3800000000000008</v>
      </c>
      <c r="M291" s="13">
        <f t="shared" si="5"/>
        <v>1.0549644173085759</v>
      </c>
    </row>
    <row r="292" spans="1:13" x14ac:dyDescent="0.25">
      <c r="A292" t="s">
        <v>293</v>
      </c>
      <c r="B292">
        <f>VLOOKUP(A292,'[1]统计年鉴数据-徐 '!$A:$H,8,0)</f>
        <v>10.24</v>
      </c>
      <c r="M292" s="13">
        <f t="shared" si="5"/>
        <v>1.0549644173085759</v>
      </c>
    </row>
    <row r="293" spans="1:13" x14ac:dyDescent="0.25">
      <c r="A293" t="s">
        <v>294</v>
      </c>
      <c r="B293">
        <f>VLOOKUP(A293,'[1]统计年鉴数据-徐 '!$A:$H,8,0)</f>
        <v>10.32</v>
      </c>
      <c r="M293" s="13">
        <f t="shared" si="5"/>
        <v>1.0549644173085759</v>
      </c>
    </row>
    <row r="294" spans="1:13" x14ac:dyDescent="0.25">
      <c r="A294" t="s">
        <v>295</v>
      </c>
      <c r="B294">
        <f>VLOOKUP(A294,'[1]统计年鉴数据-徐 '!$A:$H,8,0)</f>
        <v>4.8099999999999996</v>
      </c>
      <c r="M294" s="13">
        <f t="shared" si="5"/>
        <v>1.0549644173085759</v>
      </c>
    </row>
    <row r="295" spans="1:13" x14ac:dyDescent="0.25">
      <c r="A295" t="s">
        <v>296</v>
      </c>
      <c r="B295">
        <f>VLOOKUP(A295,'[1]统计年鉴数据-徐 '!$A:$H,8,0)</f>
        <v>11.2</v>
      </c>
      <c r="M295" s="13">
        <f t="shared" si="5"/>
        <v>1.0549644173085759</v>
      </c>
    </row>
    <row r="296" spans="1:13" x14ac:dyDescent="0.25">
      <c r="A296" t="s">
        <v>297</v>
      </c>
      <c r="B296">
        <f>VLOOKUP(A296,'[1]统计年鉴数据-徐 '!$A:$H,8,0)</f>
        <v>9.73</v>
      </c>
      <c r="M296" s="13">
        <f t="shared" si="5"/>
        <v>1.0549644173085759</v>
      </c>
    </row>
    <row r="297" spans="1:13" x14ac:dyDescent="0.25">
      <c r="A297" t="s">
        <v>369</v>
      </c>
      <c r="B297">
        <f>VLOOKUP(A297,'[1]统计年鉴数据-徐 '!$A:$H,8,0)</f>
        <v>6.89</v>
      </c>
      <c r="M297" s="13">
        <f t="shared" si="5"/>
        <v>1.0549644173085759</v>
      </c>
    </row>
    <row r="298" spans="1:13" x14ac:dyDescent="0.25">
      <c r="A298" t="s">
        <v>298</v>
      </c>
      <c r="B298">
        <f>VLOOKUP(A298,'[1]统计年鉴数据-徐 '!$A:$H,8,0)</f>
        <v>11.14</v>
      </c>
      <c r="M298" s="13">
        <f t="shared" si="5"/>
        <v>1.0549644173085759</v>
      </c>
    </row>
    <row r="299" spans="1:13" x14ac:dyDescent="0.25">
      <c r="A299" t="s">
        <v>299</v>
      </c>
      <c r="B299">
        <f>VLOOKUP(A299,'[1]统计年鉴数据-徐 '!$A:$H,8,0)</f>
        <v>7.73</v>
      </c>
      <c r="M299" s="13">
        <f t="shared" si="5"/>
        <v>1.0549644173085759</v>
      </c>
    </row>
  </sheetData>
  <mergeCells count="2">
    <mergeCell ref="A1:B1"/>
    <mergeCell ref="A2:A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9A85D-E542-4E53-A620-49DD07E7A021}">
  <dimension ref="A1:E298"/>
  <sheetViews>
    <sheetView workbookViewId="0">
      <selection activeCell="F1" sqref="F1"/>
    </sheetView>
  </sheetViews>
  <sheetFormatPr defaultRowHeight="13.8" x14ac:dyDescent="0.25"/>
  <sheetData>
    <row r="1" spans="1:5" ht="14.4" x14ac:dyDescent="0.25">
      <c r="A1" s="20" t="s">
        <v>375</v>
      </c>
      <c r="B1" s="20" t="s">
        <v>377</v>
      </c>
      <c r="D1" s="20" t="s">
        <v>375</v>
      </c>
      <c r="E1" s="20" t="s">
        <v>377</v>
      </c>
    </row>
    <row r="2" spans="1:5" x14ac:dyDescent="0.25">
      <c r="A2" t="s">
        <v>22</v>
      </c>
      <c r="B2">
        <v>1</v>
      </c>
      <c r="D2" t="s">
        <v>22</v>
      </c>
      <c r="E2" cm="1">
        <f t="array" ref="E2:E297">INDEX(B2:B298, MATCH(D2:D297,A2:A298,0))</f>
        <v>1</v>
      </c>
    </row>
    <row r="3" spans="1:5" x14ac:dyDescent="0.25">
      <c r="A3" t="s">
        <v>25</v>
      </c>
      <c r="B3">
        <v>1</v>
      </c>
      <c r="D3" t="s">
        <v>23</v>
      </c>
      <c r="E3">
        <v>1</v>
      </c>
    </row>
    <row r="4" spans="1:5" x14ac:dyDescent="0.25">
      <c r="A4" t="s">
        <v>23</v>
      </c>
      <c r="B4">
        <v>1</v>
      </c>
      <c r="D4" t="s">
        <v>24</v>
      </c>
      <c r="E4">
        <v>1</v>
      </c>
    </row>
    <row r="5" spans="1:5" x14ac:dyDescent="0.25">
      <c r="A5" t="s">
        <v>24</v>
      </c>
      <c r="B5">
        <v>1</v>
      </c>
      <c r="D5" t="s">
        <v>25</v>
      </c>
      <c r="E5">
        <v>1</v>
      </c>
    </row>
    <row r="6" spans="1:5" x14ac:dyDescent="0.25">
      <c r="A6" t="s">
        <v>53</v>
      </c>
      <c r="B6">
        <v>3</v>
      </c>
      <c r="D6" t="s">
        <v>26</v>
      </c>
      <c r="E6">
        <v>1</v>
      </c>
    </row>
    <row r="7" spans="1:5" x14ac:dyDescent="0.25">
      <c r="A7" t="s">
        <v>41</v>
      </c>
      <c r="B7">
        <v>3</v>
      </c>
      <c r="D7" t="s">
        <v>27</v>
      </c>
      <c r="E7">
        <v>1</v>
      </c>
    </row>
    <row r="8" spans="1:5" x14ac:dyDescent="0.25">
      <c r="A8" t="s">
        <v>34</v>
      </c>
      <c r="B8">
        <v>2</v>
      </c>
      <c r="D8" t="s">
        <v>28</v>
      </c>
      <c r="E8">
        <v>1</v>
      </c>
    </row>
    <row r="9" spans="1:5" x14ac:dyDescent="0.25">
      <c r="A9" t="s">
        <v>36</v>
      </c>
      <c r="B9">
        <v>2</v>
      </c>
      <c r="D9" t="s">
        <v>29</v>
      </c>
      <c r="E9">
        <v>2</v>
      </c>
    </row>
    <row r="10" spans="1:5" x14ac:dyDescent="0.25">
      <c r="A10" t="s">
        <v>28</v>
      </c>
      <c r="B10">
        <v>1</v>
      </c>
      <c r="D10" t="s">
        <v>30</v>
      </c>
      <c r="E10">
        <v>1</v>
      </c>
    </row>
    <row r="11" spans="1:5" x14ac:dyDescent="0.25">
      <c r="A11" t="s">
        <v>61</v>
      </c>
      <c r="B11">
        <v>3</v>
      </c>
      <c r="D11" t="s">
        <v>31</v>
      </c>
      <c r="E11">
        <v>1</v>
      </c>
    </row>
    <row r="12" spans="1:5" x14ac:dyDescent="0.25">
      <c r="A12" t="s">
        <v>44</v>
      </c>
      <c r="B12">
        <v>2</v>
      </c>
      <c r="D12" t="s">
        <v>32</v>
      </c>
      <c r="E12">
        <v>1</v>
      </c>
    </row>
    <row r="13" spans="1:5" x14ac:dyDescent="0.25">
      <c r="A13" t="s">
        <v>35</v>
      </c>
      <c r="B13">
        <v>2</v>
      </c>
      <c r="D13" t="s">
        <v>33</v>
      </c>
      <c r="E13">
        <v>1</v>
      </c>
    </row>
    <row r="14" spans="1:5" x14ac:dyDescent="0.25">
      <c r="A14" t="s">
        <v>50</v>
      </c>
      <c r="B14">
        <v>2</v>
      </c>
      <c r="D14" t="s">
        <v>34</v>
      </c>
      <c r="E14">
        <v>2</v>
      </c>
    </row>
    <row r="15" spans="1:5" x14ac:dyDescent="0.25">
      <c r="A15" t="s">
        <v>55</v>
      </c>
      <c r="B15">
        <v>3</v>
      </c>
      <c r="D15" t="s">
        <v>35</v>
      </c>
      <c r="E15">
        <v>2</v>
      </c>
    </row>
    <row r="16" spans="1:5" x14ac:dyDescent="0.25">
      <c r="A16" t="s">
        <v>62</v>
      </c>
      <c r="B16">
        <v>3</v>
      </c>
      <c r="D16" t="s">
        <v>36</v>
      </c>
      <c r="E16">
        <v>2</v>
      </c>
    </row>
    <row r="17" spans="1:5" x14ac:dyDescent="0.25">
      <c r="A17" t="s">
        <v>26</v>
      </c>
      <c r="B17">
        <v>1</v>
      </c>
      <c r="D17" t="s">
        <v>37</v>
      </c>
      <c r="E17">
        <v>1</v>
      </c>
    </row>
    <row r="18" spans="1:5" x14ac:dyDescent="0.25">
      <c r="A18" t="s">
        <v>32</v>
      </c>
      <c r="B18">
        <v>1</v>
      </c>
      <c r="D18" t="s">
        <v>38</v>
      </c>
      <c r="E18">
        <v>1</v>
      </c>
    </row>
    <row r="19" spans="1:5" x14ac:dyDescent="0.25">
      <c r="A19" t="s">
        <v>54</v>
      </c>
      <c r="B19">
        <v>2</v>
      </c>
      <c r="D19" t="s">
        <v>39</v>
      </c>
      <c r="E19">
        <v>1</v>
      </c>
    </row>
    <row r="20" spans="1:5" x14ac:dyDescent="0.25">
      <c r="A20" t="s">
        <v>70</v>
      </c>
      <c r="B20">
        <v>4</v>
      </c>
      <c r="D20" t="s">
        <v>40</v>
      </c>
      <c r="E20">
        <v>1</v>
      </c>
    </row>
    <row r="21" spans="1:5" x14ac:dyDescent="0.25">
      <c r="A21" t="s">
        <v>72</v>
      </c>
      <c r="B21">
        <v>3</v>
      </c>
      <c r="D21" t="s">
        <v>41</v>
      </c>
      <c r="E21">
        <v>3</v>
      </c>
    </row>
    <row r="22" spans="1:5" x14ac:dyDescent="0.25">
      <c r="A22" t="s">
        <v>40</v>
      </c>
      <c r="B22">
        <v>1</v>
      </c>
      <c r="D22" t="s">
        <v>42</v>
      </c>
      <c r="E22">
        <v>2</v>
      </c>
    </row>
    <row r="23" spans="1:5" x14ac:dyDescent="0.25">
      <c r="A23" t="s">
        <v>31</v>
      </c>
      <c r="B23">
        <v>1</v>
      </c>
      <c r="D23" t="s">
        <v>43</v>
      </c>
      <c r="E23">
        <v>1</v>
      </c>
    </row>
    <row r="24" spans="1:5" x14ac:dyDescent="0.25">
      <c r="A24" t="s">
        <v>46</v>
      </c>
      <c r="B24">
        <v>2</v>
      </c>
      <c r="D24" t="s">
        <v>44</v>
      </c>
      <c r="E24">
        <v>2</v>
      </c>
    </row>
    <row r="25" spans="1:5" x14ac:dyDescent="0.25">
      <c r="A25" t="s">
        <v>30</v>
      </c>
      <c r="B25">
        <v>1</v>
      </c>
      <c r="D25" t="s">
        <v>45</v>
      </c>
      <c r="E25">
        <v>2</v>
      </c>
    </row>
    <row r="26" spans="1:5" x14ac:dyDescent="0.25">
      <c r="A26" t="s">
        <v>81</v>
      </c>
      <c r="B26">
        <v>3</v>
      </c>
      <c r="D26" t="s">
        <v>46</v>
      </c>
      <c r="E26">
        <v>2</v>
      </c>
    </row>
    <row r="27" spans="1:5" x14ac:dyDescent="0.25">
      <c r="A27" t="s">
        <v>59</v>
      </c>
      <c r="B27">
        <v>2</v>
      </c>
      <c r="D27" t="s">
        <v>47</v>
      </c>
      <c r="E27">
        <v>2</v>
      </c>
    </row>
    <row r="28" spans="1:5" x14ac:dyDescent="0.25">
      <c r="A28" t="s">
        <v>71</v>
      </c>
      <c r="B28">
        <v>2</v>
      </c>
      <c r="D28" t="s">
        <v>48</v>
      </c>
      <c r="E28">
        <v>1</v>
      </c>
    </row>
    <row r="29" spans="1:5" x14ac:dyDescent="0.25">
      <c r="A29" t="s">
        <v>52</v>
      </c>
      <c r="B29">
        <v>2</v>
      </c>
      <c r="D29" t="s">
        <v>49</v>
      </c>
      <c r="E29">
        <v>1</v>
      </c>
    </row>
    <row r="30" spans="1:5" x14ac:dyDescent="0.25">
      <c r="A30" t="s">
        <v>38</v>
      </c>
      <c r="B30">
        <v>1</v>
      </c>
      <c r="D30" t="s">
        <v>50</v>
      </c>
      <c r="E30">
        <v>2</v>
      </c>
    </row>
    <row r="31" spans="1:5" x14ac:dyDescent="0.25">
      <c r="A31" t="s">
        <v>33</v>
      </c>
      <c r="B31">
        <v>1</v>
      </c>
      <c r="D31" t="s">
        <v>51</v>
      </c>
      <c r="E31">
        <v>1</v>
      </c>
    </row>
    <row r="32" spans="1:5" x14ac:dyDescent="0.25">
      <c r="A32" t="s">
        <v>42</v>
      </c>
      <c r="B32">
        <v>2</v>
      </c>
      <c r="D32" t="s">
        <v>52</v>
      </c>
      <c r="E32">
        <v>2</v>
      </c>
    </row>
    <row r="33" spans="1:5" x14ac:dyDescent="0.25">
      <c r="A33" t="s">
        <v>82</v>
      </c>
      <c r="B33">
        <v>3</v>
      </c>
      <c r="D33" t="s">
        <v>53</v>
      </c>
      <c r="E33">
        <v>3</v>
      </c>
    </row>
    <row r="34" spans="1:5" x14ac:dyDescent="0.25">
      <c r="A34" t="s">
        <v>76</v>
      </c>
      <c r="B34">
        <v>2</v>
      </c>
      <c r="D34" t="s">
        <v>54</v>
      </c>
      <c r="E34">
        <v>2</v>
      </c>
    </row>
    <row r="35" spans="1:5" x14ac:dyDescent="0.25">
      <c r="A35" t="s">
        <v>49</v>
      </c>
      <c r="B35">
        <v>1</v>
      </c>
      <c r="D35" t="s">
        <v>55</v>
      </c>
      <c r="E35">
        <v>3</v>
      </c>
    </row>
    <row r="36" spans="1:5" x14ac:dyDescent="0.25">
      <c r="A36" t="s">
        <v>77</v>
      </c>
      <c r="B36">
        <v>3</v>
      </c>
      <c r="D36" t="s">
        <v>56</v>
      </c>
      <c r="E36">
        <v>2</v>
      </c>
    </row>
    <row r="37" spans="1:5" x14ac:dyDescent="0.25">
      <c r="A37" t="s">
        <v>73</v>
      </c>
      <c r="B37">
        <v>2</v>
      </c>
      <c r="D37" t="s">
        <v>57</v>
      </c>
      <c r="E37">
        <v>2</v>
      </c>
    </row>
    <row r="38" spans="1:5" x14ac:dyDescent="0.25">
      <c r="A38" t="s">
        <v>57</v>
      </c>
      <c r="B38">
        <v>2</v>
      </c>
      <c r="D38" t="s">
        <v>58</v>
      </c>
      <c r="E38">
        <v>1</v>
      </c>
    </row>
    <row r="39" spans="1:5" x14ac:dyDescent="0.25">
      <c r="A39" t="s">
        <v>66</v>
      </c>
      <c r="B39">
        <v>2</v>
      </c>
      <c r="D39" t="s">
        <v>59</v>
      </c>
      <c r="E39">
        <v>2</v>
      </c>
    </row>
    <row r="40" spans="1:5" x14ac:dyDescent="0.25">
      <c r="A40" t="s">
        <v>47</v>
      </c>
      <c r="B40">
        <v>2</v>
      </c>
      <c r="D40" t="s">
        <v>60</v>
      </c>
      <c r="E40">
        <v>2</v>
      </c>
    </row>
    <row r="41" spans="1:5" x14ac:dyDescent="0.25">
      <c r="A41" t="s">
        <v>78</v>
      </c>
      <c r="B41">
        <v>2</v>
      </c>
      <c r="D41" t="s">
        <v>61</v>
      </c>
      <c r="E41">
        <v>3</v>
      </c>
    </row>
    <row r="42" spans="1:5" x14ac:dyDescent="0.25">
      <c r="A42" t="s">
        <v>74</v>
      </c>
      <c r="B42">
        <v>2</v>
      </c>
      <c r="D42" t="s">
        <v>62</v>
      </c>
      <c r="E42">
        <v>3</v>
      </c>
    </row>
    <row r="43" spans="1:5" x14ac:dyDescent="0.25">
      <c r="A43" t="s">
        <v>353</v>
      </c>
      <c r="B43">
        <v>3</v>
      </c>
      <c r="D43" t="s">
        <v>309</v>
      </c>
      <c r="E43">
        <v>2</v>
      </c>
    </row>
    <row r="44" spans="1:5" x14ac:dyDescent="0.25">
      <c r="A44" t="s">
        <v>56</v>
      </c>
      <c r="B44">
        <v>2</v>
      </c>
      <c r="D44" t="s">
        <v>63</v>
      </c>
      <c r="E44">
        <v>2</v>
      </c>
    </row>
    <row r="45" spans="1:5" x14ac:dyDescent="0.25">
      <c r="A45" t="s">
        <v>51</v>
      </c>
      <c r="B45">
        <v>1</v>
      </c>
      <c r="D45" t="s">
        <v>64</v>
      </c>
      <c r="E45">
        <v>2</v>
      </c>
    </row>
    <row r="46" spans="1:5" x14ac:dyDescent="0.25">
      <c r="A46" t="s">
        <v>29</v>
      </c>
      <c r="B46">
        <v>2</v>
      </c>
      <c r="D46" t="s">
        <v>65</v>
      </c>
      <c r="E46">
        <v>1</v>
      </c>
    </row>
    <row r="47" spans="1:5" x14ac:dyDescent="0.25">
      <c r="A47" t="s">
        <v>39</v>
      </c>
      <c r="B47">
        <v>1</v>
      </c>
      <c r="D47" t="s">
        <v>310</v>
      </c>
      <c r="E47">
        <v>3</v>
      </c>
    </row>
    <row r="48" spans="1:5" x14ac:dyDescent="0.25">
      <c r="A48" t="s">
        <v>352</v>
      </c>
      <c r="B48">
        <v>2</v>
      </c>
      <c r="D48" t="s">
        <v>66</v>
      </c>
      <c r="E48">
        <v>2</v>
      </c>
    </row>
    <row r="49" spans="1:5" x14ac:dyDescent="0.25">
      <c r="A49" t="s">
        <v>68</v>
      </c>
      <c r="B49">
        <v>2</v>
      </c>
      <c r="D49" t="s">
        <v>67</v>
      </c>
      <c r="E49">
        <v>2</v>
      </c>
    </row>
    <row r="50" spans="1:5" x14ac:dyDescent="0.25">
      <c r="A50" t="s">
        <v>63</v>
      </c>
      <c r="B50">
        <v>2</v>
      </c>
      <c r="D50" t="s">
        <v>68</v>
      </c>
      <c r="E50">
        <v>2</v>
      </c>
    </row>
    <row r="51" spans="1:5" x14ac:dyDescent="0.25">
      <c r="A51" t="s">
        <v>354</v>
      </c>
      <c r="B51">
        <v>3</v>
      </c>
      <c r="D51" t="s">
        <v>69</v>
      </c>
      <c r="E51">
        <v>3</v>
      </c>
    </row>
    <row r="52" spans="1:5" x14ac:dyDescent="0.25">
      <c r="A52" t="s">
        <v>48</v>
      </c>
      <c r="B52">
        <v>1</v>
      </c>
      <c r="D52" t="s">
        <v>70</v>
      </c>
      <c r="E52">
        <v>4</v>
      </c>
    </row>
    <row r="53" spans="1:5" x14ac:dyDescent="0.25">
      <c r="A53" t="s">
        <v>86</v>
      </c>
      <c r="B53">
        <v>4</v>
      </c>
      <c r="D53" t="s">
        <v>71</v>
      </c>
      <c r="E53">
        <v>2</v>
      </c>
    </row>
    <row r="54" spans="1:5" x14ac:dyDescent="0.25">
      <c r="A54" t="s">
        <v>60</v>
      </c>
      <c r="B54">
        <v>2</v>
      </c>
      <c r="D54" t="s">
        <v>72</v>
      </c>
      <c r="E54">
        <v>3</v>
      </c>
    </row>
    <row r="55" spans="1:5" x14ac:dyDescent="0.25">
      <c r="A55" t="s">
        <v>89</v>
      </c>
      <c r="B55">
        <v>2</v>
      </c>
      <c r="D55" t="s">
        <v>73</v>
      </c>
      <c r="E55">
        <v>2</v>
      </c>
    </row>
    <row r="56" spans="1:5" x14ac:dyDescent="0.25">
      <c r="A56" t="s">
        <v>90</v>
      </c>
      <c r="B56">
        <v>3</v>
      </c>
      <c r="D56" t="s">
        <v>74</v>
      </c>
      <c r="E56">
        <v>2</v>
      </c>
    </row>
    <row r="57" spans="1:5" x14ac:dyDescent="0.25">
      <c r="A57" t="s">
        <v>87</v>
      </c>
      <c r="B57">
        <v>3</v>
      </c>
      <c r="D57" t="s">
        <v>75</v>
      </c>
      <c r="E57">
        <v>2</v>
      </c>
    </row>
    <row r="58" spans="1:5" x14ac:dyDescent="0.25">
      <c r="A58" t="s">
        <v>108</v>
      </c>
      <c r="B58">
        <v>3</v>
      </c>
      <c r="D58" t="s">
        <v>76</v>
      </c>
      <c r="E58">
        <v>2</v>
      </c>
    </row>
    <row r="59" spans="1:5" x14ac:dyDescent="0.25">
      <c r="A59" t="s">
        <v>80</v>
      </c>
      <c r="B59">
        <v>2</v>
      </c>
      <c r="D59" t="s">
        <v>77</v>
      </c>
      <c r="E59">
        <v>3</v>
      </c>
    </row>
    <row r="60" spans="1:5" x14ac:dyDescent="0.25">
      <c r="A60" t="s">
        <v>97</v>
      </c>
      <c r="B60">
        <v>3</v>
      </c>
      <c r="D60" t="s">
        <v>78</v>
      </c>
      <c r="E60">
        <v>2</v>
      </c>
    </row>
    <row r="61" spans="1:5" x14ac:dyDescent="0.25">
      <c r="A61" t="s">
        <v>67</v>
      </c>
      <c r="B61">
        <v>2</v>
      </c>
      <c r="D61" t="s">
        <v>79</v>
      </c>
      <c r="E61">
        <v>2</v>
      </c>
    </row>
    <row r="62" spans="1:5" x14ac:dyDescent="0.25">
      <c r="A62" t="s">
        <v>96</v>
      </c>
      <c r="B62">
        <v>3</v>
      </c>
      <c r="D62" t="s">
        <v>80</v>
      </c>
      <c r="E62">
        <v>2</v>
      </c>
    </row>
    <row r="63" spans="1:5" x14ac:dyDescent="0.25">
      <c r="A63" t="s">
        <v>85</v>
      </c>
      <c r="B63">
        <v>2</v>
      </c>
      <c r="D63" t="s">
        <v>81</v>
      </c>
      <c r="E63">
        <v>3</v>
      </c>
    </row>
    <row r="64" spans="1:5" x14ac:dyDescent="0.25">
      <c r="A64" t="s">
        <v>99</v>
      </c>
      <c r="B64">
        <v>3</v>
      </c>
      <c r="D64" t="s">
        <v>82</v>
      </c>
      <c r="E64">
        <v>3</v>
      </c>
    </row>
    <row r="65" spans="1:5" x14ac:dyDescent="0.25">
      <c r="A65" t="s">
        <v>105</v>
      </c>
      <c r="B65">
        <v>4</v>
      </c>
      <c r="D65" t="s">
        <v>83</v>
      </c>
      <c r="E65">
        <v>2</v>
      </c>
    </row>
    <row r="66" spans="1:5" x14ac:dyDescent="0.25">
      <c r="A66" t="s">
        <v>92</v>
      </c>
      <c r="B66">
        <v>3</v>
      </c>
      <c r="D66" t="s">
        <v>84</v>
      </c>
      <c r="E66">
        <v>2</v>
      </c>
    </row>
    <row r="67" spans="1:5" x14ac:dyDescent="0.25">
      <c r="A67" t="s">
        <v>27</v>
      </c>
      <c r="B67">
        <v>1</v>
      </c>
      <c r="D67" t="s">
        <v>85</v>
      </c>
      <c r="E67">
        <v>2</v>
      </c>
    </row>
    <row r="68" spans="1:5" x14ac:dyDescent="0.25">
      <c r="A68" t="s">
        <v>104</v>
      </c>
      <c r="B68">
        <v>3</v>
      </c>
      <c r="D68" t="s">
        <v>86</v>
      </c>
      <c r="E68">
        <v>4</v>
      </c>
    </row>
    <row r="69" spans="1:5" x14ac:dyDescent="0.25">
      <c r="A69" t="s">
        <v>45</v>
      </c>
      <c r="B69">
        <v>2</v>
      </c>
      <c r="D69" t="s">
        <v>311</v>
      </c>
      <c r="E69">
        <v>3</v>
      </c>
    </row>
    <row r="70" spans="1:5" x14ac:dyDescent="0.25">
      <c r="A70" t="s">
        <v>75</v>
      </c>
      <c r="B70">
        <v>2</v>
      </c>
      <c r="D70" t="s">
        <v>87</v>
      </c>
      <c r="E70">
        <v>3</v>
      </c>
    </row>
    <row r="71" spans="1:5" x14ac:dyDescent="0.25">
      <c r="A71" t="s">
        <v>65</v>
      </c>
      <c r="B71">
        <v>1</v>
      </c>
      <c r="D71" t="s">
        <v>88</v>
      </c>
      <c r="E71">
        <v>3</v>
      </c>
    </row>
    <row r="72" spans="1:5" x14ac:dyDescent="0.25">
      <c r="A72" t="s">
        <v>107</v>
      </c>
      <c r="B72">
        <v>3</v>
      </c>
      <c r="D72" t="s">
        <v>89</v>
      </c>
      <c r="E72">
        <v>2</v>
      </c>
    </row>
    <row r="73" spans="1:5" x14ac:dyDescent="0.25">
      <c r="A73" t="s">
        <v>88</v>
      </c>
      <c r="B73">
        <v>3</v>
      </c>
      <c r="D73" t="s">
        <v>90</v>
      </c>
      <c r="E73">
        <v>3</v>
      </c>
    </row>
    <row r="74" spans="1:5" x14ac:dyDescent="0.25">
      <c r="A74" t="s">
        <v>100</v>
      </c>
      <c r="B74">
        <v>3</v>
      </c>
      <c r="D74" t="s">
        <v>91</v>
      </c>
      <c r="E74">
        <v>2</v>
      </c>
    </row>
    <row r="75" spans="1:5" x14ac:dyDescent="0.25">
      <c r="A75" t="s">
        <v>110</v>
      </c>
      <c r="B75">
        <v>3</v>
      </c>
      <c r="D75" t="s">
        <v>92</v>
      </c>
      <c r="E75">
        <v>3</v>
      </c>
    </row>
    <row r="76" spans="1:5" x14ac:dyDescent="0.25">
      <c r="A76" t="s">
        <v>58</v>
      </c>
      <c r="B76">
        <v>1</v>
      </c>
      <c r="D76" t="s">
        <v>93</v>
      </c>
      <c r="E76">
        <v>2</v>
      </c>
    </row>
    <row r="77" spans="1:5" x14ac:dyDescent="0.25">
      <c r="A77" t="s">
        <v>103</v>
      </c>
      <c r="B77">
        <v>2</v>
      </c>
      <c r="D77" t="s">
        <v>94</v>
      </c>
      <c r="E77">
        <v>3</v>
      </c>
    </row>
    <row r="78" spans="1:5" x14ac:dyDescent="0.25">
      <c r="A78" t="s">
        <v>129</v>
      </c>
      <c r="B78">
        <v>3</v>
      </c>
      <c r="D78" t="s">
        <v>95</v>
      </c>
      <c r="E78">
        <v>3</v>
      </c>
    </row>
    <row r="79" spans="1:5" x14ac:dyDescent="0.25">
      <c r="A79" t="s">
        <v>91</v>
      </c>
      <c r="B79">
        <v>2</v>
      </c>
      <c r="D79" t="s">
        <v>96</v>
      </c>
      <c r="E79">
        <v>3</v>
      </c>
    </row>
    <row r="80" spans="1:5" x14ac:dyDescent="0.25">
      <c r="A80" t="s">
        <v>109</v>
      </c>
      <c r="B80">
        <v>3</v>
      </c>
      <c r="D80" t="s">
        <v>97</v>
      </c>
      <c r="E80">
        <v>3</v>
      </c>
    </row>
    <row r="81" spans="1:5" x14ac:dyDescent="0.25">
      <c r="A81" t="s">
        <v>93</v>
      </c>
      <c r="B81">
        <v>2</v>
      </c>
      <c r="D81" t="s">
        <v>98</v>
      </c>
      <c r="E81">
        <v>2</v>
      </c>
    </row>
    <row r="82" spans="1:5" x14ac:dyDescent="0.25">
      <c r="A82" t="s">
        <v>132</v>
      </c>
      <c r="B82">
        <v>3</v>
      </c>
      <c r="D82" t="s">
        <v>99</v>
      </c>
      <c r="E82">
        <v>3</v>
      </c>
    </row>
    <row r="83" spans="1:5" x14ac:dyDescent="0.25">
      <c r="A83" t="s">
        <v>114</v>
      </c>
      <c r="B83">
        <v>2</v>
      </c>
      <c r="D83" t="s">
        <v>100</v>
      </c>
      <c r="E83">
        <v>3</v>
      </c>
    </row>
    <row r="84" spans="1:5" x14ac:dyDescent="0.25">
      <c r="A84" t="s">
        <v>106</v>
      </c>
      <c r="B84">
        <v>2</v>
      </c>
      <c r="D84" t="s">
        <v>101</v>
      </c>
      <c r="E84">
        <v>2</v>
      </c>
    </row>
    <row r="85" spans="1:5" x14ac:dyDescent="0.25">
      <c r="A85" t="s">
        <v>125</v>
      </c>
      <c r="B85">
        <v>2</v>
      </c>
      <c r="D85" t="s">
        <v>102</v>
      </c>
      <c r="E85">
        <v>2</v>
      </c>
    </row>
    <row r="86" spans="1:5" x14ac:dyDescent="0.25">
      <c r="A86" t="s">
        <v>122</v>
      </c>
      <c r="B86">
        <v>2</v>
      </c>
      <c r="D86" t="s">
        <v>103</v>
      </c>
      <c r="E86">
        <v>2</v>
      </c>
    </row>
    <row r="87" spans="1:5" x14ac:dyDescent="0.25">
      <c r="A87" t="s">
        <v>146</v>
      </c>
      <c r="B87">
        <v>3</v>
      </c>
      <c r="D87" t="s">
        <v>104</v>
      </c>
      <c r="E87">
        <v>3</v>
      </c>
    </row>
    <row r="88" spans="1:5" x14ac:dyDescent="0.25">
      <c r="A88" t="s">
        <v>112</v>
      </c>
      <c r="B88">
        <v>2</v>
      </c>
      <c r="D88" s="2" t="s">
        <v>312</v>
      </c>
      <c r="E88">
        <v>2</v>
      </c>
    </row>
    <row r="89" spans="1:5" x14ac:dyDescent="0.25">
      <c r="A89" t="s">
        <v>79</v>
      </c>
      <c r="B89">
        <v>2</v>
      </c>
      <c r="D89" s="2" t="s">
        <v>105</v>
      </c>
      <c r="E89">
        <v>4</v>
      </c>
    </row>
    <row r="90" spans="1:5" x14ac:dyDescent="0.25">
      <c r="A90" t="s">
        <v>127</v>
      </c>
      <c r="B90">
        <v>4</v>
      </c>
      <c r="D90" s="2" t="s">
        <v>313</v>
      </c>
      <c r="E90">
        <v>3</v>
      </c>
    </row>
    <row r="91" spans="1:5" x14ac:dyDescent="0.25">
      <c r="A91" t="s">
        <v>118</v>
      </c>
      <c r="B91">
        <v>4</v>
      </c>
      <c r="D91" t="s">
        <v>106</v>
      </c>
      <c r="E91">
        <v>2</v>
      </c>
    </row>
    <row r="92" spans="1:5" x14ac:dyDescent="0.25">
      <c r="A92" t="s">
        <v>121</v>
      </c>
      <c r="B92">
        <v>2</v>
      </c>
      <c r="D92" t="s">
        <v>107</v>
      </c>
      <c r="E92">
        <v>3</v>
      </c>
    </row>
    <row r="93" spans="1:5" x14ac:dyDescent="0.25">
      <c r="A93" t="s">
        <v>119</v>
      </c>
      <c r="B93">
        <v>3</v>
      </c>
      <c r="D93" t="s">
        <v>108</v>
      </c>
      <c r="E93">
        <v>3</v>
      </c>
    </row>
    <row r="94" spans="1:5" x14ac:dyDescent="0.25">
      <c r="A94" t="s">
        <v>113</v>
      </c>
      <c r="B94">
        <v>2</v>
      </c>
      <c r="D94" t="s">
        <v>109</v>
      </c>
      <c r="E94">
        <v>3</v>
      </c>
    </row>
    <row r="95" spans="1:5" x14ac:dyDescent="0.25">
      <c r="A95" t="s">
        <v>136</v>
      </c>
      <c r="B95">
        <v>3</v>
      </c>
      <c r="D95" t="s">
        <v>110</v>
      </c>
      <c r="E95">
        <v>3</v>
      </c>
    </row>
    <row r="96" spans="1:5" x14ac:dyDescent="0.25">
      <c r="A96" t="s">
        <v>356</v>
      </c>
      <c r="B96">
        <v>3</v>
      </c>
      <c r="D96" t="s">
        <v>111</v>
      </c>
      <c r="E96">
        <v>2</v>
      </c>
    </row>
    <row r="97" spans="1:5" x14ac:dyDescent="0.25">
      <c r="A97" t="s">
        <v>120</v>
      </c>
      <c r="B97">
        <v>3</v>
      </c>
      <c r="D97" t="s">
        <v>112</v>
      </c>
      <c r="E97">
        <v>2</v>
      </c>
    </row>
    <row r="98" spans="1:5" x14ac:dyDescent="0.25">
      <c r="A98" t="s">
        <v>123</v>
      </c>
      <c r="B98">
        <v>3</v>
      </c>
      <c r="D98" t="s">
        <v>113</v>
      </c>
      <c r="E98">
        <v>2</v>
      </c>
    </row>
    <row r="99" spans="1:5" x14ac:dyDescent="0.25">
      <c r="A99" t="s">
        <v>357</v>
      </c>
      <c r="B99">
        <v>2</v>
      </c>
      <c r="D99" t="s">
        <v>114</v>
      </c>
      <c r="E99">
        <v>2</v>
      </c>
    </row>
    <row r="100" spans="1:5" x14ac:dyDescent="0.25">
      <c r="A100" t="s">
        <v>64</v>
      </c>
      <c r="B100">
        <v>2</v>
      </c>
      <c r="D100" t="s">
        <v>115</v>
      </c>
      <c r="E100">
        <v>2</v>
      </c>
    </row>
    <row r="101" spans="1:5" x14ac:dyDescent="0.25">
      <c r="A101" t="s">
        <v>116</v>
      </c>
      <c r="B101">
        <v>3</v>
      </c>
      <c r="D101" t="s">
        <v>116</v>
      </c>
      <c r="E101">
        <v>3</v>
      </c>
    </row>
    <row r="102" spans="1:5" x14ac:dyDescent="0.25">
      <c r="A102" t="s">
        <v>360</v>
      </c>
      <c r="B102">
        <v>4</v>
      </c>
      <c r="D102" t="s">
        <v>117</v>
      </c>
      <c r="E102">
        <v>2</v>
      </c>
    </row>
    <row r="103" spans="1:5" x14ac:dyDescent="0.25">
      <c r="A103" t="s">
        <v>130</v>
      </c>
      <c r="B103">
        <v>3</v>
      </c>
      <c r="D103" t="s">
        <v>118</v>
      </c>
      <c r="E103">
        <v>4</v>
      </c>
    </row>
    <row r="104" spans="1:5" x14ac:dyDescent="0.25">
      <c r="A104" t="s">
        <v>134</v>
      </c>
      <c r="B104">
        <v>3</v>
      </c>
      <c r="D104" t="s">
        <v>119</v>
      </c>
      <c r="E104">
        <v>3</v>
      </c>
    </row>
    <row r="105" spans="1:5" x14ac:dyDescent="0.25">
      <c r="A105" t="s">
        <v>133</v>
      </c>
      <c r="B105">
        <v>3</v>
      </c>
      <c r="D105" t="s">
        <v>120</v>
      </c>
      <c r="E105">
        <v>3</v>
      </c>
    </row>
    <row r="106" spans="1:5" x14ac:dyDescent="0.25">
      <c r="A106" t="s">
        <v>69</v>
      </c>
      <c r="B106">
        <v>3</v>
      </c>
      <c r="D106" t="s">
        <v>121</v>
      </c>
      <c r="E106">
        <v>2</v>
      </c>
    </row>
    <row r="107" spans="1:5" x14ac:dyDescent="0.25">
      <c r="A107" t="s">
        <v>94</v>
      </c>
      <c r="B107">
        <v>3</v>
      </c>
      <c r="D107" t="s">
        <v>122</v>
      </c>
      <c r="E107">
        <v>2</v>
      </c>
    </row>
    <row r="108" spans="1:5" x14ac:dyDescent="0.25">
      <c r="A108" t="s">
        <v>126</v>
      </c>
      <c r="B108">
        <v>3</v>
      </c>
      <c r="D108" t="s">
        <v>123</v>
      </c>
      <c r="E108">
        <v>3</v>
      </c>
    </row>
    <row r="109" spans="1:5" x14ac:dyDescent="0.25">
      <c r="A109" t="s">
        <v>43</v>
      </c>
      <c r="B109">
        <v>1</v>
      </c>
      <c r="D109" t="s">
        <v>124</v>
      </c>
      <c r="E109">
        <v>2</v>
      </c>
    </row>
    <row r="110" spans="1:5" x14ac:dyDescent="0.25">
      <c r="A110" t="s">
        <v>148</v>
      </c>
      <c r="B110">
        <v>3</v>
      </c>
      <c r="D110" t="s">
        <v>125</v>
      </c>
      <c r="E110">
        <v>2</v>
      </c>
    </row>
    <row r="111" spans="1:5" x14ac:dyDescent="0.25">
      <c r="A111" t="s">
        <v>135</v>
      </c>
      <c r="B111">
        <v>3</v>
      </c>
      <c r="D111" t="s">
        <v>126</v>
      </c>
      <c r="E111">
        <v>3</v>
      </c>
    </row>
    <row r="112" spans="1:5" x14ac:dyDescent="0.25">
      <c r="A112" t="s">
        <v>138</v>
      </c>
      <c r="B112">
        <v>2</v>
      </c>
      <c r="D112" t="s">
        <v>127</v>
      </c>
      <c r="E112">
        <v>4</v>
      </c>
    </row>
    <row r="113" spans="1:5" x14ac:dyDescent="0.25">
      <c r="A113" t="s">
        <v>139</v>
      </c>
      <c r="B113">
        <v>3</v>
      </c>
      <c r="D113" t="s">
        <v>128</v>
      </c>
      <c r="E113">
        <v>2</v>
      </c>
    </row>
    <row r="114" spans="1:5" x14ac:dyDescent="0.25">
      <c r="A114" t="s">
        <v>111</v>
      </c>
      <c r="B114">
        <v>2</v>
      </c>
      <c r="D114" t="s">
        <v>129</v>
      </c>
      <c r="E114">
        <v>3</v>
      </c>
    </row>
    <row r="115" spans="1:5" x14ac:dyDescent="0.25">
      <c r="A115" t="s">
        <v>358</v>
      </c>
      <c r="B115">
        <v>2</v>
      </c>
      <c r="D115" t="s">
        <v>130</v>
      </c>
      <c r="E115">
        <v>3</v>
      </c>
    </row>
    <row r="116" spans="1:5" x14ac:dyDescent="0.25">
      <c r="A116" t="s">
        <v>141</v>
      </c>
      <c r="B116">
        <v>4</v>
      </c>
      <c r="D116" t="s">
        <v>131</v>
      </c>
      <c r="E116">
        <v>2</v>
      </c>
    </row>
    <row r="117" spans="1:5" x14ac:dyDescent="0.25">
      <c r="A117" t="s">
        <v>169</v>
      </c>
      <c r="B117">
        <v>4</v>
      </c>
      <c r="D117" t="s">
        <v>132</v>
      </c>
      <c r="E117">
        <v>3</v>
      </c>
    </row>
    <row r="118" spans="1:5" x14ac:dyDescent="0.25">
      <c r="A118" t="s">
        <v>124</v>
      </c>
      <c r="B118">
        <v>2</v>
      </c>
      <c r="D118" t="s">
        <v>133</v>
      </c>
      <c r="E118">
        <v>3</v>
      </c>
    </row>
    <row r="119" spans="1:5" x14ac:dyDescent="0.25">
      <c r="A119" t="s">
        <v>143</v>
      </c>
      <c r="B119">
        <v>3</v>
      </c>
      <c r="D119" t="s">
        <v>134</v>
      </c>
      <c r="E119">
        <v>3</v>
      </c>
    </row>
    <row r="120" spans="1:5" x14ac:dyDescent="0.25">
      <c r="A120" t="s">
        <v>167</v>
      </c>
      <c r="B120">
        <v>4</v>
      </c>
      <c r="D120" t="s">
        <v>135</v>
      </c>
      <c r="E120">
        <v>3</v>
      </c>
    </row>
    <row r="121" spans="1:5" x14ac:dyDescent="0.25">
      <c r="A121" t="s">
        <v>149</v>
      </c>
      <c r="B121">
        <v>3</v>
      </c>
      <c r="D121" t="s">
        <v>136</v>
      </c>
      <c r="E121">
        <v>3</v>
      </c>
    </row>
    <row r="122" spans="1:5" x14ac:dyDescent="0.25">
      <c r="A122" t="s">
        <v>102</v>
      </c>
      <c r="B122">
        <v>2</v>
      </c>
      <c r="D122" t="s">
        <v>137</v>
      </c>
      <c r="E122">
        <v>2</v>
      </c>
    </row>
    <row r="123" spans="1:5" x14ac:dyDescent="0.25">
      <c r="A123" t="s">
        <v>84</v>
      </c>
      <c r="B123">
        <v>2</v>
      </c>
      <c r="D123" t="s">
        <v>138</v>
      </c>
      <c r="E123">
        <v>2</v>
      </c>
    </row>
    <row r="124" spans="1:5" x14ac:dyDescent="0.25">
      <c r="A124" t="s">
        <v>359</v>
      </c>
      <c r="B124">
        <v>3</v>
      </c>
      <c r="D124" t="s">
        <v>139</v>
      </c>
      <c r="E124">
        <v>3</v>
      </c>
    </row>
    <row r="125" spans="1:5" x14ac:dyDescent="0.25">
      <c r="A125" t="s">
        <v>117</v>
      </c>
      <c r="B125">
        <v>2</v>
      </c>
      <c r="D125" t="s">
        <v>314</v>
      </c>
      <c r="E125">
        <v>2</v>
      </c>
    </row>
    <row r="126" spans="1:5" x14ac:dyDescent="0.25">
      <c r="A126" t="s">
        <v>159</v>
      </c>
      <c r="B126">
        <v>4</v>
      </c>
      <c r="D126" t="s">
        <v>140</v>
      </c>
      <c r="E126">
        <v>2</v>
      </c>
    </row>
    <row r="127" spans="1:5" x14ac:dyDescent="0.25">
      <c r="A127" t="s">
        <v>154</v>
      </c>
      <c r="B127">
        <v>3</v>
      </c>
      <c r="D127" t="s">
        <v>315</v>
      </c>
      <c r="E127">
        <v>2</v>
      </c>
    </row>
    <row r="128" spans="1:5" x14ac:dyDescent="0.25">
      <c r="A128" t="s">
        <v>142</v>
      </c>
      <c r="B128">
        <v>3</v>
      </c>
      <c r="D128" t="s">
        <v>141</v>
      </c>
      <c r="E128">
        <v>4</v>
      </c>
    </row>
    <row r="129" spans="1:5" x14ac:dyDescent="0.25">
      <c r="A129" t="s">
        <v>147</v>
      </c>
      <c r="B129">
        <v>2</v>
      </c>
      <c r="D129" t="s">
        <v>142</v>
      </c>
      <c r="E129">
        <v>3</v>
      </c>
    </row>
    <row r="130" spans="1:5" x14ac:dyDescent="0.25">
      <c r="A130" t="s">
        <v>155</v>
      </c>
      <c r="B130">
        <v>4</v>
      </c>
      <c r="D130" t="s">
        <v>143</v>
      </c>
      <c r="E130">
        <v>3</v>
      </c>
    </row>
    <row r="131" spans="1:5" x14ac:dyDescent="0.25">
      <c r="A131" t="s">
        <v>166</v>
      </c>
      <c r="B131">
        <v>3</v>
      </c>
      <c r="D131" t="s">
        <v>144</v>
      </c>
      <c r="E131">
        <v>3</v>
      </c>
    </row>
    <row r="132" spans="1:5" x14ac:dyDescent="0.25">
      <c r="A132" t="s">
        <v>83</v>
      </c>
      <c r="B132">
        <v>2</v>
      </c>
      <c r="D132" t="s">
        <v>145</v>
      </c>
      <c r="E132">
        <v>2</v>
      </c>
    </row>
    <row r="133" spans="1:5" x14ac:dyDescent="0.25">
      <c r="A133" t="s">
        <v>115</v>
      </c>
      <c r="B133">
        <v>2</v>
      </c>
      <c r="D133" t="s">
        <v>146</v>
      </c>
      <c r="E133">
        <v>3</v>
      </c>
    </row>
    <row r="134" spans="1:5" x14ac:dyDescent="0.25">
      <c r="A134" t="s">
        <v>177</v>
      </c>
      <c r="B134">
        <v>3</v>
      </c>
      <c r="D134" t="s">
        <v>147</v>
      </c>
      <c r="E134">
        <v>2</v>
      </c>
    </row>
    <row r="135" spans="1:5" x14ac:dyDescent="0.25">
      <c r="A135" t="s">
        <v>153</v>
      </c>
      <c r="B135">
        <v>2</v>
      </c>
      <c r="D135" t="s">
        <v>148</v>
      </c>
      <c r="E135">
        <v>3</v>
      </c>
    </row>
    <row r="136" spans="1:5" x14ac:dyDescent="0.25">
      <c r="A136" t="s">
        <v>144</v>
      </c>
      <c r="B136">
        <v>3</v>
      </c>
      <c r="D136" t="s">
        <v>149</v>
      </c>
      <c r="E136">
        <v>3</v>
      </c>
    </row>
    <row r="137" spans="1:5" x14ac:dyDescent="0.25">
      <c r="A137" t="s">
        <v>145</v>
      </c>
      <c r="B137">
        <v>2</v>
      </c>
      <c r="D137" t="s">
        <v>316</v>
      </c>
      <c r="E137">
        <v>3</v>
      </c>
    </row>
    <row r="138" spans="1:5" x14ac:dyDescent="0.25">
      <c r="A138" t="s">
        <v>137</v>
      </c>
      <c r="B138">
        <v>2</v>
      </c>
      <c r="D138" t="s">
        <v>150</v>
      </c>
      <c r="E138">
        <v>2</v>
      </c>
    </row>
    <row r="139" spans="1:5" x14ac:dyDescent="0.25">
      <c r="A139" t="s">
        <v>98</v>
      </c>
      <c r="B139">
        <v>2</v>
      </c>
      <c r="D139" t="s">
        <v>317</v>
      </c>
      <c r="E139">
        <v>4</v>
      </c>
    </row>
    <row r="140" spans="1:5" x14ac:dyDescent="0.25">
      <c r="A140" t="s">
        <v>160</v>
      </c>
      <c r="B140">
        <v>4</v>
      </c>
      <c r="D140" t="s">
        <v>151</v>
      </c>
      <c r="E140">
        <v>2</v>
      </c>
    </row>
    <row r="141" spans="1:5" x14ac:dyDescent="0.25">
      <c r="A141" t="s">
        <v>180</v>
      </c>
      <c r="B141">
        <v>2</v>
      </c>
      <c r="D141" t="s">
        <v>152</v>
      </c>
      <c r="E141">
        <v>3</v>
      </c>
    </row>
    <row r="142" spans="1:5" x14ac:dyDescent="0.25">
      <c r="A142" t="s">
        <v>101</v>
      </c>
      <c r="B142">
        <v>2</v>
      </c>
      <c r="D142" t="s">
        <v>153</v>
      </c>
      <c r="E142">
        <v>2</v>
      </c>
    </row>
    <row r="143" spans="1:5" x14ac:dyDescent="0.25">
      <c r="A143" t="s">
        <v>151</v>
      </c>
      <c r="B143">
        <v>2</v>
      </c>
      <c r="D143" t="s">
        <v>154</v>
      </c>
      <c r="E143">
        <v>3</v>
      </c>
    </row>
    <row r="144" spans="1:5" x14ac:dyDescent="0.25">
      <c r="A144" t="s">
        <v>150</v>
      </c>
      <c r="B144">
        <v>2</v>
      </c>
      <c r="D144" t="s">
        <v>155</v>
      </c>
      <c r="E144">
        <v>4</v>
      </c>
    </row>
    <row r="145" spans="1:5" x14ac:dyDescent="0.25">
      <c r="A145" t="s">
        <v>168</v>
      </c>
      <c r="B145">
        <v>3</v>
      </c>
      <c r="D145" t="s">
        <v>156</v>
      </c>
      <c r="E145">
        <v>3</v>
      </c>
    </row>
    <row r="146" spans="1:5" x14ac:dyDescent="0.25">
      <c r="A146" t="s">
        <v>152</v>
      </c>
      <c r="B146">
        <v>3</v>
      </c>
      <c r="D146" t="s">
        <v>157</v>
      </c>
      <c r="E146">
        <v>3</v>
      </c>
    </row>
    <row r="147" spans="1:5" x14ac:dyDescent="0.25">
      <c r="A147" t="s">
        <v>157</v>
      </c>
      <c r="B147">
        <v>3</v>
      </c>
      <c r="D147" t="s">
        <v>158</v>
      </c>
      <c r="E147">
        <v>2</v>
      </c>
    </row>
    <row r="148" spans="1:5" x14ac:dyDescent="0.25">
      <c r="A148" t="s">
        <v>170</v>
      </c>
      <c r="B148">
        <v>3</v>
      </c>
      <c r="D148" t="s">
        <v>159</v>
      </c>
      <c r="E148">
        <v>4</v>
      </c>
    </row>
    <row r="149" spans="1:5" x14ac:dyDescent="0.25">
      <c r="A149" t="s">
        <v>163</v>
      </c>
      <c r="B149">
        <v>3</v>
      </c>
      <c r="D149" t="s">
        <v>160</v>
      </c>
      <c r="E149">
        <v>4</v>
      </c>
    </row>
    <row r="150" spans="1:5" x14ac:dyDescent="0.25">
      <c r="A150" t="s">
        <v>165</v>
      </c>
      <c r="B150">
        <v>3</v>
      </c>
      <c r="D150" t="s">
        <v>161</v>
      </c>
      <c r="E150">
        <v>3</v>
      </c>
    </row>
    <row r="151" spans="1:5" x14ac:dyDescent="0.25">
      <c r="A151" t="s">
        <v>95</v>
      </c>
      <c r="B151">
        <v>3</v>
      </c>
      <c r="D151" t="s">
        <v>162</v>
      </c>
      <c r="E151">
        <v>3</v>
      </c>
    </row>
    <row r="152" spans="1:5" x14ac:dyDescent="0.25">
      <c r="A152" t="s">
        <v>156</v>
      </c>
      <c r="B152">
        <v>3</v>
      </c>
      <c r="D152" t="s">
        <v>163</v>
      </c>
      <c r="E152">
        <v>3</v>
      </c>
    </row>
    <row r="153" spans="1:5" x14ac:dyDescent="0.25">
      <c r="A153" t="s">
        <v>191</v>
      </c>
      <c r="B153">
        <v>3</v>
      </c>
      <c r="D153" t="s">
        <v>164</v>
      </c>
      <c r="E153">
        <v>2</v>
      </c>
    </row>
    <row r="154" spans="1:5" x14ac:dyDescent="0.25">
      <c r="A154" t="s">
        <v>182</v>
      </c>
      <c r="B154">
        <v>3</v>
      </c>
      <c r="D154" t="s">
        <v>165</v>
      </c>
      <c r="E154">
        <v>3</v>
      </c>
    </row>
    <row r="155" spans="1:5" x14ac:dyDescent="0.25">
      <c r="A155" t="s">
        <v>171</v>
      </c>
      <c r="B155">
        <v>2</v>
      </c>
      <c r="D155" t="s">
        <v>166</v>
      </c>
      <c r="E155">
        <v>3</v>
      </c>
    </row>
    <row r="156" spans="1:5" x14ac:dyDescent="0.25">
      <c r="A156" t="s">
        <v>198</v>
      </c>
      <c r="B156">
        <v>4</v>
      </c>
      <c r="D156" t="s">
        <v>167</v>
      </c>
      <c r="E156">
        <v>4</v>
      </c>
    </row>
    <row r="157" spans="1:5" x14ac:dyDescent="0.25">
      <c r="A157" t="s">
        <v>181</v>
      </c>
      <c r="B157">
        <v>3</v>
      </c>
      <c r="D157" t="s">
        <v>168</v>
      </c>
      <c r="E157">
        <v>3</v>
      </c>
    </row>
    <row r="158" spans="1:5" x14ac:dyDescent="0.25">
      <c r="A158" t="s">
        <v>193</v>
      </c>
      <c r="B158">
        <v>3</v>
      </c>
      <c r="D158" t="s">
        <v>169</v>
      </c>
      <c r="E158">
        <v>4</v>
      </c>
    </row>
    <row r="159" spans="1:5" x14ac:dyDescent="0.25">
      <c r="A159" t="s">
        <v>176</v>
      </c>
      <c r="B159">
        <v>4</v>
      </c>
      <c r="D159" t="s">
        <v>170</v>
      </c>
      <c r="E159">
        <v>3</v>
      </c>
    </row>
    <row r="160" spans="1:5" x14ac:dyDescent="0.25">
      <c r="A160" t="s">
        <v>195</v>
      </c>
      <c r="B160">
        <v>4</v>
      </c>
      <c r="D160" t="s">
        <v>171</v>
      </c>
      <c r="E160">
        <v>2</v>
      </c>
    </row>
    <row r="161" spans="1:5" x14ac:dyDescent="0.25">
      <c r="A161" t="s">
        <v>192</v>
      </c>
      <c r="B161">
        <v>3</v>
      </c>
      <c r="D161" t="s">
        <v>172</v>
      </c>
      <c r="E161">
        <v>3</v>
      </c>
    </row>
    <row r="162" spans="1:5" x14ac:dyDescent="0.25">
      <c r="A162" t="s">
        <v>175</v>
      </c>
      <c r="B162">
        <v>3</v>
      </c>
      <c r="D162" t="s">
        <v>173</v>
      </c>
      <c r="E162">
        <v>2</v>
      </c>
    </row>
    <row r="163" spans="1:5" x14ac:dyDescent="0.25">
      <c r="A163" t="s">
        <v>184</v>
      </c>
      <c r="B163">
        <v>3</v>
      </c>
      <c r="D163" t="s">
        <v>174</v>
      </c>
      <c r="E163">
        <v>2</v>
      </c>
    </row>
    <row r="164" spans="1:5" x14ac:dyDescent="0.25">
      <c r="A164" t="s">
        <v>173</v>
      </c>
      <c r="B164">
        <v>2</v>
      </c>
      <c r="D164" t="s">
        <v>175</v>
      </c>
      <c r="E164">
        <v>3</v>
      </c>
    </row>
    <row r="165" spans="1:5" x14ac:dyDescent="0.25">
      <c r="A165" t="s">
        <v>174</v>
      </c>
      <c r="B165">
        <v>2</v>
      </c>
      <c r="D165" t="s">
        <v>176</v>
      </c>
      <c r="E165">
        <v>4</v>
      </c>
    </row>
    <row r="166" spans="1:5" x14ac:dyDescent="0.25">
      <c r="A166" t="s">
        <v>190</v>
      </c>
      <c r="B166">
        <v>3</v>
      </c>
      <c r="D166" t="s">
        <v>177</v>
      </c>
      <c r="E166">
        <v>3</v>
      </c>
    </row>
    <row r="167" spans="1:5" x14ac:dyDescent="0.25">
      <c r="A167" t="s">
        <v>224</v>
      </c>
      <c r="B167">
        <v>4</v>
      </c>
      <c r="D167" t="s">
        <v>178</v>
      </c>
      <c r="E167">
        <v>2</v>
      </c>
    </row>
    <row r="168" spans="1:5" x14ac:dyDescent="0.25">
      <c r="A168" t="s">
        <v>131</v>
      </c>
      <c r="B168">
        <v>2</v>
      </c>
      <c r="D168" t="s">
        <v>179</v>
      </c>
      <c r="E168">
        <v>2</v>
      </c>
    </row>
    <row r="169" spans="1:5" x14ac:dyDescent="0.25">
      <c r="A169" t="s">
        <v>161</v>
      </c>
      <c r="B169">
        <v>3</v>
      </c>
      <c r="D169" t="s">
        <v>180</v>
      </c>
      <c r="E169">
        <v>2</v>
      </c>
    </row>
    <row r="170" spans="1:5" x14ac:dyDescent="0.25">
      <c r="A170" t="s">
        <v>164</v>
      </c>
      <c r="B170">
        <v>2</v>
      </c>
      <c r="D170" t="s">
        <v>181</v>
      </c>
      <c r="E170">
        <v>3</v>
      </c>
    </row>
    <row r="171" spans="1:5" x14ac:dyDescent="0.25">
      <c r="A171" t="s">
        <v>188</v>
      </c>
      <c r="B171">
        <v>3</v>
      </c>
      <c r="D171" t="s">
        <v>182</v>
      </c>
      <c r="E171">
        <v>3</v>
      </c>
    </row>
    <row r="172" spans="1:5" x14ac:dyDescent="0.25">
      <c r="A172" t="s">
        <v>197</v>
      </c>
      <c r="B172">
        <v>3</v>
      </c>
      <c r="D172" t="s">
        <v>183</v>
      </c>
      <c r="E172">
        <v>3</v>
      </c>
    </row>
    <row r="173" spans="1:5" x14ac:dyDescent="0.25">
      <c r="A173" t="s">
        <v>211</v>
      </c>
      <c r="B173">
        <v>3</v>
      </c>
      <c r="D173" t="s">
        <v>184</v>
      </c>
      <c r="E173">
        <v>3</v>
      </c>
    </row>
    <row r="174" spans="1:5" x14ac:dyDescent="0.25">
      <c r="A174" t="s">
        <v>179</v>
      </c>
      <c r="B174">
        <v>2</v>
      </c>
      <c r="D174" t="s">
        <v>185</v>
      </c>
      <c r="E174">
        <v>3</v>
      </c>
    </row>
    <row r="175" spans="1:5" x14ac:dyDescent="0.25">
      <c r="A175" t="s">
        <v>187</v>
      </c>
      <c r="B175">
        <v>4</v>
      </c>
      <c r="D175" t="s">
        <v>186</v>
      </c>
      <c r="E175">
        <v>2</v>
      </c>
    </row>
    <row r="176" spans="1:5" x14ac:dyDescent="0.25">
      <c r="A176" t="s">
        <v>202</v>
      </c>
      <c r="B176">
        <v>4</v>
      </c>
      <c r="D176" t="s">
        <v>187</v>
      </c>
      <c r="E176">
        <v>4</v>
      </c>
    </row>
    <row r="177" spans="1:5" x14ac:dyDescent="0.25">
      <c r="A177" t="s">
        <v>183</v>
      </c>
      <c r="B177">
        <v>3</v>
      </c>
      <c r="D177" t="s">
        <v>188</v>
      </c>
      <c r="E177">
        <v>3</v>
      </c>
    </row>
    <row r="178" spans="1:5" x14ac:dyDescent="0.25">
      <c r="A178" t="s">
        <v>213</v>
      </c>
      <c r="B178">
        <v>3</v>
      </c>
      <c r="D178" t="s">
        <v>189</v>
      </c>
      <c r="E178">
        <v>2</v>
      </c>
    </row>
    <row r="179" spans="1:5" x14ac:dyDescent="0.25">
      <c r="A179" t="s">
        <v>201</v>
      </c>
      <c r="B179">
        <v>4</v>
      </c>
      <c r="D179" t="s">
        <v>190</v>
      </c>
      <c r="E179">
        <v>3</v>
      </c>
    </row>
    <row r="180" spans="1:5" x14ac:dyDescent="0.25">
      <c r="A180" t="s">
        <v>203</v>
      </c>
      <c r="B180">
        <v>4</v>
      </c>
      <c r="D180" t="s">
        <v>191</v>
      </c>
      <c r="E180">
        <v>3</v>
      </c>
    </row>
    <row r="181" spans="1:5" x14ac:dyDescent="0.25">
      <c r="A181" t="s">
        <v>204</v>
      </c>
      <c r="B181">
        <v>3</v>
      </c>
      <c r="D181" t="s">
        <v>192</v>
      </c>
      <c r="E181">
        <v>3</v>
      </c>
    </row>
    <row r="182" spans="1:5" x14ac:dyDescent="0.25">
      <c r="A182" t="s">
        <v>207</v>
      </c>
      <c r="B182">
        <v>4</v>
      </c>
      <c r="D182" t="s">
        <v>193</v>
      </c>
      <c r="E182">
        <v>3</v>
      </c>
    </row>
    <row r="183" spans="1:5" x14ac:dyDescent="0.25">
      <c r="A183" t="s">
        <v>222</v>
      </c>
      <c r="B183">
        <v>4</v>
      </c>
      <c r="D183" t="s">
        <v>194</v>
      </c>
      <c r="E183">
        <v>2</v>
      </c>
    </row>
    <row r="184" spans="1:5" x14ac:dyDescent="0.25">
      <c r="A184" t="s">
        <v>210</v>
      </c>
      <c r="B184">
        <v>4</v>
      </c>
      <c r="D184" t="s">
        <v>195</v>
      </c>
      <c r="E184">
        <v>4</v>
      </c>
    </row>
    <row r="185" spans="1:5" x14ac:dyDescent="0.25">
      <c r="A185" t="s">
        <v>178</v>
      </c>
      <c r="B185">
        <v>2</v>
      </c>
      <c r="D185" t="s">
        <v>196</v>
      </c>
      <c r="E185">
        <v>3</v>
      </c>
    </row>
    <row r="186" spans="1:5" x14ac:dyDescent="0.25">
      <c r="A186" t="s">
        <v>225</v>
      </c>
      <c r="B186">
        <v>4</v>
      </c>
      <c r="D186" t="s">
        <v>197</v>
      </c>
      <c r="E186">
        <v>3</v>
      </c>
    </row>
    <row r="187" spans="1:5" x14ac:dyDescent="0.25">
      <c r="A187" t="s">
        <v>200</v>
      </c>
      <c r="B187">
        <v>2</v>
      </c>
      <c r="D187" t="s">
        <v>198</v>
      </c>
      <c r="E187">
        <v>4</v>
      </c>
    </row>
    <row r="188" spans="1:5" x14ac:dyDescent="0.25">
      <c r="A188" t="s">
        <v>212</v>
      </c>
      <c r="B188">
        <v>4</v>
      </c>
      <c r="D188" t="s">
        <v>199</v>
      </c>
      <c r="E188">
        <v>2</v>
      </c>
    </row>
    <row r="189" spans="1:5" x14ac:dyDescent="0.25">
      <c r="A189" t="s">
        <v>205</v>
      </c>
      <c r="B189">
        <v>3</v>
      </c>
      <c r="D189" t="s">
        <v>200</v>
      </c>
      <c r="E189">
        <v>2</v>
      </c>
    </row>
    <row r="190" spans="1:5" x14ac:dyDescent="0.25">
      <c r="A190" t="s">
        <v>219</v>
      </c>
      <c r="B190">
        <v>4</v>
      </c>
      <c r="D190" t="s">
        <v>201</v>
      </c>
      <c r="E190">
        <v>4</v>
      </c>
    </row>
    <row r="191" spans="1:5" x14ac:dyDescent="0.25">
      <c r="A191" t="s">
        <v>221</v>
      </c>
      <c r="B191">
        <v>4</v>
      </c>
      <c r="D191" t="s">
        <v>202</v>
      </c>
      <c r="E191">
        <v>4</v>
      </c>
    </row>
    <row r="192" spans="1:5" x14ac:dyDescent="0.25">
      <c r="A192" t="s">
        <v>355</v>
      </c>
      <c r="B192">
        <v>2</v>
      </c>
      <c r="D192" t="s">
        <v>203</v>
      </c>
      <c r="E192">
        <v>4</v>
      </c>
    </row>
    <row r="193" spans="1:5" x14ac:dyDescent="0.25">
      <c r="A193" t="s">
        <v>196</v>
      </c>
      <c r="B193">
        <v>3</v>
      </c>
      <c r="D193" t="s">
        <v>204</v>
      </c>
      <c r="E193">
        <v>3</v>
      </c>
    </row>
    <row r="194" spans="1:5" x14ac:dyDescent="0.25">
      <c r="A194" t="s">
        <v>37</v>
      </c>
      <c r="B194">
        <v>1</v>
      </c>
      <c r="D194" t="s">
        <v>205</v>
      </c>
      <c r="E194">
        <v>3</v>
      </c>
    </row>
    <row r="195" spans="1:5" x14ac:dyDescent="0.25">
      <c r="A195" t="s">
        <v>209</v>
      </c>
      <c r="B195">
        <v>4</v>
      </c>
      <c r="D195" t="s">
        <v>206</v>
      </c>
      <c r="E195">
        <v>3</v>
      </c>
    </row>
    <row r="196" spans="1:5" x14ac:dyDescent="0.25">
      <c r="A196" t="s">
        <v>206</v>
      </c>
      <c r="B196">
        <v>3</v>
      </c>
      <c r="D196" t="s">
        <v>207</v>
      </c>
      <c r="E196">
        <v>4</v>
      </c>
    </row>
    <row r="197" spans="1:5" x14ac:dyDescent="0.25">
      <c r="A197" t="s">
        <v>214</v>
      </c>
      <c r="B197">
        <v>3</v>
      </c>
      <c r="D197" t="s">
        <v>208</v>
      </c>
      <c r="E197">
        <v>4</v>
      </c>
    </row>
    <row r="198" spans="1:5" x14ac:dyDescent="0.25">
      <c r="A198" t="s">
        <v>362</v>
      </c>
      <c r="B198">
        <v>4</v>
      </c>
      <c r="D198" t="s">
        <v>209</v>
      </c>
      <c r="E198">
        <v>4</v>
      </c>
    </row>
    <row r="199" spans="1:5" x14ac:dyDescent="0.25">
      <c r="A199" t="s">
        <v>194</v>
      </c>
      <c r="B199">
        <v>2</v>
      </c>
      <c r="D199" t="s">
        <v>210</v>
      </c>
      <c r="E199">
        <v>4</v>
      </c>
    </row>
    <row r="200" spans="1:5" x14ac:dyDescent="0.25">
      <c r="A200" t="s">
        <v>217</v>
      </c>
      <c r="B200">
        <v>3</v>
      </c>
      <c r="D200" t="s">
        <v>211</v>
      </c>
      <c r="E200">
        <v>3</v>
      </c>
    </row>
    <row r="201" spans="1:5" x14ac:dyDescent="0.25">
      <c r="A201" t="s">
        <v>208</v>
      </c>
      <c r="B201">
        <v>4</v>
      </c>
      <c r="D201" t="s">
        <v>212</v>
      </c>
      <c r="E201">
        <v>4</v>
      </c>
    </row>
    <row r="202" spans="1:5" x14ac:dyDescent="0.25">
      <c r="A202" t="s">
        <v>235</v>
      </c>
      <c r="B202">
        <v>4</v>
      </c>
      <c r="D202" t="s">
        <v>213</v>
      </c>
      <c r="E202">
        <v>3</v>
      </c>
    </row>
    <row r="203" spans="1:5" x14ac:dyDescent="0.25">
      <c r="A203" t="s">
        <v>162</v>
      </c>
      <c r="B203">
        <v>3</v>
      </c>
      <c r="D203" t="s">
        <v>214</v>
      </c>
      <c r="E203">
        <v>3</v>
      </c>
    </row>
    <row r="204" spans="1:5" x14ac:dyDescent="0.25">
      <c r="A204" t="s">
        <v>239</v>
      </c>
      <c r="B204">
        <v>4</v>
      </c>
      <c r="D204" t="s">
        <v>215</v>
      </c>
      <c r="E204">
        <v>2</v>
      </c>
    </row>
    <row r="205" spans="1:5" x14ac:dyDescent="0.25">
      <c r="A205" t="s">
        <v>172</v>
      </c>
      <c r="B205">
        <v>3</v>
      </c>
      <c r="D205" t="s">
        <v>216</v>
      </c>
      <c r="E205">
        <v>2</v>
      </c>
    </row>
    <row r="206" spans="1:5" x14ac:dyDescent="0.25">
      <c r="A206" t="s">
        <v>223</v>
      </c>
      <c r="B206">
        <v>3</v>
      </c>
      <c r="D206" t="s">
        <v>217</v>
      </c>
      <c r="E206">
        <v>3</v>
      </c>
    </row>
    <row r="207" spans="1:5" x14ac:dyDescent="0.25">
      <c r="A207" t="s">
        <v>218</v>
      </c>
      <c r="B207">
        <v>4</v>
      </c>
      <c r="D207" t="s">
        <v>218</v>
      </c>
      <c r="E207">
        <v>4</v>
      </c>
    </row>
    <row r="208" spans="1:5" x14ac:dyDescent="0.25">
      <c r="A208" t="s">
        <v>250</v>
      </c>
      <c r="B208">
        <v>4</v>
      </c>
      <c r="D208" t="s">
        <v>219</v>
      </c>
      <c r="E208">
        <v>4</v>
      </c>
    </row>
    <row r="209" spans="1:5" x14ac:dyDescent="0.25">
      <c r="A209" t="s">
        <v>228</v>
      </c>
      <c r="B209">
        <v>3</v>
      </c>
      <c r="D209" s="1" t="s">
        <v>220</v>
      </c>
      <c r="E209">
        <v>4</v>
      </c>
    </row>
    <row r="210" spans="1:5" x14ac:dyDescent="0.25">
      <c r="A210" t="s">
        <v>185</v>
      </c>
      <c r="B210">
        <v>3</v>
      </c>
      <c r="D210" t="s">
        <v>221</v>
      </c>
      <c r="E210">
        <v>4</v>
      </c>
    </row>
    <row r="211" spans="1:5" x14ac:dyDescent="0.25">
      <c r="A211" t="s">
        <v>158</v>
      </c>
      <c r="B211">
        <v>2</v>
      </c>
      <c r="D211" t="s">
        <v>222</v>
      </c>
      <c r="E211">
        <v>4</v>
      </c>
    </row>
    <row r="212" spans="1:5" x14ac:dyDescent="0.25">
      <c r="A212" t="s">
        <v>220</v>
      </c>
      <c r="B212">
        <v>4</v>
      </c>
      <c r="D212" t="s">
        <v>223</v>
      </c>
      <c r="E212">
        <v>3</v>
      </c>
    </row>
    <row r="213" spans="1:5" x14ac:dyDescent="0.25">
      <c r="A213" t="s">
        <v>363</v>
      </c>
      <c r="B213">
        <v>4</v>
      </c>
      <c r="D213" t="s">
        <v>318</v>
      </c>
      <c r="E213">
        <v>3</v>
      </c>
    </row>
    <row r="214" spans="1:5" x14ac:dyDescent="0.25">
      <c r="A214" t="s">
        <v>231</v>
      </c>
      <c r="B214">
        <v>4</v>
      </c>
      <c r="D214" s="1" t="s">
        <v>224</v>
      </c>
      <c r="E214">
        <v>4</v>
      </c>
    </row>
    <row r="215" spans="1:5" x14ac:dyDescent="0.25">
      <c r="A215" t="s">
        <v>243</v>
      </c>
      <c r="B215">
        <v>4</v>
      </c>
      <c r="D215" t="s">
        <v>225</v>
      </c>
      <c r="E215">
        <v>4</v>
      </c>
    </row>
    <row r="216" spans="1:5" x14ac:dyDescent="0.25">
      <c r="A216" t="s">
        <v>241</v>
      </c>
      <c r="B216">
        <v>4</v>
      </c>
      <c r="D216" t="s">
        <v>226</v>
      </c>
      <c r="E216">
        <v>3</v>
      </c>
    </row>
    <row r="217" spans="1:5" x14ac:dyDescent="0.25">
      <c r="A217" t="s">
        <v>240</v>
      </c>
      <c r="B217">
        <v>4</v>
      </c>
      <c r="D217" t="s">
        <v>227</v>
      </c>
      <c r="E217">
        <v>4</v>
      </c>
    </row>
    <row r="218" spans="1:5" x14ac:dyDescent="0.25">
      <c r="A218" t="s">
        <v>226</v>
      </c>
      <c r="B218">
        <v>3</v>
      </c>
      <c r="D218" t="s">
        <v>228</v>
      </c>
      <c r="E218">
        <v>3</v>
      </c>
    </row>
    <row r="219" spans="1:5" x14ac:dyDescent="0.25">
      <c r="A219" t="s">
        <v>229</v>
      </c>
      <c r="B219">
        <v>4</v>
      </c>
      <c r="D219" t="s">
        <v>229</v>
      </c>
      <c r="E219">
        <v>4</v>
      </c>
    </row>
    <row r="220" spans="1:5" x14ac:dyDescent="0.25">
      <c r="A220" t="s">
        <v>227</v>
      </c>
      <c r="B220">
        <v>4</v>
      </c>
      <c r="D220" t="s">
        <v>319</v>
      </c>
      <c r="E220">
        <v>4</v>
      </c>
    </row>
    <row r="221" spans="1:5" x14ac:dyDescent="0.25">
      <c r="A221" t="s">
        <v>246</v>
      </c>
      <c r="B221">
        <v>4</v>
      </c>
      <c r="D221" t="s">
        <v>230</v>
      </c>
      <c r="E221">
        <v>3</v>
      </c>
    </row>
    <row r="222" spans="1:5" x14ac:dyDescent="0.25">
      <c r="A222" t="s">
        <v>234</v>
      </c>
      <c r="B222">
        <v>3</v>
      </c>
      <c r="D222" t="s">
        <v>231</v>
      </c>
      <c r="E222">
        <v>4</v>
      </c>
    </row>
    <row r="223" spans="1:5" x14ac:dyDescent="0.25">
      <c r="A223" t="s">
        <v>361</v>
      </c>
      <c r="B223">
        <v>3</v>
      </c>
      <c r="D223" t="s">
        <v>232</v>
      </c>
      <c r="E223">
        <v>3</v>
      </c>
    </row>
    <row r="224" spans="1:5" x14ac:dyDescent="0.25">
      <c r="A224" t="s">
        <v>237</v>
      </c>
      <c r="B224">
        <v>3</v>
      </c>
      <c r="D224" t="s">
        <v>233</v>
      </c>
      <c r="E224">
        <v>3</v>
      </c>
    </row>
    <row r="225" spans="1:5" x14ac:dyDescent="0.25">
      <c r="A225" t="s">
        <v>236</v>
      </c>
      <c r="B225">
        <v>3</v>
      </c>
      <c r="D225" t="s">
        <v>234</v>
      </c>
      <c r="E225">
        <v>3</v>
      </c>
    </row>
    <row r="226" spans="1:5" x14ac:dyDescent="0.25">
      <c r="A226" t="s">
        <v>242</v>
      </c>
      <c r="B226">
        <v>4</v>
      </c>
      <c r="D226" t="s">
        <v>235</v>
      </c>
      <c r="E226">
        <v>4</v>
      </c>
    </row>
    <row r="227" spans="1:5" x14ac:dyDescent="0.25">
      <c r="A227" t="s">
        <v>199</v>
      </c>
      <c r="B227">
        <v>2</v>
      </c>
      <c r="D227" t="s">
        <v>236</v>
      </c>
      <c r="E227">
        <v>3</v>
      </c>
    </row>
    <row r="228" spans="1:5" x14ac:dyDescent="0.25">
      <c r="A228" t="s">
        <v>232</v>
      </c>
      <c r="B228">
        <v>3</v>
      </c>
      <c r="D228" t="s">
        <v>237</v>
      </c>
      <c r="E228">
        <v>3</v>
      </c>
    </row>
    <row r="229" spans="1:5" x14ac:dyDescent="0.25">
      <c r="A229" t="s">
        <v>230</v>
      </c>
      <c r="B229">
        <v>3</v>
      </c>
      <c r="D229" t="s">
        <v>238</v>
      </c>
      <c r="E229">
        <v>3</v>
      </c>
    </row>
    <row r="230" spans="1:5" x14ac:dyDescent="0.25">
      <c r="A230" t="s">
        <v>244</v>
      </c>
      <c r="B230">
        <v>3</v>
      </c>
      <c r="D230" t="s">
        <v>320</v>
      </c>
      <c r="E230">
        <v>4</v>
      </c>
    </row>
    <row r="231" spans="1:5" x14ac:dyDescent="0.25">
      <c r="A231" t="s">
        <v>186</v>
      </c>
      <c r="B231">
        <v>2</v>
      </c>
      <c r="D231" t="s">
        <v>239</v>
      </c>
      <c r="E231">
        <v>4</v>
      </c>
    </row>
    <row r="232" spans="1:5" x14ac:dyDescent="0.25">
      <c r="A232" t="s">
        <v>215</v>
      </c>
      <c r="B232">
        <v>2</v>
      </c>
      <c r="D232" t="s">
        <v>240</v>
      </c>
      <c r="E232">
        <v>4</v>
      </c>
    </row>
    <row r="233" spans="1:5" x14ac:dyDescent="0.25">
      <c r="A233" t="s">
        <v>248</v>
      </c>
      <c r="B233">
        <v>4</v>
      </c>
      <c r="D233" t="s">
        <v>241</v>
      </c>
      <c r="E233">
        <v>4</v>
      </c>
    </row>
    <row r="234" spans="1:5" x14ac:dyDescent="0.25">
      <c r="A234" t="s">
        <v>189</v>
      </c>
      <c r="B234">
        <v>2</v>
      </c>
      <c r="D234" t="s">
        <v>242</v>
      </c>
      <c r="E234">
        <v>4</v>
      </c>
    </row>
    <row r="235" spans="1:5" x14ac:dyDescent="0.25">
      <c r="A235" t="s">
        <v>247</v>
      </c>
      <c r="B235">
        <v>4</v>
      </c>
      <c r="D235" t="s">
        <v>243</v>
      </c>
      <c r="E235">
        <v>4</v>
      </c>
    </row>
    <row r="236" spans="1:5" x14ac:dyDescent="0.25">
      <c r="A236" t="s">
        <v>245</v>
      </c>
      <c r="B236">
        <v>2</v>
      </c>
      <c r="D236" t="s">
        <v>244</v>
      </c>
      <c r="E236">
        <v>3</v>
      </c>
    </row>
    <row r="237" spans="1:5" x14ac:dyDescent="0.25">
      <c r="A237" t="s">
        <v>249</v>
      </c>
      <c r="B237">
        <v>3</v>
      </c>
      <c r="D237" t="s">
        <v>245</v>
      </c>
      <c r="E237">
        <v>2</v>
      </c>
    </row>
    <row r="238" spans="1:5" x14ac:dyDescent="0.25">
      <c r="A238" t="s">
        <v>128</v>
      </c>
      <c r="B238">
        <v>2</v>
      </c>
      <c r="D238" t="s">
        <v>321</v>
      </c>
      <c r="E238">
        <v>3</v>
      </c>
    </row>
    <row r="239" spans="1:5" x14ac:dyDescent="0.25">
      <c r="A239" t="s">
        <v>233</v>
      </c>
      <c r="B239">
        <v>3</v>
      </c>
      <c r="D239" t="s">
        <v>246</v>
      </c>
      <c r="E239">
        <v>4</v>
      </c>
    </row>
    <row r="240" spans="1:5" x14ac:dyDescent="0.25">
      <c r="A240" t="s">
        <v>260</v>
      </c>
      <c r="B240">
        <v>4</v>
      </c>
      <c r="D240" t="s">
        <v>247</v>
      </c>
      <c r="E240">
        <v>4</v>
      </c>
    </row>
    <row r="241" spans="1:5" x14ac:dyDescent="0.25">
      <c r="A241" t="s">
        <v>255</v>
      </c>
      <c r="B241">
        <v>4</v>
      </c>
      <c r="D241" t="s">
        <v>248</v>
      </c>
      <c r="E241">
        <v>4</v>
      </c>
    </row>
    <row r="242" spans="1:5" x14ac:dyDescent="0.25">
      <c r="A242" t="s">
        <v>364</v>
      </c>
      <c r="B242">
        <v>3</v>
      </c>
      <c r="D242" t="s">
        <v>249</v>
      </c>
      <c r="E242">
        <v>3</v>
      </c>
    </row>
    <row r="243" spans="1:5" x14ac:dyDescent="0.25">
      <c r="A243" t="s">
        <v>251</v>
      </c>
      <c r="B243">
        <v>3</v>
      </c>
      <c r="D243" t="s">
        <v>250</v>
      </c>
      <c r="E243">
        <v>4</v>
      </c>
    </row>
    <row r="244" spans="1:5" x14ac:dyDescent="0.25">
      <c r="A244" t="s">
        <v>258</v>
      </c>
      <c r="B244">
        <v>4</v>
      </c>
      <c r="D244" t="s">
        <v>251</v>
      </c>
      <c r="E244">
        <v>3</v>
      </c>
    </row>
    <row r="245" spans="1:5" x14ac:dyDescent="0.25">
      <c r="A245" t="s">
        <v>264</v>
      </c>
      <c r="B245">
        <v>4</v>
      </c>
      <c r="D245" t="s">
        <v>322</v>
      </c>
      <c r="E245">
        <v>3</v>
      </c>
    </row>
    <row r="246" spans="1:5" x14ac:dyDescent="0.25">
      <c r="A246" t="s">
        <v>256</v>
      </c>
      <c r="B246">
        <v>4</v>
      </c>
      <c r="D246" t="s">
        <v>252</v>
      </c>
      <c r="E246">
        <v>3</v>
      </c>
    </row>
    <row r="247" spans="1:5" x14ac:dyDescent="0.25">
      <c r="A247" t="s">
        <v>252</v>
      </c>
      <c r="B247">
        <v>3</v>
      </c>
      <c r="D247" t="s">
        <v>253</v>
      </c>
      <c r="E247">
        <v>4</v>
      </c>
    </row>
    <row r="248" spans="1:5" x14ac:dyDescent="0.25">
      <c r="A248" t="s">
        <v>365</v>
      </c>
      <c r="B248">
        <v>3</v>
      </c>
      <c r="D248" t="s">
        <v>254</v>
      </c>
      <c r="E248">
        <v>3</v>
      </c>
    </row>
    <row r="249" spans="1:5" x14ac:dyDescent="0.25">
      <c r="A249" t="s">
        <v>254</v>
      </c>
      <c r="B249">
        <v>3</v>
      </c>
      <c r="D249" t="s">
        <v>255</v>
      </c>
      <c r="E249">
        <v>4</v>
      </c>
    </row>
    <row r="250" spans="1:5" x14ac:dyDescent="0.25">
      <c r="A250" t="s">
        <v>269</v>
      </c>
      <c r="B250">
        <v>3</v>
      </c>
      <c r="D250" t="s">
        <v>256</v>
      </c>
      <c r="E250">
        <v>4</v>
      </c>
    </row>
    <row r="251" spans="1:5" x14ac:dyDescent="0.25">
      <c r="A251" t="s">
        <v>257</v>
      </c>
      <c r="B251">
        <v>4</v>
      </c>
      <c r="D251" t="s">
        <v>257</v>
      </c>
      <c r="E251">
        <v>4</v>
      </c>
    </row>
    <row r="252" spans="1:5" x14ac:dyDescent="0.25">
      <c r="A252" t="s">
        <v>238</v>
      </c>
      <c r="B252">
        <v>3</v>
      </c>
      <c r="D252" t="s">
        <v>258</v>
      </c>
      <c r="E252">
        <v>4</v>
      </c>
    </row>
    <row r="253" spans="1:5" x14ac:dyDescent="0.25">
      <c r="A253" t="s">
        <v>259</v>
      </c>
      <c r="B253">
        <v>3</v>
      </c>
      <c r="D253" t="s">
        <v>259</v>
      </c>
      <c r="E253">
        <v>3</v>
      </c>
    </row>
    <row r="254" spans="1:5" x14ac:dyDescent="0.25">
      <c r="A254" t="s">
        <v>253</v>
      </c>
      <c r="B254">
        <v>4</v>
      </c>
      <c r="D254" t="s">
        <v>260</v>
      </c>
      <c r="E254">
        <v>4</v>
      </c>
    </row>
    <row r="255" spans="1:5" x14ac:dyDescent="0.25">
      <c r="A255" t="s">
        <v>265</v>
      </c>
      <c r="B255">
        <v>4</v>
      </c>
      <c r="D255" t="s">
        <v>261</v>
      </c>
      <c r="E255">
        <v>4</v>
      </c>
    </row>
    <row r="256" spans="1:5" x14ac:dyDescent="0.25">
      <c r="A256" t="s">
        <v>270</v>
      </c>
      <c r="B256">
        <v>4</v>
      </c>
      <c r="D256" t="s">
        <v>262</v>
      </c>
      <c r="E256">
        <v>3</v>
      </c>
    </row>
    <row r="257" spans="1:5" x14ac:dyDescent="0.25">
      <c r="A257" t="s">
        <v>261</v>
      </c>
      <c r="B257">
        <v>4</v>
      </c>
      <c r="D257" t="s">
        <v>263</v>
      </c>
      <c r="E257">
        <v>4</v>
      </c>
    </row>
    <row r="258" spans="1:5" x14ac:dyDescent="0.25">
      <c r="A258" t="s">
        <v>266</v>
      </c>
      <c r="B258">
        <v>4</v>
      </c>
      <c r="D258" t="s">
        <v>264</v>
      </c>
      <c r="E258">
        <v>4</v>
      </c>
    </row>
    <row r="259" spans="1:5" x14ac:dyDescent="0.25">
      <c r="A259" t="s">
        <v>216</v>
      </c>
      <c r="B259">
        <v>2</v>
      </c>
      <c r="D259" t="s">
        <v>265</v>
      </c>
      <c r="E259">
        <v>4</v>
      </c>
    </row>
    <row r="260" spans="1:5" x14ac:dyDescent="0.25">
      <c r="A260" t="s">
        <v>276</v>
      </c>
      <c r="B260">
        <v>4</v>
      </c>
      <c r="D260" t="s">
        <v>266</v>
      </c>
      <c r="E260">
        <v>4</v>
      </c>
    </row>
    <row r="261" spans="1:5" x14ac:dyDescent="0.25">
      <c r="A261" t="s">
        <v>263</v>
      </c>
      <c r="B261">
        <v>4</v>
      </c>
      <c r="D261" t="s">
        <v>267</v>
      </c>
      <c r="E261">
        <v>3</v>
      </c>
    </row>
    <row r="262" spans="1:5" x14ac:dyDescent="0.25">
      <c r="A262" t="s">
        <v>267</v>
      </c>
      <c r="B262">
        <v>3</v>
      </c>
      <c r="D262" t="s">
        <v>268</v>
      </c>
      <c r="E262">
        <v>3</v>
      </c>
    </row>
    <row r="263" spans="1:5" x14ac:dyDescent="0.25">
      <c r="A263" t="s">
        <v>366</v>
      </c>
      <c r="B263">
        <v>4</v>
      </c>
      <c r="D263" t="s">
        <v>269</v>
      </c>
      <c r="E263">
        <v>3</v>
      </c>
    </row>
    <row r="264" spans="1:5" x14ac:dyDescent="0.25">
      <c r="A264" t="s">
        <v>268</v>
      </c>
      <c r="B264">
        <v>3</v>
      </c>
      <c r="D264" t="s">
        <v>270</v>
      </c>
      <c r="E264">
        <v>4</v>
      </c>
    </row>
    <row r="265" spans="1:5" x14ac:dyDescent="0.25">
      <c r="A265" t="s">
        <v>277</v>
      </c>
      <c r="B265">
        <v>4</v>
      </c>
      <c r="D265" t="s">
        <v>271</v>
      </c>
      <c r="E265">
        <v>4</v>
      </c>
    </row>
    <row r="266" spans="1:5" x14ac:dyDescent="0.25">
      <c r="A266" t="s">
        <v>262</v>
      </c>
      <c r="B266">
        <v>3</v>
      </c>
      <c r="D266" t="s">
        <v>272</v>
      </c>
      <c r="E266">
        <v>3</v>
      </c>
    </row>
    <row r="267" spans="1:5" x14ac:dyDescent="0.25">
      <c r="A267" t="s">
        <v>275</v>
      </c>
      <c r="B267">
        <v>4</v>
      </c>
      <c r="D267" t="s">
        <v>323</v>
      </c>
      <c r="E267">
        <v>4</v>
      </c>
    </row>
    <row r="268" spans="1:5" x14ac:dyDescent="0.25">
      <c r="A268" t="s">
        <v>273</v>
      </c>
      <c r="B268">
        <v>3</v>
      </c>
      <c r="D268" t="s">
        <v>273</v>
      </c>
      <c r="E268">
        <v>3</v>
      </c>
    </row>
    <row r="269" spans="1:5" x14ac:dyDescent="0.25">
      <c r="A269" t="s">
        <v>271</v>
      </c>
      <c r="B269">
        <v>4</v>
      </c>
      <c r="D269" t="s">
        <v>274</v>
      </c>
      <c r="E269">
        <v>3</v>
      </c>
    </row>
    <row r="270" spans="1:5" x14ac:dyDescent="0.25">
      <c r="A270" t="s">
        <v>279</v>
      </c>
      <c r="B270">
        <v>4</v>
      </c>
      <c r="D270" t="s">
        <v>275</v>
      </c>
      <c r="E270">
        <v>4</v>
      </c>
    </row>
    <row r="271" spans="1:5" x14ac:dyDescent="0.25">
      <c r="A271" t="s">
        <v>283</v>
      </c>
      <c r="B271">
        <v>4</v>
      </c>
      <c r="D271" t="s">
        <v>276</v>
      </c>
      <c r="E271">
        <v>4</v>
      </c>
    </row>
    <row r="272" spans="1:5" x14ac:dyDescent="0.25">
      <c r="A272" t="s">
        <v>284</v>
      </c>
      <c r="B272">
        <v>4</v>
      </c>
      <c r="D272" t="s">
        <v>277</v>
      </c>
      <c r="E272">
        <v>4</v>
      </c>
    </row>
    <row r="273" spans="1:5" x14ac:dyDescent="0.25">
      <c r="A273" t="s">
        <v>278</v>
      </c>
      <c r="B273">
        <v>4</v>
      </c>
      <c r="D273" t="s">
        <v>278</v>
      </c>
      <c r="E273">
        <v>4</v>
      </c>
    </row>
    <row r="274" spans="1:5" x14ac:dyDescent="0.25">
      <c r="A274" t="s">
        <v>286</v>
      </c>
      <c r="B274">
        <v>4</v>
      </c>
      <c r="D274" t="s">
        <v>279</v>
      </c>
      <c r="E274">
        <v>4</v>
      </c>
    </row>
    <row r="275" spans="1:5" x14ac:dyDescent="0.25">
      <c r="A275" t="s">
        <v>272</v>
      </c>
      <c r="B275">
        <v>3</v>
      </c>
      <c r="D275" t="s">
        <v>280</v>
      </c>
      <c r="E275">
        <v>4</v>
      </c>
    </row>
    <row r="276" spans="1:5" x14ac:dyDescent="0.25">
      <c r="A276" t="s">
        <v>285</v>
      </c>
      <c r="B276">
        <v>4</v>
      </c>
      <c r="D276" t="s">
        <v>281</v>
      </c>
      <c r="E276">
        <v>4</v>
      </c>
    </row>
    <row r="277" spans="1:5" x14ac:dyDescent="0.25">
      <c r="A277" t="s">
        <v>281</v>
      </c>
      <c r="B277">
        <v>4</v>
      </c>
      <c r="D277" t="s">
        <v>282</v>
      </c>
      <c r="E277">
        <v>3</v>
      </c>
    </row>
    <row r="278" spans="1:5" x14ac:dyDescent="0.25">
      <c r="A278" t="s">
        <v>280</v>
      </c>
      <c r="B278">
        <v>4</v>
      </c>
      <c r="D278" t="s">
        <v>283</v>
      </c>
      <c r="E278">
        <v>4</v>
      </c>
    </row>
    <row r="279" spans="1:5" x14ac:dyDescent="0.25">
      <c r="A279" t="s">
        <v>367</v>
      </c>
      <c r="B279">
        <v>3</v>
      </c>
      <c r="D279" t="s">
        <v>284</v>
      </c>
      <c r="E279">
        <v>4</v>
      </c>
    </row>
    <row r="280" spans="1:5" x14ac:dyDescent="0.25">
      <c r="A280" t="s">
        <v>274</v>
      </c>
      <c r="B280">
        <v>3</v>
      </c>
      <c r="D280" t="s">
        <v>285</v>
      </c>
      <c r="E280">
        <v>4</v>
      </c>
    </row>
    <row r="281" spans="1:5" x14ac:dyDescent="0.25">
      <c r="A281" t="s">
        <v>368</v>
      </c>
      <c r="B281">
        <v>4</v>
      </c>
      <c r="D281" t="s">
        <v>324</v>
      </c>
      <c r="E281">
        <v>3</v>
      </c>
    </row>
    <row r="282" spans="1:5" x14ac:dyDescent="0.25">
      <c r="A282" t="s">
        <v>288</v>
      </c>
      <c r="B282">
        <v>4</v>
      </c>
      <c r="D282" t="s">
        <v>286</v>
      </c>
      <c r="E282">
        <v>4</v>
      </c>
    </row>
    <row r="283" spans="1:5" x14ac:dyDescent="0.25">
      <c r="A283" t="s">
        <v>290</v>
      </c>
      <c r="B283">
        <v>4</v>
      </c>
      <c r="D283" t="s">
        <v>287</v>
      </c>
      <c r="E283">
        <v>3</v>
      </c>
    </row>
    <row r="284" spans="1:5" x14ac:dyDescent="0.25">
      <c r="A284" t="s">
        <v>292</v>
      </c>
      <c r="B284">
        <v>4</v>
      </c>
      <c r="D284" t="s">
        <v>325</v>
      </c>
      <c r="E284">
        <v>4</v>
      </c>
    </row>
    <row r="285" spans="1:5" x14ac:dyDescent="0.25">
      <c r="A285" t="s">
        <v>289</v>
      </c>
      <c r="B285">
        <v>4</v>
      </c>
      <c r="D285" t="s">
        <v>288</v>
      </c>
      <c r="E285">
        <v>4</v>
      </c>
    </row>
    <row r="286" spans="1:5" x14ac:dyDescent="0.25">
      <c r="A286" t="s">
        <v>282</v>
      </c>
      <c r="B286">
        <v>3</v>
      </c>
      <c r="D286" t="s">
        <v>289</v>
      </c>
      <c r="E286">
        <v>4</v>
      </c>
    </row>
    <row r="287" spans="1:5" x14ac:dyDescent="0.25">
      <c r="A287" t="s">
        <v>287</v>
      </c>
      <c r="B287">
        <v>3</v>
      </c>
      <c r="D287" t="s">
        <v>290</v>
      </c>
      <c r="E287">
        <v>4</v>
      </c>
    </row>
    <row r="288" spans="1:5" x14ac:dyDescent="0.25">
      <c r="A288" t="s">
        <v>297</v>
      </c>
      <c r="B288">
        <v>4</v>
      </c>
      <c r="D288" t="s">
        <v>291</v>
      </c>
      <c r="E288">
        <v>4</v>
      </c>
    </row>
    <row r="289" spans="1:5" x14ac:dyDescent="0.25">
      <c r="A289" t="s">
        <v>294</v>
      </c>
      <c r="B289">
        <v>3</v>
      </c>
      <c r="D289" t="s">
        <v>292</v>
      </c>
      <c r="E289">
        <v>4</v>
      </c>
    </row>
    <row r="290" spans="1:5" x14ac:dyDescent="0.25">
      <c r="A290" t="s">
        <v>369</v>
      </c>
      <c r="B290">
        <v>4</v>
      </c>
      <c r="D290" t="s">
        <v>293</v>
      </c>
      <c r="E290">
        <v>4</v>
      </c>
    </row>
    <row r="291" spans="1:5" x14ac:dyDescent="0.25">
      <c r="A291" t="s">
        <v>296</v>
      </c>
      <c r="B291">
        <v>4</v>
      </c>
      <c r="D291" t="s">
        <v>294</v>
      </c>
      <c r="E291">
        <v>3</v>
      </c>
    </row>
    <row r="292" spans="1:5" x14ac:dyDescent="0.25">
      <c r="A292" t="s">
        <v>299</v>
      </c>
      <c r="B292">
        <v>4</v>
      </c>
      <c r="D292" t="s">
        <v>295</v>
      </c>
      <c r="E292">
        <v>4</v>
      </c>
    </row>
    <row r="293" spans="1:5" x14ac:dyDescent="0.25">
      <c r="A293" t="s">
        <v>298</v>
      </c>
      <c r="B293">
        <v>4</v>
      </c>
      <c r="D293" t="s">
        <v>296</v>
      </c>
      <c r="E293">
        <v>4</v>
      </c>
    </row>
    <row r="294" spans="1:5" x14ac:dyDescent="0.25">
      <c r="A294" t="s">
        <v>376</v>
      </c>
      <c r="B294">
        <v>4</v>
      </c>
      <c r="D294" t="s">
        <v>297</v>
      </c>
      <c r="E294">
        <v>4</v>
      </c>
    </row>
    <row r="295" spans="1:5" x14ac:dyDescent="0.25">
      <c r="A295" t="s">
        <v>295</v>
      </c>
      <c r="B295">
        <v>4</v>
      </c>
      <c r="D295" t="s">
        <v>326</v>
      </c>
      <c r="E295">
        <v>4</v>
      </c>
    </row>
    <row r="296" spans="1:5" x14ac:dyDescent="0.25">
      <c r="A296" t="s">
        <v>140</v>
      </c>
      <c r="B296">
        <v>2</v>
      </c>
      <c r="D296" t="s">
        <v>298</v>
      </c>
      <c r="E296">
        <v>4</v>
      </c>
    </row>
    <row r="297" spans="1:5" x14ac:dyDescent="0.25">
      <c r="A297" t="s">
        <v>291</v>
      </c>
      <c r="B297">
        <v>4</v>
      </c>
      <c r="D297" t="s">
        <v>299</v>
      </c>
      <c r="E297">
        <v>4</v>
      </c>
    </row>
    <row r="298" spans="1:5" x14ac:dyDescent="0.25">
      <c r="A298" t="s">
        <v>293</v>
      </c>
      <c r="B298">
        <v>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8335B-13EE-4546-893E-E318DF42DD23}">
  <dimension ref="A1:X297"/>
  <sheetViews>
    <sheetView workbookViewId="0">
      <selection activeCell="A2" sqref="A2:C22"/>
    </sheetView>
  </sheetViews>
  <sheetFormatPr defaultRowHeight="13.8" x14ac:dyDescent="0.25"/>
  <sheetData>
    <row r="1" spans="1:24" ht="28.8" x14ac:dyDescent="0.25">
      <c r="A1" s="21" t="s">
        <v>0</v>
      </c>
      <c r="B1" s="10" t="s">
        <v>327</v>
      </c>
      <c r="C1" t="s">
        <v>1</v>
      </c>
      <c r="E1" s="21" t="s">
        <v>0</v>
      </c>
      <c r="F1" s="10" t="s">
        <v>327</v>
      </c>
      <c r="G1" t="s">
        <v>302</v>
      </c>
      <c r="I1" s="21" t="s">
        <v>0</v>
      </c>
      <c r="J1" s="10" t="s">
        <v>327</v>
      </c>
      <c r="K1" t="s">
        <v>2</v>
      </c>
      <c r="M1" s="21" t="s">
        <v>0</v>
      </c>
      <c r="N1" s="10" t="s">
        <v>327</v>
      </c>
      <c r="O1" t="s">
        <v>3</v>
      </c>
      <c r="Q1" s="21" t="s">
        <v>0</v>
      </c>
      <c r="R1" s="10" t="s">
        <v>327</v>
      </c>
      <c r="S1" t="s">
        <v>378</v>
      </c>
      <c r="V1" s="23" t="s">
        <v>0</v>
      </c>
      <c r="W1" s="24" t="s">
        <v>327</v>
      </c>
    </row>
    <row r="2" spans="1:24" ht="14.25" customHeight="1" x14ac:dyDescent="0.25">
      <c r="A2" t="s">
        <v>28</v>
      </c>
      <c r="B2">
        <v>1</v>
      </c>
      <c r="C2">
        <v>97.517553916764882</v>
      </c>
      <c r="E2" t="s">
        <v>24</v>
      </c>
      <c r="F2">
        <v>1</v>
      </c>
      <c r="G2">
        <v>82.5</v>
      </c>
      <c r="I2" t="s">
        <v>24</v>
      </c>
      <c r="J2">
        <v>1</v>
      </c>
      <c r="K2">
        <v>91.25</v>
      </c>
      <c r="M2" t="s">
        <v>24</v>
      </c>
      <c r="N2">
        <v>1</v>
      </c>
      <c r="O2">
        <v>58.758561676215791</v>
      </c>
      <c r="Q2" t="s">
        <v>24</v>
      </c>
      <c r="R2">
        <v>1</v>
      </c>
      <c r="S2">
        <v>87.5</v>
      </c>
      <c r="V2" t="s">
        <v>140</v>
      </c>
      <c r="W2">
        <v>2</v>
      </c>
      <c r="X2" t="e">
        <v>#DIV/0!</v>
      </c>
    </row>
    <row r="3" spans="1:24" x14ac:dyDescent="0.25">
      <c r="A3" t="s">
        <v>27</v>
      </c>
      <c r="B3">
        <v>1</v>
      </c>
      <c r="C3">
        <v>87.903282985301118</v>
      </c>
      <c r="E3" t="s">
        <v>33</v>
      </c>
      <c r="F3">
        <v>1</v>
      </c>
      <c r="G3">
        <v>76.25</v>
      </c>
      <c r="I3" t="s">
        <v>27</v>
      </c>
      <c r="J3">
        <v>1</v>
      </c>
      <c r="K3">
        <v>91.25</v>
      </c>
      <c r="M3" t="s">
        <v>65</v>
      </c>
      <c r="N3">
        <v>1</v>
      </c>
      <c r="O3">
        <v>55.06952714192726</v>
      </c>
      <c r="Q3" t="s">
        <v>25</v>
      </c>
      <c r="R3">
        <v>1</v>
      </c>
      <c r="S3">
        <v>87.5</v>
      </c>
      <c r="V3" s="1" t="s">
        <v>220</v>
      </c>
      <c r="W3" s="1">
        <v>4</v>
      </c>
      <c r="X3" t="e">
        <v>#N/A</v>
      </c>
    </row>
    <row r="4" spans="1:24" x14ac:dyDescent="0.25">
      <c r="A4" t="s">
        <v>37</v>
      </c>
      <c r="B4">
        <v>1</v>
      </c>
      <c r="C4">
        <v>85.633560520245382</v>
      </c>
      <c r="E4" t="s">
        <v>25</v>
      </c>
      <c r="F4">
        <v>1</v>
      </c>
      <c r="G4">
        <v>68.75</v>
      </c>
      <c r="I4" t="s">
        <v>32</v>
      </c>
      <c r="J4">
        <v>1</v>
      </c>
      <c r="K4">
        <v>91.25</v>
      </c>
      <c r="M4" t="s">
        <v>22</v>
      </c>
      <c r="N4">
        <v>1</v>
      </c>
      <c r="O4">
        <v>54.826993725604005</v>
      </c>
      <c r="Q4" t="s">
        <v>22</v>
      </c>
      <c r="R4">
        <v>1</v>
      </c>
      <c r="S4">
        <v>50</v>
      </c>
      <c r="V4" s="1" t="s">
        <v>224</v>
      </c>
      <c r="W4" s="1">
        <v>4</v>
      </c>
      <c r="X4" t="e">
        <v>#N/A</v>
      </c>
    </row>
    <row r="5" spans="1:24" x14ac:dyDescent="0.25">
      <c r="A5" t="s">
        <v>23</v>
      </c>
      <c r="B5">
        <v>1</v>
      </c>
      <c r="C5">
        <v>85.49497386241616</v>
      </c>
      <c r="E5" t="s">
        <v>58</v>
      </c>
      <c r="F5">
        <v>1</v>
      </c>
      <c r="G5">
        <v>66.25</v>
      </c>
      <c r="I5" t="s">
        <v>33</v>
      </c>
      <c r="J5">
        <v>1</v>
      </c>
      <c r="K5">
        <v>83.75</v>
      </c>
      <c r="M5" t="s">
        <v>40</v>
      </c>
      <c r="N5">
        <v>1</v>
      </c>
      <c r="O5">
        <v>53.708488196895146</v>
      </c>
      <c r="Q5" t="s">
        <v>23</v>
      </c>
      <c r="R5">
        <v>1</v>
      </c>
      <c r="S5">
        <v>50</v>
      </c>
      <c r="V5" t="s">
        <v>24</v>
      </c>
      <c r="W5">
        <v>1</v>
      </c>
      <c r="X5">
        <v>65.041603056950066</v>
      </c>
    </row>
    <row r="6" spans="1:24" x14ac:dyDescent="0.25">
      <c r="A6" t="s">
        <v>25</v>
      </c>
      <c r="B6">
        <v>1</v>
      </c>
      <c r="C6">
        <v>85.313121855754986</v>
      </c>
      <c r="E6" t="s">
        <v>27</v>
      </c>
      <c r="F6">
        <v>1</v>
      </c>
      <c r="G6">
        <v>58.75</v>
      </c>
      <c r="I6" t="s">
        <v>23</v>
      </c>
      <c r="J6">
        <v>1</v>
      </c>
      <c r="K6">
        <v>82.5</v>
      </c>
      <c r="M6" t="s">
        <v>23</v>
      </c>
      <c r="N6">
        <v>1</v>
      </c>
      <c r="O6">
        <v>52.320329591402938</v>
      </c>
      <c r="Q6" t="s">
        <v>26</v>
      </c>
      <c r="R6">
        <v>1</v>
      </c>
      <c r="S6">
        <v>50</v>
      </c>
      <c r="V6" t="s">
        <v>69</v>
      </c>
      <c r="W6">
        <v>3</v>
      </c>
      <c r="X6">
        <v>62.288131020881764</v>
      </c>
    </row>
    <row r="7" spans="1:24" x14ac:dyDescent="0.25">
      <c r="A7" t="s">
        <v>24</v>
      </c>
      <c r="B7">
        <v>1</v>
      </c>
      <c r="C7">
        <v>84.290819300973666</v>
      </c>
      <c r="E7" t="s">
        <v>23</v>
      </c>
      <c r="F7">
        <v>1</v>
      </c>
      <c r="G7">
        <v>56.25</v>
      </c>
      <c r="I7" t="s">
        <v>25</v>
      </c>
      <c r="J7">
        <v>1</v>
      </c>
      <c r="K7">
        <v>82.5</v>
      </c>
      <c r="M7" t="s">
        <v>58</v>
      </c>
      <c r="N7">
        <v>1</v>
      </c>
      <c r="O7">
        <v>52.042985238228383</v>
      </c>
      <c r="Q7" t="s">
        <v>28</v>
      </c>
      <c r="R7">
        <v>1</v>
      </c>
      <c r="S7">
        <v>50</v>
      </c>
      <c r="V7" t="s">
        <v>162</v>
      </c>
      <c r="W7">
        <v>3</v>
      </c>
      <c r="X7">
        <v>60.605492493977991</v>
      </c>
    </row>
    <row r="8" spans="1:24" x14ac:dyDescent="0.25">
      <c r="A8" t="s">
        <v>65</v>
      </c>
      <c r="B8">
        <v>1</v>
      </c>
      <c r="C8">
        <v>83.078447863050357</v>
      </c>
      <c r="E8" t="s">
        <v>26</v>
      </c>
      <c r="F8">
        <v>1</v>
      </c>
      <c r="G8">
        <v>51.25</v>
      </c>
      <c r="I8" t="s">
        <v>31</v>
      </c>
      <c r="J8">
        <v>1</v>
      </c>
      <c r="K8">
        <v>75</v>
      </c>
      <c r="M8" t="s">
        <v>30</v>
      </c>
      <c r="N8">
        <v>1</v>
      </c>
      <c r="O8">
        <v>51.952444793334649</v>
      </c>
      <c r="Q8" t="s">
        <v>30</v>
      </c>
      <c r="R8">
        <v>1</v>
      </c>
      <c r="S8">
        <v>50</v>
      </c>
      <c r="V8" t="s">
        <v>169</v>
      </c>
      <c r="W8">
        <v>4</v>
      </c>
      <c r="X8">
        <v>59.36032931313833</v>
      </c>
    </row>
    <row r="9" spans="1:24" x14ac:dyDescent="0.25">
      <c r="A9" t="s">
        <v>22</v>
      </c>
      <c r="B9">
        <v>1</v>
      </c>
      <c r="C9">
        <v>82.79864606643568</v>
      </c>
      <c r="E9" t="s">
        <v>31</v>
      </c>
      <c r="F9">
        <v>1</v>
      </c>
      <c r="G9">
        <v>50</v>
      </c>
      <c r="I9" t="s">
        <v>49</v>
      </c>
      <c r="J9">
        <v>1</v>
      </c>
      <c r="K9">
        <v>75</v>
      </c>
      <c r="M9" t="s">
        <v>37</v>
      </c>
      <c r="N9">
        <v>1</v>
      </c>
      <c r="O9">
        <v>51.18844142227006</v>
      </c>
      <c r="Q9" t="s">
        <v>31</v>
      </c>
      <c r="R9">
        <v>1</v>
      </c>
      <c r="S9">
        <v>50</v>
      </c>
      <c r="V9" t="s">
        <v>269</v>
      </c>
      <c r="W9">
        <v>3</v>
      </c>
      <c r="X9">
        <v>58.874907186688446</v>
      </c>
    </row>
    <row r="10" spans="1:24" x14ac:dyDescent="0.25">
      <c r="A10" t="s">
        <v>33</v>
      </c>
      <c r="B10">
        <v>1</v>
      </c>
      <c r="C10">
        <v>80.796403498733625</v>
      </c>
      <c r="E10" t="s">
        <v>28</v>
      </c>
      <c r="F10">
        <v>1</v>
      </c>
      <c r="G10">
        <v>46.25</v>
      </c>
      <c r="I10" t="s">
        <v>38</v>
      </c>
      <c r="J10">
        <v>1</v>
      </c>
      <c r="K10">
        <v>73.75</v>
      </c>
      <c r="M10" t="s">
        <v>33</v>
      </c>
      <c r="N10">
        <v>1</v>
      </c>
      <c r="O10">
        <v>50.616431895475046</v>
      </c>
      <c r="Q10" t="s">
        <v>37</v>
      </c>
      <c r="R10">
        <v>1</v>
      </c>
      <c r="S10">
        <v>50</v>
      </c>
      <c r="V10" t="s">
        <v>103</v>
      </c>
      <c r="W10">
        <v>2</v>
      </c>
      <c r="X10">
        <v>58.705801536013752</v>
      </c>
    </row>
    <row r="11" spans="1:24" x14ac:dyDescent="0.25">
      <c r="A11" t="s">
        <v>31</v>
      </c>
      <c r="B11">
        <v>1</v>
      </c>
      <c r="C11">
        <v>79.47420105520375</v>
      </c>
      <c r="E11" t="s">
        <v>49</v>
      </c>
      <c r="F11">
        <v>1</v>
      </c>
      <c r="G11">
        <v>46.25</v>
      </c>
      <c r="I11" t="s">
        <v>58</v>
      </c>
      <c r="J11">
        <v>1</v>
      </c>
      <c r="K11">
        <v>73.75</v>
      </c>
      <c r="M11" t="s">
        <v>51</v>
      </c>
      <c r="N11">
        <v>1</v>
      </c>
      <c r="O11">
        <v>49.541451309646739</v>
      </c>
      <c r="Q11" t="s">
        <v>27</v>
      </c>
      <c r="R11">
        <v>1</v>
      </c>
      <c r="S11">
        <v>37.5</v>
      </c>
      <c r="V11" t="s">
        <v>33</v>
      </c>
      <c r="W11">
        <v>1</v>
      </c>
      <c r="X11">
        <v>58.33</v>
      </c>
    </row>
    <row r="12" spans="1:24" x14ac:dyDescent="0.25">
      <c r="A12" t="s">
        <v>26</v>
      </c>
      <c r="B12">
        <v>1</v>
      </c>
      <c r="C12">
        <v>78.270046493761271</v>
      </c>
      <c r="E12" t="s">
        <v>40</v>
      </c>
      <c r="F12">
        <v>1</v>
      </c>
      <c r="G12">
        <v>43.75</v>
      </c>
      <c r="I12" t="s">
        <v>26</v>
      </c>
      <c r="J12">
        <v>1</v>
      </c>
      <c r="K12">
        <v>58.75</v>
      </c>
      <c r="M12" t="s">
        <v>38</v>
      </c>
      <c r="N12">
        <v>1</v>
      </c>
      <c r="O12">
        <v>48.519001361921255</v>
      </c>
      <c r="Q12" t="s">
        <v>48</v>
      </c>
      <c r="R12">
        <v>1</v>
      </c>
      <c r="S12">
        <v>37.5</v>
      </c>
      <c r="V12" t="s">
        <v>153</v>
      </c>
      <c r="W12">
        <v>2</v>
      </c>
      <c r="X12">
        <v>57.894904690747623</v>
      </c>
    </row>
    <row r="13" spans="1:24" x14ac:dyDescent="0.25">
      <c r="A13" t="s">
        <v>39</v>
      </c>
      <c r="B13">
        <v>1</v>
      </c>
      <c r="C13">
        <v>77.568493604058716</v>
      </c>
      <c r="E13" t="s">
        <v>38</v>
      </c>
      <c r="F13">
        <v>1</v>
      </c>
      <c r="G13">
        <v>41.25</v>
      </c>
      <c r="I13" t="s">
        <v>30</v>
      </c>
      <c r="J13">
        <v>1</v>
      </c>
      <c r="K13">
        <v>58.75</v>
      </c>
      <c r="M13" t="s">
        <v>43</v>
      </c>
      <c r="N13">
        <v>1</v>
      </c>
      <c r="O13">
        <v>47.626803152375416</v>
      </c>
      <c r="Q13" t="s">
        <v>49</v>
      </c>
      <c r="R13">
        <v>1</v>
      </c>
      <c r="S13">
        <v>37.5</v>
      </c>
      <c r="V13" t="s">
        <v>42</v>
      </c>
      <c r="W13">
        <v>2</v>
      </c>
      <c r="X13">
        <v>57.872507437337163</v>
      </c>
    </row>
    <row r="14" spans="1:24" x14ac:dyDescent="0.25">
      <c r="A14" t="s">
        <v>43</v>
      </c>
      <c r="B14">
        <v>1</v>
      </c>
      <c r="C14">
        <v>76.686709468682096</v>
      </c>
      <c r="E14" t="s">
        <v>39</v>
      </c>
      <c r="F14">
        <v>1</v>
      </c>
      <c r="G14">
        <v>41.25</v>
      </c>
      <c r="I14" t="s">
        <v>28</v>
      </c>
      <c r="J14">
        <v>1</v>
      </c>
      <c r="K14">
        <v>57.5</v>
      </c>
      <c r="M14" t="s">
        <v>32</v>
      </c>
      <c r="N14">
        <v>1</v>
      </c>
      <c r="O14">
        <v>44.113101560768882</v>
      </c>
      <c r="Q14" t="s">
        <v>32</v>
      </c>
      <c r="R14">
        <v>1</v>
      </c>
      <c r="S14">
        <v>25</v>
      </c>
      <c r="V14" t="s">
        <v>128</v>
      </c>
      <c r="W14">
        <v>2</v>
      </c>
      <c r="X14">
        <v>57.714602605903977</v>
      </c>
    </row>
    <row r="15" spans="1:24" x14ac:dyDescent="0.25">
      <c r="A15" t="s">
        <v>38</v>
      </c>
      <c r="B15">
        <v>1</v>
      </c>
      <c r="C15">
        <v>75.667531473788713</v>
      </c>
      <c r="E15" t="s">
        <v>37</v>
      </c>
      <c r="F15">
        <v>1</v>
      </c>
      <c r="G15">
        <v>33.75</v>
      </c>
      <c r="I15" t="s">
        <v>51</v>
      </c>
      <c r="J15">
        <v>1</v>
      </c>
      <c r="K15">
        <v>57.5</v>
      </c>
      <c r="M15" t="s">
        <v>39</v>
      </c>
      <c r="N15">
        <v>1</v>
      </c>
      <c r="O15">
        <v>43.681611069758738</v>
      </c>
      <c r="Q15" t="s">
        <v>33</v>
      </c>
      <c r="R15">
        <v>1</v>
      </c>
      <c r="S15">
        <v>25</v>
      </c>
      <c r="V15" t="s">
        <v>45</v>
      </c>
      <c r="W15">
        <v>2</v>
      </c>
      <c r="X15">
        <v>57.366780975721156</v>
      </c>
    </row>
    <row r="16" spans="1:24" x14ac:dyDescent="0.25">
      <c r="A16" t="s">
        <v>32</v>
      </c>
      <c r="B16">
        <v>1</v>
      </c>
      <c r="C16">
        <v>74.657582809433819</v>
      </c>
      <c r="E16" t="s">
        <v>30</v>
      </c>
      <c r="F16">
        <v>1</v>
      </c>
      <c r="G16">
        <v>28.75</v>
      </c>
      <c r="I16" t="s">
        <v>37</v>
      </c>
      <c r="J16">
        <v>1</v>
      </c>
      <c r="K16">
        <v>51.25</v>
      </c>
      <c r="M16" t="s">
        <v>31</v>
      </c>
      <c r="N16">
        <v>1</v>
      </c>
      <c r="O16">
        <v>42.651164576225753</v>
      </c>
      <c r="Q16" t="s">
        <v>38</v>
      </c>
      <c r="R16">
        <v>1</v>
      </c>
      <c r="S16">
        <v>25</v>
      </c>
      <c r="V16" t="s">
        <v>41</v>
      </c>
      <c r="W16">
        <v>3</v>
      </c>
      <c r="X16">
        <v>57.186637805620812</v>
      </c>
    </row>
    <row r="17" spans="1:24" x14ac:dyDescent="0.25">
      <c r="A17" t="s">
        <v>49</v>
      </c>
      <c r="B17">
        <v>1</v>
      </c>
      <c r="C17">
        <v>71.625689072917766</v>
      </c>
      <c r="E17" t="s">
        <v>32</v>
      </c>
      <c r="F17">
        <v>1</v>
      </c>
      <c r="G17">
        <v>28.75</v>
      </c>
      <c r="I17" t="s">
        <v>48</v>
      </c>
      <c r="J17">
        <v>1</v>
      </c>
      <c r="K17">
        <v>50</v>
      </c>
      <c r="M17" t="s">
        <v>49</v>
      </c>
      <c r="N17">
        <v>1</v>
      </c>
      <c r="O17">
        <v>41.412650323767771</v>
      </c>
      <c r="Q17" t="s">
        <v>51</v>
      </c>
      <c r="R17">
        <v>1</v>
      </c>
      <c r="S17">
        <v>25</v>
      </c>
      <c r="V17" t="s">
        <v>36</v>
      </c>
      <c r="W17">
        <v>2</v>
      </c>
      <c r="X17">
        <v>57.121244422610673</v>
      </c>
    </row>
    <row r="18" spans="1:24" x14ac:dyDescent="0.25">
      <c r="A18" t="s">
        <v>48</v>
      </c>
      <c r="B18">
        <v>1</v>
      </c>
      <c r="C18">
        <v>71.045119125106382</v>
      </c>
      <c r="E18" t="s">
        <v>48</v>
      </c>
      <c r="F18">
        <v>1</v>
      </c>
      <c r="G18">
        <v>28.75</v>
      </c>
      <c r="I18" t="s">
        <v>40</v>
      </c>
      <c r="J18">
        <v>1</v>
      </c>
      <c r="K18">
        <v>42.5</v>
      </c>
      <c r="M18" t="s">
        <v>28</v>
      </c>
      <c r="N18">
        <v>1</v>
      </c>
      <c r="O18">
        <v>39.134129656776359</v>
      </c>
      <c r="Q18" t="s">
        <v>58</v>
      </c>
      <c r="R18">
        <v>1</v>
      </c>
      <c r="S18">
        <v>25</v>
      </c>
      <c r="V18" t="s">
        <v>23</v>
      </c>
      <c r="W18">
        <v>1</v>
      </c>
      <c r="X18">
        <v>56.902126609044416</v>
      </c>
    </row>
    <row r="19" spans="1:24" x14ac:dyDescent="0.25">
      <c r="A19" t="s">
        <v>30</v>
      </c>
      <c r="B19">
        <v>1</v>
      </c>
      <c r="C19">
        <v>68.851069582322623</v>
      </c>
      <c r="E19" t="s">
        <v>51</v>
      </c>
      <c r="F19">
        <v>1</v>
      </c>
      <c r="G19">
        <v>27.5</v>
      </c>
      <c r="I19" t="s">
        <v>22</v>
      </c>
      <c r="J19">
        <v>1</v>
      </c>
      <c r="K19">
        <v>33.75</v>
      </c>
      <c r="M19" t="s">
        <v>25</v>
      </c>
      <c r="N19">
        <v>1</v>
      </c>
      <c r="O19">
        <v>39.089246509770952</v>
      </c>
      <c r="Q19" t="s">
        <v>39</v>
      </c>
      <c r="R19">
        <v>1</v>
      </c>
      <c r="S19">
        <v>12.5</v>
      </c>
      <c r="V19" t="s">
        <v>25</v>
      </c>
      <c r="W19">
        <v>1</v>
      </c>
      <c r="X19">
        <v>56.573322975059384</v>
      </c>
    </row>
    <row r="20" spans="1:24" x14ac:dyDescent="0.25">
      <c r="A20" t="s">
        <v>58</v>
      </c>
      <c r="B20">
        <v>1</v>
      </c>
      <c r="C20">
        <v>59.341748473607396</v>
      </c>
      <c r="E20" t="s">
        <v>22</v>
      </c>
      <c r="F20">
        <v>1</v>
      </c>
      <c r="G20">
        <v>16.25</v>
      </c>
      <c r="I20" t="s">
        <v>39</v>
      </c>
      <c r="J20">
        <v>1</v>
      </c>
      <c r="K20">
        <v>33.75</v>
      </c>
      <c r="M20" t="s">
        <v>48</v>
      </c>
      <c r="N20">
        <v>1</v>
      </c>
      <c r="O20">
        <v>38.127816618432725</v>
      </c>
      <c r="Q20" t="s">
        <v>40</v>
      </c>
      <c r="R20">
        <v>1</v>
      </c>
      <c r="S20">
        <v>12.5</v>
      </c>
      <c r="V20" t="s">
        <v>136</v>
      </c>
      <c r="W20">
        <v>3</v>
      </c>
      <c r="X20">
        <v>56.287735735002357</v>
      </c>
    </row>
    <row r="21" spans="1:24" x14ac:dyDescent="0.25">
      <c r="A21" t="s">
        <v>51</v>
      </c>
      <c r="B21">
        <v>1</v>
      </c>
      <c r="C21">
        <v>58.132444967034452</v>
      </c>
      <c r="E21" t="s">
        <v>43</v>
      </c>
      <c r="F21">
        <v>1</v>
      </c>
      <c r="G21">
        <v>12.5</v>
      </c>
      <c r="I21" t="s">
        <v>43</v>
      </c>
      <c r="J21">
        <v>1</v>
      </c>
      <c r="K21">
        <v>25</v>
      </c>
      <c r="M21" t="s">
        <v>27</v>
      </c>
      <c r="N21">
        <v>1</v>
      </c>
      <c r="O21">
        <v>33.140431594894487</v>
      </c>
      <c r="Q21" t="s">
        <v>65</v>
      </c>
      <c r="R21">
        <v>1</v>
      </c>
      <c r="S21">
        <v>12.5</v>
      </c>
      <c r="V21" t="s">
        <v>88</v>
      </c>
      <c r="W21">
        <v>3</v>
      </c>
      <c r="X21">
        <v>56.09297917302041</v>
      </c>
    </row>
    <row r="22" spans="1:24" x14ac:dyDescent="0.25">
      <c r="A22" t="s">
        <v>40</v>
      </c>
      <c r="B22">
        <v>1</v>
      </c>
      <c r="C22">
        <v>56.403940659417636</v>
      </c>
      <c r="E22" t="s">
        <v>65</v>
      </c>
      <c r="F22">
        <v>1</v>
      </c>
      <c r="G22">
        <v>6.25</v>
      </c>
      <c r="I22" t="s">
        <v>65</v>
      </c>
      <c r="J22">
        <v>1</v>
      </c>
      <c r="K22">
        <v>8.75</v>
      </c>
      <c r="M22" t="s">
        <v>26</v>
      </c>
      <c r="N22">
        <v>1</v>
      </c>
      <c r="O22">
        <v>31.157836350401936</v>
      </c>
      <c r="Q22" t="s">
        <v>43</v>
      </c>
      <c r="R22">
        <v>1</v>
      </c>
      <c r="S22">
        <v>0</v>
      </c>
      <c r="V22" t="s">
        <v>208</v>
      </c>
      <c r="W22">
        <v>4</v>
      </c>
      <c r="X22">
        <v>56.003248584513827</v>
      </c>
    </row>
    <row r="23" spans="1:24" x14ac:dyDescent="0.25">
      <c r="A23" t="s">
        <v>117</v>
      </c>
      <c r="B23">
        <v>2</v>
      </c>
      <c r="C23">
        <v>105.4964417308576</v>
      </c>
      <c r="E23" t="s">
        <v>153</v>
      </c>
      <c r="F23">
        <v>2</v>
      </c>
      <c r="G23">
        <v>81.25</v>
      </c>
      <c r="I23" t="s">
        <v>153</v>
      </c>
      <c r="J23">
        <v>2</v>
      </c>
      <c r="K23">
        <v>100</v>
      </c>
      <c r="M23" t="s">
        <v>140</v>
      </c>
      <c r="N23">
        <v>2</v>
      </c>
      <c r="O23" t="e">
        <v>#DIV/0!</v>
      </c>
      <c r="Q23" t="s">
        <v>60</v>
      </c>
      <c r="R23">
        <v>2</v>
      </c>
      <c r="S23">
        <v>62.5</v>
      </c>
      <c r="V23" t="s">
        <v>275</v>
      </c>
      <c r="W23">
        <v>4</v>
      </c>
      <c r="X23">
        <v>55.889068965229953</v>
      </c>
    </row>
    <row r="24" spans="1:24" x14ac:dyDescent="0.25">
      <c r="A24" t="s">
        <v>137</v>
      </c>
      <c r="B24">
        <v>2</v>
      </c>
      <c r="C24">
        <v>105.4964417308576</v>
      </c>
      <c r="E24" t="s">
        <v>103</v>
      </c>
      <c r="F24">
        <v>2</v>
      </c>
      <c r="G24">
        <v>75</v>
      </c>
      <c r="I24" t="s">
        <v>36</v>
      </c>
      <c r="J24">
        <v>2</v>
      </c>
      <c r="K24">
        <v>91.25</v>
      </c>
      <c r="M24" t="s">
        <v>36</v>
      </c>
      <c r="N24">
        <v>2</v>
      </c>
      <c r="O24">
        <v>62.029623320912215</v>
      </c>
      <c r="Q24" t="s">
        <v>315</v>
      </c>
      <c r="R24">
        <v>2</v>
      </c>
      <c r="S24">
        <v>62.5</v>
      </c>
      <c r="V24" t="s">
        <v>260</v>
      </c>
      <c r="W24">
        <v>4</v>
      </c>
      <c r="X24">
        <v>55.879585022177586</v>
      </c>
    </row>
    <row r="25" spans="1:24" x14ac:dyDescent="0.25">
      <c r="A25" t="s">
        <v>45</v>
      </c>
      <c r="B25">
        <v>2</v>
      </c>
      <c r="C25">
        <v>102.40521381646617</v>
      </c>
      <c r="E25" t="s">
        <v>173</v>
      </c>
      <c r="F25">
        <v>2</v>
      </c>
      <c r="G25">
        <v>75</v>
      </c>
      <c r="I25" t="s">
        <v>42</v>
      </c>
      <c r="J25">
        <v>2</v>
      </c>
      <c r="K25">
        <v>83.75</v>
      </c>
      <c r="M25" t="s">
        <v>128</v>
      </c>
      <c r="N25">
        <v>2</v>
      </c>
      <c r="O25">
        <v>59.934782583234757</v>
      </c>
      <c r="Q25" t="s">
        <v>35</v>
      </c>
      <c r="R25">
        <v>2</v>
      </c>
      <c r="S25">
        <v>50</v>
      </c>
      <c r="V25" t="s">
        <v>62</v>
      </c>
      <c r="W25">
        <v>3</v>
      </c>
      <c r="X25">
        <v>55.649572566336118</v>
      </c>
    </row>
    <row r="26" spans="1:24" x14ac:dyDescent="0.25">
      <c r="A26" t="s">
        <v>42</v>
      </c>
      <c r="B26">
        <v>2</v>
      </c>
      <c r="C26">
        <v>98.902914122678993</v>
      </c>
      <c r="E26" t="s">
        <v>189</v>
      </c>
      <c r="F26">
        <v>2</v>
      </c>
      <c r="G26">
        <v>68.75</v>
      </c>
      <c r="I26" t="s">
        <v>59</v>
      </c>
      <c r="J26">
        <v>2</v>
      </c>
      <c r="K26">
        <v>83.75</v>
      </c>
      <c r="M26" t="s">
        <v>63</v>
      </c>
      <c r="N26">
        <v>2</v>
      </c>
      <c r="O26">
        <v>57.723410490472141</v>
      </c>
      <c r="Q26" t="s">
        <v>46</v>
      </c>
      <c r="R26">
        <v>2</v>
      </c>
      <c r="S26">
        <v>50</v>
      </c>
      <c r="V26" t="s">
        <v>161</v>
      </c>
      <c r="W26">
        <v>3</v>
      </c>
      <c r="X26">
        <v>55.487764345407982</v>
      </c>
    </row>
    <row r="27" spans="1:24" x14ac:dyDescent="0.25">
      <c r="A27" t="s">
        <v>79</v>
      </c>
      <c r="B27">
        <v>2</v>
      </c>
      <c r="C27">
        <v>98.902914122678993</v>
      </c>
      <c r="E27" t="s">
        <v>124</v>
      </c>
      <c r="F27">
        <v>2</v>
      </c>
      <c r="G27">
        <v>65</v>
      </c>
      <c r="I27" t="s">
        <v>179</v>
      </c>
      <c r="J27">
        <v>2</v>
      </c>
      <c r="K27">
        <v>83.75</v>
      </c>
      <c r="M27" t="s">
        <v>67</v>
      </c>
      <c r="N27">
        <v>2</v>
      </c>
      <c r="O27">
        <v>56.357136771889564</v>
      </c>
      <c r="Q27" t="s">
        <v>64</v>
      </c>
      <c r="R27">
        <v>2</v>
      </c>
      <c r="S27">
        <v>50</v>
      </c>
      <c r="V27" t="s">
        <v>61</v>
      </c>
      <c r="W27">
        <v>3</v>
      </c>
      <c r="X27">
        <v>55.299304960282811</v>
      </c>
    </row>
    <row r="28" spans="1:24" x14ac:dyDescent="0.25">
      <c r="A28" t="s">
        <v>59</v>
      </c>
      <c r="B28">
        <v>2</v>
      </c>
      <c r="C28">
        <v>96.265503079407551</v>
      </c>
      <c r="E28" t="s">
        <v>42</v>
      </c>
      <c r="F28">
        <v>2</v>
      </c>
      <c r="G28">
        <v>58.75</v>
      </c>
      <c r="I28" t="s">
        <v>45</v>
      </c>
      <c r="J28">
        <v>2</v>
      </c>
      <c r="K28">
        <v>82.5</v>
      </c>
      <c r="M28" t="s">
        <v>112</v>
      </c>
      <c r="N28">
        <v>2</v>
      </c>
      <c r="O28">
        <v>55.403703479619956</v>
      </c>
      <c r="Q28" t="s">
        <v>66</v>
      </c>
      <c r="R28">
        <v>2</v>
      </c>
      <c r="S28">
        <v>50</v>
      </c>
      <c r="V28" t="s">
        <v>46</v>
      </c>
      <c r="W28">
        <v>2</v>
      </c>
      <c r="X28">
        <v>55.215893711918596</v>
      </c>
    </row>
    <row r="29" spans="1:24" x14ac:dyDescent="0.25">
      <c r="A29" t="s">
        <v>83</v>
      </c>
      <c r="B29">
        <v>2</v>
      </c>
      <c r="C29">
        <v>96.265503079407551</v>
      </c>
      <c r="E29" t="s">
        <v>151</v>
      </c>
      <c r="F29">
        <v>2</v>
      </c>
      <c r="G29">
        <v>58.75</v>
      </c>
      <c r="I29" t="s">
        <v>113</v>
      </c>
      <c r="J29">
        <v>2</v>
      </c>
      <c r="K29">
        <v>82.5</v>
      </c>
      <c r="M29" t="s">
        <v>103</v>
      </c>
      <c r="N29">
        <v>2</v>
      </c>
      <c r="O29">
        <v>54.881752300330618</v>
      </c>
      <c r="Q29" t="s">
        <v>71</v>
      </c>
      <c r="R29">
        <v>2</v>
      </c>
      <c r="S29">
        <v>50</v>
      </c>
      <c r="V29" t="s">
        <v>59</v>
      </c>
      <c r="W29">
        <v>2</v>
      </c>
      <c r="X29">
        <v>55.016245022127336</v>
      </c>
    </row>
    <row r="30" spans="1:24" x14ac:dyDescent="0.25">
      <c r="A30" t="s">
        <v>85</v>
      </c>
      <c r="B30">
        <v>2</v>
      </c>
      <c r="C30">
        <v>96.265503079407551</v>
      </c>
      <c r="E30" t="s">
        <v>179</v>
      </c>
      <c r="F30">
        <v>2</v>
      </c>
      <c r="G30">
        <v>58.75</v>
      </c>
      <c r="I30" t="s">
        <v>128</v>
      </c>
      <c r="J30">
        <v>2</v>
      </c>
      <c r="K30">
        <v>82.5</v>
      </c>
      <c r="M30" t="s">
        <v>50</v>
      </c>
      <c r="N30">
        <v>2</v>
      </c>
      <c r="O30">
        <v>54.603988877347824</v>
      </c>
      <c r="Q30" t="s">
        <v>78</v>
      </c>
      <c r="R30">
        <v>2</v>
      </c>
      <c r="S30">
        <v>50</v>
      </c>
      <c r="V30" t="s">
        <v>185</v>
      </c>
      <c r="W30">
        <v>3</v>
      </c>
      <c r="X30">
        <v>54.967143423305657</v>
      </c>
    </row>
    <row r="31" spans="1:24" x14ac:dyDescent="0.25">
      <c r="A31" t="s">
        <v>103</v>
      </c>
      <c r="B31">
        <v>2</v>
      </c>
      <c r="C31">
        <v>96.265503079407551</v>
      </c>
      <c r="E31" t="s">
        <v>158</v>
      </c>
      <c r="F31">
        <v>2</v>
      </c>
      <c r="G31">
        <v>57.5</v>
      </c>
      <c r="I31" t="s">
        <v>150</v>
      </c>
      <c r="J31">
        <v>2</v>
      </c>
      <c r="K31">
        <v>82.5</v>
      </c>
      <c r="M31" t="s">
        <v>66</v>
      </c>
      <c r="N31">
        <v>2</v>
      </c>
      <c r="O31">
        <v>54.218191937005727</v>
      </c>
      <c r="Q31" t="s">
        <v>83</v>
      </c>
      <c r="R31">
        <v>2</v>
      </c>
      <c r="S31">
        <v>50</v>
      </c>
      <c r="V31" t="s">
        <v>173</v>
      </c>
      <c r="W31">
        <v>2</v>
      </c>
      <c r="X31">
        <v>54.67551658585969</v>
      </c>
    </row>
    <row r="32" spans="1:24" x14ac:dyDescent="0.25">
      <c r="A32" t="s">
        <v>124</v>
      </c>
      <c r="B32">
        <v>2</v>
      </c>
      <c r="C32">
        <v>96.265503079407551</v>
      </c>
      <c r="E32" t="s">
        <v>215</v>
      </c>
      <c r="F32">
        <v>2</v>
      </c>
      <c r="G32">
        <v>56.25</v>
      </c>
      <c r="I32" t="s">
        <v>151</v>
      </c>
      <c r="J32">
        <v>2</v>
      </c>
      <c r="K32">
        <v>82.5</v>
      </c>
      <c r="M32" t="s">
        <v>171</v>
      </c>
      <c r="N32">
        <v>2</v>
      </c>
      <c r="O32">
        <v>53.811745942149408</v>
      </c>
      <c r="Q32" t="s">
        <v>84</v>
      </c>
      <c r="R32">
        <v>2</v>
      </c>
      <c r="S32">
        <v>50</v>
      </c>
      <c r="V32" t="s">
        <v>127</v>
      </c>
      <c r="W32">
        <v>4</v>
      </c>
      <c r="X32">
        <v>54.604249325253846</v>
      </c>
    </row>
    <row r="33" spans="1:24" x14ac:dyDescent="0.25">
      <c r="A33" t="s">
        <v>173</v>
      </c>
      <c r="B33">
        <v>2</v>
      </c>
      <c r="C33">
        <v>96.265503079407551</v>
      </c>
      <c r="E33" t="s">
        <v>60</v>
      </c>
      <c r="F33">
        <v>2</v>
      </c>
      <c r="G33">
        <v>53.75</v>
      </c>
      <c r="I33" t="s">
        <v>85</v>
      </c>
      <c r="J33">
        <v>2</v>
      </c>
      <c r="K33">
        <v>75</v>
      </c>
      <c r="M33" t="s">
        <v>147</v>
      </c>
      <c r="N33">
        <v>2</v>
      </c>
      <c r="O33">
        <v>53.787988696383557</v>
      </c>
      <c r="Q33" t="s">
        <v>102</v>
      </c>
      <c r="R33">
        <v>2</v>
      </c>
      <c r="S33">
        <v>50</v>
      </c>
      <c r="V33" t="s">
        <v>53</v>
      </c>
      <c r="W33">
        <v>3</v>
      </c>
      <c r="X33">
        <v>54.58676963474587</v>
      </c>
    </row>
    <row r="34" spans="1:24" x14ac:dyDescent="0.25">
      <c r="A34" t="s">
        <v>35</v>
      </c>
      <c r="B34">
        <v>2</v>
      </c>
      <c r="C34">
        <v>95.219698576599356</v>
      </c>
      <c r="E34" t="s">
        <v>54</v>
      </c>
      <c r="F34">
        <v>2</v>
      </c>
      <c r="G34">
        <v>52.5</v>
      </c>
      <c r="I34" t="s">
        <v>98</v>
      </c>
      <c r="J34">
        <v>2</v>
      </c>
      <c r="K34">
        <v>75</v>
      </c>
      <c r="M34" t="s">
        <v>75</v>
      </c>
      <c r="N34">
        <v>2</v>
      </c>
      <c r="O34">
        <v>53.651676415040079</v>
      </c>
      <c r="Q34" t="s">
        <v>128</v>
      </c>
      <c r="R34">
        <v>2</v>
      </c>
      <c r="S34">
        <v>50</v>
      </c>
      <c r="V34" t="s">
        <v>54</v>
      </c>
      <c r="W34">
        <v>2</v>
      </c>
      <c r="X34">
        <v>54.546232283404009</v>
      </c>
    </row>
    <row r="35" spans="1:24" x14ac:dyDescent="0.25">
      <c r="A35" t="s">
        <v>46</v>
      </c>
      <c r="B35">
        <v>2</v>
      </c>
      <c r="C35">
        <v>93.872896223514132</v>
      </c>
      <c r="E35" t="s">
        <v>67</v>
      </c>
      <c r="F35">
        <v>2</v>
      </c>
      <c r="G35">
        <v>52.5</v>
      </c>
      <c r="I35" t="s">
        <v>103</v>
      </c>
      <c r="J35">
        <v>2</v>
      </c>
      <c r="K35">
        <v>75</v>
      </c>
      <c r="M35" t="s">
        <v>34</v>
      </c>
      <c r="N35">
        <v>2</v>
      </c>
      <c r="O35">
        <v>53.648588508408871</v>
      </c>
      <c r="Q35" t="s">
        <v>151</v>
      </c>
      <c r="R35">
        <v>2</v>
      </c>
      <c r="S35">
        <v>50</v>
      </c>
      <c r="V35" t="s">
        <v>102</v>
      </c>
      <c r="W35">
        <v>2</v>
      </c>
      <c r="X35">
        <v>54.296393277066009</v>
      </c>
    </row>
    <row r="36" spans="1:24" x14ac:dyDescent="0.25">
      <c r="A36" t="s">
        <v>54</v>
      </c>
      <c r="B36">
        <v>2</v>
      </c>
      <c r="C36">
        <v>92.24137345330989</v>
      </c>
      <c r="E36" t="s">
        <v>98</v>
      </c>
      <c r="F36">
        <v>2</v>
      </c>
      <c r="G36">
        <v>52.5</v>
      </c>
      <c r="I36" t="s">
        <v>158</v>
      </c>
      <c r="J36">
        <v>2</v>
      </c>
      <c r="K36">
        <v>75</v>
      </c>
      <c r="M36" t="s">
        <v>85</v>
      </c>
      <c r="N36">
        <v>2</v>
      </c>
      <c r="O36">
        <v>53.168295807217689</v>
      </c>
      <c r="Q36" t="s">
        <v>158</v>
      </c>
      <c r="R36">
        <v>2</v>
      </c>
      <c r="S36">
        <v>50</v>
      </c>
      <c r="V36" t="s">
        <v>67</v>
      </c>
      <c r="W36">
        <v>2</v>
      </c>
      <c r="X36">
        <v>54.061026490020183</v>
      </c>
    </row>
    <row r="37" spans="1:24" x14ac:dyDescent="0.25">
      <c r="A37" t="s">
        <v>29</v>
      </c>
      <c r="B37">
        <v>2</v>
      </c>
      <c r="C37">
        <v>91.039945287662377</v>
      </c>
      <c r="E37" t="s">
        <v>111</v>
      </c>
      <c r="F37">
        <v>2</v>
      </c>
      <c r="G37">
        <v>52.5</v>
      </c>
      <c r="I37" t="s">
        <v>173</v>
      </c>
      <c r="J37">
        <v>2</v>
      </c>
      <c r="K37">
        <v>75</v>
      </c>
      <c r="M37" t="s">
        <v>57</v>
      </c>
      <c r="N37">
        <v>2</v>
      </c>
      <c r="O37">
        <v>52.979491940510755</v>
      </c>
      <c r="Q37" t="s">
        <v>171</v>
      </c>
      <c r="R37">
        <v>2</v>
      </c>
      <c r="S37">
        <v>50</v>
      </c>
      <c r="V37" t="s">
        <v>95</v>
      </c>
      <c r="W37">
        <v>3</v>
      </c>
      <c r="X37">
        <v>54.030588681846176</v>
      </c>
    </row>
    <row r="38" spans="1:24" x14ac:dyDescent="0.25">
      <c r="A38" t="s">
        <v>73</v>
      </c>
      <c r="B38">
        <v>2</v>
      </c>
      <c r="C38">
        <v>90.990680992864668</v>
      </c>
      <c r="E38" t="s">
        <v>174</v>
      </c>
      <c r="F38">
        <v>2</v>
      </c>
      <c r="G38">
        <v>52.5</v>
      </c>
      <c r="I38" t="s">
        <v>199</v>
      </c>
      <c r="J38">
        <v>2</v>
      </c>
      <c r="K38">
        <v>75</v>
      </c>
      <c r="M38" t="s">
        <v>315</v>
      </c>
      <c r="N38">
        <v>2</v>
      </c>
      <c r="O38">
        <v>52.722133853203722</v>
      </c>
      <c r="Q38" t="s">
        <v>189</v>
      </c>
      <c r="R38">
        <v>2</v>
      </c>
      <c r="S38">
        <v>50</v>
      </c>
      <c r="V38" t="s">
        <v>189</v>
      </c>
      <c r="W38">
        <v>2</v>
      </c>
      <c r="X38">
        <v>53.920279319774508</v>
      </c>
    </row>
    <row r="39" spans="1:24" x14ac:dyDescent="0.25">
      <c r="A39" t="s">
        <v>36</v>
      </c>
      <c r="B39">
        <v>2</v>
      </c>
      <c r="C39">
        <v>89.671975471228947</v>
      </c>
      <c r="E39" t="s">
        <v>45</v>
      </c>
      <c r="F39">
        <v>2</v>
      </c>
      <c r="G39">
        <v>47.5</v>
      </c>
      <c r="I39" t="s">
        <v>54</v>
      </c>
      <c r="J39">
        <v>2</v>
      </c>
      <c r="K39">
        <v>73.75</v>
      </c>
      <c r="M39" t="s">
        <v>46</v>
      </c>
      <c r="N39">
        <v>2</v>
      </c>
      <c r="O39">
        <v>52.665786168039425</v>
      </c>
      <c r="Q39" t="s">
        <v>216</v>
      </c>
      <c r="R39">
        <v>2</v>
      </c>
      <c r="S39">
        <v>50</v>
      </c>
      <c r="V39" t="s">
        <v>107</v>
      </c>
      <c r="W39">
        <v>3</v>
      </c>
      <c r="X39">
        <v>53.89941323490423</v>
      </c>
    </row>
    <row r="40" spans="1:24" x14ac:dyDescent="0.25">
      <c r="A40" t="s">
        <v>66</v>
      </c>
      <c r="B40">
        <v>2</v>
      </c>
      <c r="C40">
        <v>89.671975471228947</v>
      </c>
      <c r="E40" t="s">
        <v>79</v>
      </c>
      <c r="F40">
        <v>2</v>
      </c>
      <c r="G40">
        <v>47.5</v>
      </c>
      <c r="I40" t="s">
        <v>57</v>
      </c>
      <c r="J40">
        <v>2</v>
      </c>
      <c r="K40">
        <v>73.75</v>
      </c>
      <c r="M40" t="s">
        <v>114</v>
      </c>
      <c r="N40">
        <v>2</v>
      </c>
      <c r="O40">
        <v>52.500898698008243</v>
      </c>
      <c r="Q40" t="s">
        <v>29</v>
      </c>
      <c r="R40">
        <v>2</v>
      </c>
      <c r="S40">
        <v>37.5</v>
      </c>
      <c r="V40" t="s">
        <v>158</v>
      </c>
      <c r="W40">
        <v>2</v>
      </c>
      <c r="X40">
        <v>53.431631636685282</v>
      </c>
    </row>
    <row r="41" spans="1:24" x14ac:dyDescent="0.25">
      <c r="A41" t="s">
        <v>102</v>
      </c>
      <c r="B41">
        <v>2</v>
      </c>
      <c r="C41">
        <v>89.671975471228947</v>
      </c>
      <c r="E41" t="s">
        <v>46</v>
      </c>
      <c r="F41">
        <v>2</v>
      </c>
      <c r="G41">
        <v>46.25</v>
      </c>
      <c r="I41" t="s">
        <v>84</v>
      </c>
      <c r="J41">
        <v>2</v>
      </c>
      <c r="K41">
        <v>73.75</v>
      </c>
      <c r="M41" t="s">
        <v>54</v>
      </c>
      <c r="N41">
        <v>2</v>
      </c>
      <c r="O41">
        <v>52.432393981855064</v>
      </c>
      <c r="Q41" t="s">
        <v>42</v>
      </c>
      <c r="R41">
        <v>2</v>
      </c>
      <c r="S41">
        <v>37.5</v>
      </c>
      <c r="V41" t="s">
        <v>85</v>
      </c>
      <c r="W41">
        <v>2</v>
      </c>
      <c r="X41">
        <v>53.395418938768586</v>
      </c>
    </row>
    <row r="42" spans="1:24" x14ac:dyDescent="0.25">
      <c r="A42" t="s">
        <v>114</v>
      </c>
      <c r="B42">
        <v>2</v>
      </c>
      <c r="C42">
        <v>89.671975471228947</v>
      </c>
      <c r="E42" t="s">
        <v>84</v>
      </c>
      <c r="F42">
        <v>2</v>
      </c>
      <c r="G42">
        <v>46.25</v>
      </c>
      <c r="I42" t="s">
        <v>102</v>
      </c>
      <c r="J42">
        <v>2</v>
      </c>
      <c r="K42">
        <v>73.75</v>
      </c>
      <c r="M42" t="s">
        <v>199</v>
      </c>
      <c r="N42">
        <v>2</v>
      </c>
      <c r="O42">
        <v>52.065517247611538</v>
      </c>
      <c r="Q42" t="s">
        <v>45</v>
      </c>
      <c r="R42">
        <v>2</v>
      </c>
      <c r="S42">
        <v>37.5</v>
      </c>
      <c r="V42" t="s">
        <v>228</v>
      </c>
      <c r="W42">
        <v>3</v>
      </c>
      <c r="X42">
        <v>53.377149707064362</v>
      </c>
    </row>
    <row r="43" spans="1:24" x14ac:dyDescent="0.25">
      <c r="A43" t="s">
        <v>314</v>
      </c>
      <c r="B43">
        <v>2</v>
      </c>
      <c r="C43">
        <v>89.671975471228947</v>
      </c>
      <c r="E43" t="s">
        <v>113</v>
      </c>
      <c r="F43">
        <v>2</v>
      </c>
      <c r="G43">
        <v>46.25</v>
      </c>
      <c r="I43" t="s">
        <v>124</v>
      </c>
      <c r="J43">
        <v>2</v>
      </c>
      <c r="K43">
        <v>73.75</v>
      </c>
      <c r="M43" t="s">
        <v>164</v>
      </c>
      <c r="N43">
        <v>2</v>
      </c>
      <c r="O43">
        <v>52.059129046166873</v>
      </c>
      <c r="Q43" t="s">
        <v>47</v>
      </c>
      <c r="R43">
        <v>2</v>
      </c>
      <c r="S43">
        <v>37.5</v>
      </c>
      <c r="V43" t="s">
        <v>150</v>
      </c>
      <c r="W43">
        <v>2</v>
      </c>
      <c r="X43">
        <v>53.359095824863836</v>
      </c>
    </row>
    <row r="44" spans="1:24" x14ac:dyDescent="0.25">
      <c r="A44" t="s">
        <v>150</v>
      </c>
      <c r="B44">
        <v>2</v>
      </c>
      <c r="C44">
        <v>89.671975471228947</v>
      </c>
      <c r="E44" t="s">
        <v>150</v>
      </c>
      <c r="F44">
        <v>2</v>
      </c>
      <c r="G44">
        <v>46.25</v>
      </c>
      <c r="I44" t="s">
        <v>147</v>
      </c>
      <c r="J44">
        <v>2</v>
      </c>
      <c r="K44">
        <v>73.75</v>
      </c>
      <c r="M44" t="s">
        <v>71</v>
      </c>
      <c r="N44">
        <v>2</v>
      </c>
      <c r="O44">
        <v>51.908635899790397</v>
      </c>
      <c r="Q44" t="s">
        <v>73</v>
      </c>
      <c r="R44">
        <v>2</v>
      </c>
      <c r="S44">
        <v>37.5</v>
      </c>
      <c r="V44" t="s">
        <v>230</v>
      </c>
      <c r="W44">
        <v>3</v>
      </c>
      <c r="X44">
        <v>53.312920591752189</v>
      </c>
    </row>
    <row r="45" spans="1:24" x14ac:dyDescent="0.25">
      <c r="A45" t="s">
        <v>153</v>
      </c>
      <c r="B45">
        <v>2</v>
      </c>
      <c r="C45">
        <v>89.671975471228947</v>
      </c>
      <c r="E45" t="s">
        <v>199</v>
      </c>
      <c r="F45">
        <v>2</v>
      </c>
      <c r="G45">
        <v>46.25</v>
      </c>
      <c r="I45" t="s">
        <v>73</v>
      </c>
      <c r="J45">
        <v>2</v>
      </c>
      <c r="K45">
        <v>67.5</v>
      </c>
      <c r="M45" t="s">
        <v>59</v>
      </c>
      <c r="N45">
        <v>2</v>
      </c>
      <c r="O45">
        <v>51.907861015614557</v>
      </c>
      <c r="Q45" t="s">
        <v>137</v>
      </c>
      <c r="R45">
        <v>2</v>
      </c>
      <c r="S45">
        <v>37.5</v>
      </c>
      <c r="V45" t="s">
        <v>60</v>
      </c>
      <c r="W45">
        <v>2</v>
      </c>
      <c r="X45">
        <v>53.305025957939776</v>
      </c>
    </row>
    <row r="46" spans="1:24" x14ac:dyDescent="0.25">
      <c r="A46" t="s">
        <v>64</v>
      </c>
      <c r="B46">
        <v>2</v>
      </c>
      <c r="C46">
        <v>88.353269949593241</v>
      </c>
      <c r="E46" t="s">
        <v>138</v>
      </c>
      <c r="F46">
        <v>2</v>
      </c>
      <c r="G46">
        <v>45</v>
      </c>
      <c r="I46" t="s">
        <v>78</v>
      </c>
      <c r="J46">
        <v>2</v>
      </c>
      <c r="K46">
        <v>67.5</v>
      </c>
      <c r="M46" t="s">
        <v>74</v>
      </c>
      <c r="N46">
        <v>2</v>
      </c>
      <c r="O46">
        <v>51.826246078376585</v>
      </c>
      <c r="Q46" t="s">
        <v>150</v>
      </c>
      <c r="R46">
        <v>2</v>
      </c>
      <c r="S46">
        <v>37.5</v>
      </c>
      <c r="V46" t="s">
        <v>254</v>
      </c>
      <c r="W46">
        <v>3</v>
      </c>
      <c r="X46">
        <v>53.251386436008076</v>
      </c>
    </row>
    <row r="47" spans="1:24" x14ac:dyDescent="0.25">
      <c r="A47" t="s">
        <v>67</v>
      </c>
      <c r="B47">
        <v>2</v>
      </c>
      <c r="C47">
        <v>85.715858906321799</v>
      </c>
      <c r="E47" t="s">
        <v>59</v>
      </c>
      <c r="F47">
        <v>2</v>
      </c>
      <c r="G47">
        <v>41.25</v>
      </c>
      <c r="I47" t="s">
        <v>80</v>
      </c>
      <c r="J47">
        <v>2</v>
      </c>
      <c r="K47">
        <v>67.5</v>
      </c>
      <c r="M47" t="s">
        <v>102</v>
      </c>
      <c r="N47">
        <v>2</v>
      </c>
      <c r="O47">
        <v>51.217495457050546</v>
      </c>
      <c r="Q47" t="s">
        <v>174</v>
      </c>
      <c r="R47">
        <v>2</v>
      </c>
      <c r="S47">
        <v>37.5</v>
      </c>
      <c r="V47" t="s">
        <v>92</v>
      </c>
      <c r="W47">
        <v>3</v>
      </c>
      <c r="X47">
        <v>53.180924989391897</v>
      </c>
    </row>
    <row r="48" spans="1:24" x14ac:dyDescent="0.25">
      <c r="A48" t="s">
        <v>68</v>
      </c>
      <c r="B48">
        <v>2</v>
      </c>
      <c r="C48">
        <v>85.715858906321799</v>
      </c>
      <c r="E48" t="s">
        <v>68</v>
      </c>
      <c r="F48">
        <v>2</v>
      </c>
      <c r="G48">
        <v>41.25</v>
      </c>
      <c r="I48" t="s">
        <v>131</v>
      </c>
      <c r="J48">
        <v>2</v>
      </c>
      <c r="K48">
        <v>67.5</v>
      </c>
      <c r="M48" t="s">
        <v>178</v>
      </c>
      <c r="N48">
        <v>2</v>
      </c>
      <c r="O48">
        <v>51.206917463660055</v>
      </c>
      <c r="Q48" t="s">
        <v>179</v>
      </c>
      <c r="R48">
        <v>2</v>
      </c>
      <c r="S48">
        <v>37.5</v>
      </c>
      <c r="V48" t="s">
        <v>193</v>
      </c>
      <c r="W48">
        <v>3</v>
      </c>
      <c r="X48">
        <v>53.06644097005713</v>
      </c>
    </row>
    <row r="49" spans="1:24" x14ac:dyDescent="0.25">
      <c r="A49" t="s">
        <v>89</v>
      </c>
      <c r="B49">
        <v>2</v>
      </c>
      <c r="C49">
        <v>85.715858906321799</v>
      </c>
      <c r="E49" t="s">
        <v>147</v>
      </c>
      <c r="F49">
        <v>2</v>
      </c>
      <c r="G49">
        <v>41.25</v>
      </c>
      <c r="I49" t="s">
        <v>189</v>
      </c>
      <c r="J49">
        <v>2</v>
      </c>
      <c r="K49">
        <v>67.5</v>
      </c>
      <c r="M49" t="s">
        <v>60</v>
      </c>
      <c r="N49">
        <v>2</v>
      </c>
      <c r="O49">
        <v>50.923252006595689</v>
      </c>
      <c r="Q49" t="s">
        <v>34</v>
      </c>
      <c r="R49">
        <v>2</v>
      </c>
      <c r="S49">
        <v>25</v>
      </c>
      <c r="V49" t="s">
        <v>277</v>
      </c>
      <c r="W49">
        <v>4</v>
      </c>
      <c r="X49">
        <v>52.682846785034222</v>
      </c>
    </row>
    <row r="50" spans="1:24" x14ac:dyDescent="0.25">
      <c r="A50" t="s">
        <v>93</v>
      </c>
      <c r="B50">
        <v>2</v>
      </c>
      <c r="C50">
        <v>85.715858906321799</v>
      </c>
      <c r="E50" t="s">
        <v>78</v>
      </c>
      <c r="F50">
        <v>2</v>
      </c>
      <c r="G50">
        <v>40</v>
      </c>
      <c r="I50" t="s">
        <v>35</v>
      </c>
      <c r="J50">
        <v>2</v>
      </c>
      <c r="K50">
        <v>66.25</v>
      </c>
      <c r="M50" t="s">
        <v>200</v>
      </c>
      <c r="N50">
        <v>2</v>
      </c>
      <c r="O50">
        <v>50.564270321715476</v>
      </c>
      <c r="Q50" t="s">
        <v>36</v>
      </c>
      <c r="R50">
        <v>2</v>
      </c>
      <c r="S50">
        <v>25</v>
      </c>
      <c r="V50" t="s">
        <v>147</v>
      </c>
      <c r="W50">
        <v>2</v>
      </c>
      <c r="X50">
        <v>52.65836725981778</v>
      </c>
    </row>
    <row r="51" spans="1:24" x14ac:dyDescent="0.25">
      <c r="A51" t="s">
        <v>147</v>
      </c>
      <c r="B51">
        <v>2</v>
      </c>
      <c r="C51">
        <v>85.715858906321799</v>
      </c>
      <c r="E51" t="s">
        <v>83</v>
      </c>
      <c r="F51">
        <v>2</v>
      </c>
      <c r="G51">
        <v>40</v>
      </c>
      <c r="I51" t="s">
        <v>64</v>
      </c>
      <c r="J51">
        <v>2</v>
      </c>
      <c r="K51">
        <v>66.25</v>
      </c>
      <c r="M51" t="s">
        <v>45</v>
      </c>
      <c r="N51">
        <v>2</v>
      </c>
      <c r="O51">
        <v>50.339345531069803</v>
      </c>
      <c r="Q51" t="s">
        <v>54</v>
      </c>
      <c r="R51">
        <v>2</v>
      </c>
      <c r="S51">
        <v>25</v>
      </c>
      <c r="V51" t="s">
        <v>124</v>
      </c>
      <c r="W51">
        <v>2</v>
      </c>
      <c r="X51">
        <v>52.576794458198819</v>
      </c>
    </row>
    <row r="52" spans="1:24" x14ac:dyDescent="0.25">
      <c r="A52" t="s">
        <v>171</v>
      </c>
      <c r="B52">
        <v>2</v>
      </c>
      <c r="C52">
        <v>85.715858906321799</v>
      </c>
      <c r="E52" t="s">
        <v>117</v>
      </c>
      <c r="F52">
        <v>2</v>
      </c>
      <c r="G52">
        <v>40</v>
      </c>
      <c r="I52" t="s">
        <v>67</v>
      </c>
      <c r="J52">
        <v>2</v>
      </c>
      <c r="K52">
        <v>66.25</v>
      </c>
      <c r="M52" t="s">
        <v>42</v>
      </c>
      <c r="N52">
        <v>2</v>
      </c>
      <c r="O52">
        <v>50.22981153200341</v>
      </c>
      <c r="Q52" t="s">
        <v>56</v>
      </c>
      <c r="R52">
        <v>2</v>
      </c>
      <c r="S52">
        <v>25</v>
      </c>
      <c r="V52" t="s">
        <v>179</v>
      </c>
      <c r="W52">
        <v>2</v>
      </c>
      <c r="X52">
        <v>52.498761048861006</v>
      </c>
    </row>
    <row r="53" spans="1:24" x14ac:dyDescent="0.25">
      <c r="A53" t="s">
        <v>180</v>
      </c>
      <c r="B53">
        <v>2</v>
      </c>
      <c r="C53">
        <v>85.715858906321799</v>
      </c>
      <c r="E53" t="s">
        <v>180</v>
      </c>
      <c r="F53">
        <v>2</v>
      </c>
      <c r="G53">
        <v>40</v>
      </c>
      <c r="I53" t="s">
        <v>79</v>
      </c>
      <c r="J53">
        <v>2</v>
      </c>
      <c r="K53">
        <v>66.25</v>
      </c>
      <c r="M53" t="s">
        <v>309</v>
      </c>
      <c r="N53">
        <v>2</v>
      </c>
      <c r="O53">
        <v>50.135344822337608</v>
      </c>
      <c r="Q53" t="s">
        <v>57</v>
      </c>
      <c r="R53">
        <v>2</v>
      </c>
      <c r="S53">
        <v>25</v>
      </c>
      <c r="V53" t="s">
        <v>210</v>
      </c>
      <c r="W53">
        <v>4</v>
      </c>
      <c r="X53">
        <v>52.299291858629722</v>
      </c>
    </row>
    <row r="54" spans="1:24" x14ac:dyDescent="0.25">
      <c r="A54" t="s">
        <v>245</v>
      </c>
      <c r="B54">
        <v>2</v>
      </c>
      <c r="C54">
        <v>85.715858906321799</v>
      </c>
      <c r="E54" t="s">
        <v>128</v>
      </c>
      <c r="F54">
        <v>2</v>
      </c>
      <c r="G54">
        <v>38.75</v>
      </c>
      <c r="I54" t="s">
        <v>180</v>
      </c>
      <c r="J54">
        <v>2</v>
      </c>
      <c r="K54">
        <v>66.25</v>
      </c>
      <c r="M54" t="s">
        <v>180</v>
      </c>
      <c r="N54">
        <v>2</v>
      </c>
      <c r="O54">
        <v>49.81460207729657</v>
      </c>
      <c r="Q54" t="s">
        <v>59</v>
      </c>
      <c r="R54">
        <v>2</v>
      </c>
      <c r="S54">
        <v>25</v>
      </c>
      <c r="V54" t="s">
        <v>66</v>
      </c>
      <c r="W54">
        <v>2</v>
      </c>
      <c r="X54">
        <v>51.871671869048086</v>
      </c>
    </row>
    <row r="55" spans="1:24" x14ac:dyDescent="0.25">
      <c r="A55" t="s">
        <v>84</v>
      </c>
      <c r="B55">
        <v>2</v>
      </c>
      <c r="C55">
        <v>84.397153384686078</v>
      </c>
      <c r="E55" t="s">
        <v>52</v>
      </c>
      <c r="F55">
        <v>2</v>
      </c>
      <c r="G55">
        <v>35</v>
      </c>
      <c r="I55" t="s">
        <v>309</v>
      </c>
      <c r="J55">
        <v>2</v>
      </c>
      <c r="K55">
        <v>65</v>
      </c>
      <c r="M55" t="s">
        <v>179</v>
      </c>
      <c r="N55">
        <v>2</v>
      </c>
      <c r="O55">
        <v>49.323148016352363</v>
      </c>
      <c r="Q55" t="s">
        <v>309</v>
      </c>
      <c r="R55">
        <v>2</v>
      </c>
      <c r="S55">
        <v>25</v>
      </c>
      <c r="V55" t="s">
        <v>110</v>
      </c>
      <c r="W55">
        <v>3</v>
      </c>
      <c r="X55">
        <v>51.866238885872896</v>
      </c>
    </row>
    <row r="56" spans="1:24" x14ac:dyDescent="0.25">
      <c r="A56" t="s">
        <v>113</v>
      </c>
      <c r="B56">
        <v>2</v>
      </c>
      <c r="C56">
        <v>84.397153384686078</v>
      </c>
      <c r="E56" t="s">
        <v>64</v>
      </c>
      <c r="F56">
        <v>2</v>
      </c>
      <c r="G56">
        <v>35</v>
      </c>
      <c r="I56" t="s">
        <v>52</v>
      </c>
      <c r="J56">
        <v>2</v>
      </c>
      <c r="K56">
        <v>58.75</v>
      </c>
      <c r="M56" t="s">
        <v>56</v>
      </c>
      <c r="N56">
        <v>2</v>
      </c>
      <c r="O56">
        <v>48.827199621380458</v>
      </c>
      <c r="Q56" t="s">
        <v>63</v>
      </c>
      <c r="R56">
        <v>2</v>
      </c>
      <c r="S56">
        <v>25</v>
      </c>
      <c r="V56" t="s">
        <v>292</v>
      </c>
      <c r="W56">
        <v>4</v>
      </c>
      <c r="X56">
        <v>51.804964796515556</v>
      </c>
    </row>
    <row r="57" spans="1:24" x14ac:dyDescent="0.25">
      <c r="A57" t="s">
        <v>125</v>
      </c>
      <c r="B57">
        <v>2</v>
      </c>
      <c r="C57">
        <v>84.397153384686078</v>
      </c>
      <c r="E57" t="s">
        <v>75</v>
      </c>
      <c r="F57">
        <v>2</v>
      </c>
      <c r="G57">
        <v>35</v>
      </c>
      <c r="I57" t="s">
        <v>91</v>
      </c>
      <c r="J57">
        <v>2</v>
      </c>
      <c r="K57">
        <v>58.75</v>
      </c>
      <c r="M57" t="s">
        <v>106</v>
      </c>
      <c r="N57">
        <v>2</v>
      </c>
      <c r="O57">
        <v>48.75077151234364</v>
      </c>
      <c r="Q57" t="s">
        <v>67</v>
      </c>
      <c r="R57">
        <v>2</v>
      </c>
      <c r="S57">
        <v>25</v>
      </c>
      <c r="V57" t="s">
        <v>79</v>
      </c>
      <c r="W57">
        <v>2</v>
      </c>
      <c r="X57">
        <v>51.629207048750445</v>
      </c>
    </row>
    <row r="58" spans="1:24" x14ac:dyDescent="0.25">
      <c r="A58" t="s">
        <v>131</v>
      </c>
      <c r="B58">
        <v>2</v>
      </c>
      <c r="C58">
        <v>84.397153384686078</v>
      </c>
      <c r="E58" t="s">
        <v>102</v>
      </c>
      <c r="F58">
        <v>2</v>
      </c>
      <c r="G58">
        <v>35</v>
      </c>
      <c r="I58" t="s">
        <v>117</v>
      </c>
      <c r="J58">
        <v>2</v>
      </c>
      <c r="K58">
        <v>58.75</v>
      </c>
      <c r="M58" t="s">
        <v>44</v>
      </c>
      <c r="N58">
        <v>2</v>
      </c>
      <c r="O58">
        <v>48.593388643031048</v>
      </c>
      <c r="Q58" t="s">
        <v>79</v>
      </c>
      <c r="R58">
        <v>2</v>
      </c>
      <c r="S58">
        <v>25</v>
      </c>
      <c r="V58" t="s">
        <v>171</v>
      </c>
      <c r="W58">
        <v>2</v>
      </c>
      <c r="X58">
        <v>51.542870158124124</v>
      </c>
    </row>
    <row r="59" spans="1:24" x14ac:dyDescent="0.25">
      <c r="A59" t="s">
        <v>189</v>
      </c>
      <c r="B59">
        <v>2</v>
      </c>
      <c r="C59">
        <v>84.397153384686078</v>
      </c>
      <c r="E59" t="s">
        <v>122</v>
      </c>
      <c r="F59">
        <v>2</v>
      </c>
      <c r="G59">
        <v>35</v>
      </c>
      <c r="I59" t="s">
        <v>46</v>
      </c>
      <c r="J59">
        <v>2</v>
      </c>
      <c r="K59">
        <v>57.5</v>
      </c>
      <c r="M59" t="s">
        <v>151</v>
      </c>
      <c r="N59">
        <v>2</v>
      </c>
      <c r="O59">
        <v>48.496909559250334</v>
      </c>
      <c r="Q59" t="s">
        <v>80</v>
      </c>
      <c r="R59">
        <v>2</v>
      </c>
      <c r="S59">
        <v>25</v>
      </c>
      <c r="V59" t="s">
        <v>117</v>
      </c>
      <c r="W59">
        <v>2</v>
      </c>
      <c r="X59">
        <v>51.500572009720827</v>
      </c>
    </row>
    <row r="60" spans="1:24" x14ac:dyDescent="0.25">
      <c r="A60" t="s">
        <v>52</v>
      </c>
      <c r="B60">
        <v>2</v>
      </c>
      <c r="C60">
        <v>83.384065632097474</v>
      </c>
      <c r="E60" t="s">
        <v>309</v>
      </c>
      <c r="F60">
        <v>2</v>
      </c>
      <c r="G60">
        <v>33.75</v>
      </c>
      <c r="I60" t="s">
        <v>60</v>
      </c>
      <c r="J60">
        <v>2</v>
      </c>
      <c r="K60">
        <v>57.5</v>
      </c>
      <c r="M60" t="s">
        <v>153</v>
      </c>
      <c r="N60">
        <v>2</v>
      </c>
      <c r="O60">
        <v>48.338773991254577</v>
      </c>
      <c r="Q60" t="s">
        <v>85</v>
      </c>
      <c r="R60">
        <v>2</v>
      </c>
      <c r="S60">
        <v>25</v>
      </c>
      <c r="V60" t="s">
        <v>35</v>
      </c>
      <c r="W60">
        <v>2</v>
      </c>
      <c r="X60">
        <v>51.410014294187874</v>
      </c>
    </row>
    <row r="61" spans="1:24" x14ac:dyDescent="0.25">
      <c r="A61" t="s">
        <v>76</v>
      </c>
      <c r="B61">
        <v>2</v>
      </c>
      <c r="C61">
        <v>83.078447863050357</v>
      </c>
      <c r="E61" t="s">
        <v>73</v>
      </c>
      <c r="F61">
        <v>2</v>
      </c>
      <c r="G61">
        <v>33.75</v>
      </c>
      <c r="I61" s="2" t="s">
        <v>312</v>
      </c>
      <c r="J61" s="2">
        <v>2</v>
      </c>
      <c r="K61">
        <v>57.5</v>
      </c>
      <c r="M61" t="s">
        <v>80</v>
      </c>
      <c r="N61">
        <v>2</v>
      </c>
      <c r="O61">
        <v>48.234912982271887</v>
      </c>
      <c r="Q61" t="s">
        <v>89</v>
      </c>
      <c r="R61">
        <v>2</v>
      </c>
      <c r="S61">
        <v>25</v>
      </c>
      <c r="V61" t="s">
        <v>146</v>
      </c>
      <c r="W61">
        <v>3</v>
      </c>
      <c r="X61">
        <v>51.406569386516423</v>
      </c>
    </row>
    <row r="62" spans="1:24" x14ac:dyDescent="0.25">
      <c r="A62" t="s">
        <v>112</v>
      </c>
      <c r="B62">
        <v>2</v>
      </c>
      <c r="C62">
        <v>83.078447863050357</v>
      </c>
      <c r="E62" t="s">
        <v>114</v>
      </c>
      <c r="F62">
        <v>2</v>
      </c>
      <c r="G62">
        <v>33.75</v>
      </c>
      <c r="I62" t="s">
        <v>111</v>
      </c>
      <c r="J62">
        <v>2</v>
      </c>
      <c r="K62">
        <v>57.5</v>
      </c>
      <c r="M62" t="s">
        <v>174</v>
      </c>
      <c r="N62">
        <v>2</v>
      </c>
      <c r="O62">
        <v>48.19254676456255</v>
      </c>
      <c r="Q62" t="s">
        <v>93</v>
      </c>
      <c r="R62">
        <v>2</v>
      </c>
      <c r="S62">
        <v>25</v>
      </c>
      <c r="V62" t="s">
        <v>205</v>
      </c>
      <c r="W62">
        <v>3</v>
      </c>
      <c r="X62">
        <v>51.390495669560465</v>
      </c>
    </row>
    <row r="63" spans="1:24" x14ac:dyDescent="0.25">
      <c r="A63" t="s">
        <v>115</v>
      </c>
      <c r="B63">
        <v>2</v>
      </c>
      <c r="C63">
        <v>83.078447863050357</v>
      </c>
      <c r="E63" t="s">
        <v>137</v>
      </c>
      <c r="F63">
        <v>2</v>
      </c>
      <c r="G63">
        <v>33.75</v>
      </c>
      <c r="I63" t="s">
        <v>114</v>
      </c>
      <c r="J63">
        <v>2</v>
      </c>
      <c r="K63">
        <v>57.5</v>
      </c>
      <c r="M63" t="s">
        <v>117</v>
      </c>
      <c r="N63">
        <v>2</v>
      </c>
      <c r="O63">
        <v>48.190709158873261</v>
      </c>
      <c r="Q63" t="s">
        <v>98</v>
      </c>
      <c r="R63">
        <v>2</v>
      </c>
      <c r="S63">
        <v>25</v>
      </c>
      <c r="V63" t="s">
        <v>37</v>
      </c>
      <c r="W63">
        <v>1</v>
      </c>
      <c r="X63">
        <v>51.102088672957102</v>
      </c>
    </row>
    <row r="64" spans="1:24" x14ac:dyDescent="0.25">
      <c r="A64" t="s">
        <v>128</v>
      </c>
      <c r="B64">
        <v>2</v>
      </c>
      <c r="C64">
        <v>83.078447863050357</v>
      </c>
      <c r="E64" t="s">
        <v>71</v>
      </c>
      <c r="F64">
        <v>2</v>
      </c>
      <c r="G64">
        <v>32.5</v>
      </c>
      <c r="I64" t="s">
        <v>215</v>
      </c>
      <c r="J64">
        <v>2</v>
      </c>
      <c r="K64">
        <v>57.5</v>
      </c>
      <c r="M64" s="2" t="s">
        <v>312</v>
      </c>
      <c r="N64" s="2">
        <v>2</v>
      </c>
      <c r="O64">
        <v>48.172934926421206</v>
      </c>
      <c r="Q64" t="s">
        <v>101</v>
      </c>
      <c r="R64">
        <v>2</v>
      </c>
      <c r="S64">
        <v>25</v>
      </c>
      <c r="V64" t="s">
        <v>184</v>
      </c>
      <c r="W64">
        <v>3</v>
      </c>
      <c r="X64">
        <v>50.951221944802299</v>
      </c>
    </row>
    <row r="65" spans="1:24" x14ac:dyDescent="0.25">
      <c r="A65" t="s">
        <v>158</v>
      </c>
      <c r="B65">
        <v>2</v>
      </c>
      <c r="C65">
        <v>83.078447863050357</v>
      </c>
      <c r="E65" t="s">
        <v>44</v>
      </c>
      <c r="F65">
        <v>2</v>
      </c>
      <c r="G65">
        <v>28.75</v>
      </c>
      <c r="I65" t="s">
        <v>314</v>
      </c>
      <c r="J65">
        <v>2</v>
      </c>
      <c r="K65">
        <v>51.25</v>
      </c>
      <c r="M65" t="s">
        <v>93</v>
      </c>
      <c r="N65">
        <v>2</v>
      </c>
      <c r="O65">
        <v>48.022120872998499</v>
      </c>
      <c r="Q65" t="s">
        <v>103</v>
      </c>
      <c r="R65">
        <v>2</v>
      </c>
      <c r="S65">
        <v>25</v>
      </c>
      <c r="V65" t="s">
        <v>64</v>
      </c>
      <c r="W65">
        <v>2</v>
      </c>
      <c r="X65">
        <v>50.949087749037375</v>
      </c>
    </row>
    <row r="66" spans="1:24" x14ac:dyDescent="0.25">
      <c r="A66" t="s">
        <v>178</v>
      </c>
      <c r="B66">
        <v>2</v>
      </c>
      <c r="C66">
        <v>83.078447863050357</v>
      </c>
      <c r="E66" t="s">
        <v>57</v>
      </c>
      <c r="F66">
        <v>2</v>
      </c>
      <c r="G66">
        <v>28.75</v>
      </c>
      <c r="I66" t="s">
        <v>178</v>
      </c>
      <c r="J66">
        <v>2</v>
      </c>
      <c r="K66">
        <v>51.25</v>
      </c>
      <c r="M66" t="s">
        <v>89</v>
      </c>
      <c r="N66">
        <v>2</v>
      </c>
      <c r="O66">
        <v>47.929297876373113</v>
      </c>
      <c r="Q66" s="2" t="s">
        <v>312</v>
      </c>
      <c r="R66" s="2">
        <v>2</v>
      </c>
      <c r="S66">
        <v>25</v>
      </c>
      <c r="V66" t="s">
        <v>240</v>
      </c>
      <c r="W66">
        <v>4</v>
      </c>
      <c r="X66">
        <v>50.930869896033485</v>
      </c>
    </row>
    <row r="67" spans="1:24" x14ac:dyDescent="0.25">
      <c r="A67" t="s">
        <v>56</v>
      </c>
      <c r="B67">
        <v>2</v>
      </c>
      <c r="C67">
        <v>81.759742341414636</v>
      </c>
      <c r="E67" t="s">
        <v>85</v>
      </c>
      <c r="F67">
        <v>2</v>
      </c>
      <c r="G67">
        <v>28.75</v>
      </c>
      <c r="I67" t="s">
        <v>47</v>
      </c>
      <c r="J67">
        <v>2</v>
      </c>
      <c r="K67">
        <v>50</v>
      </c>
      <c r="M67" t="s">
        <v>138</v>
      </c>
      <c r="N67">
        <v>2</v>
      </c>
      <c r="O67">
        <v>47.900293916752325</v>
      </c>
      <c r="Q67" t="s">
        <v>106</v>
      </c>
      <c r="R67">
        <v>2</v>
      </c>
      <c r="S67">
        <v>25</v>
      </c>
      <c r="V67" t="s">
        <v>116</v>
      </c>
      <c r="W67">
        <v>3</v>
      </c>
      <c r="X67">
        <v>50.798276610972195</v>
      </c>
    </row>
    <row r="68" spans="1:24" x14ac:dyDescent="0.25">
      <c r="A68" t="s">
        <v>71</v>
      </c>
      <c r="B68">
        <v>2</v>
      </c>
      <c r="C68">
        <v>81.759742341414636</v>
      </c>
      <c r="E68" t="s">
        <v>91</v>
      </c>
      <c r="F68">
        <v>2</v>
      </c>
      <c r="G68">
        <v>28.75</v>
      </c>
      <c r="I68" t="s">
        <v>63</v>
      </c>
      <c r="J68">
        <v>2</v>
      </c>
      <c r="K68">
        <v>50</v>
      </c>
      <c r="M68" t="s">
        <v>314</v>
      </c>
      <c r="N68">
        <v>2</v>
      </c>
      <c r="O68">
        <v>47.653873956365487</v>
      </c>
      <c r="Q68" t="s">
        <v>111</v>
      </c>
      <c r="R68">
        <v>2</v>
      </c>
      <c r="S68">
        <v>25</v>
      </c>
      <c r="V68" t="s">
        <v>236</v>
      </c>
      <c r="W68">
        <v>3</v>
      </c>
      <c r="X68">
        <v>50.721324282770695</v>
      </c>
    </row>
    <row r="69" spans="1:24" x14ac:dyDescent="0.25">
      <c r="A69" t="s">
        <v>57</v>
      </c>
      <c r="B69">
        <v>2</v>
      </c>
      <c r="C69">
        <v>80.630978620580308</v>
      </c>
      <c r="E69" s="2" t="s">
        <v>312</v>
      </c>
      <c r="F69" s="2">
        <v>2</v>
      </c>
      <c r="G69">
        <v>28.75</v>
      </c>
      <c r="I69" t="s">
        <v>66</v>
      </c>
      <c r="J69">
        <v>2</v>
      </c>
      <c r="K69">
        <v>50</v>
      </c>
      <c r="M69" t="s">
        <v>78</v>
      </c>
      <c r="N69">
        <v>2</v>
      </c>
      <c r="O69">
        <v>47.236250723624231</v>
      </c>
      <c r="Q69" t="s">
        <v>113</v>
      </c>
      <c r="R69">
        <v>2</v>
      </c>
      <c r="S69">
        <v>25</v>
      </c>
      <c r="V69" t="s">
        <v>104</v>
      </c>
      <c r="W69">
        <v>3</v>
      </c>
      <c r="X69">
        <v>50.629622214250801</v>
      </c>
    </row>
    <row r="70" spans="1:24" x14ac:dyDescent="0.25">
      <c r="A70" t="s">
        <v>145</v>
      </c>
      <c r="B70">
        <v>2</v>
      </c>
      <c r="C70">
        <v>80.441036819778915</v>
      </c>
      <c r="E70" t="s">
        <v>106</v>
      </c>
      <c r="F70">
        <v>2</v>
      </c>
      <c r="G70">
        <v>28.75</v>
      </c>
      <c r="I70" t="s">
        <v>68</v>
      </c>
      <c r="J70">
        <v>2</v>
      </c>
      <c r="K70">
        <v>50</v>
      </c>
      <c r="M70" t="s">
        <v>125</v>
      </c>
      <c r="N70">
        <v>2</v>
      </c>
      <c r="O70">
        <v>47.162264873522759</v>
      </c>
      <c r="Q70" t="s">
        <v>114</v>
      </c>
      <c r="R70">
        <v>2</v>
      </c>
      <c r="S70">
        <v>25</v>
      </c>
      <c r="V70" t="s">
        <v>195</v>
      </c>
      <c r="W70">
        <v>4</v>
      </c>
      <c r="X70">
        <v>50.621742499728896</v>
      </c>
    </row>
    <row r="71" spans="1:24" x14ac:dyDescent="0.25">
      <c r="A71" t="s">
        <v>78</v>
      </c>
      <c r="B71">
        <v>2</v>
      </c>
      <c r="C71">
        <v>79.122331298143195</v>
      </c>
      <c r="E71" t="s">
        <v>115</v>
      </c>
      <c r="F71">
        <v>2</v>
      </c>
      <c r="G71">
        <v>28.75</v>
      </c>
      <c r="I71" t="s">
        <v>75</v>
      </c>
      <c r="J71">
        <v>2</v>
      </c>
      <c r="K71">
        <v>50</v>
      </c>
      <c r="M71" t="s">
        <v>150</v>
      </c>
      <c r="N71">
        <v>2</v>
      </c>
      <c r="O71">
        <v>46.999251826545112</v>
      </c>
      <c r="Q71" t="s">
        <v>115</v>
      </c>
      <c r="R71">
        <v>2</v>
      </c>
      <c r="S71">
        <v>25</v>
      </c>
      <c r="V71" t="s">
        <v>114</v>
      </c>
      <c r="W71">
        <v>2</v>
      </c>
      <c r="X71">
        <v>50.559754573449084</v>
      </c>
    </row>
    <row r="72" spans="1:24" x14ac:dyDescent="0.25">
      <c r="A72" t="s">
        <v>111</v>
      </c>
      <c r="B72">
        <v>2</v>
      </c>
      <c r="C72">
        <v>79.122331298143195</v>
      </c>
      <c r="E72" t="s">
        <v>171</v>
      </c>
      <c r="F72">
        <v>2</v>
      </c>
      <c r="G72">
        <v>28.75</v>
      </c>
      <c r="I72" t="s">
        <v>83</v>
      </c>
      <c r="J72">
        <v>2</v>
      </c>
      <c r="K72">
        <v>50</v>
      </c>
      <c r="M72" t="s">
        <v>186</v>
      </c>
      <c r="N72">
        <v>2</v>
      </c>
      <c r="O72">
        <v>46.772317527855314</v>
      </c>
      <c r="Q72" t="s">
        <v>124</v>
      </c>
      <c r="R72">
        <v>2</v>
      </c>
      <c r="S72">
        <v>25</v>
      </c>
      <c r="V72" t="s">
        <v>28</v>
      </c>
      <c r="W72">
        <v>1</v>
      </c>
      <c r="X72">
        <v>50.532162646063526</v>
      </c>
    </row>
    <row r="73" spans="1:24" x14ac:dyDescent="0.25">
      <c r="A73" t="s">
        <v>121</v>
      </c>
      <c r="B73">
        <v>2</v>
      </c>
      <c r="C73">
        <v>79.122331298143195</v>
      </c>
      <c r="E73" t="s">
        <v>216</v>
      </c>
      <c r="F73">
        <v>2</v>
      </c>
      <c r="G73">
        <v>28.75</v>
      </c>
      <c r="I73" t="s">
        <v>171</v>
      </c>
      <c r="J73">
        <v>2</v>
      </c>
      <c r="K73">
        <v>50</v>
      </c>
      <c r="M73" t="s">
        <v>52</v>
      </c>
      <c r="N73">
        <v>2</v>
      </c>
      <c r="O73">
        <v>46.646947843643702</v>
      </c>
      <c r="Q73" t="s">
        <v>125</v>
      </c>
      <c r="R73">
        <v>2</v>
      </c>
      <c r="S73">
        <v>25</v>
      </c>
      <c r="V73" t="s">
        <v>78</v>
      </c>
      <c r="W73">
        <v>2</v>
      </c>
      <c r="X73">
        <v>50.468966549078331</v>
      </c>
    </row>
    <row r="74" spans="1:24" x14ac:dyDescent="0.25">
      <c r="A74" t="s">
        <v>60</v>
      </c>
      <c r="B74">
        <v>2</v>
      </c>
      <c r="C74">
        <v>77.803625776507474</v>
      </c>
      <c r="E74" t="s">
        <v>36</v>
      </c>
      <c r="F74">
        <v>2</v>
      </c>
      <c r="G74">
        <v>27.5</v>
      </c>
      <c r="I74" t="s">
        <v>216</v>
      </c>
      <c r="J74">
        <v>2</v>
      </c>
      <c r="K74">
        <v>50</v>
      </c>
      <c r="M74" t="s">
        <v>158</v>
      </c>
      <c r="N74">
        <v>2</v>
      </c>
      <c r="O74">
        <v>46.414855160188019</v>
      </c>
      <c r="Q74" t="s">
        <v>131</v>
      </c>
      <c r="R74">
        <v>2</v>
      </c>
      <c r="S74">
        <v>25</v>
      </c>
      <c r="V74" t="s">
        <v>31</v>
      </c>
      <c r="W74">
        <v>1</v>
      </c>
      <c r="X74">
        <v>50.455306041531053</v>
      </c>
    </row>
    <row r="75" spans="1:24" x14ac:dyDescent="0.25">
      <c r="A75" t="s">
        <v>309</v>
      </c>
      <c r="B75">
        <v>2</v>
      </c>
      <c r="C75">
        <v>75.166214733236032</v>
      </c>
      <c r="E75" t="s">
        <v>315</v>
      </c>
      <c r="F75">
        <v>2</v>
      </c>
      <c r="G75">
        <v>27.5</v>
      </c>
      <c r="I75" t="s">
        <v>245</v>
      </c>
      <c r="J75">
        <v>2</v>
      </c>
      <c r="K75">
        <v>50</v>
      </c>
      <c r="M75" t="s">
        <v>35</v>
      </c>
      <c r="N75">
        <v>2</v>
      </c>
      <c r="O75">
        <v>46.227686447170008</v>
      </c>
      <c r="Q75" t="s">
        <v>147</v>
      </c>
      <c r="R75">
        <v>2</v>
      </c>
      <c r="S75">
        <v>25</v>
      </c>
      <c r="V75" t="s">
        <v>83</v>
      </c>
      <c r="W75">
        <v>2</v>
      </c>
      <c r="X75">
        <v>50.30288522936651</v>
      </c>
    </row>
    <row r="76" spans="1:24" x14ac:dyDescent="0.25">
      <c r="A76" t="s">
        <v>106</v>
      </c>
      <c r="B76">
        <v>2</v>
      </c>
      <c r="C76">
        <v>75.166214733236032</v>
      </c>
      <c r="E76" t="s">
        <v>245</v>
      </c>
      <c r="F76">
        <v>2</v>
      </c>
      <c r="G76">
        <v>26.25</v>
      </c>
      <c r="I76" t="s">
        <v>50</v>
      </c>
      <c r="J76">
        <v>2</v>
      </c>
      <c r="K76">
        <v>48.75</v>
      </c>
      <c r="M76" t="s">
        <v>189</v>
      </c>
      <c r="N76">
        <v>2</v>
      </c>
      <c r="O76">
        <v>46.039621607093224</v>
      </c>
      <c r="Q76" t="s">
        <v>153</v>
      </c>
      <c r="R76">
        <v>2</v>
      </c>
      <c r="S76">
        <v>25</v>
      </c>
      <c r="V76" t="s">
        <v>201</v>
      </c>
      <c r="W76">
        <v>4</v>
      </c>
      <c r="X76">
        <v>50.273443702883412</v>
      </c>
    </row>
    <row r="77" spans="1:24" x14ac:dyDescent="0.25">
      <c r="A77" t="s">
        <v>200</v>
      </c>
      <c r="B77">
        <v>2</v>
      </c>
      <c r="C77">
        <v>75.166214733236032</v>
      </c>
      <c r="E77" t="s">
        <v>29</v>
      </c>
      <c r="F77">
        <v>2</v>
      </c>
      <c r="G77">
        <v>22.5</v>
      </c>
      <c r="I77" t="s">
        <v>29</v>
      </c>
      <c r="J77">
        <v>2</v>
      </c>
      <c r="K77">
        <v>42.5</v>
      </c>
      <c r="M77" t="s">
        <v>68</v>
      </c>
      <c r="N77">
        <v>2</v>
      </c>
      <c r="O77">
        <v>45.860289672127848</v>
      </c>
      <c r="Q77" t="s">
        <v>173</v>
      </c>
      <c r="R77">
        <v>2</v>
      </c>
      <c r="S77">
        <v>25</v>
      </c>
      <c r="V77" t="s">
        <v>182</v>
      </c>
      <c r="W77">
        <v>3</v>
      </c>
      <c r="X77">
        <v>50.263493367988644</v>
      </c>
    </row>
    <row r="78" spans="1:24" x14ac:dyDescent="0.25">
      <c r="A78" t="s">
        <v>174</v>
      </c>
      <c r="B78">
        <v>2</v>
      </c>
      <c r="C78">
        <v>73.847509211600311</v>
      </c>
      <c r="E78" t="s">
        <v>35</v>
      </c>
      <c r="F78">
        <v>2</v>
      </c>
      <c r="G78">
        <v>22.5</v>
      </c>
      <c r="I78" t="s">
        <v>56</v>
      </c>
      <c r="J78">
        <v>2</v>
      </c>
      <c r="K78">
        <v>42.5</v>
      </c>
      <c r="M78" t="s">
        <v>101</v>
      </c>
      <c r="N78">
        <v>2</v>
      </c>
      <c r="O78">
        <v>45.809074387234176</v>
      </c>
      <c r="Q78" t="s">
        <v>178</v>
      </c>
      <c r="R78">
        <v>2</v>
      </c>
      <c r="S78">
        <v>25</v>
      </c>
      <c r="V78" t="s">
        <v>180</v>
      </c>
      <c r="W78">
        <v>2</v>
      </c>
      <c r="X78">
        <v>50.194012612182988</v>
      </c>
    </row>
    <row r="79" spans="1:24" x14ac:dyDescent="0.25">
      <c r="A79" t="s">
        <v>179</v>
      </c>
      <c r="B79">
        <v>2</v>
      </c>
      <c r="C79">
        <v>73.847509211600311</v>
      </c>
      <c r="E79" t="s">
        <v>47</v>
      </c>
      <c r="F79">
        <v>2</v>
      </c>
      <c r="G79">
        <v>22.5</v>
      </c>
      <c r="I79" t="s">
        <v>71</v>
      </c>
      <c r="J79">
        <v>2</v>
      </c>
      <c r="K79">
        <v>42.5</v>
      </c>
      <c r="M79" t="s">
        <v>64</v>
      </c>
      <c r="N79">
        <v>2</v>
      </c>
      <c r="O79">
        <v>45.383584397796803</v>
      </c>
      <c r="Q79" t="s">
        <v>180</v>
      </c>
      <c r="R79">
        <v>2</v>
      </c>
      <c r="S79">
        <v>25</v>
      </c>
      <c r="V79" t="s">
        <v>97</v>
      </c>
      <c r="W79">
        <v>3</v>
      </c>
      <c r="X79">
        <v>50.12107106132143</v>
      </c>
    </row>
    <row r="80" spans="1:24" x14ac:dyDescent="0.25">
      <c r="A80" t="s">
        <v>215</v>
      </c>
      <c r="B80">
        <v>2</v>
      </c>
      <c r="C80">
        <v>73.847509211600311</v>
      </c>
      <c r="E80" t="s">
        <v>66</v>
      </c>
      <c r="F80">
        <v>2</v>
      </c>
      <c r="G80">
        <v>22.5</v>
      </c>
      <c r="I80" t="s">
        <v>76</v>
      </c>
      <c r="J80">
        <v>2</v>
      </c>
      <c r="K80">
        <v>42.5</v>
      </c>
      <c r="M80" t="s">
        <v>91</v>
      </c>
      <c r="N80">
        <v>2</v>
      </c>
      <c r="O80">
        <v>45.327152550404357</v>
      </c>
      <c r="Q80" t="s">
        <v>199</v>
      </c>
      <c r="R80">
        <v>2</v>
      </c>
      <c r="S80">
        <v>25</v>
      </c>
      <c r="V80" t="s">
        <v>113</v>
      </c>
      <c r="W80">
        <v>2</v>
      </c>
      <c r="X80">
        <v>50.069962824625506</v>
      </c>
    </row>
    <row r="81" spans="1:24" x14ac:dyDescent="0.25">
      <c r="A81" t="s">
        <v>164</v>
      </c>
      <c r="B81">
        <v>2</v>
      </c>
      <c r="C81">
        <v>72.52880368996459</v>
      </c>
      <c r="E81" t="s">
        <v>76</v>
      </c>
      <c r="F81">
        <v>2</v>
      </c>
      <c r="G81">
        <v>22.5</v>
      </c>
      <c r="I81" t="s">
        <v>89</v>
      </c>
      <c r="J81">
        <v>2</v>
      </c>
      <c r="K81">
        <v>42.5</v>
      </c>
      <c r="M81" t="s">
        <v>29</v>
      </c>
      <c r="N81">
        <v>2</v>
      </c>
      <c r="O81">
        <v>45.085782454259032</v>
      </c>
      <c r="Q81" t="s">
        <v>215</v>
      </c>
      <c r="R81">
        <v>2</v>
      </c>
      <c r="S81">
        <v>25</v>
      </c>
      <c r="V81" t="s">
        <v>57</v>
      </c>
      <c r="W81">
        <v>2</v>
      </c>
      <c r="X81">
        <v>50.067992500320365</v>
      </c>
    </row>
    <row r="82" spans="1:24" x14ac:dyDescent="0.25">
      <c r="A82" t="s">
        <v>75</v>
      </c>
      <c r="B82">
        <v>2</v>
      </c>
      <c r="C82">
        <v>71.210098168328869</v>
      </c>
      <c r="E82" t="s">
        <v>80</v>
      </c>
      <c r="F82">
        <v>2</v>
      </c>
      <c r="G82">
        <v>22.5</v>
      </c>
      <c r="I82" t="s">
        <v>315</v>
      </c>
      <c r="J82">
        <v>2</v>
      </c>
      <c r="K82">
        <v>42.5</v>
      </c>
      <c r="M82" t="s">
        <v>79</v>
      </c>
      <c r="N82">
        <v>2</v>
      </c>
      <c r="O82">
        <v>44.934060560536622</v>
      </c>
      <c r="Q82" t="s">
        <v>44</v>
      </c>
      <c r="R82">
        <v>2</v>
      </c>
      <c r="S82">
        <v>12.5</v>
      </c>
      <c r="V82" t="s">
        <v>73</v>
      </c>
      <c r="W82">
        <v>2</v>
      </c>
      <c r="X82">
        <v>50.013382779793943</v>
      </c>
    </row>
    <row r="83" spans="1:24" x14ac:dyDescent="0.25">
      <c r="A83" t="s">
        <v>101</v>
      </c>
      <c r="B83">
        <v>2</v>
      </c>
      <c r="C83">
        <v>71.210098168328869</v>
      </c>
      <c r="E83" t="s">
        <v>121</v>
      </c>
      <c r="F83">
        <v>2</v>
      </c>
      <c r="G83">
        <v>22.5</v>
      </c>
      <c r="I83" t="s">
        <v>145</v>
      </c>
      <c r="J83">
        <v>2</v>
      </c>
      <c r="K83">
        <v>42.5</v>
      </c>
      <c r="M83" t="s">
        <v>73</v>
      </c>
      <c r="N83">
        <v>2</v>
      </c>
      <c r="O83">
        <v>44.850616453052517</v>
      </c>
      <c r="Q83" t="s">
        <v>50</v>
      </c>
      <c r="R83">
        <v>2</v>
      </c>
      <c r="S83">
        <v>12.5</v>
      </c>
      <c r="V83" t="s">
        <v>156</v>
      </c>
      <c r="W83">
        <v>3</v>
      </c>
      <c r="X83">
        <v>49.969921703522047</v>
      </c>
    </row>
    <row r="84" spans="1:24" x14ac:dyDescent="0.25">
      <c r="A84" t="s">
        <v>44</v>
      </c>
      <c r="B84">
        <v>2</v>
      </c>
      <c r="C84">
        <v>69.891392646693149</v>
      </c>
      <c r="E84" t="s">
        <v>145</v>
      </c>
      <c r="F84">
        <v>2</v>
      </c>
      <c r="G84">
        <v>22.5</v>
      </c>
      <c r="I84" t="s">
        <v>93</v>
      </c>
      <c r="J84">
        <v>2</v>
      </c>
      <c r="K84">
        <v>41.25</v>
      </c>
      <c r="M84" t="s">
        <v>173</v>
      </c>
      <c r="N84">
        <v>2</v>
      </c>
      <c r="O84">
        <v>44.806039924945452</v>
      </c>
      <c r="Q84" t="s">
        <v>68</v>
      </c>
      <c r="R84">
        <v>2</v>
      </c>
      <c r="S84">
        <v>12.5</v>
      </c>
      <c r="V84" t="s">
        <v>238</v>
      </c>
      <c r="W84">
        <v>3</v>
      </c>
      <c r="X84">
        <v>49.784382773732418</v>
      </c>
    </row>
    <row r="85" spans="1:24" x14ac:dyDescent="0.25">
      <c r="A85" t="s">
        <v>140</v>
      </c>
      <c r="B85">
        <v>2</v>
      </c>
      <c r="C85">
        <v>69.891392646693149</v>
      </c>
      <c r="E85" t="s">
        <v>186</v>
      </c>
      <c r="F85">
        <v>2</v>
      </c>
      <c r="G85">
        <v>22.5</v>
      </c>
      <c r="I85" t="s">
        <v>174</v>
      </c>
      <c r="J85">
        <v>2</v>
      </c>
      <c r="K85">
        <v>41.25</v>
      </c>
      <c r="M85" t="s">
        <v>121</v>
      </c>
      <c r="N85">
        <v>2</v>
      </c>
      <c r="O85">
        <v>44.652314024976697</v>
      </c>
      <c r="Q85" t="s">
        <v>76</v>
      </c>
      <c r="R85">
        <v>2</v>
      </c>
      <c r="S85">
        <v>12.5</v>
      </c>
      <c r="V85" t="s">
        <v>71</v>
      </c>
      <c r="W85">
        <v>2</v>
      </c>
      <c r="X85">
        <v>49.615402828199088</v>
      </c>
    </row>
    <row r="86" spans="1:24" x14ac:dyDescent="0.25">
      <c r="A86" t="s">
        <v>34</v>
      </c>
      <c r="B86">
        <v>2</v>
      </c>
      <c r="C86">
        <v>69.495406356784741</v>
      </c>
      <c r="E86" t="s">
        <v>200</v>
      </c>
      <c r="F86">
        <v>2</v>
      </c>
      <c r="G86">
        <v>22.5</v>
      </c>
      <c r="I86" t="s">
        <v>106</v>
      </c>
      <c r="J86">
        <v>2</v>
      </c>
      <c r="K86">
        <v>35</v>
      </c>
      <c r="M86" t="s">
        <v>122</v>
      </c>
      <c r="N86">
        <v>2</v>
      </c>
      <c r="O86">
        <v>44.597600950918427</v>
      </c>
      <c r="Q86" t="s">
        <v>91</v>
      </c>
      <c r="R86">
        <v>2</v>
      </c>
      <c r="S86">
        <v>12.5</v>
      </c>
      <c r="V86" t="s">
        <v>27</v>
      </c>
      <c r="W86">
        <v>1</v>
      </c>
      <c r="X86">
        <v>49.586829235018023</v>
      </c>
    </row>
    <row r="87" spans="1:24" x14ac:dyDescent="0.25">
      <c r="A87" t="s">
        <v>50</v>
      </c>
      <c r="B87">
        <v>2</v>
      </c>
      <c r="C87">
        <v>69.495406356784741</v>
      </c>
      <c r="E87" t="s">
        <v>50</v>
      </c>
      <c r="F87">
        <v>2</v>
      </c>
      <c r="G87">
        <v>21.25</v>
      </c>
      <c r="I87" t="s">
        <v>112</v>
      </c>
      <c r="J87">
        <v>2</v>
      </c>
      <c r="K87">
        <v>33.75</v>
      </c>
      <c r="M87" t="s">
        <v>113</v>
      </c>
      <c r="N87">
        <v>2</v>
      </c>
      <c r="O87">
        <v>44.538830369220726</v>
      </c>
      <c r="Q87" t="s">
        <v>112</v>
      </c>
      <c r="R87">
        <v>2</v>
      </c>
      <c r="S87">
        <v>12.5</v>
      </c>
      <c r="V87" t="s">
        <v>129</v>
      </c>
      <c r="W87">
        <v>3</v>
      </c>
      <c r="X87">
        <v>49.513414093691537</v>
      </c>
    </row>
    <row r="88" spans="1:24" x14ac:dyDescent="0.25">
      <c r="A88" t="s">
        <v>122</v>
      </c>
      <c r="B88">
        <v>2</v>
      </c>
      <c r="C88">
        <v>68.572687125057442</v>
      </c>
      <c r="E88" t="s">
        <v>178</v>
      </c>
      <c r="F88">
        <v>2</v>
      </c>
      <c r="G88">
        <v>18.75</v>
      </c>
      <c r="I88" t="s">
        <v>121</v>
      </c>
      <c r="J88">
        <v>2</v>
      </c>
      <c r="K88">
        <v>33.75</v>
      </c>
      <c r="M88" t="s">
        <v>145</v>
      </c>
      <c r="N88">
        <v>2</v>
      </c>
      <c r="O88">
        <v>44.313946926447947</v>
      </c>
      <c r="Q88" t="s">
        <v>117</v>
      </c>
      <c r="R88">
        <v>2</v>
      </c>
      <c r="S88">
        <v>12.5</v>
      </c>
      <c r="V88" t="s">
        <v>151</v>
      </c>
      <c r="W88">
        <v>2</v>
      </c>
      <c r="X88">
        <v>49.337149101113042</v>
      </c>
    </row>
    <row r="89" spans="1:24" x14ac:dyDescent="0.25">
      <c r="A89" t="s">
        <v>138</v>
      </c>
      <c r="B89">
        <v>2</v>
      </c>
      <c r="C89">
        <v>67.253981603421721</v>
      </c>
      <c r="E89" t="s">
        <v>89</v>
      </c>
      <c r="F89">
        <v>2</v>
      </c>
      <c r="G89">
        <v>17.5</v>
      </c>
      <c r="I89" t="s">
        <v>125</v>
      </c>
      <c r="J89">
        <v>2</v>
      </c>
      <c r="K89">
        <v>33.75</v>
      </c>
      <c r="M89" t="s">
        <v>47</v>
      </c>
      <c r="N89">
        <v>2</v>
      </c>
      <c r="O89">
        <v>43.613986563736397</v>
      </c>
      <c r="Q89" t="s">
        <v>121</v>
      </c>
      <c r="R89">
        <v>2</v>
      </c>
      <c r="S89">
        <v>12.5</v>
      </c>
      <c r="V89" t="s">
        <v>135</v>
      </c>
      <c r="W89">
        <v>3</v>
      </c>
      <c r="X89">
        <v>49.242465155814671</v>
      </c>
    </row>
    <row r="90" spans="1:24" x14ac:dyDescent="0.25">
      <c r="A90" t="s">
        <v>315</v>
      </c>
      <c r="B90">
        <v>2</v>
      </c>
      <c r="C90">
        <v>67.253981603421721</v>
      </c>
      <c r="E90" t="s">
        <v>93</v>
      </c>
      <c r="F90">
        <v>2</v>
      </c>
      <c r="G90">
        <v>16.25</v>
      </c>
      <c r="I90" t="s">
        <v>137</v>
      </c>
      <c r="J90">
        <v>2</v>
      </c>
      <c r="K90">
        <v>33.75</v>
      </c>
      <c r="M90" t="s">
        <v>83</v>
      </c>
      <c r="N90">
        <v>2</v>
      </c>
      <c r="O90">
        <v>42.624461533712505</v>
      </c>
      <c r="Q90" t="s">
        <v>122</v>
      </c>
      <c r="R90">
        <v>2</v>
      </c>
      <c r="S90">
        <v>12.5</v>
      </c>
      <c r="V90" t="s">
        <v>58</v>
      </c>
      <c r="W90">
        <v>1</v>
      </c>
      <c r="X90">
        <v>49.185543790012836</v>
      </c>
    </row>
    <row r="91" spans="1:24" x14ac:dyDescent="0.25">
      <c r="A91" t="s">
        <v>199</v>
      </c>
      <c r="B91">
        <v>2</v>
      </c>
      <c r="C91">
        <v>67.253981603421721</v>
      </c>
      <c r="E91" t="s">
        <v>112</v>
      </c>
      <c r="F91">
        <v>2</v>
      </c>
      <c r="G91">
        <v>16.25</v>
      </c>
      <c r="I91" t="s">
        <v>138</v>
      </c>
      <c r="J91">
        <v>2</v>
      </c>
      <c r="K91">
        <v>33.75</v>
      </c>
      <c r="M91" t="s">
        <v>124</v>
      </c>
      <c r="N91">
        <v>2</v>
      </c>
      <c r="O91">
        <v>42.371734605793272</v>
      </c>
      <c r="Q91" t="s">
        <v>138</v>
      </c>
      <c r="R91">
        <v>2</v>
      </c>
      <c r="S91">
        <v>12.5</v>
      </c>
      <c r="V91" t="s">
        <v>258</v>
      </c>
      <c r="W91">
        <v>4</v>
      </c>
      <c r="X91">
        <v>48.951762340414888</v>
      </c>
    </row>
    <row r="92" spans="1:24" x14ac:dyDescent="0.25">
      <c r="A92" t="s">
        <v>98</v>
      </c>
      <c r="B92">
        <v>2</v>
      </c>
      <c r="C92">
        <v>65.935276081786</v>
      </c>
      <c r="E92" t="s">
        <v>125</v>
      </c>
      <c r="F92">
        <v>2</v>
      </c>
      <c r="G92">
        <v>16.25</v>
      </c>
      <c r="I92" t="s">
        <v>34</v>
      </c>
      <c r="J92">
        <v>2</v>
      </c>
      <c r="K92">
        <v>32.5</v>
      </c>
      <c r="M92" t="s">
        <v>115</v>
      </c>
      <c r="N92">
        <v>2</v>
      </c>
      <c r="O92">
        <v>42.195305565874186</v>
      </c>
      <c r="Q92" t="s">
        <v>164</v>
      </c>
      <c r="R92">
        <v>2</v>
      </c>
      <c r="S92">
        <v>12.5</v>
      </c>
      <c r="V92" t="s">
        <v>170</v>
      </c>
      <c r="W92">
        <v>3</v>
      </c>
      <c r="X92">
        <v>48.910358746251305</v>
      </c>
    </row>
    <row r="93" spans="1:24" x14ac:dyDescent="0.25">
      <c r="A93" t="s">
        <v>47</v>
      </c>
      <c r="B93">
        <v>2</v>
      </c>
      <c r="C93">
        <v>65.851838558279042</v>
      </c>
      <c r="E93" t="s">
        <v>131</v>
      </c>
      <c r="F93">
        <v>2</v>
      </c>
      <c r="G93">
        <v>16.25</v>
      </c>
      <c r="I93" t="s">
        <v>44</v>
      </c>
      <c r="J93">
        <v>2</v>
      </c>
      <c r="K93">
        <v>26.25</v>
      </c>
      <c r="M93" t="s">
        <v>194</v>
      </c>
      <c r="N93">
        <v>2</v>
      </c>
      <c r="O93">
        <v>41.622941315738466</v>
      </c>
      <c r="Q93" t="s">
        <v>186</v>
      </c>
      <c r="R93">
        <v>2</v>
      </c>
      <c r="S93">
        <v>12.5</v>
      </c>
      <c r="V93" t="s">
        <v>199</v>
      </c>
      <c r="W93">
        <v>2</v>
      </c>
      <c r="X93">
        <v>48.902003219728968</v>
      </c>
    </row>
    <row r="94" spans="1:24" x14ac:dyDescent="0.25">
      <c r="A94" t="s">
        <v>194</v>
      </c>
      <c r="B94">
        <v>2</v>
      </c>
      <c r="C94">
        <v>63.297865038514558</v>
      </c>
      <c r="E94" t="s">
        <v>314</v>
      </c>
      <c r="F94">
        <v>2</v>
      </c>
      <c r="G94">
        <v>15</v>
      </c>
      <c r="I94" t="s">
        <v>74</v>
      </c>
      <c r="J94">
        <v>2</v>
      </c>
      <c r="K94">
        <v>26.25</v>
      </c>
      <c r="M94" t="s">
        <v>111</v>
      </c>
      <c r="N94">
        <v>2</v>
      </c>
      <c r="O94">
        <v>40.957003626345227</v>
      </c>
      <c r="Q94" t="s">
        <v>200</v>
      </c>
      <c r="R94">
        <v>2</v>
      </c>
      <c r="S94">
        <v>12.5</v>
      </c>
      <c r="V94" t="s">
        <v>177</v>
      </c>
      <c r="W94">
        <v>3</v>
      </c>
      <c r="X94">
        <v>48.713356804704446</v>
      </c>
    </row>
    <row r="95" spans="1:24" x14ac:dyDescent="0.25">
      <c r="A95" t="s">
        <v>216</v>
      </c>
      <c r="B95">
        <v>2</v>
      </c>
      <c r="C95">
        <v>63.297865038514558</v>
      </c>
      <c r="E95" t="s">
        <v>34</v>
      </c>
      <c r="F95">
        <v>2</v>
      </c>
      <c r="G95">
        <v>12.5</v>
      </c>
      <c r="I95" t="s">
        <v>115</v>
      </c>
      <c r="J95">
        <v>2</v>
      </c>
      <c r="K95">
        <v>26.25</v>
      </c>
      <c r="M95" t="s">
        <v>245</v>
      </c>
      <c r="N95">
        <v>2</v>
      </c>
      <c r="O95">
        <v>40.669674290168253</v>
      </c>
      <c r="Q95" t="s">
        <v>245</v>
      </c>
      <c r="R95">
        <v>2</v>
      </c>
      <c r="S95">
        <v>12.5</v>
      </c>
      <c r="V95" t="s">
        <v>139</v>
      </c>
      <c r="W95">
        <v>3</v>
      </c>
      <c r="X95">
        <v>48.709469044885594</v>
      </c>
    </row>
    <row r="96" spans="1:24" x14ac:dyDescent="0.25">
      <c r="A96" t="s">
        <v>91</v>
      </c>
      <c r="B96">
        <v>2</v>
      </c>
      <c r="C96">
        <v>59.341748473607396</v>
      </c>
      <c r="E96" t="s">
        <v>101</v>
      </c>
      <c r="F96">
        <v>2</v>
      </c>
      <c r="G96">
        <v>12.5</v>
      </c>
      <c r="I96" t="s">
        <v>186</v>
      </c>
      <c r="J96">
        <v>2</v>
      </c>
      <c r="K96">
        <v>26.25</v>
      </c>
      <c r="M96" t="s">
        <v>215</v>
      </c>
      <c r="N96">
        <v>2</v>
      </c>
      <c r="O96">
        <v>40.474259222176585</v>
      </c>
      <c r="Q96" t="s">
        <v>52</v>
      </c>
      <c r="R96">
        <v>2</v>
      </c>
      <c r="S96">
        <v>0</v>
      </c>
      <c r="V96" t="s">
        <v>38</v>
      </c>
      <c r="W96">
        <v>1</v>
      </c>
      <c r="X96">
        <v>48.54110683952625</v>
      </c>
    </row>
    <row r="97" spans="1:24" x14ac:dyDescent="0.25">
      <c r="A97" t="s">
        <v>186</v>
      </c>
      <c r="B97">
        <v>2</v>
      </c>
      <c r="C97">
        <v>55.385631908700233</v>
      </c>
      <c r="E97" t="s">
        <v>56</v>
      </c>
      <c r="F97">
        <v>2</v>
      </c>
      <c r="G97">
        <v>10</v>
      </c>
      <c r="I97" t="s">
        <v>101</v>
      </c>
      <c r="J97">
        <v>2</v>
      </c>
      <c r="K97">
        <v>17.5</v>
      </c>
      <c r="M97" t="s">
        <v>131</v>
      </c>
      <c r="N97">
        <v>2</v>
      </c>
      <c r="O97">
        <v>40.464864547669542</v>
      </c>
      <c r="Q97" t="s">
        <v>74</v>
      </c>
      <c r="R97">
        <v>2</v>
      </c>
      <c r="S97">
        <v>0</v>
      </c>
      <c r="V97" t="s">
        <v>22</v>
      </c>
      <c r="W97">
        <v>1</v>
      </c>
      <c r="X97">
        <v>48.490526703528744</v>
      </c>
    </row>
    <row r="98" spans="1:24" x14ac:dyDescent="0.25">
      <c r="A98" t="s">
        <v>151</v>
      </c>
      <c r="B98">
        <v>2</v>
      </c>
      <c r="C98">
        <v>54.06692638706452</v>
      </c>
      <c r="E98" t="s">
        <v>63</v>
      </c>
      <c r="F98">
        <v>2</v>
      </c>
      <c r="G98">
        <v>10</v>
      </c>
      <c r="I98" t="s">
        <v>122</v>
      </c>
      <c r="J98">
        <v>2</v>
      </c>
      <c r="K98">
        <v>17.5</v>
      </c>
      <c r="M98" t="s">
        <v>98</v>
      </c>
      <c r="N98">
        <v>2</v>
      </c>
      <c r="O98">
        <v>40.227159405743443</v>
      </c>
      <c r="Q98" t="s">
        <v>75</v>
      </c>
      <c r="R98">
        <v>2</v>
      </c>
      <c r="S98">
        <v>0</v>
      </c>
      <c r="V98" t="s">
        <v>30</v>
      </c>
      <c r="W98">
        <v>1</v>
      </c>
      <c r="X98">
        <v>48.301191833798384</v>
      </c>
    </row>
    <row r="99" spans="1:24" x14ac:dyDescent="0.25">
      <c r="A99" t="s">
        <v>80</v>
      </c>
      <c r="B99">
        <v>2</v>
      </c>
      <c r="C99">
        <v>36.923754605800156</v>
      </c>
      <c r="E99" t="s">
        <v>74</v>
      </c>
      <c r="F99">
        <v>2</v>
      </c>
      <c r="G99">
        <v>10</v>
      </c>
      <c r="I99" t="s">
        <v>140</v>
      </c>
      <c r="J99">
        <v>2</v>
      </c>
      <c r="K99">
        <v>17.5</v>
      </c>
      <c r="M99" t="s">
        <v>137</v>
      </c>
      <c r="N99">
        <v>2</v>
      </c>
      <c r="O99">
        <v>39.722260245116082</v>
      </c>
      <c r="Q99" t="s">
        <v>314</v>
      </c>
      <c r="R99">
        <v>2</v>
      </c>
      <c r="S99">
        <v>0</v>
      </c>
      <c r="V99" t="s">
        <v>183</v>
      </c>
      <c r="W99">
        <v>3</v>
      </c>
      <c r="X99">
        <v>48.262711380264911</v>
      </c>
    </row>
    <row r="100" spans="1:24" x14ac:dyDescent="0.25">
      <c r="A100" s="2" t="s">
        <v>312</v>
      </c>
      <c r="B100" s="2">
        <v>2</v>
      </c>
      <c r="C100">
        <v>27.692815954350117</v>
      </c>
      <c r="E100" t="s">
        <v>140</v>
      </c>
      <c r="F100">
        <v>2</v>
      </c>
      <c r="G100">
        <v>10</v>
      </c>
      <c r="I100" t="s">
        <v>164</v>
      </c>
      <c r="J100">
        <v>2</v>
      </c>
      <c r="K100">
        <v>8.75</v>
      </c>
      <c r="M100" t="s">
        <v>76</v>
      </c>
      <c r="N100">
        <v>2</v>
      </c>
      <c r="O100">
        <v>39.067921353835835</v>
      </c>
      <c r="Q100" t="s">
        <v>140</v>
      </c>
      <c r="R100">
        <v>2</v>
      </c>
      <c r="S100">
        <v>0</v>
      </c>
      <c r="V100" t="s">
        <v>141</v>
      </c>
      <c r="W100">
        <v>4</v>
      </c>
      <c r="X100">
        <v>48.212456286379691</v>
      </c>
    </row>
    <row r="101" spans="1:24" x14ac:dyDescent="0.25">
      <c r="A101" t="s">
        <v>63</v>
      </c>
      <c r="B101">
        <v>2</v>
      </c>
      <c r="C101">
        <v>22.417993867807237</v>
      </c>
      <c r="E101" t="s">
        <v>164</v>
      </c>
      <c r="F101">
        <v>2</v>
      </c>
      <c r="G101">
        <v>10</v>
      </c>
      <c r="I101" t="s">
        <v>194</v>
      </c>
      <c r="J101">
        <v>2</v>
      </c>
      <c r="K101">
        <v>8.75</v>
      </c>
      <c r="M101" t="s">
        <v>216</v>
      </c>
      <c r="N101">
        <v>2</v>
      </c>
      <c r="O101">
        <v>37.076580959701538</v>
      </c>
      <c r="Q101" t="s">
        <v>145</v>
      </c>
      <c r="R101">
        <v>2</v>
      </c>
      <c r="S101">
        <v>0</v>
      </c>
      <c r="V101" t="s">
        <v>81</v>
      </c>
      <c r="W101">
        <v>3</v>
      </c>
      <c r="X101">
        <v>48.199930174692724</v>
      </c>
    </row>
    <row r="102" spans="1:24" x14ac:dyDescent="0.25">
      <c r="A102" t="s">
        <v>74</v>
      </c>
      <c r="B102">
        <v>2</v>
      </c>
      <c r="C102">
        <v>13.1870552163572</v>
      </c>
      <c r="E102" t="s">
        <v>194</v>
      </c>
      <c r="F102">
        <v>2</v>
      </c>
      <c r="G102">
        <v>10</v>
      </c>
      <c r="I102" t="s">
        <v>200</v>
      </c>
      <c r="J102">
        <v>2</v>
      </c>
      <c r="K102">
        <v>8.75</v>
      </c>
      <c r="M102" t="s">
        <v>84</v>
      </c>
      <c r="N102">
        <v>2</v>
      </c>
      <c r="O102">
        <v>34.051396211509442</v>
      </c>
      <c r="Q102" t="s">
        <v>194</v>
      </c>
      <c r="R102">
        <v>2</v>
      </c>
      <c r="S102">
        <v>0</v>
      </c>
      <c r="V102" t="s">
        <v>232</v>
      </c>
      <c r="W102">
        <v>3</v>
      </c>
      <c r="X102">
        <v>48.17984267858057</v>
      </c>
    </row>
    <row r="103" spans="1:24" x14ac:dyDescent="0.25">
      <c r="A103" t="s">
        <v>62</v>
      </c>
      <c r="B103">
        <v>3</v>
      </c>
      <c r="C103">
        <v>98.902914122678993</v>
      </c>
      <c r="E103" t="s">
        <v>61</v>
      </c>
      <c r="F103">
        <v>3</v>
      </c>
      <c r="G103">
        <v>71.25</v>
      </c>
      <c r="I103" t="s">
        <v>269</v>
      </c>
      <c r="J103">
        <v>3</v>
      </c>
      <c r="K103">
        <v>100</v>
      </c>
      <c r="M103" t="s">
        <v>41</v>
      </c>
      <c r="N103">
        <v>3</v>
      </c>
      <c r="O103">
        <v>63.717928864980429</v>
      </c>
      <c r="Q103" t="s">
        <v>162</v>
      </c>
      <c r="R103">
        <v>3</v>
      </c>
      <c r="S103">
        <v>75</v>
      </c>
      <c r="V103" t="s">
        <v>172</v>
      </c>
      <c r="W103">
        <v>3</v>
      </c>
      <c r="X103">
        <v>48.127663169678286</v>
      </c>
    </row>
    <row r="104" spans="1:24" x14ac:dyDescent="0.25">
      <c r="A104" t="s">
        <v>69</v>
      </c>
      <c r="B104">
        <v>3</v>
      </c>
      <c r="C104">
        <v>98.902914122678993</v>
      </c>
      <c r="E104" t="s">
        <v>162</v>
      </c>
      <c r="F104">
        <v>3</v>
      </c>
      <c r="G104">
        <v>66.25</v>
      </c>
      <c r="I104" t="s">
        <v>104</v>
      </c>
      <c r="J104">
        <v>3</v>
      </c>
      <c r="K104">
        <v>91.25</v>
      </c>
      <c r="M104" t="s">
        <v>161</v>
      </c>
      <c r="N104">
        <v>3</v>
      </c>
      <c r="O104">
        <v>60.13342312790548</v>
      </c>
      <c r="Q104" t="s">
        <v>69</v>
      </c>
      <c r="R104">
        <v>3</v>
      </c>
      <c r="S104">
        <v>62.5</v>
      </c>
      <c r="V104" t="s">
        <v>233</v>
      </c>
      <c r="W104">
        <v>3</v>
      </c>
      <c r="X104">
        <v>48.076453453574075</v>
      </c>
    </row>
    <row r="105" spans="1:24" x14ac:dyDescent="0.25">
      <c r="A105" t="s">
        <v>254</v>
      </c>
      <c r="B105">
        <v>3</v>
      </c>
      <c r="C105">
        <v>98.902914122678993</v>
      </c>
      <c r="E105" t="s">
        <v>69</v>
      </c>
      <c r="F105">
        <v>3</v>
      </c>
      <c r="G105">
        <v>63.75</v>
      </c>
      <c r="I105" t="s">
        <v>172</v>
      </c>
      <c r="J105">
        <v>3</v>
      </c>
      <c r="K105">
        <v>91.25</v>
      </c>
      <c r="M105" t="s">
        <v>87</v>
      </c>
      <c r="N105">
        <v>3</v>
      </c>
      <c r="O105">
        <v>57.998166198844594</v>
      </c>
      <c r="Q105" t="s">
        <v>107</v>
      </c>
      <c r="R105">
        <v>3</v>
      </c>
      <c r="S105">
        <v>62.5</v>
      </c>
      <c r="V105" s="2" t="s">
        <v>313</v>
      </c>
      <c r="W105" s="2">
        <v>3</v>
      </c>
      <c r="X105">
        <v>47.794168617689607</v>
      </c>
    </row>
    <row r="106" spans="1:24" x14ac:dyDescent="0.25">
      <c r="A106" t="s">
        <v>61</v>
      </c>
      <c r="B106">
        <v>3</v>
      </c>
      <c r="C106">
        <v>96.265503079407551</v>
      </c>
      <c r="E106" t="s">
        <v>184</v>
      </c>
      <c r="F106">
        <v>3</v>
      </c>
      <c r="G106">
        <v>62.5</v>
      </c>
      <c r="I106" t="s">
        <v>185</v>
      </c>
      <c r="J106">
        <v>3</v>
      </c>
      <c r="K106">
        <v>91.25</v>
      </c>
      <c r="M106" t="s">
        <v>72</v>
      </c>
      <c r="N106">
        <v>3</v>
      </c>
      <c r="O106">
        <v>57.788433373654833</v>
      </c>
      <c r="Q106" t="s">
        <v>136</v>
      </c>
      <c r="R106">
        <v>3</v>
      </c>
      <c r="S106">
        <v>62.5</v>
      </c>
      <c r="V106" t="s">
        <v>315</v>
      </c>
      <c r="W106">
        <v>2</v>
      </c>
      <c r="X106">
        <v>47.789649861965842</v>
      </c>
    </row>
    <row r="107" spans="1:24" x14ac:dyDescent="0.25">
      <c r="A107" t="s">
        <v>92</v>
      </c>
      <c r="B107">
        <v>3</v>
      </c>
      <c r="C107">
        <v>96.265503079407551</v>
      </c>
      <c r="E107" t="s">
        <v>269</v>
      </c>
      <c r="F107">
        <v>3</v>
      </c>
      <c r="G107">
        <v>62.5</v>
      </c>
      <c r="I107" t="s">
        <v>233</v>
      </c>
      <c r="J107">
        <v>3</v>
      </c>
      <c r="K107">
        <v>91.25</v>
      </c>
      <c r="M107" t="s">
        <v>316</v>
      </c>
      <c r="N107">
        <v>3</v>
      </c>
      <c r="O107">
        <v>57.249583599340617</v>
      </c>
      <c r="Q107" t="s">
        <v>177</v>
      </c>
      <c r="R107">
        <v>3</v>
      </c>
      <c r="S107">
        <v>62.5</v>
      </c>
      <c r="V107" t="s">
        <v>316</v>
      </c>
      <c r="W107">
        <v>3</v>
      </c>
      <c r="X107">
        <v>47.724299699364892</v>
      </c>
    </row>
    <row r="108" spans="1:24" x14ac:dyDescent="0.25">
      <c r="A108" s="2" t="s">
        <v>313</v>
      </c>
      <c r="B108" s="2">
        <v>3</v>
      </c>
      <c r="C108">
        <v>96.265503079407551</v>
      </c>
      <c r="E108" t="s">
        <v>104</v>
      </c>
      <c r="F108">
        <v>3</v>
      </c>
      <c r="G108">
        <v>58.75</v>
      </c>
      <c r="I108" t="s">
        <v>236</v>
      </c>
      <c r="J108">
        <v>3</v>
      </c>
      <c r="K108">
        <v>91.25</v>
      </c>
      <c r="M108" t="s">
        <v>96</v>
      </c>
      <c r="N108">
        <v>3</v>
      </c>
      <c r="O108">
        <v>57.230977588325416</v>
      </c>
      <c r="Q108" t="s">
        <v>269</v>
      </c>
      <c r="R108">
        <v>3</v>
      </c>
      <c r="S108">
        <v>62.5</v>
      </c>
      <c r="V108" t="s">
        <v>246</v>
      </c>
      <c r="W108">
        <v>4</v>
      </c>
      <c r="X108">
        <v>47.648628540857992</v>
      </c>
    </row>
    <row r="109" spans="1:24" x14ac:dyDescent="0.25">
      <c r="A109" t="s">
        <v>181</v>
      </c>
      <c r="B109">
        <v>3</v>
      </c>
      <c r="C109">
        <v>96.265503079407551</v>
      </c>
      <c r="E109" t="s">
        <v>163</v>
      </c>
      <c r="F109">
        <v>3</v>
      </c>
      <c r="G109">
        <v>58.75</v>
      </c>
      <c r="I109" t="s">
        <v>53</v>
      </c>
      <c r="J109">
        <v>3</v>
      </c>
      <c r="K109">
        <v>83.75</v>
      </c>
      <c r="M109" t="s">
        <v>88</v>
      </c>
      <c r="N109">
        <v>3</v>
      </c>
      <c r="O109">
        <v>56.958960196936552</v>
      </c>
      <c r="Q109" t="s">
        <v>53</v>
      </c>
      <c r="R109">
        <v>3</v>
      </c>
      <c r="S109">
        <v>50</v>
      </c>
      <c r="V109" t="s">
        <v>160</v>
      </c>
      <c r="W109">
        <v>4</v>
      </c>
      <c r="X109">
        <v>47.598301020814063</v>
      </c>
    </row>
    <row r="110" spans="1:24" x14ac:dyDescent="0.25">
      <c r="A110" t="s">
        <v>185</v>
      </c>
      <c r="B110">
        <v>3</v>
      </c>
      <c r="C110">
        <v>96.265503079407551</v>
      </c>
      <c r="E110" t="s">
        <v>172</v>
      </c>
      <c r="F110">
        <v>3</v>
      </c>
      <c r="G110">
        <v>57.5</v>
      </c>
      <c r="I110" t="s">
        <v>69</v>
      </c>
      <c r="J110">
        <v>3</v>
      </c>
      <c r="K110">
        <v>83.75</v>
      </c>
      <c r="M110" t="s">
        <v>135</v>
      </c>
      <c r="N110">
        <v>3</v>
      </c>
      <c r="O110">
        <v>56.742027914740042</v>
      </c>
      <c r="Q110" t="s">
        <v>95</v>
      </c>
      <c r="R110">
        <v>3</v>
      </c>
      <c r="S110">
        <v>50</v>
      </c>
      <c r="V110" t="s">
        <v>108</v>
      </c>
      <c r="W110">
        <v>3</v>
      </c>
      <c r="X110">
        <v>47.573625519592497</v>
      </c>
    </row>
    <row r="111" spans="1:24" x14ac:dyDescent="0.25">
      <c r="A111" t="s">
        <v>193</v>
      </c>
      <c r="B111">
        <v>3</v>
      </c>
      <c r="C111">
        <v>96.265503079407551</v>
      </c>
      <c r="E111" t="s">
        <v>88</v>
      </c>
      <c r="F111">
        <v>3</v>
      </c>
      <c r="G111">
        <v>53.75</v>
      </c>
      <c r="I111" t="s">
        <v>110</v>
      </c>
      <c r="J111">
        <v>3</v>
      </c>
      <c r="K111">
        <v>83.75</v>
      </c>
      <c r="M111" t="s">
        <v>116</v>
      </c>
      <c r="N111">
        <v>3</v>
      </c>
      <c r="O111">
        <v>56.393967595905302</v>
      </c>
      <c r="Q111" t="s">
        <v>100</v>
      </c>
      <c r="R111">
        <v>3</v>
      </c>
      <c r="S111">
        <v>50</v>
      </c>
      <c r="V111" t="s">
        <v>311</v>
      </c>
      <c r="W111">
        <v>3</v>
      </c>
      <c r="X111">
        <v>47.509662828314362</v>
      </c>
    </row>
    <row r="112" spans="1:24" x14ac:dyDescent="0.25">
      <c r="A112" t="s">
        <v>230</v>
      </c>
      <c r="B112">
        <v>3</v>
      </c>
      <c r="C112">
        <v>96.265503079407551</v>
      </c>
      <c r="E112" t="s">
        <v>136</v>
      </c>
      <c r="F112">
        <v>3</v>
      </c>
      <c r="G112">
        <v>53.75</v>
      </c>
      <c r="I112" t="s">
        <v>162</v>
      </c>
      <c r="J112">
        <v>3</v>
      </c>
      <c r="K112">
        <v>83.75</v>
      </c>
      <c r="M112" t="s">
        <v>92</v>
      </c>
      <c r="N112">
        <v>3</v>
      </c>
      <c r="O112">
        <v>56.069560933775961</v>
      </c>
      <c r="Q112" t="s">
        <v>139</v>
      </c>
      <c r="R112">
        <v>3</v>
      </c>
      <c r="S112">
        <v>50</v>
      </c>
      <c r="V112" t="s">
        <v>84</v>
      </c>
      <c r="W112">
        <v>2</v>
      </c>
      <c r="X112">
        <v>47.499989161540995</v>
      </c>
    </row>
    <row r="113" spans="1:24" x14ac:dyDescent="0.25">
      <c r="A113" t="s">
        <v>321</v>
      </c>
      <c r="B113">
        <v>3</v>
      </c>
      <c r="C113">
        <v>96.265503079407551</v>
      </c>
      <c r="E113" t="s">
        <v>139</v>
      </c>
      <c r="F113">
        <v>3</v>
      </c>
      <c r="G113">
        <v>53.75</v>
      </c>
      <c r="I113" t="s">
        <v>165</v>
      </c>
      <c r="J113">
        <v>3</v>
      </c>
      <c r="K113">
        <v>83.75</v>
      </c>
      <c r="M113" t="s">
        <v>53</v>
      </c>
      <c r="N113">
        <v>3</v>
      </c>
      <c r="O113">
        <v>55.861875002700231</v>
      </c>
      <c r="Q113" t="s">
        <v>149</v>
      </c>
      <c r="R113">
        <v>3</v>
      </c>
      <c r="S113">
        <v>50</v>
      </c>
      <c r="V113" t="s">
        <v>137</v>
      </c>
      <c r="W113">
        <v>2</v>
      </c>
      <c r="X113">
        <v>47.488192444217951</v>
      </c>
    </row>
    <row r="114" spans="1:24" x14ac:dyDescent="0.25">
      <c r="A114" t="s">
        <v>81</v>
      </c>
      <c r="B114">
        <v>3</v>
      </c>
      <c r="C114">
        <v>94.946797557771831</v>
      </c>
      <c r="E114" t="s">
        <v>170</v>
      </c>
      <c r="F114">
        <v>3</v>
      </c>
      <c r="G114">
        <v>53.75</v>
      </c>
      <c r="I114" t="s">
        <v>61</v>
      </c>
      <c r="J114">
        <v>3</v>
      </c>
      <c r="K114">
        <v>82.5</v>
      </c>
      <c r="M114" t="s">
        <v>108</v>
      </c>
      <c r="N114">
        <v>3</v>
      </c>
      <c r="O114">
        <v>55.722631279723956</v>
      </c>
      <c r="Q114" t="s">
        <v>154</v>
      </c>
      <c r="R114">
        <v>3</v>
      </c>
      <c r="S114">
        <v>50</v>
      </c>
      <c r="V114" t="s">
        <v>309</v>
      </c>
      <c r="W114">
        <v>2</v>
      </c>
      <c r="X114">
        <v>47.462380875582255</v>
      </c>
    </row>
    <row r="115" spans="1:24" x14ac:dyDescent="0.25">
      <c r="A115" t="s">
        <v>95</v>
      </c>
      <c r="B115">
        <v>3</v>
      </c>
      <c r="C115">
        <v>94.946797557771831</v>
      </c>
      <c r="E115" t="s">
        <v>108</v>
      </c>
      <c r="F115">
        <v>3</v>
      </c>
      <c r="G115">
        <v>47.5</v>
      </c>
      <c r="I115" t="s">
        <v>41</v>
      </c>
      <c r="J115">
        <v>3</v>
      </c>
      <c r="K115">
        <v>75</v>
      </c>
      <c r="M115" t="s">
        <v>134</v>
      </c>
      <c r="N115">
        <v>3</v>
      </c>
      <c r="O115">
        <v>55.368922244080075</v>
      </c>
      <c r="Q115" t="s">
        <v>172</v>
      </c>
      <c r="R115">
        <v>3</v>
      </c>
      <c r="S115">
        <v>50</v>
      </c>
      <c r="V115" t="s">
        <v>206</v>
      </c>
      <c r="W115">
        <v>3</v>
      </c>
      <c r="X115">
        <v>47.283506240988473</v>
      </c>
    </row>
    <row r="116" spans="1:24" x14ac:dyDescent="0.25">
      <c r="A116" t="s">
        <v>109</v>
      </c>
      <c r="B116">
        <v>3</v>
      </c>
      <c r="C116">
        <v>92.309386514500389</v>
      </c>
      <c r="E116" t="s">
        <v>129</v>
      </c>
      <c r="F116">
        <v>3</v>
      </c>
      <c r="G116">
        <v>47.5</v>
      </c>
      <c r="I116" t="s">
        <v>62</v>
      </c>
      <c r="J116">
        <v>3</v>
      </c>
      <c r="K116">
        <v>75</v>
      </c>
      <c r="M116" t="s">
        <v>232</v>
      </c>
      <c r="N116">
        <v>3</v>
      </c>
      <c r="O116">
        <v>55.260115894740544</v>
      </c>
      <c r="Q116" t="s">
        <v>184</v>
      </c>
      <c r="R116">
        <v>3</v>
      </c>
      <c r="S116">
        <v>50</v>
      </c>
      <c r="V116" t="s">
        <v>174</v>
      </c>
      <c r="W116">
        <v>2</v>
      </c>
      <c r="X116">
        <v>47.171520548145082</v>
      </c>
    </row>
    <row r="117" spans="1:24" x14ac:dyDescent="0.25">
      <c r="A117" t="s">
        <v>88</v>
      </c>
      <c r="B117">
        <v>3</v>
      </c>
      <c r="C117">
        <v>89.671975471228947</v>
      </c>
      <c r="E117" t="s">
        <v>193</v>
      </c>
      <c r="F117">
        <v>3</v>
      </c>
      <c r="G117">
        <v>47.5</v>
      </c>
      <c r="I117" t="s">
        <v>311</v>
      </c>
      <c r="J117">
        <v>3</v>
      </c>
      <c r="K117">
        <v>75</v>
      </c>
      <c r="M117" t="s">
        <v>182</v>
      </c>
      <c r="N117">
        <v>3</v>
      </c>
      <c r="O117">
        <v>54.813215010082139</v>
      </c>
      <c r="Q117" t="s">
        <v>185</v>
      </c>
      <c r="R117">
        <v>3</v>
      </c>
      <c r="S117">
        <v>50</v>
      </c>
      <c r="V117" t="s">
        <v>32</v>
      </c>
      <c r="W117">
        <v>1</v>
      </c>
      <c r="X117">
        <v>47.076757186194321</v>
      </c>
    </row>
    <row r="118" spans="1:24" x14ac:dyDescent="0.25">
      <c r="A118" t="s">
        <v>99</v>
      </c>
      <c r="B118">
        <v>3</v>
      </c>
      <c r="C118">
        <v>89.671975471228947</v>
      </c>
      <c r="E118" t="s">
        <v>228</v>
      </c>
      <c r="F118">
        <v>3</v>
      </c>
      <c r="G118">
        <v>47.5</v>
      </c>
      <c r="I118" t="s">
        <v>88</v>
      </c>
      <c r="J118">
        <v>3</v>
      </c>
      <c r="K118">
        <v>75</v>
      </c>
      <c r="M118" t="s">
        <v>82</v>
      </c>
      <c r="N118">
        <v>3</v>
      </c>
      <c r="O118">
        <v>54.597717182575046</v>
      </c>
      <c r="Q118" t="s">
        <v>228</v>
      </c>
      <c r="R118">
        <v>3</v>
      </c>
      <c r="S118">
        <v>50</v>
      </c>
      <c r="V118" t="s">
        <v>298</v>
      </c>
      <c r="W118">
        <v>4</v>
      </c>
      <c r="X118">
        <v>47.057102233357611</v>
      </c>
    </row>
    <row r="119" spans="1:24" x14ac:dyDescent="0.25">
      <c r="A119" t="s">
        <v>107</v>
      </c>
      <c r="B119">
        <v>3</v>
      </c>
      <c r="C119">
        <v>89.671975471228947</v>
      </c>
      <c r="E119" t="s">
        <v>230</v>
      </c>
      <c r="F119">
        <v>3</v>
      </c>
      <c r="G119">
        <v>47.5</v>
      </c>
      <c r="I119" t="s">
        <v>136</v>
      </c>
      <c r="J119">
        <v>3</v>
      </c>
      <c r="K119">
        <v>75</v>
      </c>
      <c r="M119" t="s">
        <v>62</v>
      </c>
      <c r="N119">
        <v>3</v>
      </c>
      <c r="O119">
        <v>54.3599743545008</v>
      </c>
      <c r="Q119" t="s">
        <v>282</v>
      </c>
      <c r="R119">
        <v>3</v>
      </c>
      <c r="S119">
        <v>50</v>
      </c>
      <c r="V119" t="s">
        <v>163</v>
      </c>
      <c r="W119">
        <v>3</v>
      </c>
      <c r="X119">
        <v>47.049809970214028</v>
      </c>
    </row>
    <row r="120" spans="1:24" x14ac:dyDescent="0.25">
      <c r="A120" t="s">
        <v>132</v>
      </c>
      <c r="B120">
        <v>3</v>
      </c>
      <c r="C120">
        <v>89.671975471228947</v>
      </c>
      <c r="E120" t="s">
        <v>232</v>
      </c>
      <c r="F120">
        <v>3</v>
      </c>
      <c r="G120">
        <v>47.5</v>
      </c>
      <c r="I120" t="s">
        <v>156</v>
      </c>
      <c r="J120">
        <v>3</v>
      </c>
      <c r="K120">
        <v>75</v>
      </c>
      <c r="M120" t="s">
        <v>310</v>
      </c>
      <c r="N120">
        <v>3</v>
      </c>
      <c r="O120">
        <v>54.229141341332792</v>
      </c>
      <c r="Q120" t="s">
        <v>41</v>
      </c>
      <c r="R120">
        <v>3</v>
      </c>
      <c r="S120">
        <v>37.5</v>
      </c>
      <c r="V120" t="s">
        <v>297</v>
      </c>
      <c r="W120">
        <v>4</v>
      </c>
      <c r="X120">
        <v>47.01779208222888</v>
      </c>
    </row>
    <row r="121" spans="1:24" x14ac:dyDescent="0.25">
      <c r="A121" t="s">
        <v>142</v>
      </c>
      <c r="B121">
        <v>3</v>
      </c>
      <c r="C121">
        <v>89.671975471228947</v>
      </c>
      <c r="E121" t="s">
        <v>274</v>
      </c>
      <c r="F121">
        <v>3</v>
      </c>
      <c r="G121">
        <v>47.5</v>
      </c>
      <c r="I121" t="s">
        <v>168</v>
      </c>
      <c r="J121">
        <v>3</v>
      </c>
      <c r="K121">
        <v>75</v>
      </c>
      <c r="M121" t="s">
        <v>110</v>
      </c>
      <c r="N121">
        <v>3</v>
      </c>
      <c r="O121">
        <v>53.991842608882088</v>
      </c>
      <c r="Q121" t="s">
        <v>62</v>
      </c>
      <c r="R121">
        <v>3</v>
      </c>
      <c r="S121">
        <v>37.5</v>
      </c>
      <c r="V121" t="s">
        <v>96</v>
      </c>
      <c r="W121">
        <v>3</v>
      </c>
      <c r="X121">
        <v>46.92563398197737</v>
      </c>
    </row>
    <row r="122" spans="1:24" x14ac:dyDescent="0.25">
      <c r="A122" t="s">
        <v>144</v>
      </c>
      <c r="B122">
        <v>3</v>
      </c>
      <c r="C122">
        <v>89.671975471228947</v>
      </c>
      <c r="E122" t="s">
        <v>41</v>
      </c>
      <c r="F122">
        <v>3</v>
      </c>
      <c r="G122">
        <v>46.25</v>
      </c>
      <c r="I122" t="s">
        <v>129</v>
      </c>
      <c r="J122">
        <v>3</v>
      </c>
      <c r="K122">
        <v>73.75</v>
      </c>
      <c r="M122" t="s">
        <v>69</v>
      </c>
      <c r="N122">
        <v>3</v>
      </c>
      <c r="O122">
        <v>53.768870490864899</v>
      </c>
      <c r="Q122" t="s">
        <v>96</v>
      </c>
      <c r="R122">
        <v>3</v>
      </c>
      <c r="S122">
        <v>37.5</v>
      </c>
      <c r="V122" t="s">
        <v>278</v>
      </c>
      <c r="W122">
        <v>4</v>
      </c>
      <c r="X122">
        <v>46.837540587184527</v>
      </c>
    </row>
    <row r="123" spans="1:24" x14ac:dyDescent="0.25">
      <c r="A123" t="s">
        <v>161</v>
      </c>
      <c r="B123">
        <v>3</v>
      </c>
      <c r="C123">
        <v>89.671975471228947</v>
      </c>
      <c r="E123" t="s">
        <v>53</v>
      </c>
      <c r="F123">
        <v>3</v>
      </c>
      <c r="G123">
        <v>46.25</v>
      </c>
      <c r="I123" t="s">
        <v>146</v>
      </c>
      <c r="J123">
        <v>3</v>
      </c>
      <c r="K123">
        <v>73.75</v>
      </c>
      <c r="M123" t="s">
        <v>230</v>
      </c>
      <c r="N123">
        <v>3</v>
      </c>
      <c r="O123">
        <v>53.587049939676682</v>
      </c>
      <c r="Q123" t="s">
        <v>120</v>
      </c>
      <c r="R123">
        <v>3</v>
      </c>
      <c r="S123">
        <v>37.5</v>
      </c>
      <c r="V123" t="s">
        <v>49</v>
      </c>
      <c r="W123">
        <v>1</v>
      </c>
      <c r="X123">
        <v>46.765197944090666</v>
      </c>
    </row>
    <row r="124" spans="1:24" x14ac:dyDescent="0.25">
      <c r="A124" t="s">
        <v>162</v>
      </c>
      <c r="B124">
        <v>3</v>
      </c>
      <c r="C124">
        <v>89.671975471228947</v>
      </c>
      <c r="E124" t="s">
        <v>110</v>
      </c>
      <c r="F124">
        <v>3</v>
      </c>
      <c r="G124">
        <v>46.25</v>
      </c>
      <c r="I124" t="s">
        <v>228</v>
      </c>
      <c r="J124">
        <v>3</v>
      </c>
      <c r="K124">
        <v>73.75</v>
      </c>
      <c r="M124" t="s">
        <v>97</v>
      </c>
      <c r="N124">
        <v>3</v>
      </c>
      <c r="O124">
        <v>53.416600960960544</v>
      </c>
      <c r="Q124" t="s">
        <v>126</v>
      </c>
      <c r="R124">
        <v>3</v>
      </c>
      <c r="S124">
        <v>37.5</v>
      </c>
      <c r="V124" t="s">
        <v>209</v>
      </c>
      <c r="W124">
        <v>4</v>
      </c>
      <c r="X124">
        <v>46.747042838564681</v>
      </c>
    </row>
    <row r="125" spans="1:24" x14ac:dyDescent="0.25">
      <c r="A125" t="s">
        <v>183</v>
      </c>
      <c r="B125">
        <v>3</v>
      </c>
      <c r="C125">
        <v>89.671975471228947</v>
      </c>
      <c r="E125" t="s">
        <v>161</v>
      </c>
      <c r="F125">
        <v>3</v>
      </c>
      <c r="G125">
        <v>46.25</v>
      </c>
      <c r="I125" t="s">
        <v>95</v>
      </c>
      <c r="J125">
        <v>3</v>
      </c>
      <c r="K125">
        <v>67.5</v>
      </c>
      <c r="M125" t="s">
        <v>136</v>
      </c>
      <c r="N125">
        <v>3</v>
      </c>
      <c r="O125">
        <v>53.345673688434296</v>
      </c>
      <c r="Q125" t="s">
        <v>142</v>
      </c>
      <c r="R125">
        <v>3</v>
      </c>
      <c r="S125">
        <v>37.5</v>
      </c>
      <c r="V125" t="s">
        <v>178</v>
      </c>
      <c r="W125">
        <v>2</v>
      </c>
      <c r="X125">
        <v>46.598456558074098</v>
      </c>
    </row>
    <row r="126" spans="1:24" x14ac:dyDescent="0.25">
      <c r="A126" t="s">
        <v>205</v>
      </c>
      <c r="B126">
        <v>3</v>
      </c>
      <c r="C126">
        <v>89.671975471228947</v>
      </c>
      <c r="E126" t="s">
        <v>168</v>
      </c>
      <c r="F126">
        <v>3</v>
      </c>
      <c r="G126">
        <v>46.25</v>
      </c>
      <c r="I126" t="s">
        <v>274</v>
      </c>
      <c r="J126">
        <v>3</v>
      </c>
      <c r="K126">
        <v>67.5</v>
      </c>
      <c r="M126" t="s">
        <v>107</v>
      </c>
      <c r="N126">
        <v>3</v>
      </c>
      <c r="O126">
        <v>53.037545351646095</v>
      </c>
      <c r="Q126" t="s">
        <v>161</v>
      </c>
      <c r="R126">
        <v>3</v>
      </c>
      <c r="S126">
        <v>37.5</v>
      </c>
      <c r="V126" t="s">
        <v>29</v>
      </c>
      <c r="W126">
        <v>2</v>
      </c>
      <c r="X126">
        <v>46.492302039236094</v>
      </c>
    </row>
    <row r="127" spans="1:24" x14ac:dyDescent="0.25">
      <c r="A127" t="s">
        <v>206</v>
      </c>
      <c r="B127">
        <v>3</v>
      </c>
      <c r="C127">
        <v>89.671975471228947</v>
      </c>
      <c r="E127" t="s">
        <v>185</v>
      </c>
      <c r="F127">
        <v>3</v>
      </c>
      <c r="G127">
        <v>46.25</v>
      </c>
      <c r="I127" t="s">
        <v>108</v>
      </c>
      <c r="J127">
        <v>3</v>
      </c>
      <c r="K127">
        <v>66.25</v>
      </c>
      <c r="M127" t="s">
        <v>129</v>
      </c>
      <c r="N127">
        <v>3</v>
      </c>
      <c r="O127">
        <v>52.762927867610834</v>
      </c>
      <c r="Q127" t="s">
        <v>166</v>
      </c>
      <c r="R127">
        <v>3</v>
      </c>
      <c r="S127">
        <v>37.5</v>
      </c>
      <c r="V127" t="s">
        <v>282</v>
      </c>
      <c r="W127">
        <v>3</v>
      </c>
      <c r="X127">
        <v>46.38904355891372</v>
      </c>
    </row>
    <row r="128" spans="1:24" x14ac:dyDescent="0.25">
      <c r="A128" t="s">
        <v>233</v>
      </c>
      <c r="B128">
        <v>3</v>
      </c>
      <c r="C128">
        <v>89.671975471228947</v>
      </c>
      <c r="E128" t="s">
        <v>205</v>
      </c>
      <c r="F128">
        <v>3</v>
      </c>
      <c r="G128">
        <v>46.25</v>
      </c>
      <c r="I128" t="s">
        <v>170</v>
      </c>
      <c r="J128">
        <v>3</v>
      </c>
      <c r="K128">
        <v>66.25</v>
      </c>
      <c r="M128" t="s">
        <v>156</v>
      </c>
      <c r="N128">
        <v>3</v>
      </c>
      <c r="O128">
        <v>52.760580327279925</v>
      </c>
      <c r="Q128" t="s">
        <v>170</v>
      </c>
      <c r="R128">
        <v>3</v>
      </c>
      <c r="S128">
        <v>37.5</v>
      </c>
      <c r="V128" t="s">
        <v>261</v>
      </c>
      <c r="W128">
        <v>4</v>
      </c>
      <c r="X128">
        <v>46.214668888182345</v>
      </c>
    </row>
    <row r="129" spans="1:24" x14ac:dyDescent="0.25">
      <c r="A129" t="s">
        <v>269</v>
      </c>
      <c r="B129">
        <v>3</v>
      </c>
      <c r="C129">
        <v>89.671975471228947</v>
      </c>
      <c r="E129" t="s">
        <v>236</v>
      </c>
      <c r="F129">
        <v>3</v>
      </c>
      <c r="G129">
        <v>46.25</v>
      </c>
      <c r="I129" t="s">
        <v>184</v>
      </c>
      <c r="J129">
        <v>3</v>
      </c>
      <c r="K129">
        <v>66.25</v>
      </c>
      <c r="M129" t="s">
        <v>206</v>
      </c>
      <c r="N129">
        <v>3</v>
      </c>
      <c r="O129">
        <v>52.435277866856708</v>
      </c>
      <c r="Q129" t="s">
        <v>183</v>
      </c>
      <c r="R129">
        <v>3</v>
      </c>
      <c r="S129">
        <v>37.5</v>
      </c>
      <c r="V129" t="s">
        <v>168</v>
      </c>
      <c r="W129">
        <v>3</v>
      </c>
      <c r="X129">
        <v>45.948503175570693</v>
      </c>
    </row>
    <row r="130" spans="1:24" x14ac:dyDescent="0.25">
      <c r="A130" t="s">
        <v>282</v>
      </c>
      <c r="B130">
        <v>3</v>
      </c>
      <c r="C130">
        <v>89.671975471228947</v>
      </c>
      <c r="E130" t="s">
        <v>146</v>
      </c>
      <c r="F130">
        <v>3</v>
      </c>
      <c r="G130">
        <v>45</v>
      </c>
      <c r="I130" t="s">
        <v>197</v>
      </c>
      <c r="J130">
        <v>3</v>
      </c>
      <c r="K130">
        <v>66.25</v>
      </c>
      <c r="M130" t="s">
        <v>81</v>
      </c>
      <c r="N130">
        <v>3</v>
      </c>
      <c r="O130">
        <v>52.088926657845896</v>
      </c>
      <c r="Q130" t="s">
        <v>188</v>
      </c>
      <c r="R130">
        <v>3</v>
      </c>
      <c r="S130">
        <v>37.5</v>
      </c>
      <c r="V130" t="s">
        <v>142</v>
      </c>
      <c r="W130">
        <v>3</v>
      </c>
      <c r="X130">
        <v>45.937964789287733</v>
      </c>
    </row>
    <row r="131" spans="1:24" x14ac:dyDescent="0.25">
      <c r="A131" t="s">
        <v>135</v>
      </c>
      <c r="B131">
        <v>3</v>
      </c>
      <c r="C131">
        <v>88.353269949593241</v>
      </c>
      <c r="E131" t="s">
        <v>254</v>
      </c>
      <c r="F131">
        <v>3</v>
      </c>
      <c r="G131">
        <v>43.75</v>
      </c>
      <c r="I131" t="s">
        <v>205</v>
      </c>
      <c r="J131">
        <v>3</v>
      </c>
      <c r="K131">
        <v>66.25</v>
      </c>
      <c r="M131" t="s">
        <v>100</v>
      </c>
      <c r="N131">
        <v>3</v>
      </c>
      <c r="O131">
        <v>52.03140333413949</v>
      </c>
      <c r="Q131" t="s">
        <v>217</v>
      </c>
      <c r="R131">
        <v>3</v>
      </c>
      <c r="S131">
        <v>37.5</v>
      </c>
      <c r="V131" t="s">
        <v>68</v>
      </c>
      <c r="W131">
        <v>2</v>
      </c>
      <c r="X131">
        <v>45.862287650115505</v>
      </c>
    </row>
    <row r="132" spans="1:24" x14ac:dyDescent="0.25">
      <c r="A132" t="s">
        <v>192</v>
      </c>
      <c r="B132">
        <v>3</v>
      </c>
      <c r="C132">
        <v>88.353269949593241</v>
      </c>
      <c r="E132" t="s">
        <v>268</v>
      </c>
      <c r="F132">
        <v>3</v>
      </c>
      <c r="G132">
        <v>43.75</v>
      </c>
      <c r="I132" t="s">
        <v>230</v>
      </c>
      <c r="J132">
        <v>3</v>
      </c>
      <c r="K132">
        <v>66.25</v>
      </c>
      <c r="M132" t="s">
        <v>55</v>
      </c>
      <c r="N132">
        <v>3</v>
      </c>
      <c r="O132">
        <v>51.941152637699304</v>
      </c>
      <c r="Q132" t="s">
        <v>318</v>
      </c>
      <c r="R132">
        <v>3</v>
      </c>
      <c r="S132">
        <v>37.5</v>
      </c>
      <c r="V132" t="s">
        <v>283</v>
      </c>
      <c r="W132">
        <v>4</v>
      </c>
      <c r="X132">
        <v>45.810276346926031</v>
      </c>
    </row>
    <row r="133" spans="1:24" x14ac:dyDescent="0.25">
      <c r="A133" t="s">
        <v>322</v>
      </c>
      <c r="B133">
        <v>3</v>
      </c>
      <c r="C133">
        <v>88.353269949593241</v>
      </c>
      <c r="E133" t="s">
        <v>55</v>
      </c>
      <c r="F133">
        <v>3</v>
      </c>
      <c r="G133">
        <v>41.25</v>
      </c>
      <c r="I133" t="s">
        <v>97</v>
      </c>
      <c r="J133">
        <v>3</v>
      </c>
      <c r="K133">
        <v>58.75</v>
      </c>
      <c r="M133" t="s">
        <v>170</v>
      </c>
      <c r="N133">
        <v>3</v>
      </c>
      <c r="O133">
        <v>51.91131710718885</v>
      </c>
      <c r="Q133" t="s">
        <v>232</v>
      </c>
      <c r="R133">
        <v>3</v>
      </c>
      <c r="S133">
        <v>37.5</v>
      </c>
      <c r="V133" t="s">
        <v>111</v>
      </c>
      <c r="W133">
        <v>2</v>
      </c>
      <c r="X133">
        <v>45.707267710166732</v>
      </c>
    </row>
    <row r="134" spans="1:24" x14ac:dyDescent="0.25">
      <c r="A134" t="s">
        <v>311</v>
      </c>
      <c r="B134">
        <v>3</v>
      </c>
      <c r="C134">
        <v>85.715858906321799</v>
      </c>
      <c r="E134" t="s">
        <v>116</v>
      </c>
      <c r="F134">
        <v>3</v>
      </c>
      <c r="G134">
        <v>41.25</v>
      </c>
      <c r="I134" t="s">
        <v>190</v>
      </c>
      <c r="J134">
        <v>3</v>
      </c>
      <c r="K134">
        <v>58.75</v>
      </c>
      <c r="M134" t="s">
        <v>311</v>
      </c>
      <c r="N134">
        <v>3</v>
      </c>
      <c r="O134">
        <v>51.853727617625005</v>
      </c>
      <c r="Q134" t="s">
        <v>238</v>
      </c>
      <c r="R134">
        <v>3</v>
      </c>
      <c r="S134">
        <v>37.5</v>
      </c>
      <c r="V134" t="s">
        <v>148</v>
      </c>
      <c r="W134">
        <v>3</v>
      </c>
      <c r="X134">
        <v>45.679567659185068</v>
      </c>
    </row>
    <row r="135" spans="1:24" x14ac:dyDescent="0.25">
      <c r="A135" t="s">
        <v>87</v>
      </c>
      <c r="B135">
        <v>3</v>
      </c>
      <c r="C135">
        <v>85.715858906321799</v>
      </c>
      <c r="E135" t="s">
        <v>175</v>
      </c>
      <c r="F135">
        <v>3</v>
      </c>
      <c r="G135">
        <v>41.25</v>
      </c>
      <c r="I135" t="s">
        <v>193</v>
      </c>
      <c r="J135">
        <v>3</v>
      </c>
      <c r="K135">
        <v>58.75</v>
      </c>
      <c r="M135" t="s">
        <v>254</v>
      </c>
      <c r="N135">
        <v>3</v>
      </c>
      <c r="O135">
        <v>51.802009028680679</v>
      </c>
      <c r="Q135" t="s">
        <v>251</v>
      </c>
      <c r="R135">
        <v>3</v>
      </c>
      <c r="S135">
        <v>37.5</v>
      </c>
      <c r="V135" t="s">
        <v>154</v>
      </c>
      <c r="W135">
        <v>3</v>
      </c>
      <c r="X135">
        <v>45.597388387840596</v>
      </c>
    </row>
    <row r="136" spans="1:24" x14ac:dyDescent="0.25">
      <c r="A136" t="s">
        <v>143</v>
      </c>
      <c r="B136">
        <v>3</v>
      </c>
      <c r="C136">
        <v>85.715858906321799</v>
      </c>
      <c r="E136" t="s">
        <v>233</v>
      </c>
      <c r="F136">
        <v>3</v>
      </c>
      <c r="G136">
        <v>41.25</v>
      </c>
      <c r="I136" t="s">
        <v>238</v>
      </c>
      <c r="J136">
        <v>3</v>
      </c>
      <c r="K136">
        <v>58.75</v>
      </c>
      <c r="M136" t="s">
        <v>193</v>
      </c>
      <c r="N136">
        <v>3</v>
      </c>
      <c r="O136">
        <v>51.720850885439042</v>
      </c>
      <c r="Q136" t="s">
        <v>262</v>
      </c>
      <c r="R136">
        <v>3</v>
      </c>
      <c r="S136">
        <v>37.5</v>
      </c>
      <c r="V136" t="s">
        <v>289</v>
      </c>
      <c r="W136">
        <v>4</v>
      </c>
      <c r="X136">
        <v>45.455570679826643</v>
      </c>
    </row>
    <row r="137" spans="1:24" x14ac:dyDescent="0.25">
      <c r="A137" t="s">
        <v>146</v>
      </c>
      <c r="B137">
        <v>3</v>
      </c>
      <c r="C137">
        <v>85.715858906321799</v>
      </c>
      <c r="E137" t="s">
        <v>92</v>
      </c>
      <c r="F137">
        <v>3</v>
      </c>
      <c r="G137">
        <v>40</v>
      </c>
      <c r="I137" t="s">
        <v>254</v>
      </c>
      <c r="J137">
        <v>3</v>
      </c>
      <c r="K137">
        <v>58.75</v>
      </c>
      <c r="M137" t="s">
        <v>163</v>
      </c>
      <c r="N137">
        <v>3</v>
      </c>
      <c r="O137">
        <v>51.706975841370628</v>
      </c>
      <c r="Q137" t="s">
        <v>268</v>
      </c>
      <c r="R137">
        <v>3</v>
      </c>
      <c r="S137">
        <v>37.5</v>
      </c>
      <c r="V137" t="s">
        <v>143</v>
      </c>
      <c r="W137">
        <v>3</v>
      </c>
      <c r="X137">
        <v>45.450865943921343</v>
      </c>
    </row>
    <row r="138" spans="1:24" x14ac:dyDescent="0.25">
      <c r="A138" t="s">
        <v>228</v>
      </c>
      <c r="B138">
        <v>3</v>
      </c>
      <c r="C138">
        <v>85.715858906321799</v>
      </c>
      <c r="E138" t="s">
        <v>316</v>
      </c>
      <c r="F138">
        <v>3</v>
      </c>
      <c r="G138">
        <v>40</v>
      </c>
      <c r="I138" t="s">
        <v>152</v>
      </c>
      <c r="J138">
        <v>3</v>
      </c>
      <c r="K138">
        <v>57.5</v>
      </c>
      <c r="M138" t="s">
        <v>148</v>
      </c>
      <c r="N138">
        <v>3</v>
      </c>
      <c r="O138">
        <v>51.687842455619617</v>
      </c>
      <c r="Q138" t="s">
        <v>310</v>
      </c>
      <c r="R138">
        <v>3</v>
      </c>
      <c r="S138">
        <v>25</v>
      </c>
      <c r="V138" t="s">
        <v>149</v>
      </c>
      <c r="W138">
        <v>3</v>
      </c>
      <c r="X138">
        <v>45.347825316263076</v>
      </c>
    </row>
    <row r="139" spans="1:24" x14ac:dyDescent="0.25">
      <c r="A139" t="s">
        <v>238</v>
      </c>
      <c r="B139">
        <v>3</v>
      </c>
      <c r="C139">
        <v>85.715858906321799</v>
      </c>
      <c r="E139" t="s">
        <v>154</v>
      </c>
      <c r="F139">
        <v>3</v>
      </c>
      <c r="G139">
        <v>40</v>
      </c>
      <c r="I139" t="s">
        <v>154</v>
      </c>
      <c r="J139">
        <v>3</v>
      </c>
      <c r="K139">
        <v>57.5</v>
      </c>
      <c r="M139" t="s">
        <v>181</v>
      </c>
      <c r="N139">
        <v>3</v>
      </c>
      <c r="O139">
        <v>51.079784039018762</v>
      </c>
      <c r="Q139" t="s">
        <v>88</v>
      </c>
      <c r="R139">
        <v>3</v>
      </c>
      <c r="S139">
        <v>25</v>
      </c>
      <c r="V139" t="s">
        <v>120</v>
      </c>
      <c r="W139">
        <v>3</v>
      </c>
      <c r="X139">
        <v>45.253204343063089</v>
      </c>
    </row>
    <row r="140" spans="1:24" x14ac:dyDescent="0.25">
      <c r="A140" t="s">
        <v>97</v>
      </c>
      <c r="B140">
        <v>3</v>
      </c>
      <c r="C140">
        <v>84.397153384686078</v>
      </c>
      <c r="E140" t="s">
        <v>182</v>
      </c>
      <c r="F140">
        <v>3</v>
      </c>
      <c r="G140">
        <v>40</v>
      </c>
      <c r="I140" t="s">
        <v>182</v>
      </c>
      <c r="J140">
        <v>3</v>
      </c>
      <c r="K140">
        <v>57.5</v>
      </c>
      <c r="M140" t="s">
        <v>95</v>
      </c>
      <c r="N140">
        <v>3</v>
      </c>
      <c r="O140">
        <v>51.040572925729521</v>
      </c>
      <c r="Q140" t="s">
        <v>92</v>
      </c>
      <c r="R140">
        <v>3</v>
      </c>
      <c r="S140">
        <v>25</v>
      </c>
      <c r="V140" t="s">
        <v>181</v>
      </c>
      <c r="W140">
        <v>3</v>
      </c>
      <c r="X140">
        <v>45.185014231489021</v>
      </c>
    </row>
    <row r="141" spans="1:24" x14ac:dyDescent="0.25">
      <c r="A141" t="s">
        <v>148</v>
      </c>
      <c r="B141">
        <v>3</v>
      </c>
      <c r="C141">
        <v>84.397153384686078</v>
      </c>
      <c r="E141" t="s">
        <v>318</v>
      </c>
      <c r="F141">
        <v>3</v>
      </c>
      <c r="G141">
        <v>40</v>
      </c>
      <c r="I141" t="s">
        <v>188</v>
      </c>
      <c r="J141">
        <v>3</v>
      </c>
      <c r="K141">
        <v>57.5</v>
      </c>
      <c r="M141" t="s">
        <v>77</v>
      </c>
      <c r="N141">
        <v>3</v>
      </c>
      <c r="O141">
        <v>51.037876960911937</v>
      </c>
      <c r="Q141" t="s">
        <v>97</v>
      </c>
      <c r="R141">
        <v>3</v>
      </c>
      <c r="S141">
        <v>25</v>
      </c>
      <c r="V141" t="s">
        <v>253</v>
      </c>
      <c r="W141">
        <v>4</v>
      </c>
      <c r="X141">
        <v>45.120096560456233</v>
      </c>
    </row>
    <row r="142" spans="1:24" x14ac:dyDescent="0.25">
      <c r="A142" t="s">
        <v>191</v>
      </c>
      <c r="B142">
        <v>3</v>
      </c>
      <c r="C142">
        <v>84.397153384686078</v>
      </c>
      <c r="E142" t="s">
        <v>272</v>
      </c>
      <c r="F142">
        <v>3</v>
      </c>
      <c r="G142">
        <v>40</v>
      </c>
      <c r="I142" t="s">
        <v>262</v>
      </c>
      <c r="J142">
        <v>3</v>
      </c>
      <c r="K142">
        <v>57.5</v>
      </c>
      <c r="M142" t="s">
        <v>177</v>
      </c>
      <c r="N142">
        <v>3</v>
      </c>
      <c r="O142">
        <v>50.831490166778813</v>
      </c>
      <c r="Q142" t="s">
        <v>99</v>
      </c>
      <c r="R142">
        <v>3</v>
      </c>
      <c r="S142">
        <v>25</v>
      </c>
      <c r="V142" t="s">
        <v>247</v>
      </c>
      <c r="W142">
        <v>4</v>
      </c>
      <c r="X142">
        <v>45.112348711195835</v>
      </c>
    </row>
    <row r="143" spans="1:24" x14ac:dyDescent="0.25">
      <c r="A143" t="s">
        <v>82</v>
      </c>
      <c r="B143">
        <v>3</v>
      </c>
      <c r="C143">
        <v>83.078447863050357</v>
      </c>
      <c r="E143" t="s">
        <v>282</v>
      </c>
      <c r="F143">
        <v>3</v>
      </c>
      <c r="G143">
        <v>40</v>
      </c>
      <c r="I143" t="s">
        <v>310</v>
      </c>
      <c r="J143">
        <v>3</v>
      </c>
      <c r="K143">
        <v>51.25</v>
      </c>
      <c r="M143" t="s">
        <v>142</v>
      </c>
      <c r="N143">
        <v>3</v>
      </c>
      <c r="O143">
        <v>50.633924237604859</v>
      </c>
      <c r="Q143" t="s">
        <v>104</v>
      </c>
      <c r="R143">
        <v>3</v>
      </c>
      <c r="S143">
        <v>25</v>
      </c>
      <c r="V143" t="s">
        <v>227</v>
      </c>
      <c r="W143">
        <v>4</v>
      </c>
      <c r="X143">
        <v>45.085269434685692</v>
      </c>
    </row>
    <row r="144" spans="1:24" x14ac:dyDescent="0.25">
      <c r="A144" t="s">
        <v>90</v>
      </c>
      <c r="B144">
        <v>3</v>
      </c>
      <c r="C144">
        <v>83.078447863050357</v>
      </c>
      <c r="E144" t="s">
        <v>217</v>
      </c>
      <c r="F144">
        <v>3</v>
      </c>
      <c r="G144">
        <v>38.75</v>
      </c>
      <c r="I144" t="s">
        <v>157</v>
      </c>
      <c r="J144">
        <v>3</v>
      </c>
      <c r="K144">
        <v>51.25</v>
      </c>
      <c r="M144" t="s">
        <v>162</v>
      </c>
      <c r="N144">
        <v>3</v>
      </c>
      <c r="O144">
        <v>50.427743499330504</v>
      </c>
      <c r="Q144" s="2" t="s">
        <v>313</v>
      </c>
      <c r="R144" s="2">
        <v>3</v>
      </c>
      <c r="S144">
        <v>25</v>
      </c>
      <c r="V144" t="s">
        <v>159</v>
      </c>
      <c r="W144">
        <v>4</v>
      </c>
      <c r="X144">
        <v>45.056440734062377</v>
      </c>
    </row>
    <row r="145" spans="1:24" x14ac:dyDescent="0.25">
      <c r="A145" t="s">
        <v>116</v>
      </c>
      <c r="B145">
        <v>3</v>
      </c>
      <c r="C145">
        <v>83.078447863050357</v>
      </c>
      <c r="E145" t="s">
        <v>96</v>
      </c>
      <c r="F145">
        <v>3</v>
      </c>
      <c r="G145">
        <v>35</v>
      </c>
      <c r="I145" t="s">
        <v>161</v>
      </c>
      <c r="J145">
        <v>3</v>
      </c>
      <c r="K145">
        <v>51.25</v>
      </c>
      <c r="M145" t="s">
        <v>238</v>
      </c>
      <c r="N145">
        <v>3</v>
      </c>
      <c r="O145">
        <v>50.353027481170145</v>
      </c>
      <c r="Q145" t="s">
        <v>110</v>
      </c>
      <c r="R145">
        <v>3</v>
      </c>
      <c r="S145">
        <v>25</v>
      </c>
      <c r="V145" t="s">
        <v>112</v>
      </c>
      <c r="W145">
        <v>2</v>
      </c>
      <c r="X145">
        <v>45.027170964458058</v>
      </c>
    </row>
    <row r="146" spans="1:24" x14ac:dyDescent="0.25">
      <c r="A146" t="s">
        <v>120</v>
      </c>
      <c r="B146">
        <v>3</v>
      </c>
      <c r="C146">
        <v>83.078447863050357</v>
      </c>
      <c r="E146" t="s">
        <v>97</v>
      </c>
      <c r="F146">
        <v>3</v>
      </c>
      <c r="G146">
        <v>35</v>
      </c>
      <c r="I146" t="s">
        <v>318</v>
      </c>
      <c r="J146">
        <v>3</v>
      </c>
      <c r="K146">
        <v>51.25</v>
      </c>
      <c r="M146" t="s">
        <v>223</v>
      </c>
      <c r="N146">
        <v>3</v>
      </c>
      <c r="O146">
        <v>50.329315070113175</v>
      </c>
      <c r="Q146" t="s">
        <v>116</v>
      </c>
      <c r="R146">
        <v>3</v>
      </c>
      <c r="S146">
        <v>25</v>
      </c>
      <c r="V146" t="s">
        <v>70</v>
      </c>
      <c r="W146">
        <v>4</v>
      </c>
      <c r="X146">
        <v>44.986089098984621</v>
      </c>
    </row>
    <row r="147" spans="1:24" x14ac:dyDescent="0.25">
      <c r="A147" t="s">
        <v>156</v>
      </c>
      <c r="B147">
        <v>3</v>
      </c>
      <c r="C147">
        <v>83.078447863050357</v>
      </c>
      <c r="E147" t="s">
        <v>107</v>
      </c>
      <c r="F147">
        <v>3</v>
      </c>
      <c r="G147">
        <v>35</v>
      </c>
      <c r="I147" t="s">
        <v>92</v>
      </c>
      <c r="J147">
        <v>3</v>
      </c>
      <c r="K147">
        <v>50</v>
      </c>
      <c r="M147" t="s">
        <v>154</v>
      </c>
      <c r="N147">
        <v>3</v>
      </c>
      <c r="O147">
        <v>50.085007776069219</v>
      </c>
      <c r="Q147" t="s">
        <v>119</v>
      </c>
      <c r="R147">
        <v>3</v>
      </c>
      <c r="S147">
        <v>25</v>
      </c>
      <c r="V147" t="s">
        <v>322</v>
      </c>
      <c r="W147">
        <v>3</v>
      </c>
      <c r="X147">
        <v>44.985294921708828</v>
      </c>
    </row>
    <row r="148" spans="1:24" x14ac:dyDescent="0.25">
      <c r="A148" t="s">
        <v>184</v>
      </c>
      <c r="B148">
        <v>3</v>
      </c>
      <c r="C148">
        <v>83.078447863050357</v>
      </c>
      <c r="E148" t="s">
        <v>120</v>
      </c>
      <c r="F148">
        <v>3</v>
      </c>
      <c r="G148">
        <v>35</v>
      </c>
      <c r="I148" s="2" t="s">
        <v>313</v>
      </c>
      <c r="J148" s="2">
        <v>3</v>
      </c>
      <c r="K148">
        <v>50</v>
      </c>
      <c r="M148" t="s">
        <v>226</v>
      </c>
      <c r="N148">
        <v>3</v>
      </c>
      <c r="O148">
        <v>49.907243817114932</v>
      </c>
      <c r="Q148" t="s">
        <v>130</v>
      </c>
      <c r="R148">
        <v>3</v>
      </c>
      <c r="S148">
        <v>25</v>
      </c>
      <c r="V148" t="s">
        <v>126</v>
      </c>
      <c r="W148">
        <v>3</v>
      </c>
      <c r="X148">
        <v>44.933882340396323</v>
      </c>
    </row>
    <row r="149" spans="1:24" x14ac:dyDescent="0.25">
      <c r="A149" t="s">
        <v>211</v>
      </c>
      <c r="B149">
        <v>3</v>
      </c>
      <c r="C149">
        <v>83.078447863050357</v>
      </c>
      <c r="E149" t="s">
        <v>156</v>
      </c>
      <c r="F149">
        <v>3</v>
      </c>
      <c r="G149">
        <v>35</v>
      </c>
      <c r="I149" t="s">
        <v>107</v>
      </c>
      <c r="J149">
        <v>3</v>
      </c>
      <c r="K149">
        <v>50</v>
      </c>
      <c r="M149" t="s">
        <v>143</v>
      </c>
      <c r="N149">
        <v>3</v>
      </c>
      <c r="O149">
        <v>49.831735406642451</v>
      </c>
      <c r="Q149" t="s">
        <v>134</v>
      </c>
      <c r="R149">
        <v>3</v>
      </c>
      <c r="S149">
        <v>25</v>
      </c>
      <c r="V149" t="s">
        <v>215</v>
      </c>
      <c r="W149">
        <v>2</v>
      </c>
      <c r="X149">
        <v>44.83420553119069</v>
      </c>
    </row>
    <row r="150" spans="1:24" x14ac:dyDescent="0.25">
      <c r="A150" t="s">
        <v>214</v>
      </c>
      <c r="B150">
        <v>3</v>
      </c>
      <c r="C150">
        <v>83.078447863050357</v>
      </c>
      <c r="E150" t="s">
        <v>166</v>
      </c>
      <c r="F150">
        <v>3</v>
      </c>
      <c r="G150">
        <v>35</v>
      </c>
      <c r="I150" t="s">
        <v>116</v>
      </c>
      <c r="J150">
        <v>3</v>
      </c>
      <c r="K150">
        <v>50</v>
      </c>
      <c r="M150" t="s">
        <v>146</v>
      </c>
      <c r="N150">
        <v>3</v>
      </c>
      <c r="O150">
        <v>49.720994013130166</v>
      </c>
      <c r="Q150" t="s">
        <v>135</v>
      </c>
      <c r="R150">
        <v>3</v>
      </c>
      <c r="S150">
        <v>25</v>
      </c>
      <c r="V150" t="s">
        <v>89</v>
      </c>
      <c r="W150">
        <v>2</v>
      </c>
      <c r="X150">
        <v>44.814890931813608</v>
      </c>
    </row>
    <row r="151" spans="1:24" x14ac:dyDescent="0.25">
      <c r="A151" t="s">
        <v>244</v>
      </c>
      <c r="B151">
        <v>3</v>
      </c>
      <c r="C151">
        <v>83.078447863050357</v>
      </c>
      <c r="E151" t="s">
        <v>214</v>
      </c>
      <c r="F151">
        <v>3</v>
      </c>
      <c r="G151">
        <v>35</v>
      </c>
      <c r="I151" t="s">
        <v>139</v>
      </c>
      <c r="J151">
        <v>3</v>
      </c>
      <c r="K151">
        <v>50</v>
      </c>
      <c r="M151" t="s">
        <v>183</v>
      </c>
      <c r="N151">
        <v>3</v>
      </c>
      <c r="O151">
        <v>49.570790715047799</v>
      </c>
      <c r="Q151" t="s">
        <v>146</v>
      </c>
      <c r="R151">
        <v>3</v>
      </c>
      <c r="S151">
        <v>25</v>
      </c>
      <c r="V151" t="s">
        <v>274</v>
      </c>
      <c r="W151">
        <v>3</v>
      </c>
      <c r="X151">
        <v>44.738483242753361</v>
      </c>
    </row>
    <row r="152" spans="1:24" x14ac:dyDescent="0.25">
      <c r="A152" t="s">
        <v>236</v>
      </c>
      <c r="B152">
        <v>3</v>
      </c>
      <c r="C152">
        <v>81.759742341414636</v>
      </c>
      <c r="E152" t="s">
        <v>251</v>
      </c>
      <c r="F152">
        <v>3</v>
      </c>
      <c r="G152">
        <v>35</v>
      </c>
      <c r="I152" t="s">
        <v>163</v>
      </c>
      <c r="J152">
        <v>3</v>
      </c>
      <c r="K152">
        <v>50</v>
      </c>
      <c r="M152" t="s">
        <v>133</v>
      </c>
      <c r="N152">
        <v>3</v>
      </c>
      <c r="O152">
        <v>49.495767768137121</v>
      </c>
      <c r="Q152" t="s">
        <v>148</v>
      </c>
      <c r="R152">
        <v>3</v>
      </c>
      <c r="S152">
        <v>25</v>
      </c>
      <c r="V152" t="s">
        <v>72</v>
      </c>
      <c r="W152">
        <v>3</v>
      </c>
      <c r="X152">
        <v>44.718651878800564</v>
      </c>
    </row>
    <row r="153" spans="1:24" x14ac:dyDescent="0.25">
      <c r="A153" t="s">
        <v>126</v>
      </c>
      <c r="B153">
        <v>3</v>
      </c>
      <c r="C153">
        <v>80.441036819778915</v>
      </c>
      <c r="E153" t="s">
        <v>267</v>
      </c>
      <c r="F153">
        <v>3</v>
      </c>
      <c r="G153">
        <v>35</v>
      </c>
      <c r="I153" t="s">
        <v>177</v>
      </c>
      <c r="J153">
        <v>3</v>
      </c>
      <c r="K153">
        <v>50</v>
      </c>
      <c r="M153" t="s">
        <v>272</v>
      </c>
      <c r="N153">
        <v>3</v>
      </c>
      <c r="O153">
        <v>49.363070713484916</v>
      </c>
      <c r="Q153" t="s">
        <v>316</v>
      </c>
      <c r="R153">
        <v>3</v>
      </c>
      <c r="S153">
        <v>25</v>
      </c>
      <c r="V153" t="s">
        <v>52</v>
      </c>
      <c r="W153">
        <v>2</v>
      </c>
      <c r="X153">
        <v>44.710592263876975</v>
      </c>
    </row>
    <row r="154" spans="1:24" x14ac:dyDescent="0.25">
      <c r="A154" t="s">
        <v>182</v>
      </c>
      <c r="B154">
        <v>3</v>
      </c>
      <c r="C154">
        <v>80.441036819778915</v>
      </c>
      <c r="E154" t="s">
        <v>99</v>
      </c>
      <c r="F154">
        <v>3</v>
      </c>
      <c r="G154">
        <v>33.75</v>
      </c>
      <c r="I154" t="s">
        <v>226</v>
      </c>
      <c r="J154">
        <v>3</v>
      </c>
      <c r="K154">
        <v>50</v>
      </c>
      <c r="M154" t="s">
        <v>205</v>
      </c>
      <c r="N154">
        <v>3</v>
      </c>
      <c r="O154">
        <v>49.26525143828669</v>
      </c>
      <c r="Q154" t="s">
        <v>152</v>
      </c>
      <c r="R154">
        <v>3</v>
      </c>
      <c r="S154">
        <v>25</v>
      </c>
      <c r="V154" t="s">
        <v>134</v>
      </c>
      <c r="W154">
        <v>3</v>
      </c>
      <c r="X154">
        <v>44.625847426970665</v>
      </c>
    </row>
    <row r="155" spans="1:24" x14ac:dyDescent="0.25">
      <c r="A155" t="s">
        <v>41</v>
      </c>
      <c r="B155">
        <v>3</v>
      </c>
      <c r="C155">
        <v>79.122331298143195</v>
      </c>
      <c r="E155" t="s">
        <v>152</v>
      </c>
      <c r="F155">
        <v>3</v>
      </c>
      <c r="G155">
        <v>33.75</v>
      </c>
      <c r="I155" t="s">
        <v>322</v>
      </c>
      <c r="J155">
        <v>3</v>
      </c>
      <c r="K155">
        <v>50</v>
      </c>
      <c r="M155" t="s">
        <v>259</v>
      </c>
      <c r="N155">
        <v>3</v>
      </c>
      <c r="O155">
        <v>49.168666177566983</v>
      </c>
      <c r="Q155" t="s">
        <v>157</v>
      </c>
      <c r="R155">
        <v>3</v>
      </c>
      <c r="S155">
        <v>25</v>
      </c>
      <c r="V155" t="s">
        <v>197</v>
      </c>
      <c r="W155">
        <v>3</v>
      </c>
      <c r="X155">
        <v>44.621549112332545</v>
      </c>
    </row>
    <row r="156" spans="1:24" x14ac:dyDescent="0.25">
      <c r="A156" t="s">
        <v>119</v>
      </c>
      <c r="B156">
        <v>3</v>
      </c>
      <c r="C156">
        <v>79.122331298143195</v>
      </c>
      <c r="E156" t="s">
        <v>183</v>
      </c>
      <c r="F156">
        <v>3</v>
      </c>
      <c r="G156">
        <v>33.75</v>
      </c>
      <c r="I156" t="s">
        <v>267</v>
      </c>
      <c r="J156">
        <v>3</v>
      </c>
      <c r="K156">
        <v>50</v>
      </c>
      <c r="M156" t="s">
        <v>139</v>
      </c>
      <c r="N156">
        <v>3</v>
      </c>
      <c r="O156">
        <v>49.049829049685272</v>
      </c>
      <c r="Q156" t="s">
        <v>168</v>
      </c>
      <c r="R156">
        <v>3</v>
      </c>
      <c r="S156">
        <v>25</v>
      </c>
      <c r="V156" t="s">
        <v>93</v>
      </c>
      <c r="W156">
        <v>2</v>
      </c>
      <c r="X156">
        <v>44.602020130463757</v>
      </c>
    </row>
    <row r="157" spans="1:24" x14ac:dyDescent="0.25">
      <c r="A157" t="s">
        <v>136</v>
      </c>
      <c r="B157">
        <v>3</v>
      </c>
      <c r="C157">
        <v>79.122331298143195</v>
      </c>
      <c r="E157" t="s">
        <v>211</v>
      </c>
      <c r="F157">
        <v>3</v>
      </c>
      <c r="G157">
        <v>33.75</v>
      </c>
      <c r="I157" t="s">
        <v>272</v>
      </c>
      <c r="J157">
        <v>3</v>
      </c>
      <c r="K157">
        <v>50</v>
      </c>
      <c r="M157" t="s">
        <v>90</v>
      </c>
      <c r="N157">
        <v>3</v>
      </c>
      <c r="O157">
        <v>48.727294759200944</v>
      </c>
      <c r="Q157" t="s">
        <v>175</v>
      </c>
      <c r="R157">
        <v>3</v>
      </c>
      <c r="S157">
        <v>25</v>
      </c>
      <c r="V157" t="s">
        <v>214</v>
      </c>
      <c r="W157">
        <v>3</v>
      </c>
      <c r="X157">
        <v>44.566062702160337</v>
      </c>
    </row>
    <row r="158" spans="1:24" x14ac:dyDescent="0.25">
      <c r="A158" t="s">
        <v>149</v>
      </c>
      <c r="B158">
        <v>3</v>
      </c>
      <c r="C158">
        <v>79.122331298143195</v>
      </c>
      <c r="E158" t="s">
        <v>142</v>
      </c>
      <c r="F158">
        <v>3</v>
      </c>
      <c r="G158">
        <v>31.25</v>
      </c>
      <c r="I158" t="s">
        <v>143</v>
      </c>
      <c r="J158">
        <v>3</v>
      </c>
      <c r="K158">
        <v>48.75</v>
      </c>
      <c r="M158" t="s">
        <v>126</v>
      </c>
      <c r="N158">
        <v>3</v>
      </c>
      <c r="O158">
        <v>48.676687441101329</v>
      </c>
      <c r="Q158" t="s">
        <v>182</v>
      </c>
      <c r="R158">
        <v>3</v>
      </c>
      <c r="S158">
        <v>25</v>
      </c>
      <c r="V158" t="s">
        <v>98</v>
      </c>
      <c r="W158">
        <v>2</v>
      </c>
      <c r="X158">
        <v>44.527918978654583</v>
      </c>
    </row>
    <row r="159" spans="1:24" x14ac:dyDescent="0.25">
      <c r="A159" t="s">
        <v>316</v>
      </c>
      <c r="B159">
        <v>3</v>
      </c>
      <c r="C159">
        <v>79.122331298143195</v>
      </c>
      <c r="E159" t="s">
        <v>188</v>
      </c>
      <c r="F159">
        <v>3</v>
      </c>
      <c r="G159">
        <v>31.25</v>
      </c>
      <c r="I159" t="s">
        <v>324</v>
      </c>
      <c r="J159">
        <v>3</v>
      </c>
      <c r="K159">
        <v>45</v>
      </c>
      <c r="M159" t="s">
        <v>168</v>
      </c>
      <c r="N159">
        <v>3</v>
      </c>
      <c r="O159">
        <v>48.63788370212302</v>
      </c>
      <c r="Q159" t="s">
        <v>190</v>
      </c>
      <c r="R159">
        <v>3</v>
      </c>
      <c r="S159">
        <v>25</v>
      </c>
      <c r="V159" t="s">
        <v>323</v>
      </c>
      <c r="W159">
        <v>4</v>
      </c>
      <c r="X159">
        <v>44.430376904139095</v>
      </c>
    </row>
    <row r="160" spans="1:24" x14ac:dyDescent="0.25">
      <c r="A160" t="s">
        <v>197</v>
      </c>
      <c r="B160">
        <v>3</v>
      </c>
      <c r="C160">
        <v>79.122331298143195</v>
      </c>
      <c r="E160" t="s">
        <v>157</v>
      </c>
      <c r="F160">
        <v>3</v>
      </c>
      <c r="G160">
        <v>30</v>
      </c>
      <c r="I160" t="s">
        <v>81</v>
      </c>
      <c r="J160">
        <v>3</v>
      </c>
      <c r="K160">
        <v>42.5</v>
      </c>
      <c r="M160" t="s">
        <v>61</v>
      </c>
      <c r="N160">
        <v>3</v>
      </c>
      <c r="O160">
        <v>48.553010861003266</v>
      </c>
      <c r="Q160" t="s">
        <v>193</v>
      </c>
      <c r="R160">
        <v>3</v>
      </c>
      <c r="S160">
        <v>25</v>
      </c>
      <c r="V160" t="s">
        <v>165</v>
      </c>
      <c r="W160">
        <v>3</v>
      </c>
      <c r="X160">
        <v>44.277846871599621</v>
      </c>
    </row>
    <row r="161" spans="1:24" x14ac:dyDescent="0.25">
      <c r="A161" t="s">
        <v>234</v>
      </c>
      <c r="B161">
        <v>3</v>
      </c>
      <c r="C161">
        <v>79.122331298143195</v>
      </c>
      <c r="E161" t="s">
        <v>62</v>
      </c>
      <c r="F161">
        <v>3</v>
      </c>
      <c r="G161">
        <v>28.75</v>
      </c>
      <c r="I161" t="s">
        <v>135</v>
      </c>
      <c r="J161">
        <v>3</v>
      </c>
      <c r="K161">
        <v>42.5</v>
      </c>
      <c r="M161" t="s">
        <v>165</v>
      </c>
      <c r="N161">
        <v>3</v>
      </c>
      <c r="O161">
        <v>48.455037420559627</v>
      </c>
      <c r="Q161" t="s">
        <v>197</v>
      </c>
      <c r="R161">
        <v>3</v>
      </c>
      <c r="S161">
        <v>25</v>
      </c>
      <c r="V161" t="s">
        <v>86</v>
      </c>
      <c r="W161">
        <v>4</v>
      </c>
      <c r="X161">
        <v>44.271989123485341</v>
      </c>
    </row>
    <row r="162" spans="1:24" x14ac:dyDescent="0.25">
      <c r="A162" t="s">
        <v>274</v>
      </c>
      <c r="B162">
        <v>3</v>
      </c>
      <c r="C162">
        <v>79.122331298143195</v>
      </c>
      <c r="E162" t="s">
        <v>81</v>
      </c>
      <c r="F162">
        <v>3</v>
      </c>
      <c r="G162">
        <v>28.75</v>
      </c>
      <c r="I162" t="s">
        <v>149</v>
      </c>
      <c r="J162">
        <v>3</v>
      </c>
      <c r="K162">
        <v>42.5</v>
      </c>
      <c r="M162" t="s">
        <v>109</v>
      </c>
      <c r="N162">
        <v>3</v>
      </c>
      <c r="O162">
        <v>48.269002528988111</v>
      </c>
      <c r="Q162" t="s">
        <v>205</v>
      </c>
      <c r="R162">
        <v>3</v>
      </c>
      <c r="S162">
        <v>25</v>
      </c>
      <c r="V162" t="s">
        <v>217</v>
      </c>
      <c r="W162">
        <v>3</v>
      </c>
      <c r="X162">
        <v>44.213536789216526</v>
      </c>
    </row>
    <row r="163" spans="1:24" x14ac:dyDescent="0.25">
      <c r="A163" t="s">
        <v>324</v>
      </c>
      <c r="B163">
        <v>3</v>
      </c>
      <c r="C163">
        <v>79.122331298143195</v>
      </c>
      <c r="E163" t="s">
        <v>95</v>
      </c>
      <c r="F163">
        <v>3</v>
      </c>
      <c r="G163">
        <v>28.75</v>
      </c>
      <c r="I163" t="s">
        <v>196</v>
      </c>
      <c r="J163">
        <v>3</v>
      </c>
      <c r="K163">
        <v>42.5</v>
      </c>
      <c r="M163" t="s">
        <v>234</v>
      </c>
      <c r="N163">
        <v>3</v>
      </c>
      <c r="O163">
        <v>48.266051115800423</v>
      </c>
      <c r="Q163" t="s">
        <v>206</v>
      </c>
      <c r="R163">
        <v>3</v>
      </c>
      <c r="S163">
        <v>25</v>
      </c>
      <c r="V163" t="s">
        <v>75</v>
      </c>
      <c r="W163">
        <v>2</v>
      </c>
      <c r="X163">
        <v>44.202690199681811</v>
      </c>
    </row>
    <row r="164" spans="1:24" x14ac:dyDescent="0.25">
      <c r="A164" t="s">
        <v>77</v>
      </c>
      <c r="B164">
        <v>3</v>
      </c>
      <c r="C164">
        <v>77.803625776507474</v>
      </c>
      <c r="E164" t="s">
        <v>165</v>
      </c>
      <c r="F164">
        <v>3</v>
      </c>
      <c r="G164">
        <v>28.75</v>
      </c>
      <c r="I164" t="s">
        <v>204</v>
      </c>
      <c r="J164">
        <v>3</v>
      </c>
      <c r="K164">
        <v>42.5</v>
      </c>
      <c r="M164" t="s">
        <v>237</v>
      </c>
      <c r="N164">
        <v>3</v>
      </c>
      <c r="O164">
        <v>48.106717297178193</v>
      </c>
      <c r="Q164" t="s">
        <v>211</v>
      </c>
      <c r="R164">
        <v>3</v>
      </c>
      <c r="S164">
        <v>25</v>
      </c>
      <c r="V164" t="s">
        <v>26</v>
      </c>
      <c r="W164">
        <v>1</v>
      </c>
      <c r="X164">
        <v>44.11714383891303</v>
      </c>
    </row>
    <row r="165" spans="1:24" x14ac:dyDescent="0.25">
      <c r="A165" t="s">
        <v>175</v>
      </c>
      <c r="B165">
        <v>3</v>
      </c>
      <c r="C165">
        <v>77.803625776507474</v>
      </c>
      <c r="E165" t="s">
        <v>238</v>
      </c>
      <c r="F165">
        <v>3</v>
      </c>
      <c r="G165">
        <v>28.75</v>
      </c>
      <c r="I165" t="s">
        <v>206</v>
      </c>
      <c r="J165">
        <v>3</v>
      </c>
      <c r="K165">
        <v>42.5</v>
      </c>
      <c r="M165" t="s">
        <v>132</v>
      </c>
      <c r="N165">
        <v>3</v>
      </c>
      <c r="O165">
        <v>47.881344781671828</v>
      </c>
      <c r="Q165" t="s">
        <v>214</v>
      </c>
      <c r="R165">
        <v>3</v>
      </c>
      <c r="S165">
        <v>25</v>
      </c>
      <c r="V165" t="s">
        <v>99</v>
      </c>
      <c r="W165">
        <v>3</v>
      </c>
      <c r="X165">
        <v>44.019140428624723</v>
      </c>
    </row>
    <row r="166" spans="1:24" x14ac:dyDescent="0.25">
      <c r="A166" t="s">
        <v>204</v>
      </c>
      <c r="B166">
        <v>3</v>
      </c>
      <c r="C166">
        <v>77.803625776507474</v>
      </c>
      <c r="E166" t="s">
        <v>322</v>
      </c>
      <c r="F166">
        <v>3</v>
      </c>
      <c r="G166">
        <v>28.75</v>
      </c>
      <c r="I166" t="s">
        <v>213</v>
      </c>
      <c r="J166">
        <v>3</v>
      </c>
      <c r="K166">
        <v>42.5</v>
      </c>
      <c r="M166" t="s">
        <v>213</v>
      </c>
      <c r="N166">
        <v>3</v>
      </c>
      <c r="O166">
        <v>47.816313184667209</v>
      </c>
      <c r="Q166" t="s">
        <v>223</v>
      </c>
      <c r="R166">
        <v>3</v>
      </c>
      <c r="S166">
        <v>25</v>
      </c>
      <c r="V166" t="s">
        <v>50</v>
      </c>
      <c r="W166">
        <v>2</v>
      </c>
      <c r="X166">
        <v>43.990676822296081</v>
      </c>
    </row>
    <row r="167" spans="1:24" x14ac:dyDescent="0.25">
      <c r="A167" t="s">
        <v>213</v>
      </c>
      <c r="B167">
        <v>3</v>
      </c>
      <c r="C167">
        <v>77.803625776507474</v>
      </c>
      <c r="E167" t="s">
        <v>294</v>
      </c>
      <c r="F167">
        <v>3</v>
      </c>
      <c r="G167">
        <v>28.75</v>
      </c>
      <c r="I167" t="s">
        <v>214</v>
      </c>
      <c r="J167">
        <v>3</v>
      </c>
      <c r="K167">
        <v>42.5</v>
      </c>
      <c r="M167" t="s">
        <v>228</v>
      </c>
      <c r="N167">
        <v>3</v>
      </c>
      <c r="O167">
        <v>47.772444814499991</v>
      </c>
      <c r="Q167" t="s">
        <v>236</v>
      </c>
      <c r="R167">
        <v>3</v>
      </c>
      <c r="S167">
        <v>25</v>
      </c>
      <c r="V167" t="s">
        <v>229</v>
      </c>
      <c r="W167">
        <v>4</v>
      </c>
      <c r="X167">
        <v>43.951143722820731</v>
      </c>
    </row>
    <row r="168" spans="1:24" x14ac:dyDescent="0.25">
      <c r="A168" t="s">
        <v>226</v>
      </c>
      <c r="B168">
        <v>3</v>
      </c>
      <c r="C168">
        <v>77.803625776507474</v>
      </c>
      <c r="E168" s="2" t="s">
        <v>313</v>
      </c>
      <c r="F168" s="2">
        <v>3</v>
      </c>
      <c r="G168">
        <v>27.5</v>
      </c>
      <c r="I168" t="s">
        <v>252</v>
      </c>
      <c r="J168">
        <v>3</v>
      </c>
      <c r="K168">
        <v>42.5</v>
      </c>
      <c r="M168" t="s">
        <v>217</v>
      </c>
      <c r="N168">
        <v>3</v>
      </c>
      <c r="O168">
        <v>47.531851171330445</v>
      </c>
      <c r="Q168" t="s">
        <v>321</v>
      </c>
      <c r="R168">
        <v>3</v>
      </c>
      <c r="S168">
        <v>25</v>
      </c>
      <c r="V168" t="s">
        <v>242</v>
      </c>
      <c r="W168">
        <v>4</v>
      </c>
      <c r="X168">
        <v>43.950611882402612</v>
      </c>
    </row>
    <row r="169" spans="1:24" x14ac:dyDescent="0.25">
      <c r="A169" t="s">
        <v>294</v>
      </c>
      <c r="B169">
        <v>3</v>
      </c>
      <c r="C169">
        <v>77.803625776507474</v>
      </c>
      <c r="E169" t="s">
        <v>196</v>
      </c>
      <c r="F169">
        <v>3</v>
      </c>
      <c r="G169">
        <v>27.5</v>
      </c>
      <c r="I169" t="s">
        <v>55</v>
      </c>
      <c r="J169">
        <v>3</v>
      </c>
      <c r="K169">
        <v>41.25</v>
      </c>
      <c r="M169" t="s">
        <v>244</v>
      </c>
      <c r="N169">
        <v>3</v>
      </c>
      <c r="O169">
        <v>47.249599527862017</v>
      </c>
      <c r="Q169" t="s">
        <v>322</v>
      </c>
      <c r="R169">
        <v>3</v>
      </c>
      <c r="S169">
        <v>25</v>
      </c>
      <c r="V169" t="s">
        <v>131</v>
      </c>
      <c r="W169">
        <v>2</v>
      </c>
      <c r="X169">
        <v>43.94037649600503</v>
      </c>
    </row>
    <row r="170" spans="1:24" x14ac:dyDescent="0.25">
      <c r="A170" t="s">
        <v>104</v>
      </c>
      <c r="B170">
        <v>3</v>
      </c>
      <c r="C170">
        <v>76.484920254871753</v>
      </c>
      <c r="E170" t="s">
        <v>197</v>
      </c>
      <c r="F170">
        <v>3</v>
      </c>
      <c r="G170">
        <v>27.5</v>
      </c>
      <c r="I170" t="s">
        <v>72</v>
      </c>
      <c r="J170">
        <v>3</v>
      </c>
      <c r="K170">
        <v>41.25</v>
      </c>
      <c r="M170" t="s">
        <v>119</v>
      </c>
      <c r="N170">
        <v>3</v>
      </c>
      <c r="O170">
        <v>47.207983603745994</v>
      </c>
      <c r="Q170" t="s">
        <v>254</v>
      </c>
      <c r="R170">
        <v>3</v>
      </c>
      <c r="S170">
        <v>25</v>
      </c>
      <c r="V170" t="s">
        <v>190</v>
      </c>
      <c r="W170">
        <v>3</v>
      </c>
      <c r="X170">
        <v>43.821173188944407</v>
      </c>
    </row>
    <row r="171" spans="1:24" x14ac:dyDescent="0.25">
      <c r="A171" t="s">
        <v>94</v>
      </c>
      <c r="B171">
        <v>3</v>
      </c>
      <c r="C171">
        <v>75.166214733236032</v>
      </c>
      <c r="E171" t="s">
        <v>90</v>
      </c>
      <c r="F171">
        <v>3</v>
      </c>
      <c r="G171">
        <v>26.25</v>
      </c>
      <c r="I171" t="s">
        <v>134</v>
      </c>
      <c r="J171">
        <v>3</v>
      </c>
      <c r="K171">
        <v>41.25</v>
      </c>
      <c r="M171" t="s">
        <v>188</v>
      </c>
      <c r="N171">
        <v>3</v>
      </c>
      <c r="O171">
        <v>47.095871031915522</v>
      </c>
      <c r="Q171" t="s">
        <v>272</v>
      </c>
      <c r="R171">
        <v>3</v>
      </c>
      <c r="S171">
        <v>25</v>
      </c>
      <c r="V171" t="s">
        <v>272</v>
      </c>
      <c r="W171">
        <v>3</v>
      </c>
      <c r="X171">
        <v>43.641060188769735</v>
      </c>
    </row>
    <row r="172" spans="1:24" x14ac:dyDescent="0.25">
      <c r="A172" t="s">
        <v>96</v>
      </c>
      <c r="B172">
        <v>3</v>
      </c>
      <c r="C172">
        <v>75.166214733236032</v>
      </c>
      <c r="E172" t="s">
        <v>177</v>
      </c>
      <c r="F172">
        <v>3</v>
      </c>
      <c r="G172">
        <v>26.25</v>
      </c>
      <c r="I172" t="s">
        <v>217</v>
      </c>
      <c r="J172">
        <v>3</v>
      </c>
      <c r="K172">
        <v>41.25</v>
      </c>
      <c r="M172" t="s">
        <v>149</v>
      </c>
      <c r="N172">
        <v>3</v>
      </c>
      <c r="O172">
        <v>46.62089764158609</v>
      </c>
      <c r="Q172" t="s">
        <v>273</v>
      </c>
      <c r="R172">
        <v>3</v>
      </c>
      <c r="S172">
        <v>25</v>
      </c>
      <c r="V172" t="s">
        <v>198</v>
      </c>
      <c r="W172">
        <v>4</v>
      </c>
      <c r="X172">
        <v>43.632986664100002</v>
      </c>
    </row>
    <row r="173" spans="1:24" x14ac:dyDescent="0.25">
      <c r="A173" t="s">
        <v>123</v>
      </c>
      <c r="B173">
        <v>3</v>
      </c>
      <c r="C173">
        <v>75.166214733236032</v>
      </c>
      <c r="E173" t="s">
        <v>204</v>
      </c>
      <c r="F173">
        <v>3</v>
      </c>
      <c r="G173">
        <v>25</v>
      </c>
      <c r="I173" t="s">
        <v>223</v>
      </c>
      <c r="J173">
        <v>3</v>
      </c>
      <c r="K173">
        <v>41.25</v>
      </c>
      <c r="M173" t="s">
        <v>157</v>
      </c>
      <c r="N173">
        <v>3</v>
      </c>
      <c r="O173">
        <v>46.134283328703937</v>
      </c>
      <c r="Q173" t="s">
        <v>324</v>
      </c>
      <c r="R173">
        <v>3</v>
      </c>
      <c r="S173">
        <v>25</v>
      </c>
      <c r="V173" t="s">
        <v>56</v>
      </c>
      <c r="W173">
        <v>2</v>
      </c>
      <c r="X173">
        <v>43.632828316835116</v>
      </c>
    </row>
    <row r="174" spans="1:24" x14ac:dyDescent="0.25">
      <c r="A174" t="s">
        <v>129</v>
      </c>
      <c r="B174">
        <v>3</v>
      </c>
      <c r="C174">
        <v>75.166214733236032</v>
      </c>
      <c r="E174" t="s">
        <v>72</v>
      </c>
      <c r="F174">
        <v>3</v>
      </c>
      <c r="G174">
        <v>22.5</v>
      </c>
      <c r="I174" t="s">
        <v>232</v>
      </c>
      <c r="J174">
        <v>3</v>
      </c>
      <c r="K174">
        <v>41.25</v>
      </c>
      <c r="M174" t="s">
        <v>192</v>
      </c>
      <c r="N174">
        <v>3</v>
      </c>
      <c r="O174">
        <v>46.133472056000663</v>
      </c>
      <c r="Q174" t="s">
        <v>287</v>
      </c>
      <c r="R174">
        <v>3</v>
      </c>
      <c r="S174">
        <v>25</v>
      </c>
      <c r="V174" t="s">
        <v>314</v>
      </c>
      <c r="W174">
        <v>2</v>
      </c>
      <c r="X174">
        <v>43.620944676791986</v>
      </c>
    </row>
    <row r="175" spans="1:24" x14ac:dyDescent="0.25">
      <c r="A175" t="s">
        <v>190</v>
      </c>
      <c r="B175">
        <v>3</v>
      </c>
      <c r="C175">
        <v>75.166214733236032</v>
      </c>
      <c r="E175" t="s">
        <v>119</v>
      </c>
      <c r="F175">
        <v>3</v>
      </c>
      <c r="G175">
        <v>22.5</v>
      </c>
      <c r="I175" t="s">
        <v>251</v>
      </c>
      <c r="J175">
        <v>3</v>
      </c>
      <c r="K175">
        <v>41.25</v>
      </c>
      <c r="M175" t="s">
        <v>262</v>
      </c>
      <c r="N175">
        <v>3</v>
      </c>
      <c r="O175">
        <v>46.106007760312536</v>
      </c>
      <c r="Q175" t="s">
        <v>294</v>
      </c>
      <c r="R175">
        <v>3</v>
      </c>
      <c r="S175">
        <v>25</v>
      </c>
      <c r="V175" t="s">
        <v>87</v>
      </c>
      <c r="W175">
        <v>3</v>
      </c>
      <c r="X175">
        <v>43.592438260802197</v>
      </c>
    </row>
    <row r="176" spans="1:24" x14ac:dyDescent="0.25">
      <c r="A176" t="s">
        <v>196</v>
      </c>
      <c r="B176">
        <v>3</v>
      </c>
      <c r="C176">
        <v>75.166214733236032</v>
      </c>
      <c r="E176" t="s">
        <v>126</v>
      </c>
      <c r="F176">
        <v>3</v>
      </c>
      <c r="G176">
        <v>22.5</v>
      </c>
      <c r="I176" t="s">
        <v>273</v>
      </c>
      <c r="J176">
        <v>3</v>
      </c>
      <c r="K176">
        <v>41.25</v>
      </c>
      <c r="M176" t="s">
        <v>269</v>
      </c>
      <c r="N176">
        <v>3</v>
      </c>
      <c r="O176">
        <v>46.101280231106642</v>
      </c>
      <c r="Q176" t="s">
        <v>61</v>
      </c>
      <c r="R176">
        <v>3</v>
      </c>
      <c r="S176">
        <v>12.5</v>
      </c>
      <c r="V176" t="s">
        <v>167</v>
      </c>
      <c r="W176">
        <v>4</v>
      </c>
      <c r="X176">
        <v>43.585518619663105</v>
      </c>
    </row>
    <row r="177" spans="1:24" x14ac:dyDescent="0.25">
      <c r="A177" t="s">
        <v>249</v>
      </c>
      <c r="B177">
        <v>3</v>
      </c>
      <c r="C177">
        <v>75.166214733236032</v>
      </c>
      <c r="E177" t="s">
        <v>143</v>
      </c>
      <c r="F177">
        <v>3</v>
      </c>
      <c r="G177">
        <v>22.5</v>
      </c>
      <c r="I177" t="s">
        <v>123</v>
      </c>
      <c r="J177">
        <v>3</v>
      </c>
      <c r="K177">
        <v>35</v>
      </c>
      <c r="M177" t="s">
        <v>130</v>
      </c>
      <c r="N177">
        <v>3</v>
      </c>
      <c r="O177">
        <v>45.758390015956806</v>
      </c>
      <c r="Q177" t="s">
        <v>72</v>
      </c>
      <c r="R177">
        <v>3</v>
      </c>
      <c r="S177">
        <v>12.5</v>
      </c>
      <c r="V177" t="s">
        <v>202</v>
      </c>
      <c r="W177">
        <v>4</v>
      </c>
      <c r="X177">
        <v>43.584946946076585</v>
      </c>
    </row>
    <row r="178" spans="1:24" x14ac:dyDescent="0.25">
      <c r="A178" t="s">
        <v>268</v>
      </c>
      <c r="B178">
        <v>3</v>
      </c>
      <c r="C178">
        <v>75.166214733236032</v>
      </c>
      <c r="E178" t="s">
        <v>190</v>
      </c>
      <c r="F178">
        <v>3</v>
      </c>
      <c r="G178">
        <v>22.5</v>
      </c>
      <c r="I178" t="s">
        <v>148</v>
      </c>
      <c r="J178">
        <v>3</v>
      </c>
      <c r="K178">
        <v>35</v>
      </c>
      <c r="M178" s="2" t="s">
        <v>313</v>
      </c>
      <c r="N178" s="2">
        <v>3</v>
      </c>
      <c r="O178">
        <v>45.727670004520242</v>
      </c>
      <c r="Q178" t="s">
        <v>77</v>
      </c>
      <c r="R178">
        <v>3</v>
      </c>
      <c r="S178">
        <v>12.5</v>
      </c>
      <c r="V178" t="s">
        <v>319</v>
      </c>
      <c r="W178">
        <v>4</v>
      </c>
      <c r="X178">
        <v>43.584407975110551</v>
      </c>
    </row>
    <row r="179" spans="1:24" x14ac:dyDescent="0.25">
      <c r="A179" t="s">
        <v>110</v>
      </c>
      <c r="B179">
        <v>3</v>
      </c>
      <c r="C179">
        <v>73.847509211600311</v>
      </c>
      <c r="E179" t="s">
        <v>223</v>
      </c>
      <c r="F179">
        <v>3</v>
      </c>
      <c r="G179">
        <v>22.5</v>
      </c>
      <c r="I179" t="s">
        <v>244</v>
      </c>
      <c r="J179">
        <v>3</v>
      </c>
      <c r="K179">
        <v>35</v>
      </c>
      <c r="M179" t="s">
        <v>318</v>
      </c>
      <c r="N179">
        <v>3</v>
      </c>
      <c r="O179">
        <v>45.492235477984011</v>
      </c>
      <c r="Q179" t="s">
        <v>81</v>
      </c>
      <c r="R179">
        <v>3</v>
      </c>
      <c r="S179">
        <v>12.5</v>
      </c>
      <c r="V179" t="s">
        <v>212</v>
      </c>
      <c r="W179">
        <v>4</v>
      </c>
      <c r="X179">
        <v>43.534256709101825</v>
      </c>
    </row>
    <row r="180" spans="1:24" x14ac:dyDescent="0.25">
      <c r="A180" t="s">
        <v>130</v>
      </c>
      <c r="B180">
        <v>3</v>
      </c>
      <c r="C180">
        <v>73.847509211600311</v>
      </c>
      <c r="E180" t="s">
        <v>252</v>
      </c>
      <c r="F180">
        <v>3</v>
      </c>
      <c r="G180">
        <v>22.5</v>
      </c>
      <c r="I180" t="s">
        <v>82</v>
      </c>
      <c r="J180">
        <v>3</v>
      </c>
      <c r="K180">
        <v>33.75</v>
      </c>
      <c r="M180" t="s">
        <v>190</v>
      </c>
      <c r="N180">
        <v>3</v>
      </c>
      <c r="O180">
        <v>45.407325605742997</v>
      </c>
      <c r="Q180" t="s">
        <v>108</v>
      </c>
      <c r="R180">
        <v>3</v>
      </c>
      <c r="S180">
        <v>12.5</v>
      </c>
      <c r="V180" t="s">
        <v>218</v>
      </c>
      <c r="W180">
        <v>4</v>
      </c>
      <c r="X180">
        <v>43.44437567428767</v>
      </c>
    </row>
    <row r="181" spans="1:24" x14ac:dyDescent="0.25">
      <c r="A181" t="s">
        <v>177</v>
      </c>
      <c r="B181">
        <v>3</v>
      </c>
      <c r="C181">
        <v>72.52880368996459</v>
      </c>
      <c r="E181" t="s">
        <v>311</v>
      </c>
      <c r="F181">
        <v>3</v>
      </c>
      <c r="G181">
        <v>21.25</v>
      </c>
      <c r="I181" t="s">
        <v>100</v>
      </c>
      <c r="J181">
        <v>3</v>
      </c>
      <c r="K181">
        <v>33.75</v>
      </c>
      <c r="M181" t="s">
        <v>120</v>
      </c>
      <c r="N181">
        <v>3</v>
      </c>
      <c r="O181">
        <v>45.34378692613253</v>
      </c>
      <c r="Q181" t="s">
        <v>109</v>
      </c>
      <c r="R181">
        <v>3</v>
      </c>
      <c r="S181">
        <v>12.5</v>
      </c>
      <c r="V181" t="s">
        <v>106</v>
      </c>
      <c r="W181">
        <v>2</v>
      </c>
      <c r="X181">
        <v>43.408551551584665</v>
      </c>
    </row>
    <row r="182" spans="1:24" x14ac:dyDescent="0.25">
      <c r="A182" t="s">
        <v>252</v>
      </c>
      <c r="B182">
        <v>3</v>
      </c>
      <c r="C182">
        <v>72.52880368996459</v>
      </c>
      <c r="E182" t="s">
        <v>135</v>
      </c>
      <c r="F182">
        <v>3</v>
      </c>
      <c r="G182">
        <v>21.25</v>
      </c>
      <c r="I182" t="s">
        <v>109</v>
      </c>
      <c r="J182">
        <v>3</v>
      </c>
      <c r="K182">
        <v>33.75</v>
      </c>
      <c r="M182" t="s">
        <v>236</v>
      </c>
      <c r="N182">
        <v>3</v>
      </c>
      <c r="O182">
        <v>45.298439536219426</v>
      </c>
      <c r="Q182" t="s">
        <v>123</v>
      </c>
      <c r="R182">
        <v>3</v>
      </c>
      <c r="S182">
        <v>12.5</v>
      </c>
      <c r="V182" t="s">
        <v>109</v>
      </c>
      <c r="W182">
        <v>3</v>
      </c>
      <c r="X182">
        <v>43.394478314495323</v>
      </c>
    </row>
    <row r="183" spans="1:24" x14ac:dyDescent="0.25">
      <c r="A183" t="s">
        <v>53</v>
      </c>
      <c r="B183">
        <v>3</v>
      </c>
      <c r="C183">
        <v>71.210098168328869</v>
      </c>
      <c r="E183" t="s">
        <v>148</v>
      </c>
      <c r="F183">
        <v>3</v>
      </c>
      <c r="G183">
        <v>21.25</v>
      </c>
      <c r="I183" t="s">
        <v>126</v>
      </c>
      <c r="J183">
        <v>3</v>
      </c>
      <c r="K183">
        <v>33.75</v>
      </c>
      <c r="M183" t="s">
        <v>144</v>
      </c>
      <c r="N183">
        <v>3</v>
      </c>
      <c r="O183">
        <v>45.161041180955905</v>
      </c>
      <c r="Q183" t="s">
        <v>129</v>
      </c>
      <c r="R183">
        <v>3</v>
      </c>
      <c r="S183">
        <v>12.5</v>
      </c>
      <c r="V183" t="s">
        <v>175</v>
      </c>
      <c r="W183">
        <v>3</v>
      </c>
      <c r="X183">
        <v>43.380001602278284</v>
      </c>
    </row>
    <row r="184" spans="1:24" x14ac:dyDescent="0.25">
      <c r="A184" t="s">
        <v>163</v>
      </c>
      <c r="B184">
        <v>3</v>
      </c>
      <c r="C184">
        <v>71.210098168328869</v>
      </c>
      <c r="E184" t="s">
        <v>321</v>
      </c>
      <c r="F184">
        <v>3</v>
      </c>
      <c r="G184">
        <v>21.25</v>
      </c>
      <c r="I184" t="s">
        <v>175</v>
      </c>
      <c r="J184">
        <v>3</v>
      </c>
      <c r="K184">
        <v>33.75</v>
      </c>
      <c r="M184" t="s">
        <v>196</v>
      </c>
      <c r="N184">
        <v>3</v>
      </c>
      <c r="O184">
        <v>44.79334778811694</v>
      </c>
      <c r="Q184" t="s">
        <v>133</v>
      </c>
      <c r="R184">
        <v>3</v>
      </c>
      <c r="S184">
        <v>12.5</v>
      </c>
      <c r="V184" t="s">
        <v>188</v>
      </c>
      <c r="W184">
        <v>3</v>
      </c>
      <c r="X184">
        <v>43.331698107487689</v>
      </c>
    </row>
    <row r="185" spans="1:24" x14ac:dyDescent="0.25">
      <c r="A185" t="s">
        <v>251</v>
      </c>
      <c r="B185">
        <v>3</v>
      </c>
      <c r="C185">
        <v>71.210098168328869</v>
      </c>
      <c r="E185" t="s">
        <v>249</v>
      </c>
      <c r="F185">
        <v>3</v>
      </c>
      <c r="G185">
        <v>21.25</v>
      </c>
      <c r="I185" t="s">
        <v>183</v>
      </c>
      <c r="J185">
        <v>3</v>
      </c>
      <c r="K185">
        <v>33.75</v>
      </c>
      <c r="M185" t="s">
        <v>104</v>
      </c>
      <c r="N185">
        <v>3</v>
      </c>
      <c r="O185">
        <v>44.581595408191134</v>
      </c>
      <c r="Q185" t="s">
        <v>143</v>
      </c>
      <c r="R185">
        <v>3</v>
      </c>
      <c r="S185">
        <v>12.5</v>
      </c>
      <c r="V185" t="s">
        <v>235</v>
      </c>
      <c r="W185">
        <v>4</v>
      </c>
      <c r="X185">
        <v>43.31947247421644</v>
      </c>
    </row>
    <row r="186" spans="1:24" x14ac:dyDescent="0.25">
      <c r="A186" t="s">
        <v>72</v>
      </c>
      <c r="B186">
        <v>3</v>
      </c>
      <c r="C186">
        <v>69.891392646693149</v>
      </c>
      <c r="E186" t="s">
        <v>130</v>
      </c>
      <c r="F186">
        <v>3</v>
      </c>
      <c r="G186">
        <v>18.75</v>
      </c>
      <c r="I186" t="s">
        <v>191</v>
      </c>
      <c r="J186">
        <v>3</v>
      </c>
      <c r="K186">
        <v>33.75</v>
      </c>
      <c r="M186" t="s">
        <v>252</v>
      </c>
      <c r="N186">
        <v>3</v>
      </c>
      <c r="O186">
        <v>44.560885683889083</v>
      </c>
      <c r="Q186" t="s">
        <v>156</v>
      </c>
      <c r="R186">
        <v>3</v>
      </c>
      <c r="S186">
        <v>12.5</v>
      </c>
      <c r="V186" t="s">
        <v>125</v>
      </c>
      <c r="W186">
        <v>2</v>
      </c>
      <c r="X186">
        <v>43.244336626346318</v>
      </c>
    </row>
    <row r="187" spans="1:24" x14ac:dyDescent="0.25">
      <c r="A187" t="s">
        <v>134</v>
      </c>
      <c r="B187">
        <v>3</v>
      </c>
      <c r="C187">
        <v>69.891392646693149</v>
      </c>
      <c r="E187" t="s">
        <v>134</v>
      </c>
      <c r="F187">
        <v>3</v>
      </c>
      <c r="G187">
        <v>18.75</v>
      </c>
      <c r="I187" t="s">
        <v>211</v>
      </c>
      <c r="J187">
        <v>3</v>
      </c>
      <c r="K187">
        <v>33.75</v>
      </c>
      <c r="M187" t="s">
        <v>175</v>
      </c>
      <c r="N187">
        <v>3</v>
      </c>
      <c r="O187">
        <v>44.548191117441966</v>
      </c>
      <c r="Q187" t="s">
        <v>163</v>
      </c>
      <c r="R187">
        <v>3</v>
      </c>
      <c r="S187">
        <v>12.5</v>
      </c>
      <c r="V187" t="s">
        <v>256</v>
      </c>
      <c r="W187">
        <v>4</v>
      </c>
      <c r="X187">
        <v>43.166493024726947</v>
      </c>
    </row>
    <row r="188" spans="1:24" x14ac:dyDescent="0.25">
      <c r="A188" t="s">
        <v>273</v>
      </c>
      <c r="B188">
        <v>3</v>
      </c>
      <c r="C188">
        <v>69.891392646693149</v>
      </c>
      <c r="E188" t="s">
        <v>100</v>
      </c>
      <c r="F188">
        <v>3</v>
      </c>
      <c r="G188">
        <v>16.25</v>
      </c>
      <c r="I188" t="s">
        <v>287</v>
      </c>
      <c r="J188">
        <v>3</v>
      </c>
      <c r="K188">
        <v>33.75</v>
      </c>
      <c r="M188" t="s">
        <v>123</v>
      </c>
      <c r="N188">
        <v>3</v>
      </c>
      <c r="O188">
        <v>44.409057600771249</v>
      </c>
      <c r="Q188" t="s">
        <v>165</v>
      </c>
      <c r="R188">
        <v>3</v>
      </c>
      <c r="S188">
        <v>12.5</v>
      </c>
      <c r="V188" t="s">
        <v>222</v>
      </c>
      <c r="W188">
        <v>4</v>
      </c>
      <c r="X188">
        <v>43.162022099425187</v>
      </c>
    </row>
    <row r="189" spans="1:24" x14ac:dyDescent="0.25">
      <c r="A189" t="s">
        <v>139</v>
      </c>
      <c r="B189">
        <v>3</v>
      </c>
      <c r="C189">
        <v>68.572687125057442</v>
      </c>
      <c r="E189" t="s">
        <v>123</v>
      </c>
      <c r="F189">
        <v>3</v>
      </c>
      <c r="G189">
        <v>16.25</v>
      </c>
      <c r="I189" t="s">
        <v>120</v>
      </c>
      <c r="J189">
        <v>3</v>
      </c>
      <c r="K189">
        <v>32.5</v>
      </c>
      <c r="M189" t="s">
        <v>214</v>
      </c>
      <c r="N189">
        <v>3</v>
      </c>
      <c r="O189">
        <v>44.250932823875651</v>
      </c>
      <c r="Q189" t="s">
        <v>181</v>
      </c>
      <c r="R189">
        <v>3</v>
      </c>
      <c r="S189">
        <v>12.5</v>
      </c>
      <c r="V189" t="s">
        <v>286</v>
      </c>
      <c r="W189">
        <v>4</v>
      </c>
      <c r="X189">
        <v>43.045850628574648</v>
      </c>
    </row>
    <row r="190" spans="1:24" x14ac:dyDescent="0.25">
      <c r="A190" t="s">
        <v>166</v>
      </c>
      <c r="B190">
        <v>3</v>
      </c>
      <c r="C190">
        <v>67.253981603421721</v>
      </c>
      <c r="E190" t="s">
        <v>144</v>
      </c>
      <c r="F190">
        <v>3</v>
      </c>
      <c r="G190">
        <v>16.25</v>
      </c>
      <c r="I190" t="s">
        <v>90</v>
      </c>
      <c r="J190">
        <v>3</v>
      </c>
      <c r="K190">
        <v>26.25</v>
      </c>
      <c r="M190" t="s">
        <v>268</v>
      </c>
      <c r="N190">
        <v>3</v>
      </c>
      <c r="O190">
        <v>44.180285352208955</v>
      </c>
      <c r="Q190" t="s">
        <v>196</v>
      </c>
      <c r="R190">
        <v>3</v>
      </c>
      <c r="S190">
        <v>12.5</v>
      </c>
      <c r="V190" t="s">
        <v>187</v>
      </c>
      <c r="W190">
        <v>4</v>
      </c>
      <c r="X190">
        <v>43.006202674438782</v>
      </c>
    </row>
    <row r="191" spans="1:24" x14ac:dyDescent="0.25">
      <c r="A191" t="s">
        <v>217</v>
      </c>
      <c r="B191">
        <v>3</v>
      </c>
      <c r="C191">
        <v>67.253981603421721</v>
      </c>
      <c r="E191" t="s">
        <v>149</v>
      </c>
      <c r="F191">
        <v>3</v>
      </c>
      <c r="G191">
        <v>16.25</v>
      </c>
      <c r="I191" t="s">
        <v>99</v>
      </c>
      <c r="J191">
        <v>3</v>
      </c>
      <c r="K191">
        <v>26.25</v>
      </c>
      <c r="M191" t="s">
        <v>99</v>
      </c>
      <c r="N191">
        <v>3</v>
      </c>
      <c r="O191">
        <v>43.961863335947328</v>
      </c>
      <c r="Q191" t="s">
        <v>204</v>
      </c>
      <c r="R191">
        <v>3</v>
      </c>
      <c r="S191">
        <v>12.5</v>
      </c>
      <c r="V191" t="s">
        <v>82</v>
      </c>
      <c r="W191">
        <v>3</v>
      </c>
      <c r="X191">
        <v>42.829776445640093</v>
      </c>
    </row>
    <row r="192" spans="1:24" x14ac:dyDescent="0.25">
      <c r="A192" t="s">
        <v>232</v>
      </c>
      <c r="B192">
        <v>3</v>
      </c>
      <c r="C192">
        <v>67.253981603421721</v>
      </c>
      <c r="E192" t="s">
        <v>181</v>
      </c>
      <c r="F192">
        <v>3</v>
      </c>
      <c r="G192">
        <v>16.25</v>
      </c>
      <c r="I192" t="s">
        <v>119</v>
      </c>
      <c r="J192">
        <v>3</v>
      </c>
      <c r="K192">
        <v>26.25</v>
      </c>
      <c r="M192" t="s">
        <v>273</v>
      </c>
      <c r="N192">
        <v>3</v>
      </c>
      <c r="O192">
        <v>43.910960212206099</v>
      </c>
      <c r="Q192" t="s">
        <v>230</v>
      </c>
      <c r="R192">
        <v>3</v>
      </c>
      <c r="S192">
        <v>12.5</v>
      </c>
      <c r="V192" t="s">
        <v>320</v>
      </c>
      <c r="W192">
        <v>4</v>
      </c>
      <c r="X192">
        <v>42.804692152626387</v>
      </c>
    </row>
    <row r="193" spans="1:24" x14ac:dyDescent="0.25">
      <c r="A193" t="s">
        <v>267</v>
      </c>
      <c r="B193">
        <v>3</v>
      </c>
      <c r="C193">
        <v>67.253981603421721</v>
      </c>
      <c r="E193" t="s">
        <v>191</v>
      </c>
      <c r="F193">
        <v>3</v>
      </c>
      <c r="G193">
        <v>16.25</v>
      </c>
      <c r="I193" t="s">
        <v>166</v>
      </c>
      <c r="J193">
        <v>3</v>
      </c>
      <c r="K193">
        <v>26.25</v>
      </c>
      <c r="M193" t="s">
        <v>172</v>
      </c>
      <c r="N193">
        <v>3</v>
      </c>
      <c r="O193">
        <v>43.598194730663444</v>
      </c>
      <c r="Q193" t="s">
        <v>233</v>
      </c>
      <c r="R193">
        <v>3</v>
      </c>
      <c r="S193">
        <v>12.5</v>
      </c>
      <c r="V193" t="s">
        <v>203</v>
      </c>
      <c r="W193">
        <v>4</v>
      </c>
      <c r="X193">
        <v>42.759125672760952</v>
      </c>
    </row>
    <row r="194" spans="1:24" x14ac:dyDescent="0.25">
      <c r="A194" t="s">
        <v>108</v>
      </c>
      <c r="B194">
        <v>3</v>
      </c>
      <c r="C194">
        <v>63.297865038514558</v>
      </c>
      <c r="E194" t="s">
        <v>206</v>
      </c>
      <c r="F194">
        <v>3</v>
      </c>
      <c r="G194">
        <v>16.25</v>
      </c>
      <c r="I194" t="s">
        <v>181</v>
      </c>
      <c r="J194">
        <v>3</v>
      </c>
      <c r="K194">
        <v>26.25</v>
      </c>
      <c r="M194" t="s">
        <v>267</v>
      </c>
      <c r="N194">
        <v>3</v>
      </c>
      <c r="O194">
        <v>43.415818489187615</v>
      </c>
      <c r="Q194" t="s">
        <v>234</v>
      </c>
      <c r="R194">
        <v>3</v>
      </c>
      <c r="S194">
        <v>12.5</v>
      </c>
      <c r="V194" t="s">
        <v>40</v>
      </c>
      <c r="W194">
        <v>1</v>
      </c>
      <c r="X194">
        <v>42.639183410641586</v>
      </c>
    </row>
    <row r="195" spans="1:24" x14ac:dyDescent="0.25">
      <c r="A195" t="s">
        <v>262</v>
      </c>
      <c r="B195">
        <v>3</v>
      </c>
      <c r="C195">
        <v>63.297865038514558</v>
      </c>
      <c r="E195" t="s">
        <v>226</v>
      </c>
      <c r="F195">
        <v>3</v>
      </c>
      <c r="G195">
        <v>16.25</v>
      </c>
      <c r="I195" t="s">
        <v>321</v>
      </c>
      <c r="J195">
        <v>3</v>
      </c>
      <c r="K195">
        <v>26.25</v>
      </c>
      <c r="M195" t="s">
        <v>166</v>
      </c>
      <c r="N195">
        <v>3</v>
      </c>
      <c r="O195">
        <v>43.334910529477455</v>
      </c>
      <c r="Q195" t="s">
        <v>244</v>
      </c>
      <c r="R195">
        <v>3</v>
      </c>
      <c r="S195">
        <v>12.5</v>
      </c>
      <c r="V195" t="s">
        <v>268</v>
      </c>
      <c r="W195">
        <v>3</v>
      </c>
      <c r="X195">
        <v>42.580357087530786</v>
      </c>
    </row>
    <row r="196" spans="1:24" x14ac:dyDescent="0.25">
      <c r="A196" t="s">
        <v>157</v>
      </c>
      <c r="B196">
        <v>3</v>
      </c>
      <c r="C196">
        <v>61.979159516878838</v>
      </c>
      <c r="E196" t="s">
        <v>262</v>
      </c>
      <c r="F196">
        <v>3</v>
      </c>
      <c r="G196">
        <v>16.25</v>
      </c>
      <c r="I196" t="s">
        <v>249</v>
      </c>
      <c r="J196">
        <v>3</v>
      </c>
      <c r="K196">
        <v>26.25</v>
      </c>
      <c r="M196" t="s">
        <v>94</v>
      </c>
      <c r="N196">
        <v>3</v>
      </c>
      <c r="O196">
        <v>43.025407178785933</v>
      </c>
      <c r="Q196" t="s">
        <v>252</v>
      </c>
      <c r="R196">
        <v>3</v>
      </c>
      <c r="S196">
        <v>12.5</v>
      </c>
      <c r="V196" t="s">
        <v>225</v>
      </c>
      <c r="W196">
        <v>4</v>
      </c>
      <c r="X196">
        <v>42.525408454287707</v>
      </c>
    </row>
    <row r="197" spans="1:24" x14ac:dyDescent="0.25">
      <c r="A197" t="s">
        <v>165</v>
      </c>
      <c r="B197">
        <v>3</v>
      </c>
      <c r="C197">
        <v>61.979159516878838</v>
      </c>
      <c r="E197" t="s">
        <v>273</v>
      </c>
      <c r="F197">
        <v>3</v>
      </c>
      <c r="G197">
        <v>16.25</v>
      </c>
      <c r="I197" t="s">
        <v>282</v>
      </c>
      <c r="J197">
        <v>3</v>
      </c>
      <c r="K197">
        <v>26.25</v>
      </c>
      <c r="M197" t="s">
        <v>287</v>
      </c>
      <c r="N197">
        <v>3</v>
      </c>
      <c r="O197">
        <v>42.728961162268789</v>
      </c>
      <c r="Q197" t="s">
        <v>259</v>
      </c>
      <c r="R197">
        <v>3</v>
      </c>
      <c r="S197">
        <v>12.5</v>
      </c>
      <c r="V197" t="s">
        <v>51</v>
      </c>
      <c r="W197">
        <v>1</v>
      </c>
      <c r="X197">
        <v>42.443069517265585</v>
      </c>
    </row>
    <row r="198" spans="1:24" x14ac:dyDescent="0.25">
      <c r="A198" t="s">
        <v>170</v>
      </c>
      <c r="B198">
        <v>3</v>
      </c>
      <c r="C198">
        <v>61.979159516878838</v>
      </c>
      <c r="E198" t="s">
        <v>287</v>
      </c>
      <c r="F198">
        <v>3</v>
      </c>
      <c r="G198">
        <v>16.25</v>
      </c>
      <c r="I198" t="s">
        <v>316</v>
      </c>
      <c r="J198">
        <v>3</v>
      </c>
      <c r="K198">
        <v>25</v>
      </c>
      <c r="M198" t="s">
        <v>185</v>
      </c>
      <c r="N198">
        <v>3</v>
      </c>
      <c r="O198">
        <v>42.410107018560375</v>
      </c>
      <c r="Q198" t="s">
        <v>267</v>
      </c>
      <c r="R198">
        <v>3</v>
      </c>
      <c r="S198">
        <v>12.5</v>
      </c>
      <c r="V198" t="s">
        <v>34</v>
      </c>
      <c r="W198">
        <v>2</v>
      </c>
      <c r="X198">
        <v>42.358516674720498</v>
      </c>
    </row>
    <row r="199" spans="1:24" x14ac:dyDescent="0.25">
      <c r="A199" t="s">
        <v>272</v>
      </c>
      <c r="B199">
        <v>3</v>
      </c>
      <c r="C199">
        <v>61.979159516878838</v>
      </c>
      <c r="E199" t="s">
        <v>310</v>
      </c>
      <c r="F199">
        <v>3</v>
      </c>
      <c r="G199">
        <v>15</v>
      </c>
      <c r="I199" t="s">
        <v>294</v>
      </c>
      <c r="J199">
        <v>3</v>
      </c>
      <c r="K199">
        <v>25</v>
      </c>
      <c r="M199" t="s">
        <v>322</v>
      </c>
      <c r="N199">
        <v>3</v>
      </c>
      <c r="O199">
        <v>42.349102329475443</v>
      </c>
      <c r="Q199" t="s">
        <v>274</v>
      </c>
      <c r="R199">
        <v>3</v>
      </c>
      <c r="S199">
        <v>12.5</v>
      </c>
      <c r="V199" t="s">
        <v>290</v>
      </c>
      <c r="W199">
        <v>4</v>
      </c>
      <c r="X199">
        <v>42.312365456496451</v>
      </c>
    </row>
    <row r="200" spans="1:24" x14ac:dyDescent="0.25">
      <c r="A200" t="s">
        <v>168</v>
      </c>
      <c r="B200">
        <v>3</v>
      </c>
      <c r="C200">
        <v>59.341748473607396</v>
      </c>
      <c r="E200" t="s">
        <v>77</v>
      </c>
      <c r="F200">
        <v>3</v>
      </c>
      <c r="G200">
        <v>15</v>
      </c>
      <c r="I200" t="s">
        <v>87</v>
      </c>
      <c r="J200">
        <v>3</v>
      </c>
      <c r="K200">
        <v>17.5</v>
      </c>
      <c r="M200" t="s">
        <v>197</v>
      </c>
      <c r="N200">
        <v>3</v>
      </c>
      <c r="O200">
        <v>42.305207131759772</v>
      </c>
      <c r="Q200" t="s">
        <v>55</v>
      </c>
      <c r="R200">
        <v>3</v>
      </c>
      <c r="S200">
        <v>0</v>
      </c>
      <c r="V200" t="s">
        <v>245</v>
      </c>
      <c r="W200">
        <v>2</v>
      </c>
      <c r="X200">
        <v>42.286041497331667</v>
      </c>
    </row>
    <row r="201" spans="1:24" x14ac:dyDescent="0.25">
      <c r="A201" t="s">
        <v>188</v>
      </c>
      <c r="B201">
        <v>3</v>
      </c>
      <c r="C201">
        <v>59.341748473607396</v>
      </c>
      <c r="E201" t="s">
        <v>87</v>
      </c>
      <c r="F201">
        <v>3</v>
      </c>
      <c r="G201">
        <v>15</v>
      </c>
      <c r="I201" t="s">
        <v>96</v>
      </c>
      <c r="J201">
        <v>3</v>
      </c>
      <c r="K201">
        <v>17.5</v>
      </c>
      <c r="M201" t="s">
        <v>204</v>
      </c>
      <c r="N201">
        <v>3</v>
      </c>
      <c r="O201">
        <v>42.247194849325027</v>
      </c>
      <c r="Q201" t="s">
        <v>82</v>
      </c>
      <c r="R201">
        <v>3</v>
      </c>
      <c r="S201">
        <v>0</v>
      </c>
      <c r="V201" t="s">
        <v>262</v>
      </c>
      <c r="W201">
        <v>3</v>
      </c>
      <c r="X201">
        <v>42.226976111827923</v>
      </c>
    </row>
    <row r="202" spans="1:24" x14ac:dyDescent="0.25">
      <c r="A202" t="s">
        <v>152</v>
      </c>
      <c r="B202">
        <v>3</v>
      </c>
      <c r="C202">
        <v>58.023042951971675</v>
      </c>
      <c r="E202" t="s">
        <v>237</v>
      </c>
      <c r="F202">
        <v>3</v>
      </c>
      <c r="G202">
        <v>11.25</v>
      </c>
      <c r="I202" t="s">
        <v>132</v>
      </c>
      <c r="J202">
        <v>3</v>
      </c>
      <c r="K202">
        <v>17.5</v>
      </c>
      <c r="M202" t="s">
        <v>282</v>
      </c>
      <c r="N202">
        <v>3</v>
      </c>
      <c r="O202">
        <v>42.074121161669822</v>
      </c>
      <c r="Q202" t="s">
        <v>311</v>
      </c>
      <c r="R202">
        <v>3</v>
      </c>
      <c r="S202">
        <v>0</v>
      </c>
      <c r="V202" t="s">
        <v>226</v>
      </c>
      <c r="W202">
        <v>3</v>
      </c>
      <c r="X202">
        <v>42.148622682147476</v>
      </c>
    </row>
    <row r="203" spans="1:24" x14ac:dyDescent="0.25">
      <c r="A203" t="s">
        <v>259</v>
      </c>
      <c r="B203">
        <v>3</v>
      </c>
      <c r="C203">
        <v>58.023042951971675</v>
      </c>
      <c r="E203" t="s">
        <v>324</v>
      </c>
      <c r="F203">
        <v>3</v>
      </c>
      <c r="G203">
        <v>11.25</v>
      </c>
      <c r="I203" t="s">
        <v>133</v>
      </c>
      <c r="J203">
        <v>3</v>
      </c>
      <c r="K203">
        <v>17.5</v>
      </c>
      <c r="M203" t="s">
        <v>251</v>
      </c>
      <c r="N203">
        <v>3</v>
      </c>
      <c r="O203">
        <v>41.230386641423614</v>
      </c>
      <c r="Q203" t="s">
        <v>87</v>
      </c>
      <c r="R203">
        <v>3</v>
      </c>
      <c r="S203">
        <v>0</v>
      </c>
      <c r="V203" t="s">
        <v>219</v>
      </c>
      <c r="W203">
        <v>4</v>
      </c>
      <c r="X203">
        <v>42.130136952597425</v>
      </c>
    </row>
    <row r="204" spans="1:24" x14ac:dyDescent="0.25">
      <c r="A204" t="s">
        <v>55</v>
      </c>
      <c r="B204">
        <v>3</v>
      </c>
      <c r="C204">
        <v>55.385631908700233</v>
      </c>
      <c r="E204" t="s">
        <v>82</v>
      </c>
      <c r="F204">
        <v>3</v>
      </c>
      <c r="G204">
        <v>10</v>
      </c>
      <c r="I204" t="s">
        <v>234</v>
      </c>
      <c r="J204">
        <v>3</v>
      </c>
      <c r="K204">
        <v>17.5</v>
      </c>
      <c r="M204" t="s">
        <v>184</v>
      </c>
      <c r="N204">
        <v>3</v>
      </c>
      <c r="O204">
        <v>41.151330930480569</v>
      </c>
      <c r="Q204" t="s">
        <v>90</v>
      </c>
      <c r="R204">
        <v>3</v>
      </c>
      <c r="S204">
        <v>0</v>
      </c>
      <c r="V204" t="s">
        <v>251</v>
      </c>
      <c r="W204">
        <v>3</v>
      </c>
      <c r="X204">
        <v>42.109174290235224</v>
      </c>
    </row>
    <row r="205" spans="1:24" x14ac:dyDescent="0.25">
      <c r="A205" t="s">
        <v>310</v>
      </c>
      <c r="B205">
        <v>3</v>
      </c>
      <c r="C205">
        <v>55.385631908700233</v>
      </c>
      <c r="E205" t="s">
        <v>94</v>
      </c>
      <c r="F205">
        <v>3</v>
      </c>
      <c r="G205">
        <v>10</v>
      </c>
      <c r="I205" t="s">
        <v>268</v>
      </c>
      <c r="J205">
        <v>3</v>
      </c>
      <c r="K205">
        <v>17.5</v>
      </c>
      <c r="M205" t="s">
        <v>294</v>
      </c>
      <c r="N205">
        <v>3</v>
      </c>
      <c r="O205">
        <v>40.896292266635122</v>
      </c>
      <c r="Q205" t="s">
        <v>94</v>
      </c>
      <c r="R205">
        <v>3</v>
      </c>
      <c r="S205">
        <v>0</v>
      </c>
      <c r="V205" t="s">
        <v>119</v>
      </c>
      <c r="W205">
        <v>3</v>
      </c>
      <c r="X205">
        <v>42.082659701127042</v>
      </c>
    </row>
    <row r="206" spans="1:24" x14ac:dyDescent="0.25">
      <c r="A206" t="s">
        <v>154</v>
      </c>
      <c r="B206">
        <v>3</v>
      </c>
      <c r="C206">
        <v>54.06692638706452</v>
      </c>
      <c r="E206" t="s">
        <v>109</v>
      </c>
      <c r="F206">
        <v>3</v>
      </c>
      <c r="G206">
        <v>10</v>
      </c>
      <c r="I206" t="s">
        <v>77</v>
      </c>
      <c r="J206">
        <v>3</v>
      </c>
      <c r="K206">
        <v>8.75</v>
      </c>
      <c r="M206" t="s">
        <v>274</v>
      </c>
      <c r="N206">
        <v>3</v>
      </c>
      <c r="O206">
        <v>40.410042457811791</v>
      </c>
      <c r="Q206" t="s">
        <v>132</v>
      </c>
      <c r="R206">
        <v>3</v>
      </c>
      <c r="S206">
        <v>0</v>
      </c>
      <c r="V206" t="s">
        <v>310</v>
      </c>
      <c r="W206">
        <v>3</v>
      </c>
      <c r="X206">
        <v>41.89378291827316</v>
      </c>
    </row>
    <row r="207" spans="1:24" x14ac:dyDescent="0.25">
      <c r="A207" t="s">
        <v>172</v>
      </c>
      <c r="B207">
        <v>3</v>
      </c>
      <c r="C207">
        <v>54.06692638706452</v>
      </c>
      <c r="E207" t="s">
        <v>132</v>
      </c>
      <c r="F207">
        <v>3</v>
      </c>
      <c r="G207">
        <v>10</v>
      </c>
      <c r="I207" t="s">
        <v>94</v>
      </c>
      <c r="J207">
        <v>3</v>
      </c>
      <c r="K207">
        <v>8.75</v>
      </c>
      <c r="M207" t="s">
        <v>211</v>
      </c>
      <c r="N207">
        <v>3</v>
      </c>
      <c r="O207">
        <v>39.772746148188624</v>
      </c>
      <c r="Q207" t="s">
        <v>144</v>
      </c>
      <c r="R207">
        <v>3</v>
      </c>
      <c r="S207">
        <v>0</v>
      </c>
      <c r="V207" t="s">
        <v>211</v>
      </c>
      <c r="W207">
        <v>3</v>
      </c>
      <c r="X207">
        <v>41.774788031885521</v>
      </c>
    </row>
    <row r="208" spans="1:24" x14ac:dyDescent="0.25">
      <c r="A208" t="s">
        <v>287</v>
      </c>
      <c r="B208">
        <v>3</v>
      </c>
      <c r="C208">
        <v>50.110809822157357</v>
      </c>
      <c r="E208" t="s">
        <v>133</v>
      </c>
      <c r="F208">
        <v>3</v>
      </c>
      <c r="G208">
        <v>10</v>
      </c>
      <c r="I208" t="s">
        <v>130</v>
      </c>
      <c r="J208">
        <v>3</v>
      </c>
      <c r="K208">
        <v>8.75</v>
      </c>
      <c r="M208" t="s">
        <v>233</v>
      </c>
      <c r="N208">
        <v>3</v>
      </c>
      <c r="O208">
        <v>39.1051458983207</v>
      </c>
      <c r="Q208" t="s">
        <v>191</v>
      </c>
      <c r="R208">
        <v>3</v>
      </c>
      <c r="S208">
        <v>0</v>
      </c>
      <c r="V208" t="s">
        <v>39</v>
      </c>
      <c r="W208">
        <v>1</v>
      </c>
      <c r="X208">
        <v>41.736343148715243</v>
      </c>
    </row>
    <row r="209" spans="1:24" x14ac:dyDescent="0.25">
      <c r="A209" t="s">
        <v>237</v>
      </c>
      <c r="B209">
        <v>3</v>
      </c>
      <c r="C209">
        <v>44.835987735614474</v>
      </c>
      <c r="E209" t="s">
        <v>192</v>
      </c>
      <c r="F209">
        <v>3</v>
      </c>
      <c r="G209">
        <v>10</v>
      </c>
      <c r="I209" t="s">
        <v>142</v>
      </c>
      <c r="J209">
        <v>3</v>
      </c>
      <c r="K209">
        <v>8.75</v>
      </c>
      <c r="M209" t="s">
        <v>191</v>
      </c>
      <c r="N209">
        <v>3</v>
      </c>
      <c r="O209">
        <v>38.934962545650457</v>
      </c>
      <c r="Q209" t="s">
        <v>192</v>
      </c>
      <c r="R209">
        <v>3</v>
      </c>
      <c r="S209">
        <v>0</v>
      </c>
      <c r="V209" t="s">
        <v>138</v>
      </c>
      <c r="W209">
        <v>2</v>
      </c>
      <c r="X209">
        <v>41.73591388738528</v>
      </c>
    </row>
    <row r="210" spans="1:24" x14ac:dyDescent="0.25">
      <c r="A210" t="s">
        <v>133</v>
      </c>
      <c r="B210">
        <v>3</v>
      </c>
      <c r="C210">
        <v>31.648932519257279</v>
      </c>
      <c r="E210" t="s">
        <v>213</v>
      </c>
      <c r="F210">
        <v>3</v>
      </c>
      <c r="G210">
        <v>10</v>
      </c>
      <c r="I210" t="s">
        <v>144</v>
      </c>
      <c r="J210">
        <v>3</v>
      </c>
      <c r="K210">
        <v>8.75</v>
      </c>
      <c r="M210" t="s">
        <v>152</v>
      </c>
      <c r="N210">
        <v>3</v>
      </c>
      <c r="O210">
        <v>37.700908198830611</v>
      </c>
      <c r="Q210" t="s">
        <v>213</v>
      </c>
      <c r="R210">
        <v>3</v>
      </c>
      <c r="S210">
        <v>0</v>
      </c>
      <c r="V210" t="s">
        <v>266</v>
      </c>
      <c r="W210">
        <v>4</v>
      </c>
      <c r="X210">
        <v>41.729338668316117</v>
      </c>
    </row>
    <row r="211" spans="1:24" x14ac:dyDescent="0.25">
      <c r="A211" t="s">
        <v>100</v>
      </c>
      <c r="B211">
        <v>3</v>
      </c>
      <c r="C211">
        <v>27.692815954350117</v>
      </c>
      <c r="E211" t="s">
        <v>234</v>
      </c>
      <c r="F211">
        <v>3</v>
      </c>
      <c r="G211">
        <v>10</v>
      </c>
      <c r="I211" t="s">
        <v>192</v>
      </c>
      <c r="J211">
        <v>3</v>
      </c>
      <c r="K211">
        <v>8.75</v>
      </c>
      <c r="M211" t="s">
        <v>324</v>
      </c>
      <c r="N211">
        <v>3</v>
      </c>
      <c r="O211">
        <v>36.627928509721819</v>
      </c>
      <c r="Q211" t="s">
        <v>226</v>
      </c>
      <c r="R211">
        <v>3</v>
      </c>
      <c r="S211">
        <v>0</v>
      </c>
      <c r="V211" t="s">
        <v>248</v>
      </c>
      <c r="W211">
        <v>4</v>
      </c>
      <c r="X211">
        <v>41.681710586392136</v>
      </c>
    </row>
    <row r="212" spans="1:24" x14ac:dyDescent="0.25">
      <c r="A212" t="s">
        <v>318</v>
      </c>
      <c r="B212">
        <v>3</v>
      </c>
      <c r="C212">
        <v>21.099288346171519</v>
      </c>
      <c r="E212" t="s">
        <v>244</v>
      </c>
      <c r="F212">
        <v>3</v>
      </c>
      <c r="G212">
        <v>10</v>
      </c>
      <c r="I212" t="s">
        <v>237</v>
      </c>
      <c r="J212">
        <v>3</v>
      </c>
      <c r="K212">
        <v>8.75</v>
      </c>
      <c r="M212" t="s">
        <v>249</v>
      </c>
      <c r="N212">
        <v>3</v>
      </c>
      <c r="O212">
        <v>31.34839213957294</v>
      </c>
      <c r="Q212" t="s">
        <v>237</v>
      </c>
      <c r="R212">
        <v>3</v>
      </c>
      <c r="S212">
        <v>0</v>
      </c>
      <c r="V212" t="s">
        <v>47</v>
      </c>
      <c r="W212">
        <v>2</v>
      </c>
      <c r="X212">
        <v>41.615962337150364</v>
      </c>
    </row>
    <row r="213" spans="1:24" x14ac:dyDescent="0.25">
      <c r="A213" t="s">
        <v>223</v>
      </c>
      <c r="B213">
        <v>3</v>
      </c>
      <c r="C213">
        <v>14.505760737992919</v>
      </c>
      <c r="E213" t="s">
        <v>259</v>
      </c>
      <c r="F213">
        <v>3</v>
      </c>
      <c r="G213">
        <v>10</v>
      </c>
      <c r="I213" t="s">
        <v>259</v>
      </c>
      <c r="J213">
        <v>3</v>
      </c>
      <c r="K213">
        <v>8.75</v>
      </c>
      <c r="M213" t="s">
        <v>321</v>
      </c>
      <c r="N213">
        <v>3</v>
      </c>
      <c r="O213">
        <v>28.894965959327919</v>
      </c>
      <c r="Q213" t="s">
        <v>249</v>
      </c>
      <c r="R213">
        <v>3</v>
      </c>
      <c r="S213">
        <v>0</v>
      </c>
      <c r="V213" t="s">
        <v>284</v>
      </c>
      <c r="W213">
        <v>4</v>
      </c>
      <c r="X213">
        <v>41.584304661697558</v>
      </c>
    </row>
    <row r="214" spans="1:24" x14ac:dyDescent="0.25">
      <c r="A214" t="s">
        <v>289</v>
      </c>
      <c r="B214">
        <v>4</v>
      </c>
      <c r="C214">
        <v>105.4964417308576</v>
      </c>
      <c r="E214" s="1" t="s">
        <v>220</v>
      </c>
      <c r="F214" s="1">
        <v>4</v>
      </c>
      <c r="G214" t="e">
        <v>#N/A</v>
      </c>
      <c r="I214" s="1" t="s">
        <v>220</v>
      </c>
      <c r="J214" s="1">
        <v>4</v>
      </c>
      <c r="K214" t="e">
        <v>#N/A</v>
      </c>
      <c r="M214" t="s">
        <v>260</v>
      </c>
      <c r="N214">
        <v>4</v>
      </c>
      <c r="O214">
        <v>59.550474819829489</v>
      </c>
      <c r="Q214" s="1" t="s">
        <v>220</v>
      </c>
      <c r="R214" s="1">
        <v>4</v>
      </c>
      <c r="S214" t="e">
        <v>#N/A</v>
      </c>
      <c r="V214" t="s">
        <v>115</v>
      </c>
      <c r="W214">
        <v>2</v>
      </c>
      <c r="X214">
        <v>41.493811798959747</v>
      </c>
    </row>
    <row r="215" spans="1:24" x14ac:dyDescent="0.25">
      <c r="A215" t="s">
        <v>292</v>
      </c>
      <c r="B215">
        <v>4</v>
      </c>
      <c r="C215">
        <v>98.902914122678993</v>
      </c>
      <c r="E215" s="1" t="s">
        <v>224</v>
      </c>
      <c r="F215" s="1">
        <v>4</v>
      </c>
      <c r="G215" t="e">
        <v>#N/A</v>
      </c>
      <c r="I215" s="1" t="s">
        <v>224</v>
      </c>
      <c r="J215" s="1">
        <v>4</v>
      </c>
      <c r="K215" t="e">
        <v>#N/A</v>
      </c>
      <c r="M215" t="s">
        <v>208</v>
      </c>
      <c r="N215">
        <v>4</v>
      </c>
      <c r="O215">
        <v>58.63733618120942</v>
      </c>
      <c r="Q215" s="1" t="s">
        <v>224</v>
      </c>
      <c r="R215" s="1">
        <v>4</v>
      </c>
      <c r="S215" t="e">
        <v>#N/A</v>
      </c>
      <c r="V215" t="s">
        <v>157</v>
      </c>
      <c r="W215">
        <v>3</v>
      </c>
      <c r="X215">
        <v>41.474545234857345</v>
      </c>
    </row>
    <row r="216" spans="1:24" x14ac:dyDescent="0.25">
      <c r="A216" t="s">
        <v>297</v>
      </c>
      <c r="B216">
        <v>4</v>
      </c>
      <c r="C216">
        <v>98.902914122678993</v>
      </c>
      <c r="E216" t="s">
        <v>210</v>
      </c>
      <c r="F216">
        <v>4</v>
      </c>
      <c r="G216">
        <v>65</v>
      </c>
      <c r="I216" t="s">
        <v>169</v>
      </c>
      <c r="J216">
        <v>4</v>
      </c>
      <c r="K216">
        <v>100</v>
      </c>
      <c r="M216" t="s">
        <v>229</v>
      </c>
      <c r="N216">
        <v>4</v>
      </c>
      <c r="O216">
        <v>58.232251940433798</v>
      </c>
      <c r="Q216" t="s">
        <v>275</v>
      </c>
      <c r="R216">
        <v>4</v>
      </c>
      <c r="S216">
        <v>62.5</v>
      </c>
      <c r="V216" t="s">
        <v>265</v>
      </c>
      <c r="W216">
        <v>4</v>
      </c>
      <c r="X216">
        <v>41.444583683658799</v>
      </c>
    </row>
    <row r="217" spans="1:24" x14ac:dyDescent="0.25">
      <c r="A217" t="s">
        <v>227</v>
      </c>
      <c r="B217">
        <v>4</v>
      </c>
      <c r="C217">
        <v>96.265503079407551</v>
      </c>
      <c r="E217" t="s">
        <v>240</v>
      </c>
      <c r="F217">
        <v>4</v>
      </c>
      <c r="G217">
        <v>65</v>
      </c>
      <c r="I217" t="s">
        <v>208</v>
      </c>
      <c r="J217">
        <v>4</v>
      </c>
      <c r="K217">
        <v>100</v>
      </c>
      <c r="M217" t="s">
        <v>169</v>
      </c>
      <c r="N217">
        <v>4</v>
      </c>
      <c r="O217">
        <v>58.111599351320635</v>
      </c>
      <c r="Q217" t="s">
        <v>86</v>
      </c>
      <c r="R217">
        <v>4</v>
      </c>
      <c r="S217">
        <v>50</v>
      </c>
      <c r="V217" t="s">
        <v>65</v>
      </c>
      <c r="W217">
        <v>1</v>
      </c>
      <c r="X217">
        <v>41.393500429380978</v>
      </c>
    </row>
    <row r="218" spans="1:24" x14ac:dyDescent="0.25">
      <c r="A218" t="s">
        <v>253</v>
      </c>
      <c r="B218">
        <v>4</v>
      </c>
      <c r="C218">
        <v>96.265503079407551</v>
      </c>
      <c r="E218" t="s">
        <v>260</v>
      </c>
      <c r="F218">
        <v>4</v>
      </c>
      <c r="G218">
        <v>58.75</v>
      </c>
      <c r="I218" t="s">
        <v>210</v>
      </c>
      <c r="J218">
        <v>4</v>
      </c>
      <c r="K218">
        <v>91.25</v>
      </c>
      <c r="M218" t="s">
        <v>292</v>
      </c>
      <c r="N218">
        <v>4</v>
      </c>
      <c r="O218">
        <v>56.935954929949389</v>
      </c>
      <c r="Q218" t="s">
        <v>127</v>
      </c>
      <c r="R218">
        <v>4</v>
      </c>
      <c r="S218">
        <v>50</v>
      </c>
      <c r="V218" t="s">
        <v>90</v>
      </c>
      <c r="W218">
        <v>3</v>
      </c>
      <c r="X218">
        <v>41.356607476290449</v>
      </c>
    </row>
    <row r="219" spans="1:24" x14ac:dyDescent="0.25">
      <c r="A219" t="s">
        <v>277</v>
      </c>
      <c r="B219">
        <v>4</v>
      </c>
      <c r="C219">
        <v>96.265503079407551</v>
      </c>
      <c r="E219" t="s">
        <v>169</v>
      </c>
      <c r="F219">
        <v>4</v>
      </c>
      <c r="G219">
        <v>57.5</v>
      </c>
      <c r="I219" t="s">
        <v>275</v>
      </c>
      <c r="J219">
        <v>4</v>
      </c>
      <c r="K219">
        <v>75</v>
      </c>
      <c r="M219" t="s">
        <v>127</v>
      </c>
      <c r="N219">
        <v>4</v>
      </c>
      <c r="O219">
        <v>56.049635577520142</v>
      </c>
      <c r="Q219" t="s">
        <v>317</v>
      </c>
      <c r="R219">
        <v>4</v>
      </c>
      <c r="S219">
        <v>50</v>
      </c>
      <c r="V219" t="s">
        <v>244</v>
      </c>
      <c r="W219">
        <v>3</v>
      </c>
      <c r="X219">
        <v>41.265529383754881</v>
      </c>
    </row>
    <row r="220" spans="1:24" x14ac:dyDescent="0.25">
      <c r="A220" t="s">
        <v>203</v>
      </c>
      <c r="B220">
        <v>4</v>
      </c>
      <c r="C220">
        <v>94.946797557771831</v>
      </c>
      <c r="E220" t="s">
        <v>275</v>
      </c>
      <c r="F220">
        <v>4</v>
      </c>
      <c r="G220">
        <v>53.75</v>
      </c>
      <c r="I220" t="s">
        <v>298</v>
      </c>
      <c r="J220">
        <v>4</v>
      </c>
      <c r="K220">
        <v>75</v>
      </c>
      <c r="M220" t="s">
        <v>207</v>
      </c>
      <c r="N220">
        <v>4</v>
      </c>
      <c r="O220">
        <v>55.423379518074412</v>
      </c>
      <c r="Q220" t="s">
        <v>202</v>
      </c>
      <c r="R220">
        <v>4</v>
      </c>
      <c r="S220">
        <v>50</v>
      </c>
      <c r="V220" t="s">
        <v>196</v>
      </c>
      <c r="W220">
        <v>3</v>
      </c>
      <c r="X220">
        <v>41.200582061893982</v>
      </c>
    </row>
    <row r="221" spans="1:24" x14ac:dyDescent="0.25">
      <c r="A221" t="s">
        <v>127</v>
      </c>
      <c r="B221">
        <v>4</v>
      </c>
      <c r="C221">
        <v>89.671975471228947</v>
      </c>
      <c r="E221" t="s">
        <v>160</v>
      </c>
      <c r="F221">
        <v>4</v>
      </c>
      <c r="G221">
        <v>52.5</v>
      </c>
      <c r="I221" t="s">
        <v>187</v>
      </c>
      <c r="J221">
        <v>4</v>
      </c>
      <c r="K221">
        <v>67.5</v>
      </c>
      <c r="M221" t="s">
        <v>235</v>
      </c>
      <c r="N221">
        <v>4</v>
      </c>
      <c r="O221">
        <v>55.327717992008822</v>
      </c>
      <c r="Q221" t="s">
        <v>208</v>
      </c>
      <c r="R221">
        <v>4</v>
      </c>
      <c r="S221">
        <v>50</v>
      </c>
      <c r="V221" t="s">
        <v>48</v>
      </c>
      <c r="W221">
        <v>1</v>
      </c>
      <c r="X221">
        <v>41.085150472394368</v>
      </c>
    </row>
    <row r="222" spans="1:24" x14ac:dyDescent="0.25">
      <c r="A222" t="s">
        <v>167</v>
      </c>
      <c r="B222">
        <v>4</v>
      </c>
      <c r="C222">
        <v>89.671975471228947</v>
      </c>
      <c r="E222" t="s">
        <v>195</v>
      </c>
      <c r="F222">
        <v>4</v>
      </c>
      <c r="G222">
        <v>52.5</v>
      </c>
      <c r="I222" t="s">
        <v>247</v>
      </c>
      <c r="J222">
        <v>4</v>
      </c>
      <c r="K222">
        <v>67.5</v>
      </c>
      <c r="M222" t="s">
        <v>242</v>
      </c>
      <c r="N222">
        <v>4</v>
      </c>
      <c r="O222">
        <v>54.827775100206381</v>
      </c>
      <c r="Q222" t="s">
        <v>225</v>
      </c>
      <c r="R222">
        <v>4</v>
      </c>
      <c r="S222">
        <v>50</v>
      </c>
      <c r="V222" t="s">
        <v>176</v>
      </c>
      <c r="W222">
        <v>4</v>
      </c>
      <c r="X222">
        <v>41.069921140323117</v>
      </c>
    </row>
    <row r="223" spans="1:24" x14ac:dyDescent="0.25">
      <c r="A223" t="s">
        <v>209</v>
      </c>
      <c r="B223">
        <v>4</v>
      </c>
      <c r="C223">
        <v>89.671975471228947</v>
      </c>
      <c r="E223" t="s">
        <v>290</v>
      </c>
      <c r="F223">
        <v>4</v>
      </c>
      <c r="G223">
        <v>51.25</v>
      </c>
      <c r="I223" t="s">
        <v>195</v>
      </c>
      <c r="J223">
        <v>4</v>
      </c>
      <c r="K223">
        <v>66.25</v>
      </c>
      <c r="M223" t="s">
        <v>210</v>
      </c>
      <c r="N223">
        <v>4</v>
      </c>
      <c r="O223">
        <v>54.446149888134883</v>
      </c>
      <c r="Q223" t="s">
        <v>240</v>
      </c>
      <c r="R223">
        <v>4</v>
      </c>
      <c r="S223">
        <v>50</v>
      </c>
      <c r="V223" t="s">
        <v>271</v>
      </c>
      <c r="W223">
        <v>4</v>
      </c>
      <c r="X223">
        <v>40.919567554477936</v>
      </c>
    </row>
    <row r="224" spans="1:24" x14ac:dyDescent="0.25">
      <c r="A224" s="1" t="s">
        <v>220</v>
      </c>
      <c r="B224" s="1">
        <v>4</v>
      </c>
      <c r="C224">
        <v>89.671975471228947</v>
      </c>
      <c r="E224" t="s">
        <v>208</v>
      </c>
      <c r="F224">
        <v>4</v>
      </c>
      <c r="G224">
        <v>46.25</v>
      </c>
      <c r="I224" t="s">
        <v>201</v>
      </c>
      <c r="J224">
        <v>4</v>
      </c>
      <c r="K224">
        <v>66.25</v>
      </c>
      <c r="M224" t="s">
        <v>219</v>
      </c>
      <c r="N224">
        <v>4</v>
      </c>
      <c r="O224">
        <v>53.78611844996837</v>
      </c>
      <c r="Q224" t="s">
        <v>261</v>
      </c>
      <c r="R224">
        <v>4</v>
      </c>
      <c r="S224">
        <v>50</v>
      </c>
      <c r="V224" t="s">
        <v>280</v>
      </c>
      <c r="W224">
        <v>4</v>
      </c>
      <c r="X224">
        <v>40.738766772721661</v>
      </c>
    </row>
    <row r="225" spans="1:24" x14ac:dyDescent="0.25">
      <c r="A225" t="s">
        <v>239</v>
      </c>
      <c r="B225">
        <v>4</v>
      </c>
      <c r="C225">
        <v>89.671975471228947</v>
      </c>
      <c r="E225" t="s">
        <v>298</v>
      </c>
      <c r="F225">
        <v>4</v>
      </c>
      <c r="G225">
        <v>46.25</v>
      </c>
      <c r="I225" t="s">
        <v>278</v>
      </c>
      <c r="J225">
        <v>4</v>
      </c>
      <c r="K225">
        <v>66.25</v>
      </c>
      <c r="M225" t="s">
        <v>263</v>
      </c>
      <c r="N225">
        <v>4</v>
      </c>
      <c r="O225">
        <v>53.6170730174304</v>
      </c>
      <c r="Q225" t="s">
        <v>277</v>
      </c>
      <c r="R225">
        <v>4</v>
      </c>
      <c r="S225">
        <v>50</v>
      </c>
      <c r="V225" t="s">
        <v>239</v>
      </c>
      <c r="W225">
        <v>4</v>
      </c>
      <c r="X225">
        <v>40.683090088375934</v>
      </c>
    </row>
    <row r="226" spans="1:24" x14ac:dyDescent="0.25">
      <c r="A226" t="s">
        <v>256</v>
      </c>
      <c r="B226">
        <v>4</v>
      </c>
      <c r="C226">
        <v>89.671975471228947</v>
      </c>
      <c r="E226" t="s">
        <v>141</v>
      </c>
      <c r="F226">
        <v>4</v>
      </c>
      <c r="G226">
        <v>41.25</v>
      </c>
      <c r="I226" t="s">
        <v>284</v>
      </c>
      <c r="J226">
        <v>4</v>
      </c>
      <c r="K226">
        <v>66.25</v>
      </c>
      <c r="M226" s="1" t="s">
        <v>220</v>
      </c>
      <c r="N226" s="1">
        <v>4</v>
      </c>
      <c r="O226">
        <v>53.392364629335319</v>
      </c>
      <c r="Q226" t="s">
        <v>297</v>
      </c>
      <c r="R226">
        <v>4</v>
      </c>
      <c r="S226">
        <v>50</v>
      </c>
      <c r="V226" t="s">
        <v>166</v>
      </c>
      <c r="W226">
        <v>3</v>
      </c>
      <c r="X226">
        <v>40.659760532475332</v>
      </c>
    </row>
    <row r="227" spans="1:24" x14ac:dyDescent="0.25">
      <c r="A227" t="s">
        <v>258</v>
      </c>
      <c r="B227">
        <v>4</v>
      </c>
      <c r="C227">
        <v>89.671975471228947</v>
      </c>
      <c r="E227" t="s">
        <v>218</v>
      </c>
      <c r="F227">
        <v>4</v>
      </c>
      <c r="G227">
        <v>41.25</v>
      </c>
      <c r="I227" t="s">
        <v>127</v>
      </c>
      <c r="J227">
        <v>4</v>
      </c>
      <c r="K227">
        <v>58.75</v>
      </c>
      <c r="M227" t="s">
        <v>70</v>
      </c>
      <c r="N227">
        <v>4</v>
      </c>
      <c r="O227">
        <v>53.3916460551185</v>
      </c>
      <c r="Q227" t="s">
        <v>169</v>
      </c>
      <c r="R227">
        <v>4</v>
      </c>
      <c r="S227">
        <v>37.5</v>
      </c>
      <c r="V227" t="s">
        <v>267</v>
      </c>
      <c r="W227">
        <v>3</v>
      </c>
      <c r="X227">
        <v>40.56712371635939</v>
      </c>
    </row>
    <row r="228" spans="1:24" x14ac:dyDescent="0.25">
      <c r="A228" t="s">
        <v>260</v>
      </c>
      <c r="B228">
        <v>4</v>
      </c>
      <c r="C228">
        <v>89.671975471228947</v>
      </c>
      <c r="E228" t="s">
        <v>247</v>
      </c>
      <c r="F228">
        <v>4</v>
      </c>
      <c r="G228">
        <v>41.25</v>
      </c>
      <c r="I228" t="s">
        <v>141</v>
      </c>
      <c r="J228">
        <v>4</v>
      </c>
      <c r="K228">
        <v>58.75</v>
      </c>
      <c r="M228" t="s">
        <v>256</v>
      </c>
      <c r="N228">
        <v>4</v>
      </c>
      <c r="O228">
        <v>52.142744826202886</v>
      </c>
      <c r="Q228" t="s">
        <v>201</v>
      </c>
      <c r="R228">
        <v>4</v>
      </c>
      <c r="S228">
        <v>37.5</v>
      </c>
      <c r="V228" t="s">
        <v>121</v>
      </c>
      <c r="W228">
        <v>2</v>
      </c>
      <c r="X228">
        <v>40.560391869619323</v>
      </c>
    </row>
    <row r="229" spans="1:24" x14ac:dyDescent="0.25">
      <c r="A229" t="s">
        <v>261</v>
      </c>
      <c r="B229">
        <v>4</v>
      </c>
      <c r="C229">
        <v>89.671975471228947</v>
      </c>
      <c r="E229" t="s">
        <v>288</v>
      </c>
      <c r="F229">
        <v>4</v>
      </c>
      <c r="G229">
        <v>41.25</v>
      </c>
      <c r="I229" t="s">
        <v>160</v>
      </c>
      <c r="J229">
        <v>4</v>
      </c>
      <c r="K229">
        <v>58.75</v>
      </c>
      <c r="M229" t="s">
        <v>187</v>
      </c>
      <c r="N229">
        <v>4</v>
      </c>
      <c r="O229">
        <v>51.872779688475376</v>
      </c>
      <c r="Q229" t="s">
        <v>212</v>
      </c>
      <c r="R229">
        <v>4</v>
      </c>
      <c r="S229">
        <v>37.5</v>
      </c>
      <c r="V229" t="s">
        <v>204</v>
      </c>
      <c r="W229">
        <v>3</v>
      </c>
      <c r="X229">
        <v>40.459603095031511</v>
      </c>
    </row>
    <row r="230" spans="1:24" x14ac:dyDescent="0.25">
      <c r="A230" t="s">
        <v>266</v>
      </c>
      <c r="B230">
        <v>4</v>
      </c>
      <c r="C230">
        <v>89.671975471228947</v>
      </c>
      <c r="E230" t="s">
        <v>292</v>
      </c>
      <c r="F230">
        <v>4</v>
      </c>
      <c r="G230">
        <v>41.25</v>
      </c>
      <c r="I230" t="s">
        <v>212</v>
      </c>
      <c r="J230">
        <v>4</v>
      </c>
      <c r="K230">
        <v>58.75</v>
      </c>
      <c r="M230" t="s">
        <v>141</v>
      </c>
      <c r="N230">
        <v>4</v>
      </c>
      <c r="O230">
        <v>51.698033349331205</v>
      </c>
      <c r="Q230" t="s">
        <v>278</v>
      </c>
      <c r="R230">
        <v>4</v>
      </c>
      <c r="S230">
        <v>37.5</v>
      </c>
      <c r="V230" t="s">
        <v>216</v>
      </c>
      <c r="W230">
        <v>2</v>
      </c>
      <c r="X230">
        <v>40.36520539158353</v>
      </c>
    </row>
    <row r="231" spans="1:24" x14ac:dyDescent="0.25">
      <c r="A231" t="s">
        <v>271</v>
      </c>
      <c r="B231">
        <v>4</v>
      </c>
      <c r="C231">
        <v>89.671975471228947</v>
      </c>
      <c r="E231" t="s">
        <v>231</v>
      </c>
      <c r="F231">
        <v>4</v>
      </c>
      <c r="G231">
        <v>37.5</v>
      </c>
      <c r="I231" t="s">
        <v>218</v>
      </c>
      <c r="J231">
        <v>4</v>
      </c>
      <c r="K231">
        <v>58.75</v>
      </c>
      <c r="M231" t="s">
        <v>222</v>
      </c>
      <c r="N231">
        <v>4</v>
      </c>
      <c r="O231">
        <v>51.678331317037774</v>
      </c>
      <c r="Q231" t="s">
        <v>325</v>
      </c>
      <c r="R231">
        <v>4</v>
      </c>
      <c r="S231">
        <v>37.5</v>
      </c>
      <c r="V231" t="s">
        <v>279</v>
      </c>
      <c r="W231">
        <v>4</v>
      </c>
      <c r="X231">
        <v>40.354710726508969</v>
      </c>
    </row>
    <row r="232" spans="1:24" x14ac:dyDescent="0.25">
      <c r="A232" t="s">
        <v>278</v>
      </c>
      <c r="B232">
        <v>4</v>
      </c>
      <c r="C232">
        <v>89.671975471228947</v>
      </c>
      <c r="E232" t="s">
        <v>258</v>
      </c>
      <c r="F232">
        <v>4</v>
      </c>
      <c r="G232">
        <v>37.5</v>
      </c>
      <c r="I232" t="s">
        <v>240</v>
      </c>
      <c r="J232">
        <v>4</v>
      </c>
      <c r="K232">
        <v>58.75</v>
      </c>
      <c r="M232" t="s">
        <v>243</v>
      </c>
      <c r="N232">
        <v>4</v>
      </c>
      <c r="O232">
        <v>51.494659502326506</v>
      </c>
      <c r="Q232" t="s">
        <v>293</v>
      </c>
      <c r="R232">
        <v>4</v>
      </c>
      <c r="S232">
        <v>37.5</v>
      </c>
      <c r="V232" t="s">
        <v>145</v>
      </c>
      <c r="W232">
        <v>2</v>
      </c>
      <c r="X232">
        <v>40.313786134534965</v>
      </c>
    </row>
    <row r="233" spans="1:24" x14ac:dyDescent="0.25">
      <c r="A233" t="s">
        <v>283</v>
      </c>
      <c r="B233">
        <v>4</v>
      </c>
      <c r="C233">
        <v>89.671975471228947</v>
      </c>
      <c r="E233" t="s">
        <v>225</v>
      </c>
      <c r="F233">
        <v>4</v>
      </c>
      <c r="G233">
        <v>36.25</v>
      </c>
      <c r="I233" t="s">
        <v>261</v>
      </c>
      <c r="J233">
        <v>4</v>
      </c>
      <c r="K233">
        <v>58.75</v>
      </c>
      <c r="M233" t="s">
        <v>285</v>
      </c>
      <c r="N233">
        <v>4</v>
      </c>
      <c r="O233">
        <v>51.413105829524604</v>
      </c>
      <c r="Q233" t="s">
        <v>141</v>
      </c>
      <c r="R233">
        <v>4</v>
      </c>
      <c r="S233">
        <v>25</v>
      </c>
      <c r="V233" t="s">
        <v>207</v>
      </c>
      <c r="W233">
        <v>4</v>
      </c>
      <c r="X233">
        <v>40.285041379839839</v>
      </c>
    </row>
    <row r="234" spans="1:24" x14ac:dyDescent="0.25">
      <c r="A234" t="s">
        <v>241</v>
      </c>
      <c r="B234">
        <v>4</v>
      </c>
      <c r="C234">
        <v>88.353269949593241</v>
      </c>
      <c r="E234" t="s">
        <v>246</v>
      </c>
      <c r="F234">
        <v>4</v>
      </c>
      <c r="G234">
        <v>35</v>
      </c>
      <c r="I234" t="s">
        <v>290</v>
      </c>
      <c r="J234">
        <v>4</v>
      </c>
      <c r="K234">
        <v>58.75</v>
      </c>
      <c r="M234" t="s">
        <v>118</v>
      </c>
      <c r="N234">
        <v>4</v>
      </c>
      <c r="O234">
        <v>51.083193737498696</v>
      </c>
      <c r="Q234" t="s">
        <v>159</v>
      </c>
      <c r="R234">
        <v>4</v>
      </c>
      <c r="S234">
        <v>25</v>
      </c>
      <c r="V234" t="s">
        <v>44</v>
      </c>
      <c r="W234">
        <v>2</v>
      </c>
      <c r="X234">
        <v>40.16563398655105</v>
      </c>
    </row>
    <row r="235" spans="1:24" x14ac:dyDescent="0.25">
      <c r="A235" t="s">
        <v>286</v>
      </c>
      <c r="B235">
        <v>4</v>
      </c>
      <c r="C235">
        <v>87.03456442795752</v>
      </c>
      <c r="E235" t="s">
        <v>264</v>
      </c>
      <c r="F235">
        <v>4</v>
      </c>
      <c r="G235">
        <v>35</v>
      </c>
      <c r="I235" t="s">
        <v>258</v>
      </c>
      <c r="J235">
        <v>4</v>
      </c>
      <c r="K235">
        <v>57.5</v>
      </c>
      <c r="M235" t="s">
        <v>246</v>
      </c>
      <c r="N235">
        <v>4</v>
      </c>
      <c r="O235">
        <v>50.951141898984076</v>
      </c>
      <c r="Q235" t="s">
        <v>167</v>
      </c>
      <c r="R235">
        <v>4</v>
      </c>
      <c r="S235">
        <v>25</v>
      </c>
      <c r="V235" t="s">
        <v>285</v>
      </c>
      <c r="W235">
        <v>4</v>
      </c>
      <c r="X235">
        <v>40.125967487111339</v>
      </c>
    </row>
    <row r="236" spans="1:24" x14ac:dyDescent="0.25">
      <c r="A236" t="s">
        <v>159</v>
      </c>
      <c r="B236">
        <v>4</v>
      </c>
      <c r="C236">
        <v>85.715858906321799</v>
      </c>
      <c r="E236" t="s">
        <v>70</v>
      </c>
      <c r="F236">
        <v>4</v>
      </c>
      <c r="G236">
        <v>33.75</v>
      </c>
      <c r="I236" t="s">
        <v>260</v>
      </c>
      <c r="J236">
        <v>4</v>
      </c>
      <c r="K236">
        <v>57.5</v>
      </c>
      <c r="M236" t="s">
        <v>241</v>
      </c>
      <c r="N236">
        <v>4</v>
      </c>
      <c r="O236">
        <v>50.611445278773715</v>
      </c>
      <c r="Q236" t="s">
        <v>176</v>
      </c>
      <c r="R236">
        <v>4</v>
      </c>
      <c r="S236">
        <v>25</v>
      </c>
      <c r="V236" t="s">
        <v>55</v>
      </c>
      <c r="W236">
        <v>3</v>
      </c>
      <c r="X236">
        <v>40.103587436819765</v>
      </c>
    </row>
    <row r="237" spans="1:24" x14ac:dyDescent="0.25">
      <c r="A237" t="s">
        <v>195</v>
      </c>
      <c r="B237">
        <v>4</v>
      </c>
      <c r="C237">
        <v>85.715858906321799</v>
      </c>
      <c r="E237" t="s">
        <v>127</v>
      </c>
      <c r="F237">
        <v>4</v>
      </c>
      <c r="G237">
        <v>33.75</v>
      </c>
      <c r="I237" t="s">
        <v>283</v>
      </c>
      <c r="J237">
        <v>4</v>
      </c>
      <c r="K237">
        <v>57.5</v>
      </c>
      <c r="M237" t="s">
        <v>253</v>
      </c>
      <c r="N237">
        <v>4</v>
      </c>
      <c r="O237">
        <v>50.604989861436806</v>
      </c>
      <c r="Q237" t="s">
        <v>195</v>
      </c>
      <c r="R237">
        <v>4</v>
      </c>
      <c r="S237">
        <v>25</v>
      </c>
      <c r="V237" t="s">
        <v>252</v>
      </c>
      <c r="W237">
        <v>3</v>
      </c>
      <c r="X237">
        <v>40.080115011548557</v>
      </c>
    </row>
    <row r="238" spans="1:24" x14ac:dyDescent="0.25">
      <c r="A238" t="s">
        <v>201</v>
      </c>
      <c r="B238">
        <v>4</v>
      </c>
      <c r="C238">
        <v>85.715858906321799</v>
      </c>
      <c r="E238" t="s">
        <v>187</v>
      </c>
      <c r="F238">
        <v>4</v>
      </c>
      <c r="G238">
        <v>33.75</v>
      </c>
      <c r="I238" t="s">
        <v>289</v>
      </c>
      <c r="J238">
        <v>4</v>
      </c>
      <c r="K238">
        <v>51.25</v>
      </c>
      <c r="M238" t="s">
        <v>225</v>
      </c>
      <c r="N238">
        <v>4</v>
      </c>
      <c r="O238">
        <v>50.598763463822728</v>
      </c>
      <c r="Q238" t="s">
        <v>198</v>
      </c>
      <c r="R238">
        <v>4</v>
      </c>
      <c r="S238">
        <v>25</v>
      </c>
      <c r="V238" t="s">
        <v>91</v>
      </c>
      <c r="W238">
        <v>2</v>
      </c>
      <c r="X238">
        <v>39.999210714883219</v>
      </c>
    </row>
    <row r="239" spans="1:24" x14ac:dyDescent="0.25">
      <c r="A239" t="s">
        <v>320</v>
      </c>
      <c r="B239">
        <v>4</v>
      </c>
      <c r="C239">
        <v>85.715858906321799</v>
      </c>
      <c r="E239" t="s">
        <v>212</v>
      </c>
      <c r="F239">
        <v>4</v>
      </c>
      <c r="G239">
        <v>33.75</v>
      </c>
      <c r="I239" t="s">
        <v>291</v>
      </c>
      <c r="J239">
        <v>4</v>
      </c>
      <c r="K239">
        <v>51.25</v>
      </c>
      <c r="M239" t="s">
        <v>277</v>
      </c>
      <c r="N239">
        <v>4</v>
      </c>
      <c r="O239">
        <v>50.136865422881776</v>
      </c>
      <c r="Q239" t="s">
        <v>210</v>
      </c>
      <c r="R239">
        <v>4</v>
      </c>
      <c r="S239">
        <v>25</v>
      </c>
      <c r="V239" t="s">
        <v>76</v>
      </c>
      <c r="W239">
        <v>2</v>
      </c>
      <c r="X239">
        <v>39.992858114144411</v>
      </c>
    </row>
    <row r="240" spans="1:24" x14ac:dyDescent="0.25">
      <c r="A240" t="s">
        <v>246</v>
      </c>
      <c r="B240">
        <v>4</v>
      </c>
      <c r="C240">
        <v>85.715858906321799</v>
      </c>
      <c r="E240" t="s">
        <v>277</v>
      </c>
      <c r="F240">
        <v>4</v>
      </c>
      <c r="G240">
        <v>33.75</v>
      </c>
      <c r="I240" t="s">
        <v>292</v>
      </c>
      <c r="J240">
        <v>4</v>
      </c>
      <c r="K240">
        <v>51.25</v>
      </c>
      <c r="M240" t="s">
        <v>201</v>
      </c>
      <c r="N240">
        <v>4</v>
      </c>
      <c r="O240">
        <v>50.013179804047617</v>
      </c>
      <c r="Q240" t="s">
        <v>218</v>
      </c>
      <c r="R240">
        <v>4</v>
      </c>
      <c r="S240">
        <v>25</v>
      </c>
      <c r="V240" t="s">
        <v>213</v>
      </c>
      <c r="W240">
        <v>3</v>
      </c>
      <c r="X240">
        <v>39.937250429168387</v>
      </c>
    </row>
    <row r="241" spans="1:24" x14ac:dyDescent="0.25">
      <c r="A241" t="s">
        <v>275</v>
      </c>
      <c r="B241">
        <v>4</v>
      </c>
      <c r="C241">
        <v>85.715858906321799</v>
      </c>
      <c r="E241" t="s">
        <v>283</v>
      </c>
      <c r="F241">
        <v>4</v>
      </c>
      <c r="G241">
        <v>33.75</v>
      </c>
      <c r="I241" t="s">
        <v>176</v>
      </c>
      <c r="J241">
        <v>4</v>
      </c>
      <c r="K241">
        <v>50</v>
      </c>
      <c r="M241" t="s">
        <v>221</v>
      </c>
      <c r="N241">
        <v>4</v>
      </c>
      <c r="O241">
        <v>49.690693563634753</v>
      </c>
      <c r="Q241" t="s">
        <v>219</v>
      </c>
      <c r="R241">
        <v>4</v>
      </c>
      <c r="S241">
        <v>25</v>
      </c>
      <c r="V241" t="s">
        <v>132</v>
      </c>
      <c r="W241">
        <v>3</v>
      </c>
      <c r="X241">
        <v>39.836933006914521</v>
      </c>
    </row>
    <row r="242" spans="1:24" x14ac:dyDescent="0.25">
      <c r="A242" t="s">
        <v>279</v>
      </c>
      <c r="B242">
        <v>4</v>
      </c>
      <c r="C242">
        <v>85.715858906321799</v>
      </c>
      <c r="E242" t="s">
        <v>289</v>
      </c>
      <c r="F242">
        <v>4</v>
      </c>
      <c r="G242">
        <v>33.75</v>
      </c>
      <c r="I242" t="s">
        <v>209</v>
      </c>
      <c r="J242">
        <v>4</v>
      </c>
      <c r="K242">
        <v>50</v>
      </c>
      <c r="M242" t="s">
        <v>319</v>
      </c>
      <c r="N242">
        <v>4</v>
      </c>
      <c r="O242">
        <v>49.502912571158355</v>
      </c>
      <c r="Q242" t="s">
        <v>221</v>
      </c>
      <c r="R242">
        <v>4</v>
      </c>
      <c r="S242">
        <v>25</v>
      </c>
      <c r="V242" t="s">
        <v>294</v>
      </c>
      <c r="W242">
        <v>3</v>
      </c>
      <c r="X242">
        <v>39.794242061955543</v>
      </c>
    </row>
    <row r="243" spans="1:24" x14ac:dyDescent="0.25">
      <c r="A243" t="s">
        <v>284</v>
      </c>
      <c r="B243">
        <v>4</v>
      </c>
      <c r="C243">
        <v>85.715858906321799</v>
      </c>
      <c r="E243" t="s">
        <v>86</v>
      </c>
      <c r="F243">
        <v>4</v>
      </c>
      <c r="G243">
        <v>28.75</v>
      </c>
      <c r="I243" t="s">
        <v>235</v>
      </c>
      <c r="J243">
        <v>4</v>
      </c>
      <c r="K243">
        <v>50</v>
      </c>
      <c r="M243" t="s">
        <v>209</v>
      </c>
      <c r="N243">
        <v>4</v>
      </c>
      <c r="O243">
        <v>49.219119360797222</v>
      </c>
      <c r="Q243" t="s">
        <v>227</v>
      </c>
      <c r="R243">
        <v>4</v>
      </c>
      <c r="S243">
        <v>25</v>
      </c>
      <c r="V243" t="s">
        <v>273</v>
      </c>
      <c r="W243">
        <v>3</v>
      </c>
      <c r="X243">
        <v>39.792662614221072</v>
      </c>
    </row>
    <row r="244" spans="1:24" x14ac:dyDescent="0.25">
      <c r="A244" t="s">
        <v>70</v>
      </c>
      <c r="B244">
        <v>4</v>
      </c>
      <c r="C244">
        <v>84.397153384686078</v>
      </c>
      <c r="E244" t="s">
        <v>317</v>
      </c>
      <c r="F244">
        <v>4</v>
      </c>
      <c r="G244">
        <v>28.75</v>
      </c>
      <c r="I244" t="s">
        <v>323</v>
      </c>
      <c r="J244">
        <v>4</v>
      </c>
      <c r="K244">
        <v>50</v>
      </c>
      <c r="M244" t="s">
        <v>198</v>
      </c>
      <c r="N244">
        <v>4</v>
      </c>
      <c r="O244">
        <v>49.071389967906953</v>
      </c>
      <c r="Q244" t="s">
        <v>319</v>
      </c>
      <c r="R244">
        <v>4</v>
      </c>
      <c r="S244">
        <v>25</v>
      </c>
      <c r="V244" t="s">
        <v>241</v>
      </c>
      <c r="W244">
        <v>4</v>
      </c>
      <c r="X244">
        <v>39.790232101428131</v>
      </c>
    </row>
    <row r="245" spans="1:24" x14ac:dyDescent="0.25">
      <c r="A245" t="s">
        <v>198</v>
      </c>
      <c r="B245">
        <v>4</v>
      </c>
      <c r="C245">
        <v>84.397153384686078</v>
      </c>
      <c r="E245" t="s">
        <v>159</v>
      </c>
      <c r="F245">
        <v>4</v>
      </c>
      <c r="G245">
        <v>28.75</v>
      </c>
      <c r="I245" t="s">
        <v>277</v>
      </c>
      <c r="J245">
        <v>4</v>
      </c>
      <c r="K245">
        <v>50</v>
      </c>
      <c r="M245" t="s">
        <v>275</v>
      </c>
      <c r="N245">
        <v>4</v>
      </c>
      <c r="O245">
        <v>49.052242959913983</v>
      </c>
      <c r="Q245" t="s">
        <v>235</v>
      </c>
      <c r="R245">
        <v>4</v>
      </c>
      <c r="S245">
        <v>25</v>
      </c>
      <c r="V245" t="s">
        <v>200</v>
      </c>
      <c r="W245">
        <v>2</v>
      </c>
      <c r="X245">
        <v>39.6339510753334</v>
      </c>
    </row>
    <row r="246" spans="1:24" x14ac:dyDescent="0.25">
      <c r="A246" s="1" t="s">
        <v>224</v>
      </c>
      <c r="B246" s="1">
        <v>4</v>
      </c>
      <c r="C246">
        <v>84.397153384686078</v>
      </c>
      <c r="E246" t="s">
        <v>176</v>
      </c>
      <c r="F246">
        <v>4</v>
      </c>
      <c r="G246">
        <v>28.75</v>
      </c>
      <c r="I246" t="s">
        <v>286</v>
      </c>
      <c r="J246">
        <v>4</v>
      </c>
      <c r="K246">
        <v>50</v>
      </c>
      <c r="M246" t="s">
        <v>291</v>
      </c>
      <c r="N246">
        <v>4</v>
      </c>
      <c r="O246">
        <v>49.019599459305162</v>
      </c>
      <c r="Q246" t="s">
        <v>320</v>
      </c>
      <c r="R246">
        <v>4</v>
      </c>
      <c r="S246">
        <v>25</v>
      </c>
      <c r="V246" t="s">
        <v>77</v>
      </c>
      <c r="W246">
        <v>3</v>
      </c>
      <c r="X246">
        <v>39.600875939666274</v>
      </c>
    </row>
    <row r="247" spans="1:24" x14ac:dyDescent="0.25">
      <c r="A247" t="s">
        <v>169</v>
      </c>
      <c r="B247">
        <v>4</v>
      </c>
      <c r="C247">
        <v>83.078447863050357</v>
      </c>
      <c r="E247" t="s">
        <v>202</v>
      </c>
      <c r="F247">
        <v>4</v>
      </c>
      <c r="G247">
        <v>28.75</v>
      </c>
      <c r="I247" t="s">
        <v>319</v>
      </c>
      <c r="J247">
        <v>4</v>
      </c>
      <c r="K247">
        <v>46.25</v>
      </c>
      <c r="M247" s="1" t="s">
        <v>224</v>
      </c>
      <c r="N247" s="1">
        <v>4</v>
      </c>
      <c r="O247">
        <v>48.99834822854487</v>
      </c>
      <c r="Q247" t="s">
        <v>242</v>
      </c>
      <c r="R247">
        <v>4</v>
      </c>
      <c r="S247">
        <v>25</v>
      </c>
      <c r="V247" s="2" t="s">
        <v>105</v>
      </c>
      <c r="W247" s="2">
        <v>4</v>
      </c>
      <c r="X247">
        <v>39.528720389152433</v>
      </c>
    </row>
    <row r="248" spans="1:24" x14ac:dyDescent="0.25">
      <c r="A248" t="s">
        <v>207</v>
      </c>
      <c r="B248">
        <v>4</v>
      </c>
      <c r="C248">
        <v>83.078447863050357</v>
      </c>
      <c r="E248" t="s">
        <v>203</v>
      </c>
      <c r="F248">
        <v>4</v>
      </c>
      <c r="G248">
        <v>28.75</v>
      </c>
      <c r="I248" t="s">
        <v>159</v>
      </c>
      <c r="J248">
        <v>4</v>
      </c>
      <c r="K248">
        <v>42.5</v>
      </c>
      <c r="M248" t="s">
        <v>240</v>
      </c>
      <c r="N248">
        <v>4</v>
      </c>
      <c r="O248">
        <v>48.943978416737139</v>
      </c>
      <c r="Q248" t="s">
        <v>246</v>
      </c>
      <c r="R248">
        <v>4</v>
      </c>
      <c r="S248">
        <v>25</v>
      </c>
      <c r="V248" t="s">
        <v>255</v>
      </c>
      <c r="W248">
        <v>4</v>
      </c>
      <c r="X248">
        <v>39.475737102103778</v>
      </c>
    </row>
    <row r="249" spans="1:24" x14ac:dyDescent="0.25">
      <c r="A249" t="s">
        <v>219</v>
      </c>
      <c r="B249">
        <v>4</v>
      </c>
      <c r="C249">
        <v>83.078447863050357</v>
      </c>
      <c r="E249" t="s">
        <v>209</v>
      </c>
      <c r="F249">
        <v>4</v>
      </c>
      <c r="G249">
        <v>28.75</v>
      </c>
      <c r="I249" t="s">
        <v>203</v>
      </c>
      <c r="J249">
        <v>4</v>
      </c>
      <c r="K249">
        <v>42.5</v>
      </c>
      <c r="M249" t="s">
        <v>270</v>
      </c>
      <c r="N249">
        <v>4</v>
      </c>
      <c r="O249">
        <v>48.779012951102217</v>
      </c>
      <c r="Q249" t="s">
        <v>256</v>
      </c>
      <c r="R249">
        <v>4</v>
      </c>
      <c r="S249">
        <v>25</v>
      </c>
      <c r="V249" t="s">
        <v>123</v>
      </c>
      <c r="W249">
        <v>3</v>
      </c>
      <c r="X249">
        <v>39.171865986955709</v>
      </c>
    </row>
    <row r="250" spans="1:24" x14ac:dyDescent="0.25">
      <c r="A250" t="s">
        <v>222</v>
      </c>
      <c r="B250">
        <v>4</v>
      </c>
      <c r="C250">
        <v>83.078447863050357</v>
      </c>
      <c r="E250" t="s">
        <v>227</v>
      </c>
      <c r="F250">
        <v>4</v>
      </c>
      <c r="G250">
        <v>28.75</v>
      </c>
      <c r="I250" t="s">
        <v>222</v>
      </c>
      <c r="J250">
        <v>4</v>
      </c>
      <c r="K250">
        <v>42.5</v>
      </c>
      <c r="M250" t="s">
        <v>295</v>
      </c>
      <c r="N250">
        <v>4</v>
      </c>
      <c r="O250">
        <v>48.625072234048098</v>
      </c>
      <c r="Q250" t="s">
        <v>258</v>
      </c>
      <c r="R250">
        <v>4</v>
      </c>
      <c r="S250">
        <v>25</v>
      </c>
      <c r="V250" t="s">
        <v>234</v>
      </c>
      <c r="W250">
        <v>3</v>
      </c>
      <c r="X250">
        <v>39.130886705948811</v>
      </c>
    </row>
    <row r="251" spans="1:24" x14ac:dyDescent="0.25">
      <c r="A251" t="s">
        <v>323</v>
      </c>
      <c r="B251">
        <v>4</v>
      </c>
      <c r="C251">
        <v>83.078447863050357</v>
      </c>
      <c r="E251" t="s">
        <v>235</v>
      </c>
      <c r="F251">
        <v>4</v>
      </c>
      <c r="G251">
        <v>28.75</v>
      </c>
      <c r="I251" t="s">
        <v>250</v>
      </c>
      <c r="J251">
        <v>4</v>
      </c>
      <c r="K251">
        <v>42.5</v>
      </c>
      <c r="M251" s="2" t="s">
        <v>105</v>
      </c>
      <c r="N251" s="2">
        <v>4</v>
      </c>
      <c r="O251">
        <v>48.354162931988078</v>
      </c>
      <c r="Q251" t="s">
        <v>260</v>
      </c>
      <c r="R251">
        <v>4</v>
      </c>
      <c r="S251">
        <v>25</v>
      </c>
      <c r="V251" t="s">
        <v>324</v>
      </c>
      <c r="W251">
        <v>3</v>
      </c>
      <c r="X251">
        <v>38.600637663517368</v>
      </c>
    </row>
    <row r="252" spans="1:24" x14ac:dyDescent="0.25">
      <c r="A252" t="s">
        <v>281</v>
      </c>
      <c r="B252">
        <v>4</v>
      </c>
      <c r="C252">
        <v>83.078447863050357</v>
      </c>
      <c r="E252" t="s">
        <v>261</v>
      </c>
      <c r="F252">
        <v>4</v>
      </c>
      <c r="G252">
        <v>28.75</v>
      </c>
      <c r="I252" s="2" t="s">
        <v>105</v>
      </c>
      <c r="J252" s="2">
        <v>4</v>
      </c>
      <c r="K252">
        <v>41.25</v>
      </c>
      <c r="M252" t="s">
        <v>247</v>
      </c>
      <c r="N252">
        <v>4</v>
      </c>
      <c r="O252">
        <v>48.01026441137158</v>
      </c>
      <c r="Q252" t="s">
        <v>263</v>
      </c>
      <c r="R252">
        <v>4</v>
      </c>
      <c r="S252">
        <v>25</v>
      </c>
      <c r="V252" t="s">
        <v>144</v>
      </c>
      <c r="W252">
        <v>3</v>
      </c>
      <c r="X252">
        <v>38.498811566628149</v>
      </c>
    </row>
    <row r="253" spans="1:24" x14ac:dyDescent="0.25">
      <c r="A253" t="s">
        <v>293</v>
      </c>
      <c r="B253">
        <v>4</v>
      </c>
      <c r="C253">
        <v>83.078447863050357</v>
      </c>
      <c r="E253" t="s">
        <v>280</v>
      </c>
      <c r="F253">
        <v>4</v>
      </c>
      <c r="G253">
        <v>28.75</v>
      </c>
      <c r="I253" t="s">
        <v>317</v>
      </c>
      <c r="J253">
        <v>4</v>
      </c>
      <c r="K253">
        <v>41.25</v>
      </c>
      <c r="M253" t="s">
        <v>317</v>
      </c>
      <c r="N253">
        <v>4</v>
      </c>
      <c r="O253">
        <v>47.841823102354333</v>
      </c>
      <c r="Q253" t="s">
        <v>265</v>
      </c>
      <c r="R253">
        <v>4</v>
      </c>
      <c r="S253">
        <v>25</v>
      </c>
      <c r="V253" t="s">
        <v>164</v>
      </c>
      <c r="W253">
        <v>2</v>
      </c>
      <c r="X253">
        <v>38.45441235645967</v>
      </c>
    </row>
    <row r="254" spans="1:24" x14ac:dyDescent="0.25">
      <c r="A254" t="s">
        <v>160</v>
      </c>
      <c r="B254">
        <v>4</v>
      </c>
      <c r="C254">
        <v>81.759742341414636</v>
      </c>
      <c r="E254" t="s">
        <v>286</v>
      </c>
      <c r="F254">
        <v>4</v>
      </c>
      <c r="G254">
        <v>28.75</v>
      </c>
      <c r="I254" t="s">
        <v>246</v>
      </c>
      <c r="J254">
        <v>4</v>
      </c>
      <c r="K254">
        <v>41.25</v>
      </c>
      <c r="M254" t="s">
        <v>195</v>
      </c>
      <c r="N254">
        <v>4</v>
      </c>
      <c r="O254">
        <v>47.758926796161347</v>
      </c>
      <c r="Q254" t="s">
        <v>266</v>
      </c>
      <c r="R254">
        <v>4</v>
      </c>
      <c r="S254">
        <v>25</v>
      </c>
      <c r="V254" t="s">
        <v>130</v>
      </c>
      <c r="W254">
        <v>3</v>
      </c>
      <c r="X254">
        <v>38.322857848702782</v>
      </c>
    </row>
    <row r="255" spans="1:24" x14ac:dyDescent="0.25">
      <c r="A255" t="s">
        <v>248</v>
      </c>
      <c r="B255">
        <v>4</v>
      </c>
      <c r="C255">
        <v>79.122331298143195</v>
      </c>
      <c r="E255" t="s">
        <v>201</v>
      </c>
      <c r="F255">
        <v>4</v>
      </c>
      <c r="G255">
        <v>27.5</v>
      </c>
      <c r="I255" t="s">
        <v>248</v>
      </c>
      <c r="J255">
        <v>4</v>
      </c>
      <c r="K255">
        <v>41.25</v>
      </c>
      <c r="M255" t="s">
        <v>231</v>
      </c>
      <c r="N255">
        <v>4</v>
      </c>
      <c r="O255">
        <v>47.614712672665597</v>
      </c>
      <c r="Q255" t="s">
        <v>270</v>
      </c>
      <c r="R255">
        <v>4</v>
      </c>
      <c r="S255">
        <v>25</v>
      </c>
      <c r="V255" t="s">
        <v>152</v>
      </c>
      <c r="W255">
        <v>3</v>
      </c>
      <c r="X255">
        <v>38.309971869926578</v>
      </c>
    </row>
    <row r="256" spans="1:24" x14ac:dyDescent="0.25">
      <c r="A256" t="s">
        <v>255</v>
      </c>
      <c r="B256">
        <v>4</v>
      </c>
      <c r="C256">
        <v>79.122331298143195</v>
      </c>
      <c r="E256" t="s">
        <v>248</v>
      </c>
      <c r="F256">
        <v>4</v>
      </c>
      <c r="G256">
        <v>27.5</v>
      </c>
      <c r="I256" t="s">
        <v>265</v>
      </c>
      <c r="J256">
        <v>4</v>
      </c>
      <c r="K256">
        <v>41.25</v>
      </c>
      <c r="M256" t="s">
        <v>258</v>
      </c>
      <c r="N256">
        <v>4</v>
      </c>
      <c r="O256">
        <v>47.543418115422739</v>
      </c>
      <c r="Q256" t="s">
        <v>323</v>
      </c>
      <c r="R256">
        <v>4</v>
      </c>
      <c r="S256">
        <v>25</v>
      </c>
      <c r="V256" t="s">
        <v>80</v>
      </c>
      <c r="W256">
        <v>2</v>
      </c>
      <c r="X256">
        <v>38.178716114068791</v>
      </c>
    </row>
    <row r="257" spans="1:24" x14ac:dyDescent="0.25">
      <c r="A257" t="s">
        <v>285</v>
      </c>
      <c r="B257">
        <v>4</v>
      </c>
      <c r="C257">
        <v>77.803625776507474</v>
      </c>
      <c r="E257" t="s">
        <v>325</v>
      </c>
      <c r="F257">
        <v>4</v>
      </c>
      <c r="G257">
        <v>27.5</v>
      </c>
      <c r="I257" t="s">
        <v>279</v>
      </c>
      <c r="J257">
        <v>4</v>
      </c>
      <c r="K257">
        <v>41.25</v>
      </c>
      <c r="M257" t="s">
        <v>160</v>
      </c>
      <c r="N257">
        <v>4</v>
      </c>
      <c r="O257">
        <v>47.178381381327839</v>
      </c>
      <c r="Q257" t="s">
        <v>279</v>
      </c>
      <c r="R257">
        <v>4</v>
      </c>
      <c r="S257">
        <v>25</v>
      </c>
      <c r="V257" t="s">
        <v>43</v>
      </c>
      <c r="W257">
        <v>1</v>
      </c>
      <c r="X257">
        <v>38.138063154686591</v>
      </c>
    </row>
    <row r="258" spans="1:24" x14ac:dyDescent="0.25">
      <c r="A258" t="s">
        <v>141</v>
      </c>
      <c r="B258">
        <v>4</v>
      </c>
      <c r="C258">
        <v>75.166214733236032</v>
      </c>
      <c r="E258" t="s">
        <v>229</v>
      </c>
      <c r="F258">
        <v>4</v>
      </c>
      <c r="G258">
        <v>22.5</v>
      </c>
      <c r="I258" t="s">
        <v>167</v>
      </c>
      <c r="J258">
        <v>4</v>
      </c>
      <c r="K258">
        <v>35</v>
      </c>
      <c r="M258" t="s">
        <v>271</v>
      </c>
      <c r="N258">
        <v>4</v>
      </c>
      <c r="O258">
        <v>47.150431150580374</v>
      </c>
      <c r="Q258" t="s">
        <v>280</v>
      </c>
      <c r="R258">
        <v>4</v>
      </c>
      <c r="S258">
        <v>25</v>
      </c>
      <c r="V258" t="s">
        <v>101</v>
      </c>
      <c r="W258">
        <v>2</v>
      </c>
      <c r="X258">
        <v>38.06564938855945</v>
      </c>
    </row>
    <row r="259" spans="1:24" x14ac:dyDescent="0.25">
      <c r="A259" t="s">
        <v>229</v>
      </c>
      <c r="B259">
        <v>4</v>
      </c>
      <c r="C259">
        <v>75.166214733236032</v>
      </c>
      <c r="E259" t="s">
        <v>242</v>
      </c>
      <c r="F259">
        <v>4</v>
      </c>
      <c r="G259">
        <v>22.5</v>
      </c>
      <c r="I259" t="s">
        <v>202</v>
      </c>
      <c r="J259">
        <v>4</v>
      </c>
      <c r="K259">
        <v>35</v>
      </c>
      <c r="M259" t="s">
        <v>86</v>
      </c>
      <c r="N259">
        <v>4</v>
      </c>
      <c r="O259">
        <v>46.949923724548903</v>
      </c>
      <c r="Q259" t="s">
        <v>289</v>
      </c>
      <c r="R259">
        <v>4</v>
      </c>
      <c r="S259">
        <v>25</v>
      </c>
      <c r="V259" t="s">
        <v>321</v>
      </c>
      <c r="W259">
        <v>3</v>
      </c>
      <c r="X259">
        <v>38.061086999612684</v>
      </c>
    </row>
    <row r="260" spans="1:24" x14ac:dyDescent="0.25">
      <c r="A260" t="s">
        <v>319</v>
      </c>
      <c r="B260">
        <v>4</v>
      </c>
      <c r="C260">
        <v>75.166214733236032</v>
      </c>
      <c r="E260" t="s">
        <v>253</v>
      </c>
      <c r="F260">
        <v>4</v>
      </c>
      <c r="G260">
        <v>22.5</v>
      </c>
      <c r="I260" t="s">
        <v>264</v>
      </c>
      <c r="J260">
        <v>4</v>
      </c>
      <c r="K260">
        <v>35</v>
      </c>
      <c r="M260" t="s">
        <v>283</v>
      </c>
      <c r="N260">
        <v>4</v>
      </c>
      <c r="O260">
        <v>46.877203131700597</v>
      </c>
      <c r="Q260" t="s">
        <v>290</v>
      </c>
      <c r="R260">
        <v>4</v>
      </c>
      <c r="S260">
        <v>25</v>
      </c>
      <c r="V260" t="s">
        <v>122</v>
      </c>
      <c r="W260">
        <v>2</v>
      </c>
      <c r="X260">
        <v>38.053577805378865</v>
      </c>
    </row>
    <row r="261" spans="1:24" x14ac:dyDescent="0.25">
      <c r="A261" t="s">
        <v>247</v>
      </c>
      <c r="B261">
        <v>4</v>
      </c>
      <c r="C261">
        <v>75.166214733236032</v>
      </c>
      <c r="E261" t="s">
        <v>323</v>
      </c>
      <c r="F261">
        <v>4</v>
      </c>
      <c r="G261">
        <v>22.5</v>
      </c>
      <c r="I261" t="s">
        <v>325</v>
      </c>
      <c r="J261">
        <v>4</v>
      </c>
      <c r="K261">
        <v>35</v>
      </c>
      <c r="M261" t="s">
        <v>239</v>
      </c>
      <c r="N261">
        <v>4</v>
      </c>
      <c r="O261">
        <v>46.559237485325362</v>
      </c>
      <c r="Q261" t="s">
        <v>295</v>
      </c>
      <c r="R261">
        <v>4</v>
      </c>
      <c r="S261">
        <v>25</v>
      </c>
      <c r="V261" t="s">
        <v>192</v>
      </c>
      <c r="W261">
        <v>3</v>
      </c>
      <c r="X261">
        <v>37.999042812318919</v>
      </c>
    </row>
    <row r="262" spans="1:24" x14ac:dyDescent="0.25">
      <c r="A262" t="s">
        <v>257</v>
      </c>
      <c r="B262">
        <v>4</v>
      </c>
      <c r="C262">
        <v>75.166214733236032</v>
      </c>
      <c r="E262" t="s">
        <v>285</v>
      </c>
      <c r="F262">
        <v>4</v>
      </c>
      <c r="G262">
        <v>22.5</v>
      </c>
      <c r="I262" t="s">
        <v>70</v>
      </c>
      <c r="J262">
        <v>4</v>
      </c>
      <c r="K262">
        <v>33.75</v>
      </c>
      <c r="M262" t="s">
        <v>155</v>
      </c>
      <c r="N262">
        <v>4</v>
      </c>
      <c r="O262">
        <v>46.017775276660046</v>
      </c>
      <c r="Q262" t="s">
        <v>326</v>
      </c>
      <c r="R262">
        <v>4</v>
      </c>
      <c r="S262">
        <v>25</v>
      </c>
      <c r="V262" t="s">
        <v>317</v>
      </c>
      <c r="W262">
        <v>4</v>
      </c>
      <c r="X262">
        <v>37.730256849120337</v>
      </c>
    </row>
    <row r="263" spans="1:24" x14ac:dyDescent="0.25">
      <c r="A263" t="s">
        <v>265</v>
      </c>
      <c r="B263">
        <v>4</v>
      </c>
      <c r="C263">
        <v>75.166214733236032</v>
      </c>
      <c r="E263" t="s">
        <v>291</v>
      </c>
      <c r="F263">
        <v>4</v>
      </c>
      <c r="G263">
        <v>22.5</v>
      </c>
      <c r="I263" t="s">
        <v>86</v>
      </c>
      <c r="J263">
        <v>4</v>
      </c>
      <c r="K263">
        <v>33.75</v>
      </c>
      <c r="M263" t="s">
        <v>159</v>
      </c>
      <c r="N263">
        <v>4</v>
      </c>
      <c r="O263">
        <v>45.720672381995051</v>
      </c>
      <c r="Q263" t="s">
        <v>298</v>
      </c>
      <c r="R263">
        <v>4</v>
      </c>
      <c r="S263">
        <v>25</v>
      </c>
      <c r="V263" t="s">
        <v>191</v>
      </c>
      <c r="W263">
        <v>3</v>
      </c>
      <c r="X263">
        <v>37.4534156951974</v>
      </c>
    </row>
    <row r="264" spans="1:24" x14ac:dyDescent="0.25">
      <c r="A264" t="s">
        <v>280</v>
      </c>
      <c r="B264">
        <v>4</v>
      </c>
      <c r="C264">
        <v>75.166214733236032</v>
      </c>
      <c r="E264" t="s">
        <v>296</v>
      </c>
      <c r="F264">
        <v>4</v>
      </c>
      <c r="G264">
        <v>22.5</v>
      </c>
      <c r="I264" t="s">
        <v>118</v>
      </c>
      <c r="J264">
        <v>4</v>
      </c>
      <c r="K264">
        <v>33.75</v>
      </c>
      <c r="M264" t="s">
        <v>320</v>
      </c>
      <c r="N264">
        <v>4</v>
      </c>
      <c r="O264">
        <v>45.716300928405055</v>
      </c>
      <c r="Q264" s="2" t="s">
        <v>105</v>
      </c>
      <c r="R264" s="2">
        <v>4</v>
      </c>
      <c r="S264">
        <v>12.5</v>
      </c>
      <c r="V264" t="s">
        <v>231</v>
      </c>
      <c r="W264">
        <v>4</v>
      </c>
      <c r="X264">
        <v>37.35927034647915</v>
      </c>
    </row>
    <row r="265" spans="1:24" x14ac:dyDescent="0.25">
      <c r="A265" t="s">
        <v>298</v>
      </c>
      <c r="B265">
        <v>4</v>
      </c>
      <c r="C265">
        <v>75.166214733236032</v>
      </c>
      <c r="E265" t="s">
        <v>297</v>
      </c>
      <c r="F265">
        <v>4</v>
      </c>
      <c r="G265">
        <v>22.5</v>
      </c>
      <c r="I265" t="s">
        <v>225</v>
      </c>
      <c r="J265">
        <v>4</v>
      </c>
      <c r="K265">
        <v>33.75</v>
      </c>
      <c r="M265" t="s">
        <v>255</v>
      </c>
      <c r="N265">
        <v>4</v>
      </c>
      <c r="O265">
        <v>45.690677106187849</v>
      </c>
      <c r="Q265" t="s">
        <v>160</v>
      </c>
      <c r="R265">
        <v>4</v>
      </c>
      <c r="S265">
        <v>12.5</v>
      </c>
      <c r="V265" t="s">
        <v>118</v>
      </c>
      <c r="W265">
        <v>4</v>
      </c>
      <c r="X265">
        <v>37.274144981066669</v>
      </c>
    </row>
    <row r="266" spans="1:24" x14ac:dyDescent="0.25">
      <c r="A266" t="s">
        <v>299</v>
      </c>
      <c r="B266">
        <v>4</v>
      </c>
      <c r="C266">
        <v>75.166214733236032</v>
      </c>
      <c r="E266" t="s">
        <v>118</v>
      </c>
      <c r="F266">
        <v>4</v>
      </c>
      <c r="G266">
        <v>21.25</v>
      </c>
      <c r="I266" t="s">
        <v>227</v>
      </c>
      <c r="J266">
        <v>4</v>
      </c>
      <c r="K266">
        <v>33.75</v>
      </c>
      <c r="M266" t="s">
        <v>250</v>
      </c>
      <c r="N266">
        <v>4</v>
      </c>
      <c r="O266">
        <v>45.586045028637798</v>
      </c>
      <c r="Q266" t="s">
        <v>203</v>
      </c>
      <c r="R266">
        <v>4</v>
      </c>
      <c r="S266">
        <v>12.5</v>
      </c>
      <c r="V266" t="s">
        <v>270</v>
      </c>
      <c r="W266">
        <v>4</v>
      </c>
      <c r="X266">
        <v>36.838731562180939</v>
      </c>
    </row>
    <row r="267" spans="1:24" x14ac:dyDescent="0.25">
      <c r="A267" t="s">
        <v>202</v>
      </c>
      <c r="B267">
        <v>4</v>
      </c>
      <c r="C267">
        <v>73.847509211600311</v>
      </c>
      <c r="E267" t="s">
        <v>198</v>
      </c>
      <c r="F267">
        <v>4</v>
      </c>
      <c r="G267">
        <v>21.25</v>
      </c>
      <c r="I267" t="s">
        <v>229</v>
      </c>
      <c r="J267">
        <v>4</v>
      </c>
      <c r="K267">
        <v>33.75</v>
      </c>
      <c r="M267" t="s">
        <v>265</v>
      </c>
      <c r="N267">
        <v>4</v>
      </c>
      <c r="O267">
        <v>45.403351842528977</v>
      </c>
      <c r="Q267" t="s">
        <v>209</v>
      </c>
      <c r="R267">
        <v>4</v>
      </c>
      <c r="S267">
        <v>12.5</v>
      </c>
      <c r="V267" t="s">
        <v>293</v>
      </c>
      <c r="W267">
        <v>4</v>
      </c>
      <c r="X267">
        <v>36.823046834440539</v>
      </c>
    </row>
    <row r="268" spans="1:24" x14ac:dyDescent="0.25">
      <c r="A268" t="s">
        <v>242</v>
      </c>
      <c r="B268">
        <v>4</v>
      </c>
      <c r="C268">
        <v>73.847509211600311</v>
      </c>
      <c r="E268" t="s">
        <v>278</v>
      </c>
      <c r="F268">
        <v>4</v>
      </c>
      <c r="G268">
        <v>21.25</v>
      </c>
      <c r="I268" t="s">
        <v>320</v>
      </c>
      <c r="J268">
        <v>4</v>
      </c>
      <c r="K268">
        <v>33.75</v>
      </c>
      <c r="M268" t="s">
        <v>276</v>
      </c>
      <c r="N268">
        <v>4</v>
      </c>
      <c r="O268">
        <v>45.232039345369877</v>
      </c>
      <c r="Q268" t="s">
        <v>231</v>
      </c>
      <c r="R268">
        <v>4</v>
      </c>
      <c r="S268">
        <v>12.5</v>
      </c>
      <c r="V268" t="s">
        <v>243</v>
      </c>
      <c r="W268">
        <v>4</v>
      </c>
      <c r="X268">
        <v>36.742365643250665</v>
      </c>
    </row>
    <row r="269" spans="1:24" x14ac:dyDescent="0.25">
      <c r="A269" t="s">
        <v>243</v>
      </c>
      <c r="B269">
        <v>4</v>
      </c>
      <c r="C269">
        <v>73.847509211600311</v>
      </c>
      <c r="E269" t="s">
        <v>284</v>
      </c>
      <c r="F269">
        <v>4</v>
      </c>
      <c r="G269">
        <v>21.25</v>
      </c>
      <c r="I269" t="s">
        <v>253</v>
      </c>
      <c r="J269">
        <v>4</v>
      </c>
      <c r="K269">
        <v>33.75</v>
      </c>
      <c r="M269" t="s">
        <v>323</v>
      </c>
      <c r="N269">
        <v>4</v>
      </c>
      <c r="O269">
        <v>45.161718328822545</v>
      </c>
      <c r="Q269" t="s">
        <v>248</v>
      </c>
      <c r="R269">
        <v>4</v>
      </c>
      <c r="S269">
        <v>12.5</v>
      </c>
      <c r="V269" t="s">
        <v>263</v>
      </c>
      <c r="W269">
        <v>4</v>
      </c>
      <c r="X269">
        <v>36.5527678584222</v>
      </c>
    </row>
    <row r="270" spans="1:24" x14ac:dyDescent="0.25">
      <c r="A270" t="s">
        <v>86</v>
      </c>
      <c r="B270">
        <v>4</v>
      </c>
      <c r="C270">
        <v>71.210098168328869</v>
      </c>
      <c r="E270" t="s">
        <v>326</v>
      </c>
      <c r="F270">
        <v>4</v>
      </c>
      <c r="G270">
        <v>21.25</v>
      </c>
      <c r="I270" t="s">
        <v>288</v>
      </c>
      <c r="J270">
        <v>4</v>
      </c>
      <c r="K270">
        <v>33.75</v>
      </c>
      <c r="M270" t="s">
        <v>176</v>
      </c>
      <c r="N270">
        <v>4</v>
      </c>
      <c r="O270">
        <v>45.088370331550507</v>
      </c>
      <c r="Q270" t="s">
        <v>255</v>
      </c>
      <c r="R270">
        <v>4</v>
      </c>
      <c r="S270">
        <v>12.5</v>
      </c>
      <c r="V270" t="s">
        <v>291</v>
      </c>
      <c r="W270">
        <v>4</v>
      </c>
      <c r="X270">
        <v>36.477519539499255</v>
      </c>
    </row>
    <row r="271" spans="1:24" x14ac:dyDescent="0.25">
      <c r="A271" t="s">
        <v>155</v>
      </c>
      <c r="B271">
        <v>4</v>
      </c>
      <c r="C271">
        <v>71.210098168328869</v>
      </c>
      <c r="E271" t="s">
        <v>276</v>
      </c>
      <c r="F271">
        <v>4</v>
      </c>
      <c r="G271">
        <v>18.75</v>
      </c>
      <c r="I271" t="s">
        <v>297</v>
      </c>
      <c r="J271">
        <v>4</v>
      </c>
      <c r="K271">
        <v>33.75</v>
      </c>
      <c r="M271" t="s">
        <v>167</v>
      </c>
      <c r="N271">
        <v>4</v>
      </c>
      <c r="O271">
        <v>45.065308813543282</v>
      </c>
      <c r="Q271" t="s">
        <v>257</v>
      </c>
      <c r="R271">
        <v>4</v>
      </c>
      <c r="S271">
        <v>12.5</v>
      </c>
      <c r="V271" t="s">
        <v>100</v>
      </c>
      <c r="W271">
        <v>3</v>
      </c>
      <c r="X271">
        <v>36.351124524525822</v>
      </c>
    </row>
    <row r="272" spans="1:24" x14ac:dyDescent="0.25">
      <c r="A272" t="s">
        <v>212</v>
      </c>
      <c r="B272">
        <v>4</v>
      </c>
      <c r="C272">
        <v>69.891392646693149</v>
      </c>
      <c r="E272" s="2" t="s">
        <v>105</v>
      </c>
      <c r="F272" s="2">
        <v>4</v>
      </c>
      <c r="G272">
        <v>16.25</v>
      </c>
      <c r="I272" t="s">
        <v>270</v>
      </c>
      <c r="J272">
        <v>4</v>
      </c>
      <c r="K272">
        <v>26.25</v>
      </c>
      <c r="M272" t="s">
        <v>286</v>
      </c>
      <c r="N272">
        <v>4</v>
      </c>
      <c r="O272">
        <v>44.409844357457857</v>
      </c>
      <c r="Q272" t="s">
        <v>276</v>
      </c>
      <c r="R272">
        <v>4</v>
      </c>
      <c r="S272">
        <v>12.5</v>
      </c>
      <c r="V272" t="s">
        <v>221</v>
      </c>
      <c r="W272">
        <v>4</v>
      </c>
      <c r="X272">
        <v>36.342144911521096</v>
      </c>
    </row>
    <row r="273" spans="1:24" x14ac:dyDescent="0.25">
      <c r="A273" t="s">
        <v>240</v>
      </c>
      <c r="B273">
        <v>4</v>
      </c>
      <c r="C273">
        <v>69.891392646693149</v>
      </c>
      <c r="E273" t="s">
        <v>167</v>
      </c>
      <c r="F273">
        <v>4</v>
      </c>
      <c r="G273">
        <v>16.25</v>
      </c>
      <c r="I273" t="s">
        <v>280</v>
      </c>
      <c r="J273">
        <v>4</v>
      </c>
      <c r="K273">
        <v>26.25</v>
      </c>
      <c r="M273" t="s">
        <v>218</v>
      </c>
      <c r="N273">
        <v>4</v>
      </c>
      <c r="O273">
        <v>44.393301144826161</v>
      </c>
      <c r="Q273" t="s">
        <v>288</v>
      </c>
      <c r="R273">
        <v>4</v>
      </c>
      <c r="S273">
        <v>12.5</v>
      </c>
      <c r="V273" t="s">
        <v>63</v>
      </c>
      <c r="W273">
        <v>2</v>
      </c>
      <c r="X273">
        <v>36.072962969750307</v>
      </c>
    </row>
    <row r="274" spans="1:24" x14ac:dyDescent="0.25">
      <c r="A274" t="s">
        <v>290</v>
      </c>
      <c r="B274">
        <v>4</v>
      </c>
      <c r="C274">
        <v>69.891392646693149</v>
      </c>
      <c r="E274" t="s">
        <v>222</v>
      </c>
      <c r="F274">
        <v>4</v>
      </c>
      <c r="G274">
        <v>16.25</v>
      </c>
      <c r="I274" t="s">
        <v>198</v>
      </c>
      <c r="J274">
        <v>4</v>
      </c>
      <c r="K274">
        <v>25</v>
      </c>
      <c r="M274" t="s">
        <v>248</v>
      </c>
      <c r="N274">
        <v>4</v>
      </c>
      <c r="O274">
        <v>44.330610816908738</v>
      </c>
      <c r="Q274" t="s">
        <v>70</v>
      </c>
      <c r="R274">
        <v>4</v>
      </c>
      <c r="S274">
        <v>0</v>
      </c>
      <c r="V274" t="s">
        <v>257</v>
      </c>
      <c r="W274">
        <v>4</v>
      </c>
      <c r="X274">
        <v>36.04310740628447</v>
      </c>
    </row>
    <row r="275" spans="1:24" x14ac:dyDescent="0.25">
      <c r="A275" t="s">
        <v>296</v>
      </c>
      <c r="B275">
        <v>4</v>
      </c>
      <c r="C275">
        <v>68.572687125057442</v>
      </c>
      <c r="E275" t="s">
        <v>319</v>
      </c>
      <c r="F275">
        <v>4</v>
      </c>
      <c r="G275">
        <v>16.25</v>
      </c>
      <c r="I275" t="s">
        <v>231</v>
      </c>
      <c r="J275">
        <v>4</v>
      </c>
      <c r="K275">
        <v>25</v>
      </c>
      <c r="M275" t="s">
        <v>280</v>
      </c>
      <c r="N275">
        <v>4</v>
      </c>
      <c r="O275">
        <v>44.263809565186129</v>
      </c>
      <c r="Q275" t="s">
        <v>118</v>
      </c>
      <c r="R275">
        <v>4</v>
      </c>
      <c r="S275">
        <v>0</v>
      </c>
      <c r="V275" s="2" t="s">
        <v>312</v>
      </c>
      <c r="W275" s="2">
        <v>2</v>
      </c>
      <c r="X275">
        <v>35.93273716143851</v>
      </c>
    </row>
    <row r="276" spans="1:24" x14ac:dyDescent="0.25">
      <c r="A276" t="s">
        <v>264</v>
      </c>
      <c r="B276">
        <v>4</v>
      </c>
      <c r="C276">
        <v>67.253981603421721</v>
      </c>
      <c r="E276" t="s">
        <v>239</v>
      </c>
      <c r="F276">
        <v>4</v>
      </c>
      <c r="G276">
        <v>16.25</v>
      </c>
      <c r="I276" t="s">
        <v>239</v>
      </c>
      <c r="J276">
        <v>4</v>
      </c>
      <c r="K276">
        <v>25</v>
      </c>
      <c r="M276" t="s">
        <v>202</v>
      </c>
      <c r="N276">
        <v>4</v>
      </c>
      <c r="O276">
        <v>43.601112759391299</v>
      </c>
      <c r="Q276" t="s">
        <v>155</v>
      </c>
      <c r="R276">
        <v>4</v>
      </c>
      <c r="S276">
        <v>0</v>
      </c>
      <c r="V276" t="s">
        <v>186</v>
      </c>
      <c r="W276">
        <v>2</v>
      </c>
      <c r="X276">
        <v>35.911053392882174</v>
      </c>
    </row>
    <row r="277" spans="1:24" x14ac:dyDescent="0.25">
      <c r="A277" s="2" t="s">
        <v>105</v>
      </c>
      <c r="B277" s="2">
        <v>4</v>
      </c>
      <c r="C277">
        <v>65.935276081786</v>
      </c>
      <c r="E277" t="s">
        <v>250</v>
      </c>
      <c r="F277">
        <v>4</v>
      </c>
      <c r="G277">
        <v>16.25</v>
      </c>
      <c r="I277" t="s">
        <v>242</v>
      </c>
      <c r="J277">
        <v>4</v>
      </c>
      <c r="K277">
        <v>25</v>
      </c>
      <c r="M277" t="s">
        <v>298</v>
      </c>
      <c r="N277">
        <v>4</v>
      </c>
      <c r="O277">
        <v>43.497148216776012</v>
      </c>
      <c r="Q277" t="s">
        <v>187</v>
      </c>
      <c r="R277">
        <v>4</v>
      </c>
      <c r="S277">
        <v>0</v>
      </c>
      <c r="V277" t="s">
        <v>318</v>
      </c>
      <c r="W277">
        <v>3</v>
      </c>
      <c r="X277">
        <v>35.291751860427908</v>
      </c>
    </row>
    <row r="278" spans="1:24" x14ac:dyDescent="0.25">
      <c r="A278" t="s">
        <v>218</v>
      </c>
      <c r="B278">
        <v>4</v>
      </c>
      <c r="C278">
        <v>65.935276081786</v>
      </c>
      <c r="E278" t="s">
        <v>255</v>
      </c>
      <c r="F278">
        <v>4</v>
      </c>
      <c r="G278">
        <v>16.25</v>
      </c>
      <c r="I278" t="s">
        <v>255</v>
      </c>
      <c r="J278">
        <v>4</v>
      </c>
      <c r="K278">
        <v>25</v>
      </c>
      <c r="M278" t="s">
        <v>266</v>
      </c>
      <c r="N278">
        <v>4</v>
      </c>
      <c r="O278">
        <v>42.924858935175813</v>
      </c>
      <c r="Q278" t="s">
        <v>207</v>
      </c>
      <c r="R278">
        <v>4</v>
      </c>
      <c r="S278">
        <v>0</v>
      </c>
      <c r="V278" t="s">
        <v>288</v>
      </c>
      <c r="W278">
        <v>4</v>
      </c>
      <c r="X278">
        <v>35.159343871487394</v>
      </c>
    </row>
    <row r="279" spans="1:24" x14ac:dyDescent="0.25">
      <c r="A279" t="s">
        <v>208</v>
      </c>
      <c r="B279">
        <v>4</v>
      </c>
      <c r="C279">
        <v>64.616570560150279</v>
      </c>
      <c r="E279" t="s">
        <v>263</v>
      </c>
      <c r="F279">
        <v>4</v>
      </c>
      <c r="G279">
        <v>16.25</v>
      </c>
      <c r="I279" t="s">
        <v>257</v>
      </c>
      <c r="J279">
        <v>4</v>
      </c>
      <c r="K279">
        <v>25</v>
      </c>
      <c r="M279" t="s">
        <v>227</v>
      </c>
      <c r="N279">
        <v>4</v>
      </c>
      <c r="O279">
        <v>42.705422047010451</v>
      </c>
      <c r="Q279" t="s">
        <v>222</v>
      </c>
      <c r="R279">
        <v>4</v>
      </c>
      <c r="S279">
        <v>0</v>
      </c>
      <c r="V279" t="s">
        <v>155</v>
      </c>
      <c r="W279">
        <v>4</v>
      </c>
      <c r="X279">
        <v>35.024129744329798</v>
      </c>
    </row>
    <row r="280" spans="1:24" x14ac:dyDescent="0.25">
      <c r="A280" t="s">
        <v>176</v>
      </c>
      <c r="B280">
        <v>4</v>
      </c>
      <c r="C280">
        <v>63.297865038514558</v>
      </c>
      <c r="E280" t="s">
        <v>265</v>
      </c>
      <c r="F280">
        <v>4</v>
      </c>
      <c r="G280">
        <v>16.25</v>
      </c>
      <c r="I280" t="s">
        <v>266</v>
      </c>
      <c r="J280">
        <v>4</v>
      </c>
      <c r="K280">
        <v>25</v>
      </c>
      <c r="M280" t="s">
        <v>297</v>
      </c>
      <c r="N280">
        <v>4</v>
      </c>
      <c r="O280">
        <v>41.530523144232703</v>
      </c>
      <c r="Q280" t="s">
        <v>229</v>
      </c>
      <c r="R280">
        <v>4</v>
      </c>
      <c r="S280">
        <v>0</v>
      </c>
      <c r="V280" t="s">
        <v>326</v>
      </c>
      <c r="W280">
        <v>4</v>
      </c>
      <c r="X280">
        <v>34.658779838249899</v>
      </c>
    </row>
    <row r="281" spans="1:24" x14ac:dyDescent="0.25">
      <c r="A281" t="s">
        <v>326</v>
      </c>
      <c r="B281">
        <v>4</v>
      </c>
      <c r="C281">
        <v>63.297865038514558</v>
      </c>
      <c r="E281" t="s">
        <v>266</v>
      </c>
      <c r="F281">
        <v>4</v>
      </c>
      <c r="G281">
        <v>16.25</v>
      </c>
      <c r="I281" t="s">
        <v>271</v>
      </c>
      <c r="J281">
        <v>4</v>
      </c>
      <c r="K281">
        <v>25</v>
      </c>
      <c r="M281" t="s">
        <v>212</v>
      </c>
      <c r="N281">
        <v>4</v>
      </c>
      <c r="O281">
        <v>41.389945449407989</v>
      </c>
      <c r="Q281" t="s">
        <v>239</v>
      </c>
      <c r="R281">
        <v>4</v>
      </c>
      <c r="S281">
        <v>0</v>
      </c>
      <c r="V281" t="s">
        <v>287</v>
      </c>
      <c r="W281">
        <v>3</v>
      </c>
      <c r="X281">
        <v>34.613746429338988</v>
      </c>
    </row>
    <row r="282" spans="1:24" x14ac:dyDescent="0.25">
      <c r="A282" t="s">
        <v>210</v>
      </c>
      <c r="B282">
        <v>4</v>
      </c>
      <c r="C282">
        <v>61.979159516878838</v>
      </c>
      <c r="E282" t="s">
        <v>271</v>
      </c>
      <c r="F282">
        <v>4</v>
      </c>
      <c r="G282">
        <v>16.25</v>
      </c>
      <c r="I282" t="s">
        <v>155</v>
      </c>
      <c r="J282">
        <v>4</v>
      </c>
      <c r="K282">
        <v>17.5</v>
      </c>
      <c r="M282" t="s">
        <v>278</v>
      </c>
      <c r="N282">
        <v>4</v>
      </c>
      <c r="O282">
        <v>41.007863732346841</v>
      </c>
      <c r="Q282" t="s">
        <v>241</v>
      </c>
      <c r="R282">
        <v>4</v>
      </c>
      <c r="S282">
        <v>0</v>
      </c>
      <c r="V282" t="s">
        <v>259</v>
      </c>
      <c r="W282">
        <v>3</v>
      </c>
      <c r="X282">
        <v>34.397075061421134</v>
      </c>
    </row>
    <row r="283" spans="1:24" x14ac:dyDescent="0.25">
      <c r="A283" t="s">
        <v>187</v>
      </c>
      <c r="B283">
        <v>4</v>
      </c>
      <c r="C283">
        <v>60.660453995243117</v>
      </c>
      <c r="E283" t="s">
        <v>320</v>
      </c>
      <c r="F283">
        <v>4</v>
      </c>
      <c r="G283">
        <v>15</v>
      </c>
      <c r="I283" t="s">
        <v>263</v>
      </c>
      <c r="J283">
        <v>4</v>
      </c>
      <c r="K283">
        <v>17.5</v>
      </c>
      <c r="M283" t="s">
        <v>257</v>
      </c>
      <c r="N283">
        <v>4</v>
      </c>
      <c r="O283">
        <v>40.649661149093156</v>
      </c>
      <c r="Q283" t="s">
        <v>243</v>
      </c>
      <c r="R283">
        <v>4</v>
      </c>
      <c r="S283">
        <v>0</v>
      </c>
      <c r="V283" t="s">
        <v>94</v>
      </c>
      <c r="W283">
        <v>3</v>
      </c>
      <c r="X283">
        <v>34.118405818161577</v>
      </c>
    </row>
    <row r="284" spans="1:24" x14ac:dyDescent="0.25">
      <c r="A284" t="s">
        <v>118</v>
      </c>
      <c r="B284">
        <v>4</v>
      </c>
      <c r="C284">
        <v>56.704337430335954</v>
      </c>
      <c r="E284" t="s">
        <v>270</v>
      </c>
      <c r="F284">
        <v>4</v>
      </c>
      <c r="G284">
        <v>11.25</v>
      </c>
      <c r="I284" t="s">
        <v>285</v>
      </c>
      <c r="J284">
        <v>4</v>
      </c>
      <c r="K284">
        <v>17.5</v>
      </c>
      <c r="M284" t="s">
        <v>284</v>
      </c>
      <c r="N284">
        <v>4</v>
      </c>
      <c r="O284">
        <v>39.227832201082983</v>
      </c>
      <c r="Q284" t="s">
        <v>247</v>
      </c>
      <c r="R284">
        <v>4</v>
      </c>
      <c r="S284">
        <v>0</v>
      </c>
      <c r="V284" t="s">
        <v>264</v>
      </c>
      <c r="W284">
        <v>4</v>
      </c>
      <c r="X284">
        <v>33.940323559848331</v>
      </c>
    </row>
    <row r="285" spans="1:24" x14ac:dyDescent="0.25">
      <c r="A285" t="s">
        <v>221</v>
      </c>
      <c r="B285">
        <v>4</v>
      </c>
      <c r="C285">
        <v>56.704337430335954</v>
      </c>
      <c r="E285" t="s">
        <v>279</v>
      </c>
      <c r="F285">
        <v>4</v>
      </c>
      <c r="G285">
        <v>11.25</v>
      </c>
      <c r="I285" t="s">
        <v>326</v>
      </c>
      <c r="J285">
        <v>4</v>
      </c>
      <c r="K285">
        <v>17.5</v>
      </c>
      <c r="M285" t="s">
        <v>326</v>
      </c>
      <c r="N285">
        <v>4</v>
      </c>
      <c r="O285">
        <v>39.060517076367468</v>
      </c>
      <c r="Q285" t="s">
        <v>250</v>
      </c>
      <c r="R285">
        <v>4</v>
      </c>
      <c r="S285">
        <v>0</v>
      </c>
      <c r="V285" t="s">
        <v>276</v>
      </c>
      <c r="W285">
        <v>4</v>
      </c>
      <c r="X285">
        <v>33.656201015560853</v>
      </c>
    </row>
    <row r="286" spans="1:24" x14ac:dyDescent="0.25">
      <c r="A286" t="s">
        <v>270</v>
      </c>
      <c r="B286">
        <v>4</v>
      </c>
      <c r="C286">
        <v>55.385631908700233</v>
      </c>
      <c r="E286" t="s">
        <v>299</v>
      </c>
      <c r="F286">
        <v>4</v>
      </c>
      <c r="G286">
        <v>11.25</v>
      </c>
      <c r="I286" t="s">
        <v>221</v>
      </c>
      <c r="J286">
        <v>4</v>
      </c>
      <c r="K286">
        <v>16.25</v>
      </c>
      <c r="M286" t="s">
        <v>288</v>
      </c>
      <c r="N286">
        <v>4</v>
      </c>
      <c r="O286">
        <v>38.989896485186215</v>
      </c>
      <c r="Q286" t="s">
        <v>253</v>
      </c>
      <c r="R286">
        <v>4</v>
      </c>
      <c r="S286">
        <v>0</v>
      </c>
      <c r="V286" t="s">
        <v>249</v>
      </c>
      <c r="W286">
        <v>3</v>
      </c>
      <c r="X286">
        <v>32.322599802476383</v>
      </c>
    </row>
    <row r="287" spans="1:24" x14ac:dyDescent="0.25">
      <c r="A287" t="s">
        <v>231</v>
      </c>
      <c r="B287">
        <v>4</v>
      </c>
      <c r="C287">
        <v>54.06692638706452</v>
      </c>
      <c r="E287" t="s">
        <v>221</v>
      </c>
      <c r="F287">
        <v>4</v>
      </c>
      <c r="G287">
        <v>10</v>
      </c>
      <c r="I287" t="s">
        <v>276</v>
      </c>
      <c r="J287">
        <v>4</v>
      </c>
      <c r="K287">
        <v>16.25</v>
      </c>
      <c r="M287" t="s">
        <v>279</v>
      </c>
      <c r="N287">
        <v>4</v>
      </c>
      <c r="O287">
        <v>38.653847363111524</v>
      </c>
      <c r="Q287" t="s">
        <v>264</v>
      </c>
      <c r="R287">
        <v>4</v>
      </c>
      <c r="S287">
        <v>0</v>
      </c>
      <c r="V287" t="s">
        <v>281</v>
      </c>
      <c r="W287">
        <v>4</v>
      </c>
      <c r="X287">
        <v>32.151409567298948</v>
      </c>
    </row>
    <row r="288" spans="1:24" x14ac:dyDescent="0.25">
      <c r="A288" t="s">
        <v>235</v>
      </c>
      <c r="B288">
        <v>4</v>
      </c>
      <c r="C288">
        <v>54.06692638706452</v>
      </c>
      <c r="E288" t="s">
        <v>241</v>
      </c>
      <c r="F288">
        <v>4</v>
      </c>
      <c r="G288">
        <v>10</v>
      </c>
      <c r="I288" t="s">
        <v>281</v>
      </c>
      <c r="J288">
        <v>4</v>
      </c>
      <c r="K288">
        <v>16.25</v>
      </c>
      <c r="M288" t="s">
        <v>203</v>
      </c>
      <c r="N288">
        <v>4</v>
      </c>
      <c r="O288">
        <v>38.486915403016468</v>
      </c>
      <c r="Q288" t="s">
        <v>271</v>
      </c>
      <c r="R288">
        <v>4</v>
      </c>
      <c r="S288">
        <v>0</v>
      </c>
      <c r="V288" t="s">
        <v>223</v>
      </c>
      <c r="W288">
        <v>3</v>
      </c>
      <c r="X288">
        <v>31.907878175643855</v>
      </c>
    </row>
    <row r="289" spans="1:24" x14ac:dyDescent="0.25">
      <c r="A289" t="s">
        <v>276</v>
      </c>
      <c r="B289">
        <v>4</v>
      </c>
      <c r="C289">
        <v>54.06692638706452</v>
      </c>
      <c r="E289" t="s">
        <v>256</v>
      </c>
      <c r="F289">
        <v>4</v>
      </c>
      <c r="G289">
        <v>10</v>
      </c>
      <c r="I289" t="s">
        <v>293</v>
      </c>
      <c r="J289">
        <v>4</v>
      </c>
      <c r="K289">
        <v>16.25</v>
      </c>
      <c r="M289" t="s">
        <v>290</v>
      </c>
      <c r="N289">
        <v>4</v>
      </c>
      <c r="O289">
        <v>37.085217317894539</v>
      </c>
      <c r="Q289" t="s">
        <v>281</v>
      </c>
      <c r="R289">
        <v>4</v>
      </c>
      <c r="S289">
        <v>0</v>
      </c>
      <c r="V289" t="s">
        <v>299</v>
      </c>
      <c r="W289">
        <v>4</v>
      </c>
      <c r="X289">
        <v>31.649319118426746</v>
      </c>
    </row>
    <row r="290" spans="1:24" x14ac:dyDescent="0.25">
      <c r="A290" t="s">
        <v>288</v>
      </c>
      <c r="B290">
        <v>4</v>
      </c>
      <c r="C290">
        <v>54.06692638706452</v>
      </c>
      <c r="E290" t="s">
        <v>257</v>
      </c>
      <c r="F290">
        <v>4</v>
      </c>
      <c r="G290">
        <v>10</v>
      </c>
      <c r="I290" t="s">
        <v>207</v>
      </c>
      <c r="J290">
        <v>4</v>
      </c>
      <c r="K290">
        <v>8.75</v>
      </c>
      <c r="M290" t="s">
        <v>299</v>
      </c>
      <c r="N290">
        <v>4</v>
      </c>
      <c r="O290">
        <v>36.540190429448849</v>
      </c>
      <c r="Q290" t="s">
        <v>283</v>
      </c>
      <c r="R290">
        <v>4</v>
      </c>
      <c r="S290">
        <v>0</v>
      </c>
      <c r="V290" t="s">
        <v>194</v>
      </c>
      <c r="W290">
        <v>2</v>
      </c>
      <c r="X290">
        <v>31.183749533998302</v>
      </c>
    </row>
    <row r="291" spans="1:24" x14ac:dyDescent="0.25">
      <c r="A291" t="s">
        <v>225</v>
      </c>
      <c r="B291">
        <v>4</v>
      </c>
      <c r="C291">
        <v>51.429515343793078</v>
      </c>
      <c r="E291" t="s">
        <v>281</v>
      </c>
      <c r="F291">
        <v>4</v>
      </c>
      <c r="G291">
        <v>10</v>
      </c>
      <c r="I291" t="s">
        <v>219</v>
      </c>
      <c r="J291">
        <v>4</v>
      </c>
      <c r="K291">
        <v>8.75</v>
      </c>
      <c r="M291" t="s">
        <v>261</v>
      </c>
      <c r="N291">
        <v>4</v>
      </c>
      <c r="O291">
        <v>36.325684484841382</v>
      </c>
      <c r="Q291" t="s">
        <v>284</v>
      </c>
      <c r="R291">
        <v>4</v>
      </c>
      <c r="S291">
        <v>0</v>
      </c>
      <c r="V291" t="s">
        <v>237</v>
      </c>
      <c r="W291">
        <v>3</v>
      </c>
      <c r="X291">
        <v>30.209884465994172</v>
      </c>
    </row>
    <row r="292" spans="1:24" x14ac:dyDescent="0.25">
      <c r="A292" t="s">
        <v>291</v>
      </c>
      <c r="B292">
        <v>4</v>
      </c>
      <c r="C292">
        <v>47.473398778885915</v>
      </c>
      <c r="E292" t="s">
        <v>293</v>
      </c>
      <c r="F292">
        <v>4</v>
      </c>
      <c r="G292">
        <v>10</v>
      </c>
      <c r="I292" t="s">
        <v>241</v>
      </c>
      <c r="J292">
        <v>4</v>
      </c>
      <c r="K292">
        <v>8.75</v>
      </c>
      <c r="M292" t="s">
        <v>293</v>
      </c>
      <c r="N292">
        <v>4</v>
      </c>
      <c r="O292">
        <v>34.580893154576167</v>
      </c>
      <c r="Q292" t="s">
        <v>285</v>
      </c>
      <c r="R292">
        <v>4</v>
      </c>
      <c r="S292">
        <v>0</v>
      </c>
      <c r="V292" t="s">
        <v>133</v>
      </c>
      <c r="W292">
        <v>3</v>
      </c>
      <c r="X292">
        <v>30.128093611106305</v>
      </c>
    </row>
    <row r="293" spans="1:24" x14ac:dyDescent="0.25">
      <c r="A293" t="s">
        <v>263</v>
      </c>
      <c r="B293">
        <v>4</v>
      </c>
      <c r="C293">
        <v>46.154693257250194</v>
      </c>
      <c r="E293" t="s">
        <v>155</v>
      </c>
      <c r="F293">
        <v>4</v>
      </c>
      <c r="G293">
        <v>6.25</v>
      </c>
      <c r="I293" t="s">
        <v>243</v>
      </c>
      <c r="J293">
        <v>4</v>
      </c>
      <c r="K293">
        <v>8.75</v>
      </c>
      <c r="M293" t="s">
        <v>264</v>
      </c>
      <c r="N293">
        <v>4</v>
      </c>
      <c r="O293">
        <v>33.723818097909962</v>
      </c>
      <c r="Q293" t="s">
        <v>286</v>
      </c>
      <c r="R293">
        <v>4</v>
      </c>
      <c r="S293">
        <v>0</v>
      </c>
      <c r="V293" t="s">
        <v>295</v>
      </c>
      <c r="W293">
        <v>4</v>
      </c>
      <c r="X293">
        <v>30.043556501797841</v>
      </c>
    </row>
    <row r="294" spans="1:24" x14ac:dyDescent="0.25">
      <c r="A294" t="s">
        <v>325</v>
      </c>
      <c r="B294">
        <v>4</v>
      </c>
      <c r="C294">
        <v>42.198576692343039</v>
      </c>
      <c r="E294" t="s">
        <v>207</v>
      </c>
      <c r="F294">
        <v>4</v>
      </c>
      <c r="G294">
        <v>6.25</v>
      </c>
      <c r="I294" t="s">
        <v>256</v>
      </c>
      <c r="J294">
        <v>4</v>
      </c>
      <c r="K294">
        <v>8.75</v>
      </c>
      <c r="M294" t="s">
        <v>289</v>
      </c>
      <c r="N294">
        <v>4</v>
      </c>
      <c r="O294">
        <v>33.390705834137805</v>
      </c>
      <c r="Q294" t="s">
        <v>291</v>
      </c>
      <c r="R294">
        <v>4</v>
      </c>
      <c r="S294">
        <v>0</v>
      </c>
      <c r="V294" t="s">
        <v>250</v>
      </c>
      <c r="W294">
        <v>4</v>
      </c>
      <c r="X294">
        <v>29.647981202325141</v>
      </c>
    </row>
    <row r="295" spans="1:24" x14ac:dyDescent="0.25">
      <c r="A295" t="s">
        <v>317</v>
      </c>
      <c r="B295">
        <v>4</v>
      </c>
      <c r="C295">
        <v>32.967638040893</v>
      </c>
      <c r="E295" t="s">
        <v>219</v>
      </c>
      <c r="F295">
        <v>4</v>
      </c>
      <c r="G295">
        <v>6.25</v>
      </c>
      <c r="I295" t="s">
        <v>295</v>
      </c>
      <c r="J295">
        <v>4</v>
      </c>
      <c r="K295">
        <v>8.75</v>
      </c>
      <c r="M295" t="s">
        <v>281</v>
      </c>
      <c r="N295">
        <v>4</v>
      </c>
      <c r="O295">
        <v>32.276799986722189</v>
      </c>
      <c r="Q295" t="s">
        <v>292</v>
      </c>
      <c r="R295">
        <v>4</v>
      </c>
      <c r="S295">
        <v>0</v>
      </c>
      <c r="V295" t="s">
        <v>296</v>
      </c>
      <c r="W295">
        <v>4</v>
      </c>
      <c r="X295">
        <v>27.340668199840156</v>
      </c>
    </row>
    <row r="296" spans="1:24" x14ac:dyDescent="0.25">
      <c r="A296" t="s">
        <v>295</v>
      </c>
      <c r="B296">
        <v>4</v>
      </c>
      <c r="C296">
        <v>32.967638040893</v>
      </c>
      <c r="E296" t="s">
        <v>295</v>
      </c>
      <c r="F296">
        <v>4</v>
      </c>
      <c r="G296">
        <v>6.25</v>
      </c>
      <c r="I296" t="s">
        <v>296</v>
      </c>
      <c r="J296">
        <v>4</v>
      </c>
      <c r="K296">
        <v>8.75</v>
      </c>
      <c r="M296" t="s">
        <v>296</v>
      </c>
      <c r="N296">
        <v>4</v>
      </c>
      <c r="O296">
        <v>26.252826937071664</v>
      </c>
      <c r="Q296" t="s">
        <v>296</v>
      </c>
      <c r="R296">
        <v>4</v>
      </c>
      <c r="S296">
        <v>0</v>
      </c>
      <c r="V296" t="s">
        <v>74</v>
      </c>
      <c r="W296">
        <v>2</v>
      </c>
      <c r="X296">
        <v>26.992909474622074</v>
      </c>
    </row>
    <row r="297" spans="1:24" x14ac:dyDescent="0.25">
      <c r="A297" t="s">
        <v>250</v>
      </c>
      <c r="B297">
        <v>4</v>
      </c>
      <c r="C297">
        <v>27.692815954350117</v>
      </c>
      <c r="E297" t="s">
        <v>243</v>
      </c>
      <c r="F297">
        <v>4</v>
      </c>
      <c r="G297">
        <v>5</v>
      </c>
      <c r="I297" t="s">
        <v>299</v>
      </c>
      <c r="J297">
        <v>4</v>
      </c>
      <c r="K297">
        <v>8.75</v>
      </c>
      <c r="M297" t="s">
        <v>325</v>
      </c>
      <c r="N297">
        <v>4</v>
      </c>
      <c r="O297">
        <v>12.979397868008729</v>
      </c>
      <c r="Q297" t="s">
        <v>299</v>
      </c>
      <c r="R297">
        <v>4</v>
      </c>
      <c r="S297">
        <v>0</v>
      </c>
      <c r="V297" t="s">
        <v>325</v>
      </c>
      <c r="W297">
        <v>4</v>
      </c>
      <c r="X297">
        <v>23.631474485672101</v>
      </c>
    </row>
  </sheetData>
  <sortState xmlns:xlrd2="http://schemas.microsoft.com/office/spreadsheetml/2017/richdata2" ref="A2:C22">
    <sortCondition descending="1" ref="C2:C22"/>
  </sortState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06AF8-7A33-422A-8AAA-F985C846122C}">
  <dimension ref="A1:AE297"/>
  <sheetViews>
    <sheetView topLeftCell="H1" workbookViewId="0">
      <selection activeCell="X48" sqref="X48"/>
    </sheetView>
  </sheetViews>
  <sheetFormatPr defaultRowHeight="13.8" x14ac:dyDescent="0.25"/>
  <cols>
    <col min="3" max="5" width="11.44140625" style="8" customWidth="1"/>
    <col min="27" max="27" width="11.44140625" style="8" customWidth="1"/>
  </cols>
  <sheetData>
    <row r="1" spans="1:27" ht="15" thickTop="1" x14ac:dyDescent="0.25">
      <c r="A1" s="27" t="s">
        <v>384</v>
      </c>
      <c r="B1" s="26" t="s">
        <v>385</v>
      </c>
      <c r="C1" s="28" t="s">
        <v>380</v>
      </c>
      <c r="D1" s="29" t="s">
        <v>386</v>
      </c>
      <c r="E1" s="25"/>
      <c r="F1" s="27" t="s">
        <v>384</v>
      </c>
      <c r="G1" s="26" t="s">
        <v>385</v>
      </c>
      <c r="H1" t="s">
        <v>302</v>
      </c>
      <c r="K1" s="27" t="s">
        <v>384</v>
      </c>
      <c r="L1" s="26" t="s">
        <v>385</v>
      </c>
      <c r="M1" t="s">
        <v>381</v>
      </c>
      <c r="P1" s="27" t="s">
        <v>384</v>
      </c>
      <c r="Q1" s="26" t="s">
        <v>385</v>
      </c>
      <c r="R1" t="s">
        <v>382</v>
      </c>
      <c r="U1" s="27" t="s">
        <v>384</v>
      </c>
      <c r="V1" s="26" t="s">
        <v>385</v>
      </c>
      <c r="W1" t="s">
        <v>383</v>
      </c>
      <c r="AA1" s="28"/>
    </row>
    <row r="2" spans="1:27" x14ac:dyDescent="0.25">
      <c r="A2" t="s">
        <v>117</v>
      </c>
      <c r="B2">
        <v>2</v>
      </c>
      <c r="C2" s="25">
        <v>105.4964417308576</v>
      </c>
      <c r="D2" s="25">
        <f>_xlfn.QUARTILE.INC(C2:C297,1)</f>
        <v>69.891392646693149</v>
      </c>
      <c r="E2" s="25"/>
      <c r="F2" s="1" t="s">
        <v>220</v>
      </c>
      <c r="G2" s="1">
        <v>4</v>
      </c>
      <c r="H2" t="e">
        <v>#N/A</v>
      </c>
      <c r="I2" s="25">
        <f>_xlfn.QUARTILE.INC(H4:H297,1)</f>
        <v>21.25</v>
      </c>
      <c r="K2" s="1" t="s">
        <v>220</v>
      </c>
      <c r="L2" s="1">
        <v>4</v>
      </c>
      <c r="M2" t="e">
        <v>#N/A</v>
      </c>
      <c r="N2" s="25">
        <f>_xlfn.QUARTILE.INC(M4:M297,1)</f>
        <v>33.75</v>
      </c>
      <c r="P2" t="s">
        <v>140</v>
      </c>
      <c r="Q2">
        <v>2</v>
      </c>
      <c r="R2" t="e">
        <v>#DIV/0!</v>
      </c>
      <c r="S2" s="25">
        <f>_xlfn.QUARTILE.INC(R3:R297,1)</f>
        <v>44.401179372798708</v>
      </c>
      <c r="U2" s="1" t="s">
        <v>220</v>
      </c>
      <c r="V2" s="1">
        <v>4</v>
      </c>
      <c r="W2" t="e">
        <v>#N/A</v>
      </c>
      <c r="X2" s="25">
        <f>_xlfn.QUARTILE.INC(W4:W297,1)</f>
        <v>12.5</v>
      </c>
      <c r="AA2" s="25"/>
    </row>
    <row r="3" spans="1:27" x14ac:dyDescent="0.25">
      <c r="A3" t="s">
        <v>137</v>
      </c>
      <c r="B3">
        <v>2</v>
      </c>
      <c r="C3" s="25">
        <v>105.4964417308576</v>
      </c>
      <c r="D3" s="25">
        <f>_xlfn.QUARTILE.INC(C2:C298,2)</f>
        <v>80.441036819778915</v>
      </c>
      <c r="E3" s="25"/>
      <c r="F3" s="1" t="s">
        <v>224</v>
      </c>
      <c r="G3" s="1">
        <v>4</v>
      </c>
      <c r="H3" t="e">
        <v>#N/A</v>
      </c>
      <c r="I3" s="25">
        <f>_xlfn.QUARTILE.INC(H4:H298,2)</f>
        <v>28.75</v>
      </c>
      <c r="K3" s="1" t="s">
        <v>224</v>
      </c>
      <c r="L3" s="1">
        <v>4</v>
      </c>
      <c r="M3" t="e">
        <v>#N/A</v>
      </c>
      <c r="N3" s="25">
        <f>_xlfn.QUARTILE.INC(M4:M298,2)</f>
        <v>50</v>
      </c>
      <c r="P3" t="s">
        <v>41</v>
      </c>
      <c r="Q3">
        <v>3</v>
      </c>
      <c r="R3">
        <v>63.717928864980429</v>
      </c>
      <c r="S3" s="25">
        <f>_xlfn.QUARTILE.INC(R3:R298,2)</f>
        <v>48.234912982271887</v>
      </c>
      <c r="U3" s="1" t="s">
        <v>224</v>
      </c>
      <c r="V3" s="1">
        <v>4</v>
      </c>
      <c r="W3" t="e">
        <v>#N/A</v>
      </c>
      <c r="X3" s="25">
        <f>_xlfn.QUARTILE.INC(W4:W298,2)</f>
        <v>25</v>
      </c>
      <c r="AA3" s="25"/>
    </row>
    <row r="4" spans="1:27" x14ac:dyDescent="0.25">
      <c r="A4" t="s">
        <v>289</v>
      </c>
      <c r="B4">
        <v>4</v>
      </c>
      <c r="C4" s="25">
        <v>105.4964417308576</v>
      </c>
      <c r="D4" s="25">
        <f>_xlfn.QUARTILE.INC(C2:C299,3)</f>
        <v>88.353269949593241</v>
      </c>
      <c r="E4" s="25"/>
      <c r="F4" t="s">
        <v>24</v>
      </c>
      <c r="G4">
        <v>1</v>
      </c>
      <c r="H4">
        <v>82.5</v>
      </c>
      <c r="I4" s="25">
        <f>_xlfn.QUARTILE.INC(H4:H299,3)</f>
        <v>43.75</v>
      </c>
      <c r="K4" t="s">
        <v>153</v>
      </c>
      <c r="L4">
        <v>2</v>
      </c>
      <c r="M4">
        <v>100</v>
      </c>
      <c r="N4" s="25">
        <f>_xlfn.QUARTILE.INC(M4:M299,3)</f>
        <v>66.25</v>
      </c>
      <c r="P4" t="s">
        <v>36</v>
      </c>
      <c r="Q4">
        <v>2</v>
      </c>
      <c r="R4">
        <v>62.029623320912215</v>
      </c>
      <c r="S4" s="25">
        <f>_xlfn.QUARTILE.INC(R3:R299,3)</f>
        <v>51.908248457702477</v>
      </c>
      <c r="U4" t="s">
        <v>24</v>
      </c>
      <c r="V4">
        <v>1</v>
      </c>
      <c r="W4">
        <v>87.5</v>
      </c>
      <c r="X4" s="25">
        <f>_xlfn.QUARTILE.INC(W4:W299,3)</f>
        <v>37.5</v>
      </c>
      <c r="AA4" s="25"/>
    </row>
    <row r="5" spans="1:27" x14ac:dyDescent="0.25">
      <c r="A5" t="s">
        <v>45</v>
      </c>
      <c r="B5">
        <v>2</v>
      </c>
      <c r="C5" s="25">
        <v>102.40521381646617</v>
      </c>
      <c r="D5" s="25">
        <f>_xlfn.QUARTILE.INC(C3:C300,4)</f>
        <v>105.4964417308576</v>
      </c>
      <c r="E5" s="25"/>
      <c r="F5" t="s">
        <v>153</v>
      </c>
      <c r="G5">
        <v>2</v>
      </c>
      <c r="H5">
        <v>81.25</v>
      </c>
      <c r="I5" s="25">
        <f>_xlfn.QUARTILE.INC(H4:H300,4)</f>
        <v>82.5</v>
      </c>
      <c r="K5" t="s">
        <v>169</v>
      </c>
      <c r="L5">
        <v>4</v>
      </c>
      <c r="M5">
        <v>100</v>
      </c>
      <c r="N5" s="25">
        <f>_xlfn.QUARTILE.INC(M4:M300,4)</f>
        <v>100</v>
      </c>
      <c r="P5" t="s">
        <v>161</v>
      </c>
      <c r="Q5">
        <v>3</v>
      </c>
      <c r="R5">
        <v>60.13342312790548</v>
      </c>
      <c r="S5" s="25">
        <f>_xlfn.QUARTILE.INC(R3:R300,4)</f>
        <v>63.717928864980429</v>
      </c>
      <c r="U5" t="s">
        <v>25</v>
      </c>
      <c r="V5">
        <v>1</v>
      </c>
      <c r="W5">
        <v>87.5</v>
      </c>
      <c r="X5" s="25">
        <f>_xlfn.QUARTILE.INC(W4:W300,4)</f>
        <v>87.5</v>
      </c>
      <c r="AA5" s="25"/>
    </row>
    <row r="6" spans="1:27" x14ac:dyDescent="0.25">
      <c r="A6" t="s">
        <v>42</v>
      </c>
      <c r="B6">
        <v>2</v>
      </c>
      <c r="C6" s="25">
        <v>98.902914122678993</v>
      </c>
      <c r="D6" s="25"/>
      <c r="E6" s="25"/>
      <c r="F6" t="s">
        <v>33</v>
      </c>
      <c r="G6">
        <v>1</v>
      </c>
      <c r="H6">
        <v>76.25</v>
      </c>
      <c r="K6" t="s">
        <v>208</v>
      </c>
      <c r="L6">
        <v>4</v>
      </c>
      <c r="M6">
        <v>100</v>
      </c>
      <c r="P6" t="s">
        <v>128</v>
      </c>
      <c r="Q6">
        <v>2</v>
      </c>
      <c r="R6">
        <v>59.934782583234757</v>
      </c>
      <c r="U6" t="s">
        <v>162</v>
      </c>
      <c r="V6">
        <v>3</v>
      </c>
      <c r="W6">
        <v>75</v>
      </c>
      <c r="AA6" s="25"/>
    </row>
    <row r="7" spans="1:27" x14ac:dyDescent="0.25">
      <c r="A7" t="s">
        <v>62</v>
      </c>
      <c r="B7">
        <v>3</v>
      </c>
      <c r="C7" s="25">
        <v>98.902914122678993</v>
      </c>
      <c r="D7" s="25"/>
      <c r="E7" s="25"/>
      <c r="F7" t="s">
        <v>103</v>
      </c>
      <c r="G7">
        <v>2</v>
      </c>
      <c r="H7">
        <v>75</v>
      </c>
      <c r="K7" t="s">
        <v>269</v>
      </c>
      <c r="L7">
        <v>3</v>
      </c>
      <c r="M7">
        <v>100</v>
      </c>
      <c r="P7" t="s">
        <v>260</v>
      </c>
      <c r="Q7">
        <v>4</v>
      </c>
      <c r="R7">
        <v>59.550474819829489</v>
      </c>
      <c r="U7" t="s">
        <v>60</v>
      </c>
      <c r="V7">
        <v>2</v>
      </c>
      <c r="W7">
        <v>62.5</v>
      </c>
      <c r="AA7" s="25"/>
    </row>
    <row r="8" spans="1:27" x14ac:dyDescent="0.25">
      <c r="A8" t="s">
        <v>69</v>
      </c>
      <c r="B8">
        <v>3</v>
      </c>
      <c r="C8" s="25">
        <v>98.902914122678993</v>
      </c>
      <c r="D8" s="25"/>
      <c r="E8" s="25"/>
      <c r="F8" t="s">
        <v>173</v>
      </c>
      <c r="G8">
        <v>2</v>
      </c>
      <c r="H8">
        <v>75</v>
      </c>
      <c r="K8" t="s">
        <v>24</v>
      </c>
      <c r="L8">
        <v>1</v>
      </c>
      <c r="M8">
        <v>91.25</v>
      </c>
      <c r="P8" t="s">
        <v>24</v>
      </c>
      <c r="Q8">
        <v>1</v>
      </c>
      <c r="R8">
        <v>58.758561676215791</v>
      </c>
      <c r="U8" t="s">
        <v>69</v>
      </c>
      <c r="V8">
        <v>3</v>
      </c>
      <c r="W8">
        <v>62.5</v>
      </c>
      <c r="AA8" s="25"/>
    </row>
    <row r="9" spans="1:27" x14ac:dyDescent="0.25">
      <c r="A9" t="s">
        <v>79</v>
      </c>
      <c r="B9">
        <v>2</v>
      </c>
      <c r="C9" s="25">
        <v>98.902914122678993</v>
      </c>
      <c r="D9" s="25"/>
      <c r="E9" s="25"/>
      <c r="F9" t="s">
        <v>61</v>
      </c>
      <c r="G9">
        <v>3</v>
      </c>
      <c r="H9">
        <v>71.25</v>
      </c>
      <c r="K9" t="s">
        <v>27</v>
      </c>
      <c r="L9">
        <v>1</v>
      </c>
      <c r="M9">
        <v>91.25</v>
      </c>
      <c r="P9" t="s">
        <v>208</v>
      </c>
      <c r="Q9">
        <v>4</v>
      </c>
      <c r="R9">
        <v>58.63733618120942</v>
      </c>
      <c r="U9" t="s">
        <v>107</v>
      </c>
      <c r="V9">
        <v>3</v>
      </c>
      <c r="W9">
        <v>62.5</v>
      </c>
      <c r="AA9" s="25"/>
    </row>
    <row r="10" spans="1:27" x14ac:dyDescent="0.25">
      <c r="A10" t="s">
        <v>254</v>
      </c>
      <c r="B10">
        <v>3</v>
      </c>
      <c r="C10" s="25">
        <v>98.902914122678993</v>
      </c>
      <c r="D10" s="25"/>
      <c r="E10" s="25"/>
      <c r="F10" t="s">
        <v>25</v>
      </c>
      <c r="G10">
        <v>1</v>
      </c>
      <c r="H10">
        <v>68.75</v>
      </c>
      <c r="K10" t="s">
        <v>32</v>
      </c>
      <c r="L10">
        <v>1</v>
      </c>
      <c r="M10">
        <v>91.25</v>
      </c>
      <c r="P10" t="s">
        <v>229</v>
      </c>
      <c r="Q10">
        <v>4</v>
      </c>
      <c r="R10">
        <v>58.232251940433798</v>
      </c>
      <c r="U10" t="s">
        <v>136</v>
      </c>
      <c r="V10">
        <v>3</v>
      </c>
      <c r="W10">
        <v>62.5</v>
      </c>
      <c r="AA10" s="25"/>
    </row>
    <row r="11" spans="1:27" x14ac:dyDescent="0.25">
      <c r="A11" t="s">
        <v>292</v>
      </c>
      <c r="B11">
        <v>4</v>
      </c>
      <c r="C11" s="25">
        <v>98.902914122678993</v>
      </c>
      <c r="D11" s="25"/>
      <c r="E11" s="25"/>
      <c r="F11" t="s">
        <v>189</v>
      </c>
      <c r="G11">
        <v>2</v>
      </c>
      <c r="H11">
        <v>68.75</v>
      </c>
      <c r="K11" t="s">
        <v>36</v>
      </c>
      <c r="L11">
        <v>2</v>
      </c>
      <c r="M11">
        <v>91.25</v>
      </c>
      <c r="P11" t="s">
        <v>169</v>
      </c>
      <c r="Q11">
        <v>4</v>
      </c>
      <c r="R11">
        <v>58.111599351320635</v>
      </c>
      <c r="U11" t="s">
        <v>315</v>
      </c>
      <c r="V11">
        <v>2</v>
      </c>
      <c r="W11">
        <v>62.5</v>
      </c>
      <c r="AA11" s="25"/>
    </row>
    <row r="12" spans="1:27" x14ac:dyDescent="0.25">
      <c r="A12" t="s">
        <v>297</v>
      </c>
      <c r="B12">
        <v>4</v>
      </c>
      <c r="C12" s="25">
        <v>98.902914122678993</v>
      </c>
      <c r="D12" s="25"/>
      <c r="E12" s="25"/>
      <c r="F12" t="s">
        <v>58</v>
      </c>
      <c r="G12">
        <v>1</v>
      </c>
      <c r="H12">
        <v>66.25</v>
      </c>
      <c r="K12" t="s">
        <v>104</v>
      </c>
      <c r="L12">
        <v>3</v>
      </c>
      <c r="M12">
        <v>91.25</v>
      </c>
      <c r="P12" t="s">
        <v>87</v>
      </c>
      <c r="Q12">
        <v>3</v>
      </c>
      <c r="R12">
        <v>57.998166198844594</v>
      </c>
      <c r="U12" t="s">
        <v>177</v>
      </c>
      <c r="V12">
        <v>3</v>
      </c>
      <c r="W12">
        <v>62.5</v>
      </c>
      <c r="AA12" s="25"/>
    </row>
    <row r="13" spans="1:27" x14ac:dyDescent="0.25">
      <c r="A13" t="s">
        <v>28</v>
      </c>
      <c r="B13">
        <v>1</v>
      </c>
      <c r="C13" s="25">
        <v>97.517553916764882</v>
      </c>
      <c r="D13" s="25"/>
      <c r="E13" s="25"/>
      <c r="F13" t="s">
        <v>162</v>
      </c>
      <c r="G13">
        <v>3</v>
      </c>
      <c r="H13">
        <v>66.25</v>
      </c>
      <c r="K13" t="s">
        <v>172</v>
      </c>
      <c r="L13">
        <v>3</v>
      </c>
      <c r="M13">
        <v>91.25</v>
      </c>
      <c r="P13" t="s">
        <v>72</v>
      </c>
      <c r="Q13">
        <v>3</v>
      </c>
      <c r="R13">
        <v>57.788433373654833</v>
      </c>
      <c r="U13" t="s">
        <v>269</v>
      </c>
      <c r="V13">
        <v>3</v>
      </c>
      <c r="W13">
        <v>62.5</v>
      </c>
      <c r="AA13" s="25"/>
    </row>
    <row r="14" spans="1:27" x14ac:dyDescent="0.25">
      <c r="A14" t="s">
        <v>59</v>
      </c>
      <c r="B14">
        <v>2</v>
      </c>
      <c r="C14" s="25">
        <v>96.265503079407551</v>
      </c>
      <c r="D14" s="25"/>
      <c r="E14" s="25"/>
      <c r="F14" t="s">
        <v>124</v>
      </c>
      <c r="G14">
        <v>2</v>
      </c>
      <c r="H14">
        <v>65</v>
      </c>
      <c r="K14" t="s">
        <v>185</v>
      </c>
      <c r="L14">
        <v>3</v>
      </c>
      <c r="M14">
        <v>91.25</v>
      </c>
      <c r="P14" t="s">
        <v>63</v>
      </c>
      <c r="Q14">
        <v>2</v>
      </c>
      <c r="R14">
        <v>57.723410490472141</v>
      </c>
      <c r="U14" t="s">
        <v>275</v>
      </c>
      <c r="V14">
        <v>4</v>
      </c>
      <c r="W14">
        <v>62.5</v>
      </c>
      <c r="AA14" s="25"/>
    </row>
    <row r="15" spans="1:27" x14ac:dyDescent="0.25">
      <c r="A15" t="s">
        <v>61</v>
      </c>
      <c r="B15">
        <v>3</v>
      </c>
      <c r="C15" s="25">
        <v>96.265503079407551</v>
      </c>
      <c r="D15" s="25"/>
      <c r="E15" s="25"/>
      <c r="F15" t="s">
        <v>210</v>
      </c>
      <c r="G15">
        <v>4</v>
      </c>
      <c r="H15">
        <v>65</v>
      </c>
      <c r="K15" t="s">
        <v>210</v>
      </c>
      <c r="L15">
        <v>4</v>
      </c>
      <c r="M15">
        <v>91.25</v>
      </c>
      <c r="P15" t="s">
        <v>316</v>
      </c>
      <c r="Q15">
        <v>3</v>
      </c>
      <c r="R15">
        <v>57.249583599340617</v>
      </c>
      <c r="U15" t="s">
        <v>22</v>
      </c>
      <c r="V15">
        <v>1</v>
      </c>
      <c r="W15">
        <v>50</v>
      </c>
      <c r="AA15" s="25"/>
    </row>
    <row r="16" spans="1:27" x14ac:dyDescent="0.25">
      <c r="A16" t="s">
        <v>83</v>
      </c>
      <c r="B16">
        <v>2</v>
      </c>
      <c r="C16" s="25">
        <v>96.265503079407551</v>
      </c>
      <c r="D16" s="25"/>
      <c r="E16" s="25"/>
      <c r="F16" t="s">
        <v>240</v>
      </c>
      <c r="G16">
        <v>4</v>
      </c>
      <c r="H16">
        <v>65</v>
      </c>
      <c r="K16" t="s">
        <v>233</v>
      </c>
      <c r="L16">
        <v>3</v>
      </c>
      <c r="M16">
        <v>91.25</v>
      </c>
      <c r="P16" t="s">
        <v>96</v>
      </c>
      <c r="Q16">
        <v>3</v>
      </c>
      <c r="R16">
        <v>57.230977588325416</v>
      </c>
      <c r="U16" t="s">
        <v>23</v>
      </c>
      <c r="V16">
        <v>1</v>
      </c>
      <c r="W16">
        <v>50</v>
      </c>
      <c r="AA16" s="25"/>
    </row>
    <row r="17" spans="1:27" x14ac:dyDescent="0.25">
      <c r="A17" t="s">
        <v>85</v>
      </c>
      <c r="B17">
        <v>2</v>
      </c>
      <c r="C17" s="25">
        <v>96.265503079407551</v>
      </c>
      <c r="D17" s="25"/>
      <c r="E17" s="25"/>
      <c r="F17" t="s">
        <v>69</v>
      </c>
      <c r="G17">
        <v>3</v>
      </c>
      <c r="H17">
        <v>63.75</v>
      </c>
      <c r="K17" t="s">
        <v>236</v>
      </c>
      <c r="L17">
        <v>3</v>
      </c>
      <c r="M17">
        <v>91.25</v>
      </c>
      <c r="P17" t="s">
        <v>88</v>
      </c>
      <c r="Q17">
        <v>3</v>
      </c>
      <c r="R17">
        <v>56.958960196936552</v>
      </c>
      <c r="U17" t="s">
        <v>26</v>
      </c>
      <c r="V17">
        <v>1</v>
      </c>
      <c r="W17">
        <v>50</v>
      </c>
      <c r="AA17" s="25"/>
    </row>
    <row r="18" spans="1:27" x14ac:dyDescent="0.25">
      <c r="A18" t="s">
        <v>92</v>
      </c>
      <c r="B18">
        <v>3</v>
      </c>
      <c r="C18" s="25">
        <v>96.265503079407551</v>
      </c>
      <c r="D18" s="25"/>
      <c r="E18" s="25"/>
      <c r="F18" t="s">
        <v>184</v>
      </c>
      <c r="G18">
        <v>3</v>
      </c>
      <c r="H18">
        <v>62.5</v>
      </c>
      <c r="K18" t="s">
        <v>33</v>
      </c>
      <c r="L18">
        <v>1</v>
      </c>
      <c r="M18">
        <v>83.75</v>
      </c>
      <c r="P18" t="s">
        <v>292</v>
      </c>
      <c r="Q18">
        <v>4</v>
      </c>
      <c r="R18">
        <v>56.935954929949389</v>
      </c>
      <c r="U18" t="s">
        <v>28</v>
      </c>
      <c r="V18">
        <v>1</v>
      </c>
      <c r="W18">
        <v>50</v>
      </c>
      <c r="AA18" s="25"/>
    </row>
    <row r="19" spans="1:27" x14ac:dyDescent="0.25">
      <c r="A19" t="s">
        <v>103</v>
      </c>
      <c r="B19">
        <v>2</v>
      </c>
      <c r="C19" s="25">
        <v>96.265503079407551</v>
      </c>
      <c r="D19" s="25"/>
      <c r="E19" s="25"/>
      <c r="F19" t="s">
        <v>269</v>
      </c>
      <c r="G19">
        <v>3</v>
      </c>
      <c r="H19">
        <v>62.5</v>
      </c>
      <c r="K19" t="s">
        <v>42</v>
      </c>
      <c r="L19">
        <v>2</v>
      </c>
      <c r="M19">
        <v>83.75</v>
      </c>
      <c r="P19" t="s">
        <v>135</v>
      </c>
      <c r="Q19">
        <v>3</v>
      </c>
      <c r="R19">
        <v>56.742027914740042</v>
      </c>
      <c r="U19" t="s">
        <v>30</v>
      </c>
      <c r="V19">
        <v>1</v>
      </c>
      <c r="W19">
        <v>50</v>
      </c>
      <c r="AA19" s="25"/>
    </row>
    <row r="20" spans="1:27" x14ac:dyDescent="0.25">
      <c r="A20" s="2" t="s">
        <v>313</v>
      </c>
      <c r="B20" s="2">
        <v>3</v>
      </c>
      <c r="C20" s="25">
        <v>96.265503079407551</v>
      </c>
      <c r="D20" s="25"/>
      <c r="E20" s="25"/>
      <c r="F20" t="s">
        <v>27</v>
      </c>
      <c r="G20">
        <v>1</v>
      </c>
      <c r="H20">
        <v>58.75</v>
      </c>
      <c r="K20" t="s">
        <v>53</v>
      </c>
      <c r="L20">
        <v>3</v>
      </c>
      <c r="M20">
        <v>83.75</v>
      </c>
      <c r="P20" t="s">
        <v>116</v>
      </c>
      <c r="Q20">
        <v>3</v>
      </c>
      <c r="R20">
        <v>56.393967595905302</v>
      </c>
      <c r="U20" t="s">
        <v>31</v>
      </c>
      <c r="V20">
        <v>1</v>
      </c>
      <c r="W20">
        <v>50</v>
      </c>
      <c r="AA20" s="25"/>
    </row>
    <row r="21" spans="1:27" x14ac:dyDescent="0.25">
      <c r="A21" t="s">
        <v>124</v>
      </c>
      <c r="B21">
        <v>2</v>
      </c>
      <c r="C21" s="25">
        <v>96.265503079407551</v>
      </c>
      <c r="D21" s="25"/>
      <c r="E21" s="25"/>
      <c r="F21" t="s">
        <v>42</v>
      </c>
      <c r="G21">
        <v>2</v>
      </c>
      <c r="H21">
        <v>58.75</v>
      </c>
      <c r="K21" t="s">
        <v>59</v>
      </c>
      <c r="L21">
        <v>2</v>
      </c>
      <c r="M21">
        <v>83.75</v>
      </c>
      <c r="P21" t="s">
        <v>67</v>
      </c>
      <c r="Q21">
        <v>2</v>
      </c>
      <c r="R21">
        <v>56.357136771889564</v>
      </c>
      <c r="U21" t="s">
        <v>35</v>
      </c>
      <c r="V21">
        <v>2</v>
      </c>
      <c r="W21">
        <v>50</v>
      </c>
      <c r="AA21" s="25"/>
    </row>
    <row r="22" spans="1:27" x14ac:dyDescent="0.25">
      <c r="A22" t="s">
        <v>173</v>
      </c>
      <c r="B22">
        <v>2</v>
      </c>
      <c r="C22" s="25">
        <v>96.265503079407551</v>
      </c>
      <c r="D22" s="25"/>
      <c r="E22" s="25"/>
      <c r="F22" t="s">
        <v>104</v>
      </c>
      <c r="G22">
        <v>3</v>
      </c>
      <c r="H22">
        <v>58.75</v>
      </c>
      <c r="K22" t="s">
        <v>69</v>
      </c>
      <c r="L22">
        <v>3</v>
      </c>
      <c r="M22">
        <v>83.75</v>
      </c>
      <c r="P22" t="s">
        <v>92</v>
      </c>
      <c r="Q22">
        <v>3</v>
      </c>
      <c r="R22">
        <v>56.069560933775961</v>
      </c>
      <c r="U22" t="s">
        <v>37</v>
      </c>
      <c r="V22">
        <v>1</v>
      </c>
      <c r="W22">
        <v>50</v>
      </c>
      <c r="AA22" s="25"/>
    </row>
    <row r="23" spans="1:27" x14ac:dyDescent="0.25">
      <c r="A23" t="s">
        <v>181</v>
      </c>
      <c r="B23">
        <v>3</v>
      </c>
      <c r="C23" s="25">
        <v>96.265503079407551</v>
      </c>
      <c r="D23" s="25"/>
      <c r="E23" s="25"/>
      <c r="F23" t="s">
        <v>151</v>
      </c>
      <c r="G23">
        <v>2</v>
      </c>
      <c r="H23">
        <v>58.75</v>
      </c>
      <c r="K23" t="s">
        <v>110</v>
      </c>
      <c r="L23">
        <v>3</v>
      </c>
      <c r="M23">
        <v>83.75</v>
      </c>
      <c r="P23" t="s">
        <v>127</v>
      </c>
      <c r="Q23">
        <v>4</v>
      </c>
      <c r="R23">
        <v>56.049635577520142</v>
      </c>
      <c r="U23" t="s">
        <v>46</v>
      </c>
      <c r="V23">
        <v>2</v>
      </c>
      <c r="W23">
        <v>50</v>
      </c>
      <c r="AA23" s="25"/>
    </row>
    <row r="24" spans="1:27" x14ac:dyDescent="0.25">
      <c r="A24" t="s">
        <v>185</v>
      </c>
      <c r="B24">
        <v>3</v>
      </c>
      <c r="C24" s="25">
        <v>96.265503079407551</v>
      </c>
      <c r="D24" s="25"/>
      <c r="E24" s="25"/>
      <c r="F24" t="s">
        <v>163</v>
      </c>
      <c r="G24">
        <v>3</v>
      </c>
      <c r="H24">
        <v>58.75</v>
      </c>
      <c r="K24" t="s">
        <v>162</v>
      </c>
      <c r="L24">
        <v>3</v>
      </c>
      <c r="M24">
        <v>83.75</v>
      </c>
      <c r="P24" t="s">
        <v>53</v>
      </c>
      <c r="Q24">
        <v>3</v>
      </c>
      <c r="R24">
        <v>55.861875002700231</v>
      </c>
      <c r="U24" t="s">
        <v>53</v>
      </c>
      <c r="V24">
        <v>3</v>
      </c>
      <c r="W24">
        <v>50</v>
      </c>
      <c r="AA24" s="25"/>
    </row>
    <row r="25" spans="1:27" x14ac:dyDescent="0.25">
      <c r="A25" t="s">
        <v>193</v>
      </c>
      <c r="B25">
        <v>3</v>
      </c>
      <c r="C25" s="25">
        <v>96.265503079407551</v>
      </c>
      <c r="D25" s="25"/>
      <c r="E25" s="25"/>
      <c r="F25" t="s">
        <v>179</v>
      </c>
      <c r="G25">
        <v>2</v>
      </c>
      <c r="H25">
        <v>58.75</v>
      </c>
      <c r="K25" t="s">
        <v>165</v>
      </c>
      <c r="L25">
        <v>3</v>
      </c>
      <c r="M25">
        <v>83.75</v>
      </c>
      <c r="P25" t="s">
        <v>108</v>
      </c>
      <c r="Q25">
        <v>3</v>
      </c>
      <c r="R25">
        <v>55.722631279723956</v>
      </c>
      <c r="U25" t="s">
        <v>64</v>
      </c>
      <c r="V25">
        <v>2</v>
      </c>
      <c r="W25">
        <v>50</v>
      </c>
      <c r="AA25" s="25"/>
    </row>
    <row r="26" spans="1:27" x14ac:dyDescent="0.25">
      <c r="A26" t="s">
        <v>227</v>
      </c>
      <c r="B26">
        <v>4</v>
      </c>
      <c r="C26" s="25">
        <v>96.265503079407551</v>
      </c>
      <c r="D26" s="25"/>
      <c r="E26" s="25"/>
      <c r="F26" t="s">
        <v>260</v>
      </c>
      <c r="G26">
        <v>4</v>
      </c>
      <c r="H26">
        <v>58.75</v>
      </c>
      <c r="K26" t="s">
        <v>179</v>
      </c>
      <c r="L26">
        <v>2</v>
      </c>
      <c r="M26">
        <v>83.75</v>
      </c>
      <c r="P26" t="s">
        <v>207</v>
      </c>
      <c r="Q26">
        <v>4</v>
      </c>
      <c r="R26">
        <v>55.423379518074412</v>
      </c>
      <c r="U26" t="s">
        <v>66</v>
      </c>
      <c r="V26">
        <v>2</v>
      </c>
      <c r="W26">
        <v>50</v>
      </c>
      <c r="AA26" s="25"/>
    </row>
    <row r="27" spans="1:27" x14ac:dyDescent="0.25">
      <c r="A27" t="s">
        <v>230</v>
      </c>
      <c r="B27">
        <v>3</v>
      </c>
      <c r="C27" s="25">
        <v>96.265503079407551</v>
      </c>
      <c r="D27" s="25"/>
      <c r="E27" s="25"/>
      <c r="F27" t="s">
        <v>158</v>
      </c>
      <c r="G27">
        <v>2</v>
      </c>
      <c r="H27">
        <v>57.5</v>
      </c>
      <c r="K27" t="s">
        <v>23</v>
      </c>
      <c r="L27">
        <v>1</v>
      </c>
      <c r="M27">
        <v>82.5</v>
      </c>
      <c r="P27" t="s">
        <v>112</v>
      </c>
      <c r="Q27">
        <v>2</v>
      </c>
      <c r="R27">
        <v>55.403703479619956</v>
      </c>
      <c r="U27" t="s">
        <v>71</v>
      </c>
      <c r="V27">
        <v>2</v>
      </c>
      <c r="W27">
        <v>50</v>
      </c>
      <c r="AA27" s="25"/>
    </row>
    <row r="28" spans="1:27" x14ac:dyDescent="0.25">
      <c r="A28" t="s">
        <v>321</v>
      </c>
      <c r="B28">
        <v>3</v>
      </c>
      <c r="C28" s="25">
        <v>96.265503079407551</v>
      </c>
      <c r="D28" s="25"/>
      <c r="E28" s="25"/>
      <c r="F28" t="s">
        <v>169</v>
      </c>
      <c r="G28">
        <v>4</v>
      </c>
      <c r="H28">
        <v>57.5</v>
      </c>
      <c r="K28" t="s">
        <v>25</v>
      </c>
      <c r="L28">
        <v>1</v>
      </c>
      <c r="M28">
        <v>82.5</v>
      </c>
      <c r="P28" t="s">
        <v>134</v>
      </c>
      <c r="Q28">
        <v>3</v>
      </c>
      <c r="R28">
        <v>55.368922244080075</v>
      </c>
      <c r="U28" t="s">
        <v>78</v>
      </c>
      <c r="V28">
        <v>2</v>
      </c>
      <c r="W28">
        <v>50</v>
      </c>
      <c r="AA28" s="25"/>
    </row>
    <row r="29" spans="1:27" x14ac:dyDescent="0.25">
      <c r="A29" t="s">
        <v>253</v>
      </c>
      <c r="B29">
        <v>4</v>
      </c>
      <c r="C29" s="25">
        <v>96.265503079407551</v>
      </c>
      <c r="D29" s="25"/>
      <c r="E29" s="25"/>
      <c r="F29" t="s">
        <v>172</v>
      </c>
      <c r="G29">
        <v>3</v>
      </c>
      <c r="H29">
        <v>57.5</v>
      </c>
      <c r="K29" t="s">
        <v>45</v>
      </c>
      <c r="L29">
        <v>2</v>
      </c>
      <c r="M29">
        <v>82.5</v>
      </c>
      <c r="P29" t="s">
        <v>235</v>
      </c>
      <c r="Q29">
        <v>4</v>
      </c>
      <c r="R29">
        <v>55.327717992008822</v>
      </c>
      <c r="U29" t="s">
        <v>83</v>
      </c>
      <c r="V29">
        <v>2</v>
      </c>
      <c r="W29">
        <v>50</v>
      </c>
      <c r="AA29" s="25"/>
    </row>
    <row r="30" spans="1:27" x14ac:dyDescent="0.25">
      <c r="A30" t="s">
        <v>277</v>
      </c>
      <c r="B30">
        <v>4</v>
      </c>
      <c r="C30" s="25">
        <v>96.265503079407551</v>
      </c>
      <c r="D30" s="25"/>
      <c r="E30" s="25"/>
      <c r="F30" t="s">
        <v>23</v>
      </c>
      <c r="G30">
        <v>1</v>
      </c>
      <c r="H30">
        <v>56.25</v>
      </c>
      <c r="K30" t="s">
        <v>61</v>
      </c>
      <c r="L30">
        <v>3</v>
      </c>
      <c r="M30">
        <v>82.5</v>
      </c>
      <c r="P30" t="s">
        <v>232</v>
      </c>
      <c r="Q30">
        <v>3</v>
      </c>
      <c r="R30">
        <v>55.260115894740544</v>
      </c>
      <c r="U30" t="s">
        <v>84</v>
      </c>
      <c r="V30">
        <v>2</v>
      </c>
      <c r="W30">
        <v>50</v>
      </c>
      <c r="AA30" s="25"/>
    </row>
    <row r="31" spans="1:27" x14ac:dyDescent="0.25">
      <c r="A31" t="s">
        <v>35</v>
      </c>
      <c r="B31">
        <v>2</v>
      </c>
      <c r="C31" s="25">
        <v>95.219698576599356</v>
      </c>
      <c r="D31" s="25"/>
      <c r="E31" s="25"/>
      <c r="F31" t="s">
        <v>215</v>
      </c>
      <c r="G31">
        <v>2</v>
      </c>
      <c r="H31">
        <v>56.25</v>
      </c>
      <c r="K31" t="s">
        <v>113</v>
      </c>
      <c r="L31">
        <v>2</v>
      </c>
      <c r="M31">
        <v>82.5</v>
      </c>
      <c r="P31" t="s">
        <v>65</v>
      </c>
      <c r="Q31">
        <v>1</v>
      </c>
      <c r="R31">
        <v>55.06952714192726</v>
      </c>
      <c r="U31" t="s">
        <v>86</v>
      </c>
      <c r="V31">
        <v>4</v>
      </c>
      <c r="W31">
        <v>50</v>
      </c>
      <c r="AA31" s="25"/>
    </row>
    <row r="32" spans="1:27" x14ac:dyDescent="0.25">
      <c r="A32" t="s">
        <v>81</v>
      </c>
      <c r="B32">
        <v>3</v>
      </c>
      <c r="C32" s="25">
        <v>94.946797557771831</v>
      </c>
      <c r="D32" s="25"/>
      <c r="E32" s="25"/>
      <c r="F32" t="s">
        <v>60</v>
      </c>
      <c r="G32">
        <v>2</v>
      </c>
      <c r="H32">
        <v>53.75</v>
      </c>
      <c r="K32" t="s">
        <v>128</v>
      </c>
      <c r="L32">
        <v>2</v>
      </c>
      <c r="M32">
        <v>82.5</v>
      </c>
      <c r="P32" t="s">
        <v>103</v>
      </c>
      <c r="Q32">
        <v>2</v>
      </c>
      <c r="R32">
        <v>54.881752300330618</v>
      </c>
      <c r="U32" t="s">
        <v>95</v>
      </c>
      <c r="V32">
        <v>3</v>
      </c>
      <c r="W32">
        <v>50</v>
      </c>
      <c r="AA32" s="25"/>
    </row>
    <row r="33" spans="1:27" x14ac:dyDescent="0.25">
      <c r="A33" t="s">
        <v>95</v>
      </c>
      <c r="B33">
        <v>3</v>
      </c>
      <c r="C33" s="25">
        <v>94.946797557771831</v>
      </c>
      <c r="D33" s="25"/>
      <c r="E33" s="25"/>
      <c r="F33" t="s">
        <v>88</v>
      </c>
      <c r="G33">
        <v>3</v>
      </c>
      <c r="H33">
        <v>53.75</v>
      </c>
      <c r="K33" t="s">
        <v>150</v>
      </c>
      <c r="L33">
        <v>2</v>
      </c>
      <c r="M33">
        <v>82.5</v>
      </c>
      <c r="P33" t="s">
        <v>242</v>
      </c>
      <c r="Q33">
        <v>4</v>
      </c>
      <c r="R33">
        <v>54.827775100206381</v>
      </c>
      <c r="U33" t="s">
        <v>100</v>
      </c>
      <c r="V33">
        <v>3</v>
      </c>
      <c r="W33">
        <v>50</v>
      </c>
      <c r="AA33" s="25"/>
    </row>
    <row r="34" spans="1:27" x14ac:dyDescent="0.25">
      <c r="A34" t="s">
        <v>203</v>
      </c>
      <c r="B34">
        <v>4</v>
      </c>
      <c r="C34" s="25">
        <v>94.946797557771831</v>
      </c>
      <c r="D34" s="25"/>
      <c r="E34" s="25"/>
      <c r="F34" t="s">
        <v>136</v>
      </c>
      <c r="G34">
        <v>3</v>
      </c>
      <c r="H34">
        <v>53.75</v>
      </c>
      <c r="K34" t="s">
        <v>151</v>
      </c>
      <c r="L34">
        <v>2</v>
      </c>
      <c r="M34">
        <v>82.5</v>
      </c>
      <c r="P34" t="s">
        <v>22</v>
      </c>
      <c r="Q34">
        <v>1</v>
      </c>
      <c r="R34">
        <v>54.826993725604005</v>
      </c>
      <c r="U34" t="s">
        <v>102</v>
      </c>
      <c r="V34">
        <v>2</v>
      </c>
      <c r="W34">
        <v>50</v>
      </c>
      <c r="AA34" s="25"/>
    </row>
    <row r="35" spans="1:27" x14ac:dyDescent="0.25">
      <c r="A35" t="s">
        <v>46</v>
      </c>
      <c r="B35">
        <v>2</v>
      </c>
      <c r="C35" s="25">
        <v>93.872896223514132</v>
      </c>
      <c r="D35" s="25"/>
      <c r="E35" s="25"/>
      <c r="F35" t="s">
        <v>139</v>
      </c>
      <c r="G35">
        <v>3</v>
      </c>
      <c r="H35">
        <v>53.75</v>
      </c>
      <c r="K35" t="s">
        <v>31</v>
      </c>
      <c r="L35">
        <v>1</v>
      </c>
      <c r="M35">
        <v>75</v>
      </c>
      <c r="P35" t="s">
        <v>182</v>
      </c>
      <c r="Q35">
        <v>3</v>
      </c>
      <c r="R35">
        <v>54.813215010082139</v>
      </c>
      <c r="U35" t="s">
        <v>127</v>
      </c>
      <c r="V35">
        <v>4</v>
      </c>
      <c r="W35">
        <v>50</v>
      </c>
      <c r="AA35" s="25"/>
    </row>
    <row r="36" spans="1:27" x14ac:dyDescent="0.25">
      <c r="A36" t="s">
        <v>109</v>
      </c>
      <c r="B36">
        <v>3</v>
      </c>
      <c r="C36" s="25">
        <v>92.309386514500389</v>
      </c>
      <c r="D36" s="25"/>
      <c r="E36" s="25"/>
      <c r="F36" t="s">
        <v>170</v>
      </c>
      <c r="G36">
        <v>3</v>
      </c>
      <c r="H36">
        <v>53.75</v>
      </c>
      <c r="K36" t="s">
        <v>41</v>
      </c>
      <c r="L36">
        <v>3</v>
      </c>
      <c r="M36">
        <v>75</v>
      </c>
      <c r="P36" t="s">
        <v>50</v>
      </c>
      <c r="Q36">
        <v>2</v>
      </c>
      <c r="R36">
        <v>54.603988877347824</v>
      </c>
      <c r="U36" t="s">
        <v>128</v>
      </c>
      <c r="V36">
        <v>2</v>
      </c>
      <c r="W36">
        <v>50</v>
      </c>
      <c r="AA36" s="25"/>
    </row>
    <row r="37" spans="1:27" x14ac:dyDescent="0.25">
      <c r="A37" t="s">
        <v>54</v>
      </c>
      <c r="B37">
        <v>2</v>
      </c>
      <c r="C37" s="25">
        <v>92.24137345330989</v>
      </c>
      <c r="D37" s="25"/>
      <c r="E37" s="25"/>
      <c r="F37" t="s">
        <v>275</v>
      </c>
      <c r="G37">
        <v>4</v>
      </c>
      <c r="H37">
        <v>53.75</v>
      </c>
      <c r="K37" t="s">
        <v>49</v>
      </c>
      <c r="L37">
        <v>1</v>
      </c>
      <c r="M37">
        <v>75</v>
      </c>
      <c r="P37" t="s">
        <v>82</v>
      </c>
      <c r="Q37">
        <v>3</v>
      </c>
      <c r="R37">
        <v>54.597717182575046</v>
      </c>
      <c r="U37" t="s">
        <v>139</v>
      </c>
      <c r="V37">
        <v>3</v>
      </c>
      <c r="W37">
        <v>50</v>
      </c>
      <c r="AA37" s="25"/>
    </row>
    <row r="38" spans="1:27" x14ac:dyDescent="0.25">
      <c r="A38" t="s">
        <v>29</v>
      </c>
      <c r="B38">
        <v>2</v>
      </c>
      <c r="C38" s="25">
        <v>91.039945287662377</v>
      </c>
      <c r="D38" s="25"/>
      <c r="E38" s="25"/>
      <c r="F38" t="s">
        <v>54</v>
      </c>
      <c r="G38">
        <v>2</v>
      </c>
      <c r="H38">
        <v>52.5</v>
      </c>
      <c r="K38" t="s">
        <v>62</v>
      </c>
      <c r="L38">
        <v>3</v>
      </c>
      <c r="M38">
        <v>75</v>
      </c>
      <c r="P38" t="s">
        <v>210</v>
      </c>
      <c r="Q38">
        <v>4</v>
      </c>
      <c r="R38">
        <v>54.446149888134883</v>
      </c>
      <c r="U38" t="s">
        <v>149</v>
      </c>
      <c r="V38">
        <v>3</v>
      </c>
      <c r="W38">
        <v>50</v>
      </c>
      <c r="AA38" s="25"/>
    </row>
    <row r="39" spans="1:27" x14ac:dyDescent="0.25">
      <c r="A39" t="s">
        <v>73</v>
      </c>
      <c r="B39">
        <v>2</v>
      </c>
      <c r="C39" s="25">
        <v>90.990680992864668</v>
      </c>
      <c r="D39" s="25"/>
      <c r="E39" s="25"/>
      <c r="F39" t="s">
        <v>67</v>
      </c>
      <c r="G39">
        <v>2</v>
      </c>
      <c r="H39">
        <v>52.5</v>
      </c>
      <c r="K39" t="s">
        <v>85</v>
      </c>
      <c r="L39">
        <v>2</v>
      </c>
      <c r="M39">
        <v>75</v>
      </c>
      <c r="P39" t="s">
        <v>62</v>
      </c>
      <c r="Q39">
        <v>3</v>
      </c>
      <c r="R39">
        <v>54.3599743545008</v>
      </c>
      <c r="U39" t="s">
        <v>317</v>
      </c>
      <c r="V39">
        <v>4</v>
      </c>
      <c r="W39">
        <v>50</v>
      </c>
      <c r="AA39" s="25"/>
    </row>
    <row r="40" spans="1:27" x14ac:dyDescent="0.25">
      <c r="A40" t="s">
        <v>36</v>
      </c>
      <c r="B40">
        <v>2</v>
      </c>
      <c r="C40" s="25">
        <v>89.671975471228947</v>
      </c>
      <c r="D40" s="25"/>
      <c r="E40" s="25"/>
      <c r="F40" t="s">
        <v>98</v>
      </c>
      <c r="G40">
        <v>2</v>
      </c>
      <c r="H40">
        <v>52.5</v>
      </c>
      <c r="K40" t="s">
        <v>311</v>
      </c>
      <c r="L40">
        <v>3</v>
      </c>
      <c r="M40">
        <v>75</v>
      </c>
      <c r="P40" t="s">
        <v>310</v>
      </c>
      <c r="Q40">
        <v>3</v>
      </c>
      <c r="R40">
        <v>54.229141341332792</v>
      </c>
      <c r="U40" t="s">
        <v>151</v>
      </c>
      <c r="V40">
        <v>2</v>
      </c>
      <c r="W40">
        <v>50</v>
      </c>
      <c r="AA40" s="25"/>
    </row>
    <row r="41" spans="1:27" x14ac:dyDescent="0.25">
      <c r="A41" t="s">
        <v>66</v>
      </c>
      <c r="B41">
        <v>2</v>
      </c>
      <c r="C41" s="25">
        <v>89.671975471228947</v>
      </c>
      <c r="D41" s="25"/>
      <c r="E41" s="25"/>
      <c r="F41" t="s">
        <v>111</v>
      </c>
      <c r="G41">
        <v>2</v>
      </c>
      <c r="H41">
        <v>52.5</v>
      </c>
      <c r="K41" t="s">
        <v>88</v>
      </c>
      <c r="L41">
        <v>3</v>
      </c>
      <c r="M41">
        <v>75</v>
      </c>
      <c r="P41" t="s">
        <v>66</v>
      </c>
      <c r="Q41">
        <v>2</v>
      </c>
      <c r="R41">
        <v>54.218191937005727</v>
      </c>
      <c r="U41" t="s">
        <v>154</v>
      </c>
      <c r="V41">
        <v>3</v>
      </c>
      <c r="W41">
        <v>50</v>
      </c>
      <c r="AA41" s="25"/>
    </row>
    <row r="42" spans="1:27" x14ac:dyDescent="0.25">
      <c r="A42" t="s">
        <v>88</v>
      </c>
      <c r="B42">
        <v>3</v>
      </c>
      <c r="C42" s="25">
        <v>89.671975471228947</v>
      </c>
      <c r="D42" s="25"/>
      <c r="E42" s="25"/>
      <c r="F42" t="s">
        <v>160</v>
      </c>
      <c r="G42">
        <v>4</v>
      </c>
      <c r="H42">
        <v>52.5</v>
      </c>
      <c r="K42" t="s">
        <v>98</v>
      </c>
      <c r="L42">
        <v>2</v>
      </c>
      <c r="M42">
        <v>75</v>
      </c>
      <c r="P42" t="s">
        <v>110</v>
      </c>
      <c r="Q42">
        <v>3</v>
      </c>
      <c r="R42">
        <v>53.991842608882088</v>
      </c>
      <c r="U42" t="s">
        <v>158</v>
      </c>
      <c r="V42">
        <v>2</v>
      </c>
      <c r="W42">
        <v>50</v>
      </c>
      <c r="AA42" s="25"/>
    </row>
    <row r="43" spans="1:27" x14ac:dyDescent="0.25">
      <c r="A43" t="s">
        <v>99</v>
      </c>
      <c r="B43">
        <v>3</v>
      </c>
      <c r="C43" s="25">
        <v>89.671975471228947</v>
      </c>
      <c r="D43" s="25"/>
      <c r="E43" s="25"/>
      <c r="F43" t="s">
        <v>174</v>
      </c>
      <c r="G43">
        <v>2</v>
      </c>
      <c r="H43">
        <v>52.5</v>
      </c>
      <c r="K43" t="s">
        <v>103</v>
      </c>
      <c r="L43">
        <v>2</v>
      </c>
      <c r="M43">
        <v>75</v>
      </c>
      <c r="P43" t="s">
        <v>171</v>
      </c>
      <c r="Q43">
        <v>2</v>
      </c>
      <c r="R43">
        <v>53.811745942149408</v>
      </c>
      <c r="U43" t="s">
        <v>171</v>
      </c>
      <c r="V43">
        <v>2</v>
      </c>
      <c r="W43">
        <v>50</v>
      </c>
      <c r="AA43" s="25"/>
    </row>
    <row r="44" spans="1:27" x14ac:dyDescent="0.25">
      <c r="A44" t="s">
        <v>102</v>
      </c>
      <c r="B44">
        <v>2</v>
      </c>
      <c r="C44" s="25">
        <v>89.671975471228947</v>
      </c>
      <c r="D44" s="25"/>
      <c r="E44" s="25"/>
      <c r="F44" t="s">
        <v>195</v>
      </c>
      <c r="G44">
        <v>4</v>
      </c>
      <c r="H44">
        <v>52.5</v>
      </c>
      <c r="K44" t="s">
        <v>136</v>
      </c>
      <c r="L44">
        <v>3</v>
      </c>
      <c r="M44">
        <v>75</v>
      </c>
      <c r="P44" t="s">
        <v>147</v>
      </c>
      <c r="Q44">
        <v>2</v>
      </c>
      <c r="R44">
        <v>53.787988696383557</v>
      </c>
      <c r="U44" t="s">
        <v>172</v>
      </c>
      <c r="V44">
        <v>3</v>
      </c>
      <c r="W44">
        <v>50</v>
      </c>
      <c r="AA44" s="25"/>
    </row>
    <row r="45" spans="1:27" x14ac:dyDescent="0.25">
      <c r="A45" t="s">
        <v>107</v>
      </c>
      <c r="B45">
        <v>3</v>
      </c>
      <c r="C45" s="25">
        <v>89.671975471228947</v>
      </c>
      <c r="D45" s="25"/>
      <c r="E45" s="25"/>
      <c r="F45" t="s">
        <v>26</v>
      </c>
      <c r="G45">
        <v>1</v>
      </c>
      <c r="H45">
        <v>51.25</v>
      </c>
      <c r="K45" t="s">
        <v>156</v>
      </c>
      <c r="L45">
        <v>3</v>
      </c>
      <c r="M45">
        <v>75</v>
      </c>
      <c r="P45" t="s">
        <v>219</v>
      </c>
      <c r="Q45">
        <v>4</v>
      </c>
      <c r="R45">
        <v>53.78611844996837</v>
      </c>
      <c r="U45" t="s">
        <v>184</v>
      </c>
      <c r="V45">
        <v>3</v>
      </c>
      <c r="W45">
        <v>50</v>
      </c>
      <c r="AA45" s="25"/>
    </row>
    <row r="46" spans="1:27" x14ac:dyDescent="0.25">
      <c r="A46" t="s">
        <v>114</v>
      </c>
      <c r="B46">
        <v>2</v>
      </c>
      <c r="C46" s="25">
        <v>89.671975471228947</v>
      </c>
      <c r="D46" s="25"/>
      <c r="E46" s="25"/>
      <c r="F46" t="s">
        <v>290</v>
      </c>
      <c r="G46">
        <v>4</v>
      </c>
      <c r="H46">
        <v>51.25</v>
      </c>
      <c r="K46" t="s">
        <v>158</v>
      </c>
      <c r="L46">
        <v>2</v>
      </c>
      <c r="M46">
        <v>75</v>
      </c>
      <c r="P46" t="s">
        <v>69</v>
      </c>
      <c r="Q46">
        <v>3</v>
      </c>
      <c r="R46">
        <v>53.768870490864899</v>
      </c>
      <c r="U46" t="s">
        <v>185</v>
      </c>
      <c r="V46">
        <v>3</v>
      </c>
      <c r="W46">
        <v>50</v>
      </c>
      <c r="AA46" s="25"/>
    </row>
    <row r="47" spans="1:27" x14ac:dyDescent="0.25">
      <c r="A47" t="s">
        <v>127</v>
      </c>
      <c r="B47">
        <v>4</v>
      </c>
      <c r="C47" s="25">
        <v>89.671975471228947</v>
      </c>
      <c r="D47" s="25"/>
      <c r="E47" s="25"/>
      <c r="F47" t="s">
        <v>31</v>
      </c>
      <c r="G47">
        <v>1</v>
      </c>
      <c r="H47">
        <v>50</v>
      </c>
      <c r="K47" t="s">
        <v>168</v>
      </c>
      <c r="L47">
        <v>3</v>
      </c>
      <c r="M47">
        <v>75</v>
      </c>
      <c r="P47" t="s">
        <v>40</v>
      </c>
      <c r="Q47">
        <v>1</v>
      </c>
      <c r="R47">
        <v>53.708488196895146</v>
      </c>
      <c r="U47" t="s">
        <v>189</v>
      </c>
      <c r="V47">
        <v>2</v>
      </c>
      <c r="W47">
        <v>50</v>
      </c>
      <c r="AA47" s="25"/>
    </row>
    <row r="48" spans="1:27" x14ac:dyDescent="0.25">
      <c r="A48" t="s">
        <v>132</v>
      </c>
      <c r="B48">
        <v>3</v>
      </c>
      <c r="C48" s="25">
        <v>89.671975471228947</v>
      </c>
      <c r="D48" s="25"/>
      <c r="E48" s="25"/>
      <c r="F48" t="s">
        <v>45</v>
      </c>
      <c r="G48">
        <v>2</v>
      </c>
      <c r="H48">
        <v>47.5</v>
      </c>
      <c r="K48" t="s">
        <v>173</v>
      </c>
      <c r="L48">
        <v>2</v>
      </c>
      <c r="M48">
        <v>75</v>
      </c>
      <c r="P48" t="s">
        <v>75</v>
      </c>
      <c r="Q48">
        <v>2</v>
      </c>
      <c r="R48">
        <v>53.651676415040079</v>
      </c>
      <c r="U48" t="s">
        <v>202</v>
      </c>
      <c r="V48">
        <v>4</v>
      </c>
      <c r="W48">
        <v>50</v>
      </c>
      <c r="AA48" s="25"/>
    </row>
    <row r="49" spans="1:31" x14ac:dyDescent="0.25">
      <c r="A49" t="s">
        <v>314</v>
      </c>
      <c r="B49">
        <v>2</v>
      </c>
      <c r="C49" s="25">
        <v>89.671975471228947</v>
      </c>
      <c r="D49" s="25"/>
      <c r="E49" s="25"/>
      <c r="F49" t="s">
        <v>79</v>
      </c>
      <c r="G49">
        <v>2</v>
      </c>
      <c r="H49">
        <v>47.5</v>
      </c>
      <c r="K49" t="s">
        <v>199</v>
      </c>
      <c r="L49">
        <v>2</v>
      </c>
      <c r="M49">
        <v>75</v>
      </c>
      <c r="P49" t="s">
        <v>34</v>
      </c>
      <c r="Q49">
        <v>2</v>
      </c>
      <c r="R49">
        <v>53.648588508408871</v>
      </c>
      <c r="U49" t="s">
        <v>208</v>
      </c>
      <c r="V49">
        <v>4</v>
      </c>
      <c r="W49">
        <v>50</v>
      </c>
      <c r="AA49" s="25"/>
    </row>
    <row r="50" spans="1:31" x14ac:dyDescent="0.25">
      <c r="A50" t="s">
        <v>142</v>
      </c>
      <c r="B50">
        <v>3</v>
      </c>
      <c r="C50" s="25">
        <v>89.671975471228947</v>
      </c>
      <c r="D50" s="25"/>
      <c r="E50" s="25"/>
      <c r="F50" t="s">
        <v>108</v>
      </c>
      <c r="G50">
        <v>3</v>
      </c>
      <c r="H50">
        <v>47.5</v>
      </c>
      <c r="K50" t="s">
        <v>275</v>
      </c>
      <c r="L50">
        <v>4</v>
      </c>
      <c r="M50">
        <v>75</v>
      </c>
      <c r="P50" t="s">
        <v>263</v>
      </c>
      <c r="Q50">
        <v>4</v>
      </c>
      <c r="R50">
        <v>53.6170730174304</v>
      </c>
      <c r="U50" t="s">
        <v>216</v>
      </c>
      <c r="V50">
        <v>2</v>
      </c>
      <c r="W50">
        <v>50</v>
      </c>
      <c r="AA50" s="25"/>
    </row>
    <row r="51" spans="1:31" x14ac:dyDescent="0.25">
      <c r="A51" t="s">
        <v>144</v>
      </c>
      <c r="B51">
        <v>3</v>
      </c>
      <c r="C51" s="25">
        <v>89.671975471228947</v>
      </c>
      <c r="D51" s="25"/>
      <c r="E51" s="25"/>
      <c r="F51" t="s">
        <v>129</v>
      </c>
      <c r="G51">
        <v>3</v>
      </c>
      <c r="H51">
        <v>47.5</v>
      </c>
      <c r="K51" t="s">
        <v>298</v>
      </c>
      <c r="L51">
        <v>4</v>
      </c>
      <c r="M51">
        <v>75</v>
      </c>
      <c r="P51" t="s">
        <v>230</v>
      </c>
      <c r="Q51">
        <v>3</v>
      </c>
      <c r="R51">
        <v>53.587049939676682</v>
      </c>
      <c r="U51" t="s">
        <v>225</v>
      </c>
      <c r="V51">
        <v>4</v>
      </c>
      <c r="W51">
        <v>50</v>
      </c>
      <c r="AA51" s="25"/>
    </row>
    <row r="52" spans="1:31" x14ac:dyDescent="0.25">
      <c r="A52" t="s">
        <v>150</v>
      </c>
      <c r="B52">
        <v>2</v>
      </c>
      <c r="C52" s="25">
        <v>89.671975471228947</v>
      </c>
      <c r="D52" s="25"/>
      <c r="E52" s="25"/>
      <c r="F52" t="s">
        <v>193</v>
      </c>
      <c r="G52">
        <v>3</v>
      </c>
      <c r="H52">
        <v>47.5</v>
      </c>
      <c r="K52" t="s">
        <v>38</v>
      </c>
      <c r="L52">
        <v>1</v>
      </c>
      <c r="M52">
        <v>73.75</v>
      </c>
      <c r="P52" t="s">
        <v>97</v>
      </c>
      <c r="Q52">
        <v>3</v>
      </c>
      <c r="R52">
        <v>53.416600960960544</v>
      </c>
      <c r="U52" t="s">
        <v>228</v>
      </c>
      <c r="V52">
        <v>3</v>
      </c>
      <c r="W52">
        <v>50</v>
      </c>
      <c r="AA52" s="25"/>
    </row>
    <row r="53" spans="1:31" x14ac:dyDescent="0.25">
      <c r="A53" t="s">
        <v>153</v>
      </c>
      <c r="B53">
        <v>2</v>
      </c>
      <c r="C53" s="25">
        <v>89.671975471228947</v>
      </c>
      <c r="D53" s="25"/>
      <c r="E53" s="25"/>
      <c r="F53" t="s">
        <v>228</v>
      </c>
      <c r="G53">
        <v>3</v>
      </c>
      <c r="H53">
        <v>47.5</v>
      </c>
      <c r="K53" t="s">
        <v>54</v>
      </c>
      <c r="L53">
        <v>2</v>
      </c>
      <c r="M53">
        <v>73.75</v>
      </c>
      <c r="P53" s="1" t="s">
        <v>220</v>
      </c>
      <c r="Q53" s="1">
        <v>4</v>
      </c>
      <c r="R53">
        <v>53.392364629335319</v>
      </c>
      <c r="U53" t="s">
        <v>240</v>
      </c>
      <c r="V53">
        <v>4</v>
      </c>
      <c r="W53">
        <v>50</v>
      </c>
      <c r="AA53" s="25"/>
    </row>
    <row r="54" spans="1:31" x14ac:dyDescent="0.25">
      <c r="A54" t="s">
        <v>161</v>
      </c>
      <c r="B54">
        <v>3</v>
      </c>
      <c r="C54" s="25">
        <v>89.671975471228947</v>
      </c>
      <c r="D54" s="25"/>
      <c r="E54" s="25"/>
      <c r="F54" t="s">
        <v>230</v>
      </c>
      <c r="G54">
        <v>3</v>
      </c>
      <c r="H54">
        <v>47.5</v>
      </c>
      <c r="K54" t="s">
        <v>57</v>
      </c>
      <c r="L54">
        <v>2</v>
      </c>
      <c r="M54">
        <v>73.75</v>
      </c>
      <c r="P54" t="s">
        <v>70</v>
      </c>
      <c r="Q54">
        <v>4</v>
      </c>
      <c r="R54">
        <v>53.3916460551185</v>
      </c>
      <c r="U54" t="s">
        <v>261</v>
      </c>
      <c r="V54">
        <v>4</v>
      </c>
      <c r="W54">
        <v>50</v>
      </c>
      <c r="AA54" s="25"/>
    </row>
    <row r="55" spans="1:31" x14ac:dyDescent="0.25">
      <c r="A55" t="s">
        <v>162</v>
      </c>
      <c r="B55">
        <v>3</v>
      </c>
      <c r="C55" s="25">
        <v>89.671975471228947</v>
      </c>
      <c r="D55" s="25"/>
      <c r="E55" s="25"/>
      <c r="F55" t="s">
        <v>232</v>
      </c>
      <c r="G55">
        <v>3</v>
      </c>
      <c r="H55">
        <v>47.5</v>
      </c>
      <c r="K55" t="s">
        <v>58</v>
      </c>
      <c r="L55">
        <v>1</v>
      </c>
      <c r="M55">
        <v>73.75</v>
      </c>
      <c r="P55" t="s">
        <v>136</v>
      </c>
      <c r="Q55">
        <v>3</v>
      </c>
      <c r="R55">
        <v>53.345673688434296</v>
      </c>
      <c r="U55" t="s">
        <v>277</v>
      </c>
      <c r="V55">
        <v>4</v>
      </c>
      <c r="W55">
        <v>50</v>
      </c>
      <c r="AA55" s="25"/>
    </row>
    <row r="56" spans="1:31" x14ac:dyDescent="0.25">
      <c r="A56" t="s">
        <v>167</v>
      </c>
      <c r="B56">
        <v>4</v>
      </c>
      <c r="C56" s="25">
        <v>89.671975471228947</v>
      </c>
      <c r="D56" s="25"/>
      <c r="E56" s="25"/>
      <c r="F56" t="s">
        <v>274</v>
      </c>
      <c r="G56">
        <v>3</v>
      </c>
      <c r="H56">
        <v>47.5</v>
      </c>
      <c r="K56" t="s">
        <v>84</v>
      </c>
      <c r="L56">
        <v>2</v>
      </c>
      <c r="M56">
        <v>73.75</v>
      </c>
      <c r="P56" t="s">
        <v>85</v>
      </c>
      <c r="Q56">
        <v>2</v>
      </c>
      <c r="R56">
        <v>53.168295807217689</v>
      </c>
      <c r="U56" t="s">
        <v>282</v>
      </c>
      <c r="V56">
        <v>3</v>
      </c>
      <c r="W56">
        <v>50</v>
      </c>
      <c r="AA56" s="25"/>
    </row>
    <row r="57" spans="1:31" x14ac:dyDescent="0.25">
      <c r="A57" t="s">
        <v>183</v>
      </c>
      <c r="B57">
        <v>3</v>
      </c>
      <c r="C57" s="25">
        <v>89.671975471228947</v>
      </c>
      <c r="D57" s="25"/>
      <c r="E57" s="25"/>
      <c r="F57" t="s">
        <v>28</v>
      </c>
      <c r="G57">
        <v>1</v>
      </c>
      <c r="H57">
        <v>46.25</v>
      </c>
      <c r="K57" t="s">
        <v>102</v>
      </c>
      <c r="L57">
        <v>2</v>
      </c>
      <c r="M57">
        <v>73.75</v>
      </c>
      <c r="P57" t="s">
        <v>107</v>
      </c>
      <c r="Q57">
        <v>3</v>
      </c>
      <c r="R57">
        <v>53.037545351646095</v>
      </c>
      <c r="U57" t="s">
        <v>297</v>
      </c>
      <c r="V57">
        <v>4</v>
      </c>
      <c r="W57">
        <v>50</v>
      </c>
      <c r="AA57" s="25"/>
    </row>
    <row r="58" spans="1:31" x14ac:dyDescent="0.25">
      <c r="A58" t="s">
        <v>205</v>
      </c>
      <c r="B58">
        <v>3</v>
      </c>
      <c r="C58" s="25">
        <v>89.671975471228947</v>
      </c>
      <c r="D58" s="25"/>
      <c r="E58" s="25"/>
      <c r="F58" t="s">
        <v>41</v>
      </c>
      <c r="G58">
        <v>3</v>
      </c>
      <c r="H58">
        <v>46.25</v>
      </c>
      <c r="K58" t="s">
        <v>124</v>
      </c>
      <c r="L58">
        <v>2</v>
      </c>
      <c r="M58">
        <v>73.75</v>
      </c>
      <c r="P58" t="s">
        <v>57</v>
      </c>
      <c r="Q58">
        <v>2</v>
      </c>
      <c r="R58">
        <v>52.979491940510755</v>
      </c>
      <c r="U58" s="31" t="s">
        <v>27</v>
      </c>
      <c r="V58" s="31">
        <v>1</v>
      </c>
      <c r="W58" s="31">
        <v>37.5</v>
      </c>
      <c r="AA58" s="25"/>
      <c r="AE58" s="31"/>
    </row>
    <row r="59" spans="1:31" x14ac:dyDescent="0.25">
      <c r="A59" t="s">
        <v>206</v>
      </c>
      <c r="B59">
        <v>3</v>
      </c>
      <c r="C59" s="25">
        <v>89.671975471228947</v>
      </c>
      <c r="D59" s="25"/>
      <c r="E59" s="25"/>
      <c r="F59" t="s">
        <v>46</v>
      </c>
      <c r="G59">
        <v>2</v>
      </c>
      <c r="H59">
        <v>46.25</v>
      </c>
      <c r="K59" t="s">
        <v>129</v>
      </c>
      <c r="L59">
        <v>3</v>
      </c>
      <c r="M59">
        <v>73.75</v>
      </c>
      <c r="P59" t="s">
        <v>129</v>
      </c>
      <c r="Q59">
        <v>3</v>
      </c>
      <c r="R59">
        <v>52.762927867610834</v>
      </c>
      <c r="U59" t="s">
        <v>29</v>
      </c>
      <c r="V59">
        <v>2</v>
      </c>
      <c r="W59">
        <v>37.5</v>
      </c>
      <c r="AA59" s="25"/>
    </row>
    <row r="60" spans="1:31" x14ac:dyDescent="0.25">
      <c r="A60" t="s">
        <v>209</v>
      </c>
      <c r="B60">
        <v>4</v>
      </c>
      <c r="C60" s="25">
        <v>89.671975471228947</v>
      </c>
      <c r="D60" s="25"/>
      <c r="E60" s="25"/>
      <c r="F60" t="s">
        <v>49</v>
      </c>
      <c r="G60">
        <v>1</v>
      </c>
      <c r="H60">
        <v>46.25</v>
      </c>
      <c r="K60" t="s">
        <v>146</v>
      </c>
      <c r="L60">
        <v>3</v>
      </c>
      <c r="M60">
        <v>73.75</v>
      </c>
      <c r="P60" t="s">
        <v>156</v>
      </c>
      <c r="Q60">
        <v>3</v>
      </c>
      <c r="R60">
        <v>52.760580327279925</v>
      </c>
      <c r="U60" t="s">
        <v>41</v>
      </c>
      <c r="V60">
        <v>3</v>
      </c>
      <c r="W60">
        <v>37.5</v>
      </c>
      <c r="AA60" s="25"/>
    </row>
    <row r="61" spans="1:31" x14ac:dyDescent="0.25">
      <c r="A61" s="1" t="s">
        <v>220</v>
      </c>
      <c r="B61" s="1">
        <v>4</v>
      </c>
      <c r="C61" s="25">
        <v>89.671975471228947</v>
      </c>
      <c r="D61" s="25"/>
      <c r="E61" s="25"/>
      <c r="F61" t="s">
        <v>53</v>
      </c>
      <c r="G61">
        <v>3</v>
      </c>
      <c r="H61">
        <v>46.25</v>
      </c>
      <c r="K61" t="s">
        <v>147</v>
      </c>
      <c r="L61">
        <v>2</v>
      </c>
      <c r="M61">
        <v>73.75</v>
      </c>
      <c r="P61" t="s">
        <v>315</v>
      </c>
      <c r="Q61">
        <v>2</v>
      </c>
      <c r="R61">
        <v>52.722133853203722</v>
      </c>
      <c r="U61" t="s">
        <v>42</v>
      </c>
      <c r="V61">
        <v>2</v>
      </c>
      <c r="W61">
        <v>37.5</v>
      </c>
      <c r="AA61" s="25"/>
    </row>
    <row r="62" spans="1:31" x14ac:dyDescent="0.25">
      <c r="A62" t="s">
        <v>233</v>
      </c>
      <c r="B62">
        <v>3</v>
      </c>
      <c r="C62" s="25">
        <v>89.671975471228947</v>
      </c>
      <c r="D62" s="25"/>
      <c r="E62" s="25"/>
      <c r="F62" t="s">
        <v>84</v>
      </c>
      <c r="G62">
        <v>2</v>
      </c>
      <c r="H62">
        <v>46.25</v>
      </c>
      <c r="K62" t="s">
        <v>228</v>
      </c>
      <c r="L62">
        <v>3</v>
      </c>
      <c r="M62">
        <v>73.75</v>
      </c>
      <c r="P62" t="s">
        <v>46</v>
      </c>
      <c r="Q62">
        <v>2</v>
      </c>
      <c r="R62">
        <v>52.665786168039425</v>
      </c>
      <c r="U62" t="s">
        <v>45</v>
      </c>
      <c r="V62">
        <v>2</v>
      </c>
      <c r="W62">
        <v>37.5</v>
      </c>
      <c r="AA62" s="25"/>
    </row>
    <row r="63" spans="1:31" x14ac:dyDescent="0.25">
      <c r="A63" t="s">
        <v>239</v>
      </c>
      <c r="B63">
        <v>4</v>
      </c>
      <c r="C63" s="25">
        <v>89.671975471228947</v>
      </c>
      <c r="D63" s="25"/>
      <c r="E63" s="25"/>
      <c r="F63" t="s">
        <v>110</v>
      </c>
      <c r="G63">
        <v>3</v>
      </c>
      <c r="H63">
        <v>46.25</v>
      </c>
      <c r="K63" t="s">
        <v>73</v>
      </c>
      <c r="L63">
        <v>2</v>
      </c>
      <c r="M63">
        <v>67.5</v>
      </c>
      <c r="P63" t="s">
        <v>114</v>
      </c>
      <c r="Q63">
        <v>2</v>
      </c>
      <c r="R63">
        <v>52.500898698008243</v>
      </c>
      <c r="U63" t="s">
        <v>47</v>
      </c>
      <c r="V63">
        <v>2</v>
      </c>
      <c r="W63">
        <v>37.5</v>
      </c>
      <c r="AA63" s="25"/>
    </row>
    <row r="64" spans="1:31" x14ac:dyDescent="0.25">
      <c r="A64" t="s">
        <v>256</v>
      </c>
      <c r="B64">
        <v>4</v>
      </c>
      <c r="C64" s="25">
        <v>89.671975471228947</v>
      </c>
      <c r="D64" s="25"/>
      <c r="E64" s="25"/>
      <c r="F64" t="s">
        <v>113</v>
      </c>
      <c r="G64">
        <v>2</v>
      </c>
      <c r="H64">
        <v>46.25</v>
      </c>
      <c r="K64" t="s">
        <v>78</v>
      </c>
      <c r="L64">
        <v>2</v>
      </c>
      <c r="M64">
        <v>67.5</v>
      </c>
      <c r="P64" t="s">
        <v>206</v>
      </c>
      <c r="Q64">
        <v>3</v>
      </c>
      <c r="R64">
        <v>52.435277866856708</v>
      </c>
      <c r="U64" t="s">
        <v>48</v>
      </c>
      <c r="V64">
        <v>1</v>
      </c>
      <c r="W64">
        <v>37.5</v>
      </c>
      <c r="AA64" s="25"/>
    </row>
    <row r="65" spans="1:30" x14ac:dyDescent="0.25">
      <c r="A65" t="s">
        <v>258</v>
      </c>
      <c r="B65">
        <v>4</v>
      </c>
      <c r="C65" s="25">
        <v>89.671975471228947</v>
      </c>
      <c r="D65" s="25"/>
      <c r="E65" s="25"/>
      <c r="F65" t="s">
        <v>150</v>
      </c>
      <c r="G65">
        <v>2</v>
      </c>
      <c r="H65">
        <v>46.25</v>
      </c>
      <c r="K65" t="s">
        <v>80</v>
      </c>
      <c r="L65">
        <v>2</v>
      </c>
      <c r="M65">
        <v>67.5</v>
      </c>
      <c r="P65" t="s">
        <v>54</v>
      </c>
      <c r="Q65">
        <v>2</v>
      </c>
      <c r="R65">
        <v>52.432393981855064</v>
      </c>
      <c r="U65" t="s">
        <v>49</v>
      </c>
      <c r="V65">
        <v>1</v>
      </c>
      <c r="W65">
        <v>37.5</v>
      </c>
      <c r="AA65" s="25"/>
    </row>
    <row r="66" spans="1:30" x14ac:dyDescent="0.25">
      <c r="A66" t="s">
        <v>260</v>
      </c>
      <c r="B66">
        <v>4</v>
      </c>
      <c r="C66" s="25">
        <v>89.671975471228947</v>
      </c>
      <c r="D66" s="25"/>
      <c r="E66" s="25"/>
      <c r="F66" t="s">
        <v>161</v>
      </c>
      <c r="G66">
        <v>3</v>
      </c>
      <c r="H66">
        <v>46.25</v>
      </c>
      <c r="K66" t="s">
        <v>95</v>
      </c>
      <c r="L66">
        <v>3</v>
      </c>
      <c r="M66">
        <v>67.5</v>
      </c>
      <c r="P66" t="s">
        <v>23</v>
      </c>
      <c r="Q66">
        <v>1</v>
      </c>
      <c r="R66">
        <v>52.320329591402938</v>
      </c>
      <c r="U66" t="s">
        <v>62</v>
      </c>
      <c r="V66">
        <v>3</v>
      </c>
      <c r="W66">
        <v>37.5</v>
      </c>
      <c r="AA66" s="25"/>
    </row>
    <row r="67" spans="1:30" x14ac:dyDescent="0.25">
      <c r="A67" t="s">
        <v>261</v>
      </c>
      <c r="B67">
        <v>4</v>
      </c>
      <c r="C67" s="25">
        <v>89.671975471228947</v>
      </c>
      <c r="D67" s="25"/>
      <c r="E67" s="25"/>
      <c r="F67" t="s">
        <v>168</v>
      </c>
      <c r="G67">
        <v>3</v>
      </c>
      <c r="H67">
        <v>46.25</v>
      </c>
      <c r="K67" t="s">
        <v>131</v>
      </c>
      <c r="L67">
        <v>2</v>
      </c>
      <c r="M67">
        <v>67.5</v>
      </c>
      <c r="P67" t="s">
        <v>256</v>
      </c>
      <c r="Q67">
        <v>4</v>
      </c>
      <c r="R67">
        <v>52.142744826202886</v>
      </c>
      <c r="U67" t="s">
        <v>73</v>
      </c>
      <c r="V67">
        <v>2</v>
      </c>
      <c r="W67">
        <v>37.5</v>
      </c>
      <c r="AA67" s="25"/>
    </row>
    <row r="68" spans="1:30" x14ac:dyDescent="0.25">
      <c r="A68" t="s">
        <v>266</v>
      </c>
      <c r="B68">
        <v>4</v>
      </c>
      <c r="C68" s="25">
        <v>89.671975471228947</v>
      </c>
      <c r="D68" s="25"/>
      <c r="E68" s="25"/>
      <c r="F68" t="s">
        <v>185</v>
      </c>
      <c r="G68">
        <v>3</v>
      </c>
      <c r="H68">
        <v>46.25</v>
      </c>
      <c r="K68" t="s">
        <v>187</v>
      </c>
      <c r="L68">
        <v>4</v>
      </c>
      <c r="M68">
        <v>67.5</v>
      </c>
      <c r="P68" t="s">
        <v>81</v>
      </c>
      <c r="Q68">
        <v>3</v>
      </c>
      <c r="R68">
        <v>52.088926657845896</v>
      </c>
      <c r="U68" t="s">
        <v>96</v>
      </c>
      <c r="V68">
        <v>3</v>
      </c>
      <c r="W68">
        <v>37.5</v>
      </c>
      <c r="AA68" s="25"/>
    </row>
    <row r="69" spans="1:30" x14ac:dyDescent="0.25">
      <c r="A69" t="s">
        <v>269</v>
      </c>
      <c r="B69">
        <v>3</v>
      </c>
      <c r="C69" s="25">
        <v>89.671975471228947</v>
      </c>
      <c r="D69" s="25"/>
      <c r="E69" s="25"/>
      <c r="F69" t="s">
        <v>199</v>
      </c>
      <c r="G69">
        <v>2</v>
      </c>
      <c r="H69">
        <v>46.25</v>
      </c>
      <c r="K69" t="s">
        <v>189</v>
      </c>
      <c r="L69">
        <v>2</v>
      </c>
      <c r="M69">
        <v>67.5</v>
      </c>
      <c r="P69" t="s">
        <v>199</v>
      </c>
      <c r="Q69">
        <v>2</v>
      </c>
      <c r="R69">
        <v>52.065517247611538</v>
      </c>
      <c r="U69" t="s">
        <v>120</v>
      </c>
      <c r="V69">
        <v>3</v>
      </c>
      <c r="W69">
        <v>37.5</v>
      </c>
      <c r="AA69" s="25"/>
    </row>
    <row r="70" spans="1:30" x14ac:dyDescent="0.25">
      <c r="A70" t="s">
        <v>271</v>
      </c>
      <c r="B70">
        <v>4</v>
      </c>
      <c r="C70" s="25">
        <v>89.671975471228947</v>
      </c>
      <c r="D70" s="25"/>
      <c r="E70" s="25"/>
      <c r="F70" t="s">
        <v>205</v>
      </c>
      <c r="G70">
        <v>3</v>
      </c>
      <c r="H70">
        <v>46.25</v>
      </c>
      <c r="K70" t="s">
        <v>247</v>
      </c>
      <c r="L70">
        <v>4</v>
      </c>
      <c r="M70">
        <v>67.5</v>
      </c>
      <c r="P70" t="s">
        <v>164</v>
      </c>
      <c r="Q70">
        <v>2</v>
      </c>
      <c r="R70">
        <v>52.059129046166873</v>
      </c>
      <c r="U70" t="s">
        <v>126</v>
      </c>
      <c r="V70">
        <v>3</v>
      </c>
      <c r="W70">
        <v>37.5</v>
      </c>
      <c r="AA70" s="25"/>
    </row>
    <row r="71" spans="1:30" x14ac:dyDescent="0.25">
      <c r="A71" t="s">
        <v>278</v>
      </c>
      <c r="B71">
        <v>4</v>
      </c>
      <c r="C71" s="25">
        <v>89.671975471228947</v>
      </c>
      <c r="D71" s="25"/>
      <c r="E71" s="25"/>
      <c r="F71" t="s">
        <v>208</v>
      </c>
      <c r="G71">
        <v>4</v>
      </c>
      <c r="H71">
        <v>46.25</v>
      </c>
      <c r="K71" t="s">
        <v>274</v>
      </c>
      <c r="L71">
        <v>3</v>
      </c>
      <c r="M71">
        <v>67.5</v>
      </c>
      <c r="P71" t="s">
        <v>58</v>
      </c>
      <c r="Q71">
        <v>1</v>
      </c>
      <c r="R71">
        <v>52.042985238228383</v>
      </c>
      <c r="U71" t="s">
        <v>137</v>
      </c>
      <c r="V71">
        <v>2</v>
      </c>
      <c r="W71">
        <v>37.5</v>
      </c>
      <c r="AA71" s="25"/>
    </row>
    <row r="72" spans="1:30" x14ac:dyDescent="0.25">
      <c r="A72" t="s">
        <v>282</v>
      </c>
      <c r="B72">
        <v>3</v>
      </c>
      <c r="C72" s="25">
        <v>89.671975471228947</v>
      </c>
      <c r="D72" s="25"/>
      <c r="E72" s="25"/>
      <c r="F72" t="s">
        <v>236</v>
      </c>
      <c r="G72">
        <v>3</v>
      </c>
      <c r="H72">
        <v>46.25</v>
      </c>
      <c r="K72" s="31" t="s">
        <v>35</v>
      </c>
      <c r="L72" s="31">
        <v>2</v>
      </c>
      <c r="M72" s="31">
        <v>66.25</v>
      </c>
      <c r="P72" t="s">
        <v>100</v>
      </c>
      <c r="Q72">
        <v>3</v>
      </c>
      <c r="R72">
        <v>52.03140333413949</v>
      </c>
      <c r="U72" t="s">
        <v>142</v>
      </c>
      <c r="V72">
        <v>3</v>
      </c>
      <c r="W72">
        <v>37.5</v>
      </c>
      <c r="AA72" s="25"/>
      <c r="AC72" s="31"/>
    </row>
    <row r="73" spans="1:30" x14ac:dyDescent="0.25">
      <c r="A73" t="s">
        <v>283</v>
      </c>
      <c r="B73">
        <v>4</v>
      </c>
      <c r="C73" s="25">
        <v>89.671975471228947</v>
      </c>
      <c r="D73" s="25"/>
      <c r="E73" s="25"/>
      <c r="F73" t="s">
        <v>298</v>
      </c>
      <c r="G73">
        <v>4</v>
      </c>
      <c r="H73">
        <v>46.25</v>
      </c>
      <c r="K73" t="s">
        <v>64</v>
      </c>
      <c r="L73">
        <v>2</v>
      </c>
      <c r="M73">
        <v>66.25</v>
      </c>
      <c r="P73" t="s">
        <v>30</v>
      </c>
      <c r="Q73">
        <v>1</v>
      </c>
      <c r="R73">
        <v>51.952444793334649</v>
      </c>
      <c r="U73" t="s">
        <v>150</v>
      </c>
      <c r="V73">
        <v>2</v>
      </c>
      <c r="W73">
        <v>37.5</v>
      </c>
      <c r="AA73" s="25"/>
    </row>
    <row r="74" spans="1:30" x14ac:dyDescent="0.25">
      <c r="A74" s="31" t="s">
        <v>64</v>
      </c>
      <c r="B74" s="31">
        <v>2</v>
      </c>
      <c r="C74" s="32">
        <v>88.353269949593241</v>
      </c>
      <c r="D74" s="25"/>
      <c r="E74" s="25"/>
      <c r="F74" t="s">
        <v>138</v>
      </c>
      <c r="G74">
        <v>2</v>
      </c>
      <c r="H74">
        <v>45</v>
      </c>
      <c r="K74" t="s">
        <v>67</v>
      </c>
      <c r="L74">
        <v>2</v>
      </c>
      <c r="M74">
        <v>66.25</v>
      </c>
      <c r="P74" t="s">
        <v>55</v>
      </c>
      <c r="Q74">
        <v>3</v>
      </c>
      <c r="R74">
        <v>51.941152637699304</v>
      </c>
      <c r="U74" t="s">
        <v>161</v>
      </c>
      <c r="V74">
        <v>3</v>
      </c>
      <c r="W74">
        <v>37.5</v>
      </c>
      <c r="AA74" s="32"/>
    </row>
    <row r="75" spans="1:30" x14ac:dyDescent="0.25">
      <c r="A75" s="31" t="s">
        <v>135</v>
      </c>
      <c r="B75" s="31">
        <v>3</v>
      </c>
      <c r="C75" s="32">
        <v>88.353269949593241</v>
      </c>
      <c r="D75" s="25"/>
      <c r="E75" s="25"/>
      <c r="F75" t="s">
        <v>146</v>
      </c>
      <c r="G75">
        <v>3</v>
      </c>
      <c r="H75">
        <v>45</v>
      </c>
      <c r="K75" t="s">
        <v>79</v>
      </c>
      <c r="L75">
        <v>2</v>
      </c>
      <c r="M75">
        <v>66.25</v>
      </c>
      <c r="P75" t="s">
        <v>170</v>
      </c>
      <c r="Q75">
        <v>3</v>
      </c>
      <c r="R75">
        <v>51.91131710718885</v>
      </c>
      <c r="U75" t="s">
        <v>166</v>
      </c>
      <c r="V75">
        <v>3</v>
      </c>
      <c r="W75">
        <v>37.5</v>
      </c>
      <c r="AA75" s="32"/>
    </row>
    <row r="76" spans="1:30" x14ac:dyDescent="0.25">
      <c r="A76" s="31" t="s">
        <v>192</v>
      </c>
      <c r="B76" s="31">
        <v>3</v>
      </c>
      <c r="C76" s="32">
        <v>88.353269949593241</v>
      </c>
      <c r="D76" s="25"/>
      <c r="E76" s="25"/>
      <c r="F76" s="31" t="s">
        <v>40</v>
      </c>
      <c r="G76" s="31">
        <v>1</v>
      </c>
      <c r="H76" s="31">
        <v>43.75</v>
      </c>
      <c r="K76" t="s">
        <v>108</v>
      </c>
      <c r="L76">
        <v>3</v>
      </c>
      <c r="M76">
        <v>66.25</v>
      </c>
      <c r="P76" s="31" t="s">
        <v>71</v>
      </c>
      <c r="Q76" s="31">
        <v>2</v>
      </c>
      <c r="R76" s="31">
        <v>51.908635899790397</v>
      </c>
      <c r="U76" t="s">
        <v>169</v>
      </c>
      <c r="V76">
        <v>4</v>
      </c>
      <c r="W76">
        <v>37.5</v>
      </c>
      <c r="AA76" s="32"/>
      <c r="AB76" s="31"/>
      <c r="AD76" s="31"/>
    </row>
    <row r="77" spans="1:30" x14ac:dyDescent="0.25">
      <c r="A77" s="31" t="s">
        <v>241</v>
      </c>
      <c r="B77" s="31">
        <v>4</v>
      </c>
      <c r="C77" s="32">
        <v>88.353269949593241</v>
      </c>
      <c r="D77" s="25"/>
      <c r="E77" s="25"/>
      <c r="F77" t="s">
        <v>254</v>
      </c>
      <c r="G77">
        <v>3</v>
      </c>
      <c r="H77">
        <v>43.75</v>
      </c>
      <c r="K77" t="s">
        <v>170</v>
      </c>
      <c r="L77">
        <v>3</v>
      </c>
      <c r="M77">
        <v>66.25</v>
      </c>
      <c r="P77" t="s">
        <v>59</v>
      </c>
      <c r="Q77">
        <v>2</v>
      </c>
      <c r="R77">
        <v>51.907861015614557</v>
      </c>
      <c r="U77" t="s">
        <v>170</v>
      </c>
      <c r="V77">
        <v>3</v>
      </c>
      <c r="W77">
        <v>37.5</v>
      </c>
      <c r="AA77" s="32"/>
    </row>
    <row r="78" spans="1:30" x14ac:dyDescent="0.25">
      <c r="A78" s="31" t="s">
        <v>322</v>
      </c>
      <c r="B78" s="31">
        <v>3</v>
      </c>
      <c r="C78" s="32">
        <v>88.353269949593241</v>
      </c>
      <c r="D78" s="25"/>
      <c r="E78" s="25"/>
      <c r="F78" t="s">
        <v>268</v>
      </c>
      <c r="G78">
        <v>3</v>
      </c>
      <c r="H78">
        <v>43.75</v>
      </c>
      <c r="K78" t="s">
        <v>180</v>
      </c>
      <c r="L78">
        <v>2</v>
      </c>
      <c r="M78">
        <v>66.25</v>
      </c>
      <c r="P78" t="s">
        <v>187</v>
      </c>
      <c r="Q78">
        <v>4</v>
      </c>
      <c r="R78">
        <v>51.872779688475376</v>
      </c>
      <c r="U78" t="s">
        <v>174</v>
      </c>
      <c r="V78">
        <v>2</v>
      </c>
      <c r="W78">
        <v>37.5</v>
      </c>
      <c r="AA78" s="32"/>
    </row>
    <row r="79" spans="1:30" x14ac:dyDescent="0.25">
      <c r="A79" t="s">
        <v>27</v>
      </c>
      <c r="B79">
        <v>1</v>
      </c>
      <c r="C79" s="25">
        <v>87.903282985301118</v>
      </c>
      <c r="D79" s="25"/>
      <c r="E79" s="25"/>
      <c r="F79" t="s">
        <v>38</v>
      </c>
      <c r="G79">
        <v>1</v>
      </c>
      <c r="H79">
        <v>41.25</v>
      </c>
      <c r="K79" t="s">
        <v>184</v>
      </c>
      <c r="L79">
        <v>3</v>
      </c>
      <c r="M79">
        <v>66.25</v>
      </c>
      <c r="P79" t="s">
        <v>311</v>
      </c>
      <c r="Q79">
        <v>3</v>
      </c>
      <c r="R79">
        <v>51.853727617625005</v>
      </c>
      <c r="U79" t="s">
        <v>179</v>
      </c>
      <c r="V79">
        <v>2</v>
      </c>
      <c r="W79">
        <v>37.5</v>
      </c>
      <c r="AA79" s="25"/>
    </row>
    <row r="80" spans="1:30" x14ac:dyDescent="0.25">
      <c r="A80" t="s">
        <v>286</v>
      </c>
      <c r="B80">
        <v>4</v>
      </c>
      <c r="C80" s="25">
        <v>87.03456442795752</v>
      </c>
      <c r="D80" s="25"/>
      <c r="E80" s="25"/>
      <c r="F80" t="s">
        <v>39</v>
      </c>
      <c r="G80">
        <v>1</v>
      </c>
      <c r="H80">
        <v>41.25</v>
      </c>
      <c r="K80" t="s">
        <v>195</v>
      </c>
      <c r="L80">
        <v>4</v>
      </c>
      <c r="M80">
        <v>66.25</v>
      </c>
      <c r="P80" t="s">
        <v>74</v>
      </c>
      <c r="Q80">
        <v>2</v>
      </c>
      <c r="R80">
        <v>51.826246078376585</v>
      </c>
      <c r="U80" t="s">
        <v>183</v>
      </c>
      <c r="V80">
        <v>3</v>
      </c>
      <c r="W80">
        <v>37.5</v>
      </c>
      <c r="AA80" s="25"/>
    </row>
    <row r="81" spans="1:31" x14ac:dyDescent="0.25">
      <c r="A81" t="s">
        <v>67</v>
      </c>
      <c r="B81">
        <v>2</v>
      </c>
      <c r="C81" s="25">
        <v>85.715858906321799</v>
      </c>
      <c r="D81" s="25"/>
      <c r="E81" s="25"/>
      <c r="F81" t="s">
        <v>55</v>
      </c>
      <c r="G81">
        <v>3</v>
      </c>
      <c r="H81">
        <v>41.25</v>
      </c>
      <c r="K81" t="s">
        <v>197</v>
      </c>
      <c r="L81">
        <v>3</v>
      </c>
      <c r="M81">
        <v>66.25</v>
      </c>
      <c r="P81" t="s">
        <v>254</v>
      </c>
      <c r="Q81">
        <v>3</v>
      </c>
      <c r="R81">
        <v>51.802009028680679</v>
      </c>
      <c r="U81" t="s">
        <v>188</v>
      </c>
      <c r="V81">
        <v>3</v>
      </c>
      <c r="W81">
        <v>37.5</v>
      </c>
      <c r="AA81" s="25"/>
    </row>
    <row r="82" spans="1:31" x14ac:dyDescent="0.25">
      <c r="A82" t="s">
        <v>68</v>
      </c>
      <c r="B82">
        <v>2</v>
      </c>
      <c r="C82" s="25">
        <v>85.715858906321799</v>
      </c>
      <c r="D82" s="25"/>
      <c r="E82" s="25"/>
      <c r="F82" t="s">
        <v>59</v>
      </c>
      <c r="G82">
        <v>2</v>
      </c>
      <c r="H82">
        <v>41.25</v>
      </c>
      <c r="K82" t="s">
        <v>201</v>
      </c>
      <c r="L82">
        <v>4</v>
      </c>
      <c r="M82">
        <v>66.25</v>
      </c>
      <c r="P82" t="s">
        <v>193</v>
      </c>
      <c r="Q82">
        <v>3</v>
      </c>
      <c r="R82">
        <v>51.720850885439042</v>
      </c>
      <c r="U82" t="s">
        <v>201</v>
      </c>
      <c r="V82">
        <v>4</v>
      </c>
      <c r="W82">
        <v>37.5</v>
      </c>
      <c r="AA82" s="25"/>
    </row>
    <row r="83" spans="1:31" x14ac:dyDescent="0.25">
      <c r="A83" t="s">
        <v>311</v>
      </c>
      <c r="B83">
        <v>3</v>
      </c>
      <c r="C83" s="25">
        <v>85.715858906321799</v>
      </c>
      <c r="D83" s="25"/>
      <c r="E83" s="25"/>
      <c r="F83" t="s">
        <v>68</v>
      </c>
      <c r="G83">
        <v>2</v>
      </c>
      <c r="H83">
        <v>41.25</v>
      </c>
      <c r="K83" t="s">
        <v>205</v>
      </c>
      <c r="L83">
        <v>3</v>
      </c>
      <c r="M83">
        <v>66.25</v>
      </c>
      <c r="P83" t="s">
        <v>163</v>
      </c>
      <c r="Q83">
        <v>3</v>
      </c>
      <c r="R83">
        <v>51.706975841370628</v>
      </c>
      <c r="U83" t="s">
        <v>212</v>
      </c>
      <c r="V83">
        <v>4</v>
      </c>
      <c r="W83">
        <v>37.5</v>
      </c>
      <c r="AA83" s="25"/>
    </row>
    <row r="84" spans="1:31" x14ac:dyDescent="0.25">
      <c r="A84" t="s">
        <v>87</v>
      </c>
      <c r="B84">
        <v>3</v>
      </c>
      <c r="C84" s="25">
        <v>85.715858906321799</v>
      </c>
      <c r="D84" s="25"/>
      <c r="E84" s="25"/>
      <c r="F84" t="s">
        <v>116</v>
      </c>
      <c r="G84">
        <v>3</v>
      </c>
      <c r="H84">
        <v>41.25</v>
      </c>
      <c r="K84" t="s">
        <v>230</v>
      </c>
      <c r="L84">
        <v>3</v>
      </c>
      <c r="M84">
        <v>66.25</v>
      </c>
      <c r="P84" t="s">
        <v>141</v>
      </c>
      <c r="Q84">
        <v>4</v>
      </c>
      <c r="R84">
        <v>51.698033349331205</v>
      </c>
      <c r="U84" t="s">
        <v>217</v>
      </c>
      <c r="V84">
        <v>3</v>
      </c>
      <c r="W84">
        <v>37.5</v>
      </c>
      <c r="AA84" s="25"/>
    </row>
    <row r="85" spans="1:31" x14ac:dyDescent="0.25">
      <c r="A85" t="s">
        <v>89</v>
      </c>
      <c r="B85">
        <v>2</v>
      </c>
      <c r="C85" s="25">
        <v>85.715858906321799</v>
      </c>
      <c r="D85" s="25"/>
      <c r="E85" s="25"/>
      <c r="F85" t="s">
        <v>141</v>
      </c>
      <c r="G85">
        <v>4</v>
      </c>
      <c r="H85">
        <v>41.25</v>
      </c>
      <c r="K85" t="s">
        <v>278</v>
      </c>
      <c r="L85">
        <v>4</v>
      </c>
      <c r="M85">
        <v>66.25</v>
      </c>
      <c r="P85" t="s">
        <v>148</v>
      </c>
      <c r="Q85">
        <v>3</v>
      </c>
      <c r="R85">
        <v>51.687842455619617</v>
      </c>
      <c r="U85" t="s">
        <v>318</v>
      </c>
      <c r="V85">
        <v>3</v>
      </c>
      <c r="W85">
        <v>37.5</v>
      </c>
      <c r="AA85" s="25"/>
    </row>
    <row r="86" spans="1:31" x14ac:dyDescent="0.25">
      <c r="A86" t="s">
        <v>93</v>
      </c>
      <c r="B86">
        <v>2</v>
      </c>
      <c r="C86" s="25">
        <v>85.715858906321799</v>
      </c>
      <c r="D86" s="25"/>
      <c r="E86" s="25"/>
      <c r="F86" t="s">
        <v>147</v>
      </c>
      <c r="G86">
        <v>2</v>
      </c>
      <c r="H86">
        <v>41.25</v>
      </c>
      <c r="K86" t="s">
        <v>284</v>
      </c>
      <c r="L86">
        <v>4</v>
      </c>
      <c r="M86">
        <v>66.25</v>
      </c>
      <c r="P86" t="s">
        <v>222</v>
      </c>
      <c r="Q86">
        <v>4</v>
      </c>
      <c r="R86">
        <v>51.678331317037774</v>
      </c>
      <c r="U86" t="s">
        <v>232</v>
      </c>
      <c r="V86">
        <v>3</v>
      </c>
      <c r="W86">
        <v>37.5</v>
      </c>
      <c r="AA86" s="25"/>
    </row>
    <row r="87" spans="1:31" x14ac:dyDescent="0.25">
      <c r="A87" t="s">
        <v>143</v>
      </c>
      <c r="B87">
        <v>3</v>
      </c>
      <c r="C87" s="25">
        <v>85.715858906321799</v>
      </c>
      <c r="D87" s="25"/>
      <c r="E87" s="25"/>
      <c r="F87" t="s">
        <v>175</v>
      </c>
      <c r="G87">
        <v>3</v>
      </c>
      <c r="H87">
        <v>41.25</v>
      </c>
      <c r="K87" t="s">
        <v>309</v>
      </c>
      <c r="L87">
        <v>2</v>
      </c>
      <c r="M87">
        <v>65</v>
      </c>
      <c r="P87" t="s">
        <v>243</v>
      </c>
      <c r="Q87">
        <v>4</v>
      </c>
      <c r="R87">
        <v>51.494659502326506</v>
      </c>
      <c r="U87" t="s">
        <v>238</v>
      </c>
      <c r="V87">
        <v>3</v>
      </c>
      <c r="W87">
        <v>37.5</v>
      </c>
      <c r="AA87" s="25"/>
    </row>
    <row r="88" spans="1:31" x14ac:dyDescent="0.25">
      <c r="A88" t="s">
        <v>146</v>
      </c>
      <c r="B88">
        <v>3</v>
      </c>
      <c r="C88" s="25">
        <v>85.715858906321799</v>
      </c>
      <c r="D88" s="25"/>
      <c r="E88" s="25"/>
      <c r="F88" t="s">
        <v>218</v>
      </c>
      <c r="G88">
        <v>4</v>
      </c>
      <c r="H88">
        <v>41.25</v>
      </c>
      <c r="K88" t="s">
        <v>26</v>
      </c>
      <c r="L88">
        <v>1</v>
      </c>
      <c r="M88">
        <v>58.75</v>
      </c>
      <c r="P88" t="s">
        <v>285</v>
      </c>
      <c r="Q88">
        <v>4</v>
      </c>
      <c r="R88">
        <v>51.413105829524604</v>
      </c>
      <c r="U88" t="s">
        <v>251</v>
      </c>
      <c r="V88">
        <v>3</v>
      </c>
      <c r="W88">
        <v>37.5</v>
      </c>
      <c r="AA88" s="25"/>
    </row>
    <row r="89" spans="1:31" x14ac:dyDescent="0.25">
      <c r="A89" t="s">
        <v>147</v>
      </c>
      <c r="B89">
        <v>2</v>
      </c>
      <c r="C89" s="25">
        <v>85.715858906321799</v>
      </c>
      <c r="D89" s="25"/>
      <c r="E89" s="25"/>
      <c r="F89" t="s">
        <v>233</v>
      </c>
      <c r="G89">
        <v>3</v>
      </c>
      <c r="H89">
        <v>41.25</v>
      </c>
      <c r="K89" t="s">
        <v>30</v>
      </c>
      <c r="L89">
        <v>1</v>
      </c>
      <c r="M89">
        <v>58.75</v>
      </c>
      <c r="P89" t="s">
        <v>102</v>
      </c>
      <c r="Q89">
        <v>2</v>
      </c>
      <c r="R89">
        <v>51.217495457050546</v>
      </c>
      <c r="U89" t="s">
        <v>262</v>
      </c>
      <c r="V89">
        <v>3</v>
      </c>
      <c r="W89">
        <v>37.5</v>
      </c>
      <c r="AA89" s="25"/>
    </row>
    <row r="90" spans="1:31" x14ac:dyDescent="0.25">
      <c r="A90" t="s">
        <v>159</v>
      </c>
      <c r="B90">
        <v>4</v>
      </c>
      <c r="C90" s="25">
        <v>85.715858906321799</v>
      </c>
      <c r="D90" s="25"/>
      <c r="E90" s="25"/>
      <c r="F90" t="s">
        <v>247</v>
      </c>
      <c r="G90">
        <v>4</v>
      </c>
      <c r="H90">
        <v>41.25</v>
      </c>
      <c r="K90" t="s">
        <v>52</v>
      </c>
      <c r="L90">
        <v>2</v>
      </c>
      <c r="M90">
        <v>58.75</v>
      </c>
      <c r="P90" t="s">
        <v>178</v>
      </c>
      <c r="Q90">
        <v>2</v>
      </c>
      <c r="R90">
        <v>51.206917463660055</v>
      </c>
      <c r="U90" t="s">
        <v>268</v>
      </c>
      <c r="V90">
        <v>3</v>
      </c>
      <c r="W90">
        <v>37.5</v>
      </c>
      <c r="AA90" s="25"/>
    </row>
    <row r="91" spans="1:31" x14ac:dyDescent="0.25">
      <c r="A91" t="s">
        <v>171</v>
      </c>
      <c r="B91">
        <v>2</v>
      </c>
      <c r="C91" s="25">
        <v>85.715858906321799</v>
      </c>
      <c r="D91" s="25"/>
      <c r="E91" s="25"/>
      <c r="F91" t="s">
        <v>288</v>
      </c>
      <c r="G91">
        <v>4</v>
      </c>
      <c r="H91">
        <v>41.25</v>
      </c>
      <c r="K91" t="s">
        <v>91</v>
      </c>
      <c r="L91">
        <v>2</v>
      </c>
      <c r="M91">
        <v>58.75</v>
      </c>
      <c r="P91" t="s">
        <v>37</v>
      </c>
      <c r="Q91">
        <v>1</v>
      </c>
      <c r="R91">
        <v>51.18844142227006</v>
      </c>
      <c r="U91" t="s">
        <v>278</v>
      </c>
      <c r="V91">
        <v>4</v>
      </c>
      <c r="W91">
        <v>37.5</v>
      </c>
      <c r="AA91" s="25"/>
    </row>
    <row r="92" spans="1:31" x14ac:dyDescent="0.25">
      <c r="A92" t="s">
        <v>180</v>
      </c>
      <c r="B92">
        <v>2</v>
      </c>
      <c r="C92" s="25">
        <v>85.715858906321799</v>
      </c>
      <c r="D92" s="25"/>
      <c r="E92" s="25"/>
      <c r="F92" t="s">
        <v>292</v>
      </c>
      <c r="G92">
        <v>4</v>
      </c>
      <c r="H92">
        <v>41.25</v>
      </c>
      <c r="K92" t="s">
        <v>97</v>
      </c>
      <c r="L92">
        <v>3</v>
      </c>
      <c r="M92">
        <v>58.75</v>
      </c>
      <c r="P92" t="s">
        <v>118</v>
      </c>
      <c r="Q92">
        <v>4</v>
      </c>
      <c r="R92">
        <v>51.083193737498696</v>
      </c>
      <c r="U92" t="s">
        <v>325</v>
      </c>
      <c r="V92">
        <v>4</v>
      </c>
      <c r="W92">
        <v>37.5</v>
      </c>
      <c r="AA92" s="25"/>
    </row>
    <row r="93" spans="1:31" x14ac:dyDescent="0.25">
      <c r="A93" t="s">
        <v>195</v>
      </c>
      <c r="B93">
        <v>4</v>
      </c>
      <c r="C93" s="25">
        <v>85.715858906321799</v>
      </c>
      <c r="D93" s="25"/>
      <c r="E93" s="25"/>
      <c r="F93" t="s">
        <v>78</v>
      </c>
      <c r="G93">
        <v>2</v>
      </c>
      <c r="H93">
        <v>40</v>
      </c>
      <c r="K93" t="s">
        <v>117</v>
      </c>
      <c r="L93">
        <v>2</v>
      </c>
      <c r="M93">
        <v>58.75</v>
      </c>
      <c r="P93" t="s">
        <v>181</v>
      </c>
      <c r="Q93">
        <v>3</v>
      </c>
      <c r="R93">
        <v>51.079784039018762</v>
      </c>
      <c r="U93" t="s">
        <v>293</v>
      </c>
      <c r="V93">
        <v>4</v>
      </c>
      <c r="W93">
        <v>37.5</v>
      </c>
      <c r="AA93" s="25"/>
    </row>
    <row r="94" spans="1:31" x14ac:dyDescent="0.25">
      <c r="A94" t="s">
        <v>201</v>
      </c>
      <c r="B94">
        <v>4</v>
      </c>
      <c r="C94" s="25">
        <v>85.715858906321799</v>
      </c>
      <c r="D94" s="25"/>
      <c r="E94" s="25"/>
      <c r="F94" t="s">
        <v>83</v>
      </c>
      <c r="G94">
        <v>2</v>
      </c>
      <c r="H94">
        <v>40</v>
      </c>
      <c r="K94" t="s">
        <v>127</v>
      </c>
      <c r="L94">
        <v>4</v>
      </c>
      <c r="M94">
        <v>58.75</v>
      </c>
      <c r="P94" t="s">
        <v>95</v>
      </c>
      <c r="Q94">
        <v>3</v>
      </c>
      <c r="R94">
        <v>51.040572925729521</v>
      </c>
      <c r="U94" s="22" t="s">
        <v>32</v>
      </c>
      <c r="V94" s="22">
        <v>1</v>
      </c>
      <c r="W94" s="22">
        <v>25</v>
      </c>
      <c r="AA94" s="25"/>
      <c r="AE94" s="22"/>
    </row>
    <row r="95" spans="1:31" x14ac:dyDescent="0.25">
      <c r="A95" t="s">
        <v>228</v>
      </c>
      <c r="B95">
        <v>3</v>
      </c>
      <c r="C95" s="25">
        <v>85.715858906321799</v>
      </c>
      <c r="D95" s="25"/>
      <c r="E95" s="25"/>
      <c r="F95" t="s">
        <v>92</v>
      </c>
      <c r="G95">
        <v>3</v>
      </c>
      <c r="H95">
        <v>40</v>
      </c>
      <c r="K95" t="s">
        <v>141</v>
      </c>
      <c r="L95">
        <v>4</v>
      </c>
      <c r="M95">
        <v>58.75</v>
      </c>
      <c r="P95" t="s">
        <v>77</v>
      </c>
      <c r="Q95">
        <v>3</v>
      </c>
      <c r="R95">
        <v>51.037876960911937</v>
      </c>
      <c r="U95" t="s">
        <v>33</v>
      </c>
      <c r="V95">
        <v>1</v>
      </c>
      <c r="W95">
        <v>25</v>
      </c>
      <c r="AA95" s="25"/>
    </row>
    <row r="96" spans="1:31" x14ac:dyDescent="0.25">
      <c r="A96" t="s">
        <v>238</v>
      </c>
      <c r="B96">
        <v>3</v>
      </c>
      <c r="C96" s="25">
        <v>85.715858906321799</v>
      </c>
      <c r="D96" s="25"/>
      <c r="E96" s="25"/>
      <c r="F96" t="s">
        <v>117</v>
      </c>
      <c r="G96">
        <v>2</v>
      </c>
      <c r="H96">
        <v>40</v>
      </c>
      <c r="K96" t="s">
        <v>160</v>
      </c>
      <c r="L96">
        <v>4</v>
      </c>
      <c r="M96">
        <v>58.75</v>
      </c>
      <c r="P96" t="s">
        <v>246</v>
      </c>
      <c r="Q96">
        <v>4</v>
      </c>
      <c r="R96">
        <v>50.951141898984076</v>
      </c>
      <c r="U96" t="s">
        <v>34</v>
      </c>
      <c r="V96">
        <v>2</v>
      </c>
      <c r="W96">
        <v>25</v>
      </c>
      <c r="AA96" s="25"/>
    </row>
    <row r="97" spans="1:27" x14ac:dyDescent="0.25">
      <c r="A97" t="s">
        <v>320</v>
      </c>
      <c r="B97">
        <v>4</v>
      </c>
      <c r="C97" s="25">
        <v>85.715858906321799</v>
      </c>
      <c r="D97" s="25"/>
      <c r="E97" s="25"/>
      <c r="F97" t="s">
        <v>316</v>
      </c>
      <c r="G97">
        <v>3</v>
      </c>
      <c r="H97">
        <v>40</v>
      </c>
      <c r="K97" t="s">
        <v>190</v>
      </c>
      <c r="L97">
        <v>3</v>
      </c>
      <c r="M97">
        <v>58.75</v>
      </c>
      <c r="P97" t="s">
        <v>60</v>
      </c>
      <c r="Q97">
        <v>2</v>
      </c>
      <c r="R97">
        <v>50.923252006595689</v>
      </c>
      <c r="U97" t="s">
        <v>36</v>
      </c>
      <c r="V97">
        <v>2</v>
      </c>
      <c r="W97">
        <v>25</v>
      </c>
      <c r="AA97" s="25"/>
    </row>
    <row r="98" spans="1:27" x14ac:dyDescent="0.25">
      <c r="A98" t="s">
        <v>245</v>
      </c>
      <c r="B98">
        <v>2</v>
      </c>
      <c r="C98" s="25">
        <v>85.715858906321799</v>
      </c>
      <c r="D98" s="25"/>
      <c r="E98" s="25"/>
      <c r="F98" t="s">
        <v>154</v>
      </c>
      <c r="G98">
        <v>3</v>
      </c>
      <c r="H98">
        <v>40</v>
      </c>
      <c r="K98" t="s">
        <v>193</v>
      </c>
      <c r="L98">
        <v>3</v>
      </c>
      <c r="M98">
        <v>58.75</v>
      </c>
      <c r="P98" t="s">
        <v>177</v>
      </c>
      <c r="Q98">
        <v>3</v>
      </c>
      <c r="R98">
        <v>50.831490166778813</v>
      </c>
      <c r="U98" t="s">
        <v>38</v>
      </c>
      <c r="V98">
        <v>1</v>
      </c>
      <c r="W98">
        <v>25</v>
      </c>
      <c r="AA98" s="25"/>
    </row>
    <row r="99" spans="1:27" x14ac:dyDescent="0.25">
      <c r="A99" t="s">
        <v>246</v>
      </c>
      <c r="B99">
        <v>4</v>
      </c>
      <c r="C99" s="25">
        <v>85.715858906321799</v>
      </c>
      <c r="D99" s="25"/>
      <c r="E99" s="25"/>
      <c r="F99" t="s">
        <v>180</v>
      </c>
      <c r="G99">
        <v>2</v>
      </c>
      <c r="H99">
        <v>40</v>
      </c>
      <c r="K99" t="s">
        <v>212</v>
      </c>
      <c r="L99">
        <v>4</v>
      </c>
      <c r="M99">
        <v>58.75</v>
      </c>
      <c r="P99" t="s">
        <v>142</v>
      </c>
      <c r="Q99">
        <v>3</v>
      </c>
      <c r="R99">
        <v>50.633924237604859</v>
      </c>
      <c r="U99" t="s">
        <v>51</v>
      </c>
      <c r="V99">
        <v>1</v>
      </c>
      <c r="W99">
        <v>25</v>
      </c>
      <c r="AA99" s="25"/>
    </row>
    <row r="100" spans="1:27" x14ac:dyDescent="0.25">
      <c r="A100" t="s">
        <v>275</v>
      </c>
      <c r="B100">
        <v>4</v>
      </c>
      <c r="C100" s="25">
        <v>85.715858906321799</v>
      </c>
      <c r="D100" s="25"/>
      <c r="E100" s="25"/>
      <c r="F100" t="s">
        <v>182</v>
      </c>
      <c r="G100">
        <v>3</v>
      </c>
      <c r="H100">
        <v>40</v>
      </c>
      <c r="K100" t="s">
        <v>218</v>
      </c>
      <c r="L100">
        <v>4</v>
      </c>
      <c r="M100">
        <v>58.75</v>
      </c>
      <c r="P100" t="s">
        <v>33</v>
      </c>
      <c r="Q100">
        <v>1</v>
      </c>
      <c r="R100">
        <v>50.616431895475046</v>
      </c>
      <c r="U100" t="s">
        <v>54</v>
      </c>
      <c r="V100">
        <v>2</v>
      </c>
      <c r="W100">
        <v>25</v>
      </c>
      <c r="AA100" s="25"/>
    </row>
    <row r="101" spans="1:27" x14ac:dyDescent="0.25">
      <c r="A101" t="s">
        <v>279</v>
      </c>
      <c r="B101">
        <v>4</v>
      </c>
      <c r="C101" s="25">
        <v>85.715858906321799</v>
      </c>
      <c r="D101" s="25"/>
      <c r="E101" s="25"/>
      <c r="F101" t="s">
        <v>318</v>
      </c>
      <c r="G101">
        <v>3</v>
      </c>
      <c r="H101">
        <v>40</v>
      </c>
      <c r="K101" t="s">
        <v>238</v>
      </c>
      <c r="L101">
        <v>3</v>
      </c>
      <c r="M101">
        <v>58.75</v>
      </c>
      <c r="P101" t="s">
        <v>241</v>
      </c>
      <c r="Q101">
        <v>4</v>
      </c>
      <c r="R101">
        <v>50.611445278773715</v>
      </c>
      <c r="U101" t="s">
        <v>56</v>
      </c>
      <c r="V101">
        <v>2</v>
      </c>
      <c r="W101">
        <v>25</v>
      </c>
      <c r="AA101" s="25"/>
    </row>
    <row r="102" spans="1:27" x14ac:dyDescent="0.25">
      <c r="A102" t="s">
        <v>284</v>
      </c>
      <c r="B102">
        <v>4</v>
      </c>
      <c r="C102" s="25">
        <v>85.715858906321799</v>
      </c>
      <c r="D102" s="25"/>
      <c r="E102" s="25"/>
      <c r="F102" t="s">
        <v>272</v>
      </c>
      <c r="G102">
        <v>3</v>
      </c>
      <c r="H102">
        <v>40</v>
      </c>
      <c r="K102" t="s">
        <v>240</v>
      </c>
      <c r="L102">
        <v>4</v>
      </c>
      <c r="M102">
        <v>58.75</v>
      </c>
      <c r="P102" t="s">
        <v>253</v>
      </c>
      <c r="Q102">
        <v>4</v>
      </c>
      <c r="R102">
        <v>50.604989861436806</v>
      </c>
      <c r="U102" t="s">
        <v>57</v>
      </c>
      <c r="V102">
        <v>2</v>
      </c>
      <c r="W102">
        <v>25</v>
      </c>
      <c r="AA102" s="25"/>
    </row>
    <row r="103" spans="1:27" x14ac:dyDescent="0.25">
      <c r="A103" t="s">
        <v>37</v>
      </c>
      <c r="B103">
        <v>1</v>
      </c>
      <c r="C103" s="25">
        <v>85.633560520245382</v>
      </c>
      <c r="D103" s="25"/>
      <c r="E103" s="25"/>
      <c r="F103" t="s">
        <v>282</v>
      </c>
      <c r="G103">
        <v>3</v>
      </c>
      <c r="H103">
        <v>40</v>
      </c>
      <c r="K103" t="s">
        <v>254</v>
      </c>
      <c r="L103">
        <v>3</v>
      </c>
      <c r="M103">
        <v>58.75</v>
      </c>
      <c r="P103" t="s">
        <v>225</v>
      </c>
      <c r="Q103">
        <v>4</v>
      </c>
      <c r="R103">
        <v>50.598763463822728</v>
      </c>
      <c r="U103" t="s">
        <v>58</v>
      </c>
      <c r="V103">
        <v>1</v>
      </c>
      <c r="W103">
        <v>25</v>
      </c>
      <c r="AA103" s="25"/>
    </row>
    <row r="104" spans="1:27" x14ac:dyDescent="0.25">
      <c r="A104" t="s">
        <v>23</v>
      </c>
      <c r="B104">
        <v>1</v>
      </c>
      <c r="C104" s="25">
        <v>85.49497386241616</v>
      </c>
      <c r="D104" s="25"/>
      <c r="E104" s="25"/>
      <c r="F104" t="s">
        <v>128</v>
      </c>
      <c r="G104">
        <v>2</v>
      </c>
      <c r="H104">
        <v>38.75</v>
      </c>
      <c r="K104" t="s">
        <v>261</v>
      </c>
      <c r="L104">
        <v>4</v>
      </c>
      <c r="M104">
        <v>58.75</v>
      </c>
      <c r="P104" t="s">
        <v>200</v>
      </c>
      <c r="Q104">
        <v>2</v>
      </c>
      <c r="R104">
        <v>50.564270321715476</v>
      </c>
      <c r="U104" t="s">
        <v>59</v>
      </c>
      <c r="V104">
        <v>2</v>
      </c>
      <c r="W104">
        <v>25</v>
      </c>
      <c r="AA104" s="25"/>
    </row>
    <row r="105" spans="1:27" x14ac:dyDescent="0.25">
      <c r="A105" t="s">
        <v>25</v>
      </c>
      <c r="B105">
        <v>1</v>
      </c>
      <c r="C105" s="25">
        <v>85.313121855754986</v>
      </c>
      <c r="D105" s="25"/>
      <c r="E105" s="25"/>
      <c r="F105" t="s">
        <v>217</v>
      </c>
      <c r="G105">
        <v>3</v>
      </c>
      <c r="H105">
        <v>38.75</v>
      </c>
      <c r="K105" t="s">
        <v>290</v>
      </c>
      <c r="L105">
        <v>4</v>
      </c>
      <c r="M105">
        <v>58.75</v>
      </c>
      <c r="P105" t="s">
        <v>162</v>
      </c>
      <c r="Q105">
        <v>3</v>
      </c>
      <c r="R105">
        <v>50.427743499330504</v>
      </c>
      <c r="U105" t="s">
        <v>309</v>
      </c>
      <c r="V105">
        <v>2</v>
      </c>
      <c r="W105">
        <v>25</v>
      </c>
      <c r="AA105" s="25"/>
    </row>
    <row r="106" spans="1:27" x14ac:dyDescent="0.25">
      <c r="A106" t="s">
        <v>70</v>
      </c>
      <c r="B106">
        <v>4</v>
      </c>
      <c r="C106" s="25">
        <v>84.397153384686078</v>
      </c>
      <c r="D106" s="25"/>
      <c r="E106" s="25"/>
      <c r="F106" t="s">
        <v>231</v>
      </c>
      <c r="G106">
        <v>4</v>
      </c>
      <c r="H106">
        <v>37.5</v>
      </c>
      <c r="K106" t="s">
        <v>28</v>
      </c>
      <c r="L106">
        <v>1</v>
      </c>
      <c r="M106">
        <v>57.5</v>
      </c>
      <c r="P106" t="s">
        <v>238</v>
      </c>
      <c r="Q106">
        <v>3</v>
      </c>
      <c r="R106">
        <v>50.353027481170145</v>
      </c>
      <c r="U106" t="s">
        <v>63</v>
      </c>
      <c r="V106">
        <v>2</v>
      </c>
      <c r="W106">
        <v>25</v>
      </c>
      <c r="AA106" s="25"/>
    </row>
    <row r="107" spans="1:27" x14ac:dyDescent="0.25">
      <c r="A107" t="s">
        <v>84</v>
      </c>
      <c r="B107">
        <v>2</v>
      </c>
      <c r="C107" s="25">
        <v>84.397153384686078</v>
      </c>
      <c r="D107" s="25"/>
      <c r="E107" s="25"/>
      <c r="F107" t="s">
        <v>258</v>
      </c>
      <c r="G107">
        <v>4</v>
      </c>
      <c r="H107">
        <v>37.5</v>
      </c>
      <c r="K107" t="s">
        <v>46</v>
      </c>
      <c r="L107">
        <v>2</v>
      </c>
      <c r="M107">
        <v>57.5</v>
      </c>
      <c r="P107" t="s">
        <v>45</v>
      </c>
      <c r="Q107">
        <v>2</v>
      </c>
      <c r="R107">
        <v>50.339345531069803</v>
      </c>
      <c r="U107" t="s">
        <v>310</v>
      </c>
      <c r="V107">
        <v>3</v>
      </c>
      <c r="W107">
        <v>25</v>
      </c>
      <c r="AA107" s="25"/>
    </row>
    <row r="108" spans="1:27" x14ac:dyDescent="0.25">
      <c r="A108" t="s">
        <v>97</v>
      </c>
      <c r="B108">
        <v>3</v>
      </c>
      <c r="C108" s="25">
        <v>84.397153384686078</v>
      </c>
      <c r="D108" s="25"/>
      <c r="E108" s="25"/>
      <c r="F108" t="s">
        <v>225</v>
      </c>
      <c r="G108">
        <v>4</v>
      </c>
      <c r="H108">
        <v>36.25</v>
      </c>
      <c r="K108" t="s">
        <v>51</v>
      </c>
      <c r="L108">
        <v>1</v>
      </c>
      <c r="M108">
        <v>57.5</v>
      </c>
      <c r="P108" t="s">
        <v>223</v>
      </c>
      <c r="Q108">
        <v>3</v>
      </c>
      <c r="R108">
        <v>50.329315070113175</v>
      </c>
      <c r="U108" t="s">
        <v>67</v>
      </c>
      <c r="V108">
        <v>2</v>
      </c>
      <c r="W108">
        <v>25</v>
      </c>
      <c r="AA108" s="25"/>
    </row>
    <row r="109" spans="1:27" x14ac:dyDescent="0.25">
      <c r="A109" t="s">
        <v>113</v>
      </c>
      <c r="B109">
        <v>2</v>
      </c>
      <c r="C109" s="25">
        <v>84.397153384686078</v>
      </c>
      <c r="D109" s="25"/>
      <c r="E109" s="25"/>
      <c r="F109" t="s">
        <v>52</v>
      </c>
      <c r="G109">
        <v>2</v>
      </c>
      <c r="H109">
        <v>35</v>
      </c>
      <c r="K109" t="s">
        <v>60</v>
      </c>
      <c r="L109">
        <v>2</v>
      </c>
      <c r="M109">
        <v>57.5</v>
      </c>
      <c r="P109" t="s">
        <v>42</v>
      </c>
      <c r="Q109">
        <v>2</v>
      </c>
      <c r="R109">
        <v>50.22981153200341</v>
      </c>
      <c r="U109" t="s">
        <v>79</v>
      </c>
      <c r="V109">
        <v>2</v>
      </c>
      <c r="W109">
        <v>25</v>
      </c>
      <c r="AA109" s="25"/>
    </row>
    <row r="110" spans="1:27" x14ac:dyDescent="0.25">
      <c r="A110" t="s">
        <v>125</v>
      </c>
      <c r="B110">
        <v>2</v>
      </c>
      <c r="C110" s="25">
        <v>84.397153384686078</v>
      </c>
      <c r="D110" s="25"/>
      <c r="E110" s="25"/>
      <c r="F110" t="s">
        <v>64</v>
      </c>
      <c r="G110">
        <v>2</v>
      </c>
      <c r="H110">
        <v>35</v>
      </c>
      <c r="K110" s="2" t="s">
        <v>312</v>
      </c>
      <c r="L110" s="2">
        <v>2</v>
      </c>
      <c r="M110">
        <v>57.5</v>
      </c>
      <c r="P110" t="s">
        <v>277</v>
      </c>
      <c r="Q110">
        <v>4</v>
      </c>
      <c r="R110">
        <v>50.136865422881776</v>
      </c>
      <c r="U110" t="s">
        <v>80</v>
      </c>
      <c r="V110">
        <v>2</v>
      </c>
      <c r="W110">
        <v>25</v>
      </c>
      <c r="AA110" s="25"/>
    </row>
    <row r="111" spans="1:27" x14ac:dyDescent="0.25">
      <c r="A111" t="s">
        <v>131</v>
      </c>
      <c r="B111">
        <v>2</v>
      </c>
      <c r="C111" s="25">
        <v>84.397153384686078</v>
      </c>
      <c r="D111" s="25"/>
      <c r="E111" s="25"/>
      <c r="F111" t="s">
        <v>75</v>
      </c>
      <c r="G111">
        <v>2</v>
      </c>
      <c r="H111">
        <v>35</v>
      </c>
      <c r="K111" t="s">
        <v>111</v>
      </c>
      <c r="L111">
        <v>2</v>
      </c>
      <c r="M111">
        <v>57.5</v>
      </c>
      <c r="P111" t="s">
        <v>309</v>
      </c>
      <c r="Q111">
        <v>2</v>
      </c>
      <c r="R111">
        <v>50.135344822337608</v>
      </c>
      <c r="U111" t="s">
        <v>85</v>
      </c>
      <c r="V111">
        <v>2</v>
      </c>
      <c r="W111">
        <v>25</v>
      </c>
      <c r="AA111" s="25"/>
    </row>
    <row r="112" spans="1:27" x14ac:dyDescent="0.25">
      <c r="A112" t="s">
        <v>148</v>
      </c>
      <c r="B112">
        <v>3</v>
      </c>
      <c r="C112" s="25">
        <v>84.397153384686078</v>
      </c>
      <c r="D112" s="25"/>
      <c r="E112" s="25"/>
      <c r="F112" t="s">
        <v>96</v>
      </c>
      <c r="G112">
        <v>3</v>
      </c>
      <c r="H112">
        <v>35</v>
      </c>
      <c r="K112" t="s">
        <v>114</v>
      </c>
      <c r="L112">
        <v>2</v>
      </c>
      <c r="M112">
        <v>57.5</v>
      </c>
      <c r="P112" t="s">
        <v>154</v>
      </c>
      <c r="Q112">
        <v>3</v>
      </c>
      <c r="R112">
        <v>50.085007776069219</v>
      </c>
      <c r="U112" t="s">
        <v>88</v>
      </c>
      <c r="V112">
        <v>3</v>
      </c>
      <c r="W112">
        <v>25</v>
      </c>
      <c r="AA112" s="25"/>
    </row>
    <row r="113" spans="1:27" x14ac:dyDescent="0.25">
      <c r="A113" t="s">
        <v>189</v>
      </c>
      <c r="B113">
        <v>2</v>
      </c>
      <c r="C113" s="25">
        <v>84.397153384686078</v>
      </c>
      <c r="D113" s="25"/>
      <c r="E113" s="25"/>
      <c r="F113" t="s">
        <v>97</v>
      </c>
      <c r="G113">
        <v>3</v>
      </c>
      <c r="H113">
        <v>35</v>
      </c>
      <c r="K113" t="s">
        <v>152</v>
      </c>
      <c r="L113">
        <v>3</v>
      </c>
      <c r="M113">
        <v>57.5</v>
      </c>
      <c r="P113" t="s">
        <v>201</v>
      </c>
      <c r="Q113">
        <v>4</v>
      </c>
      <c r="R113">
        <v>50.013179804047617</v>
      </c>
      <c r="U113" t="s">
        <v>89</v>
      </c>
      <c r="V113">
        <v>2</v>
      </c>
      <c r="W113">
        <v>25</v>
      </c>
      <c r="AA113" s="25"/>
    </row>
    <row r="114" spans="1:27" x14ac:dyDescent="0.25">
      <c r="A114" t="s">
        <v>191</v>
      </c>
      <c r="B114">
        <v>3</v>
      </c>
      <c r="C114" s="25">
        <v>84.397153384686078</v>
      </c>
      <c r="D114" s="25"/>
      <c r="E114" s="25"/>
      <c r="F114" t="s">
        <v>102</v>
      </c>
      <c r="G114">
        <v>2</v>
      </c>
      <c r="H114">
        <v>35</v>
      </c>
      <c r="K114" t="s">
        <v>154</v>
      </c>
      <c r="L114">
        <v>3</v>
      </c>
      <c r="M114">
        <v>57.5</v>
      </c>
      <c r="P114" t="s">
        <v>226</v>
      </c>
      <c r="Q114">
        <v>3</v>
      </c>
      <c r="R114">
        <v>49.907243817114932</v>
      </c>
      <c r="U114" t="s">
        <v>92</v>
      </c>
      <c r="V114">
        <v>3</v>
      </c>
      <c r="W114">
        <v>25</v>
      </c>
      <c r="AA114" s="25"/>
    </row>
    <row r="115" spans="1:27" x14ac:dyDescent="0.25">
      <c r="A115" t="s">
        <v>198</v>
      </c>
      <c r="B115">
        <v>4</v>
      </c>
      <c r="C115" s="25">
        <v>84.397153384686078</v>
      </c>
      <c r="D115" s="25"/>
      <c r="E115" s="25"/>
      <c r="F115" t="s">
        <v>107</v>
      </c>
      <c r="G115">
        <v>3</v>
      </c>
      <c r="H115">
        <v>35</v>
      </c>
      <c r="K115" t="s">
        <v>182</v>
      </c>
      <c r="L115">
        <v>3</v>
      </c>
      <c r="M115">
        <v>57.5</v>
      </c>
      <c r="P115" t="s">
        <v>143</v>
      </c>
      <c r="Q115">
        <v>3</v>
      </c>
      <c r="R115">
        <v>49.831735406642451</v>
      </c>
      <c r="U115" t="s">
        <v>93</v>
      </c>
      <c r="V115">
        <v>2</v>
      </c>
      <c r="W115">
        <v>25</v>
      </c>
      <c r="AA115" s="25"/>
    </row>
    <row r="116" spans="1:27" x14ac:dyDescent="0.25">
      <c r="A116" s="1" t="s">
        <v>224</v>
      </c>
      <c r="B116" s="1">
        <v>4</v>
      </c>
      <c r="C116" s="25">
        <v>84.397153384686078</v>
      </c>
      <c r="D116" s="25"/>
      <c r="E116" s="25"/>
      <c r="F116" t="s">
        <v>120</v>
      </c>
      <c r="G116">
        <v>3</v>
      </c>
      <c r="H116">
        <v>35</v>
      </c>
      <c r="K116" t="s">
        <v>188</v>
      </c>
      <c r="L116">
        <v>3</v>
      </c>
      <c r="M116">
        <v>57.5</v>
      </c>
      <c r="P116" t="s">
        <v>180</v>
      </c>
      <c r="Q116">
        <v>2</v>
      </c>
      <c r="R116">
        <v>49.81460207729657</v>
      </c>
      <c r="U116" t="s">
        <v>97</v>
      </c>
      <c r="V116">
        <v>3</v>
      </c>
      <c r="W116">
        <v>25</v>
      </c>
      <c r="AA116" s="25"/>
    </row>
    <row r="117" spans="1:27" x14ac:dyDescent="0.25">
      <c r="A117" t="s">
        <v>24</v>
      </c>
      <c r="B117">
        <v>1</v>
      </c>
      <c r="C117" s="25">
        <v>84.290819300973666</v>
      </c>
      <c r="D117" s="25"/>
      <c r="E117" s="25"/>
      <c r="F117" t="s">
        <v>122</v>
      </c>
      <c r="G117">
        <v>2</v>
      </c>
      <c r="H117">
        <v>35</v>
      </c>
      <c r="K117" t="s">
        <v>215</v>
      </c>
      <c r="L117">
        <v>2</v>
      </c>
      <c r="M117">
        <v>57.5</v>
      </c>
      <c r="P117" t="s">
        <v>146</v>
      </c>
      <c r="Q117">
        <v>3</v>
      </c>
      <c r="R117">
        <v>49.720994013130166</v>
      </c>
      <c r="U117" t="s">
        <v>98</v>
      </c>
      <c r="V117">
        <v>2</v>
      </c>
      <c r="W117">
        <v>25</v>
      </c>
      <c r="AA117" s="25"/>
    </row>
    <row r="118" spans="1:27" x14ac:dyDescent="0.25">
      <c r="A118" t="s">
        <v>52</v>
      </c>
      <c r="B118">
        <v>2</v>
      </c>
      <c r="C118" s="25">
        <v>83.384065632097474</v>
      </c>
      <c r="D118" s="25"/>
      <c r="E118" s="25"/>
      <c r="F118" t="s">
        <v>156</v>
      </c>
      <c r="G118">
        <v>3</v>
      </c>
      <c r="H118">
        <v>35</v>
      </c>
      <c r="K118" t="s">
        <v>258</v>
      </c>
      <c r="L118">
        <v>4</v>
      </c>
      <c r="M118">
        <v>57.5</v>
      </c>
      <c r="P118" t="s">
        <v>221</v>
      </c>
      <c r="Q118">
        <v>4</v>
      </c>
      <c r="R118">
        <v>49.690693563634753</v>
      </c>
      <c r="U118" t="s">
        <v>99</v>
      </c>
      <c r="V118">
        <v>3</v>
      </c>
      <c r="W118">
        <v>25</v>
      </c>
      <c r="AA118" s="25"/>
    </row>
    <row r="119" spans="1:27" x14ac:dyDescent="0.25">
      <c r="A119" t="s">
        <v>65</v>
      </c>
      <c r="B119">
        <v>1</v>
      </c>
      <c r="C119" s="25">
        <v>83.078447863050357</v>
      </c>
      <c r="D119" s="25"/>
      <c r="E119" s="25"/>
      <c r="F119" t="s">
        <v>166</v>
      </c>
      <c r="G119">
        <v>3</v>
      </c>
      <c r="H119">
        <v>35</v>
      </c>
      <c r="K119" t="s">
        <v>260</v>
      </c>
      <c r="L119">
        <v>4</v>
      </c>
      <c r="M119">
        <v>57.5</v>
      </c>
      <c r="P119" t="s">
        <v>183</v>
      </c>
      <c r="Q119">
        <v>3</v>
      </c>
      <c r="R119">
        <v>49.570790715047799</v>
      </c>
      <c r="U119" t="s">
        <v>101</v>
      </c>
      <c r="V119">
        <v>2</v>
      </c>
      <c r="W119">
        <v>25</v>
      </c>
      <c r="AA119" s="25"/>
    </row>
    <row r="120" spans="1:27" x14ac:dyDescent="0.25">
      <c r="A120" t="s">
        <v>76</v>
      </c>
      <c r="B120">
        <v>2</v>
      </c>
      <c r="C120" s="25">
        <v>83.078447863050357</v>
      </c>
      <c r="D120" s="25"/>
      <c r="E120" s="25"/>
      <c r="F120" t="s">
        <v>214</v>
      </c>
      <c r="G120">
        <v>3</v>
      </c>
      <c r="H120">
        <v>35</v>
      </c>
      <c r="K120" t="s">
        <v>262</v>
      </c>
      <c r="L120">
        <v>3</v>
      </c>
      <c r="M120">
        <v>57.5</v>
      </c>
      <c r="P120" t="s">
        <v>51</v>
      </c>
      <c r="Q120">
        <v>1</v>
      </c>
      <c r="R120">
        <v>49.541451309646739</v>
      </c>
      <c r="U120" t="s">
        <v>103</v>
      </c>
      <c r="V120">
        <v>2</v>
      </c>
      <c r="W120">
        <v>25</v>
      </c>
      <c r="AA120" s="25"/>
    </row>
    <row r="121" spans="1:27" x14ac:dyDescent="0.25">
      <c r="A121" t="s">
        <v>82</v>
      </c>
      <c r="B121">
        <v>3</v>
      </c>
      <c r="C121" s="25">
        <v>83.078447863050357</v>
      </c>
      <c r="D121" s="25"/>
      <c r="E121" s="25"/>
      <c r="F121" t="s">
        <v>246</v>
      </c>
      <c r="G121">
        <v>4</v>
      </c>
      <c r="H121">
        <v>35</v>
      </c>
      <c r="K121" t="s">
        <v>283</v>
      </c>
      <c r="L121">
        <v>4</v>
      </c>
      <c r="M121">
        <v>57.5</v>
      </c>
      <c r="P121" t="s">
        <v>319</v>
      </c>
      <c r="Q121">
        <v>4</v>
      </c>
      <c r="R121">
        <v>49.502912571158355</v>
      </c>
      <c r="U121" t="s">
        <v>104</v>
      </c>
      <c r="V121">
        <v>3</v>
      </c>
      <c r="W121">
        <v>25</v>
      </c>
      <c r="AA121" s="25"/>
    </row>
    <row r="122" spans="1:27" x14ac:dyDescent="0.25">
      <c r="A122" t="s">
        <v>90</v>
      </c>
      <c r="B122">
        <v>3</v>
      </c>
      <c r="C122" s="25">
        <v>83.078447863050357</v>
      </c>
      <c r="D122" s="25"/>
      <c r="E122" s="25"/>
      <c r="F122" t="s">
        <v>251</v>
      </c>
      <c r="G122">
        <v>3</v>
      </c>
      <c r="H122">
        <v>35</v>
      </c>
      <c r="K122" t="s">
        <v>37</v>
      </c>
      <c r="L122">
        <v>1</v>
      </c>
      <c r="M122">
        <v>51.25</v>
      </c>
      <c r="P122" t="s">
        <v>133</v>
      </c>
      <c r="Q122">
        <v>3</v>
      </c>
      <c r="R122">
        <v>49.495767768137121</v>
      </c>
      <c r="U122" s="2" t="s">
        <v>312</v>
      </c>
      <c r="V122" s="2">
        <v>2</v>
      </c>
      <c r="W122">
        <v>25</v>
      </c>
      <c r="AA122" s="25"/>
    </row>
    <row r="123" spans="1:27" x14ac:dyDescent="0.25">
      <c r="A123" t="s">
        <v>112</v>
      </c>
      <c r="B123">
        <v>2</v>
      </c>
      <c r="C123" s="25">
        <v>83.078447863050357</v>
      </c>
      <c r="D123" s="25"/>
      <c r="E123" s="25"/>
      <c r="F123" t="s">
        <v>264</v>
      </c>
      <c r="G123">
        <v>4</v>
      </c>
      <c r="H123">
        <v>35</v>
      </c>
      <c r="K123" t="s">
        <v>310</v>
      </c>
      <c r="L123">
        <v>3</v>
      </c>
      <c r="M123">
        <v>51.25</v>
      </c>
      <c r="P123" t="s">
        <v>272</v>
      </c>
      <c r="Q123">
        <v>3</v>
      </c>
      <c r="R123">
        <v>49.363070713484916</v>
      </c>
      <c r="U123" s="2" t="s">
        <v>313</v>
      </c>
      <c r="V123" s="2">
        <v>3</v>
      </c>
      <c r="W123">
        <v>25</v>
      </c>
      <c r="AA123" s="25"/>
    </row>
    <row r="124" spans="1:27" x14ac:dyDescent="0.25">
      <c r="A124" t="s">
        <v>115</v>
      </c>
      <c r="B124">
        <v>2</v>
      </c>
      <c r="C124" s="25">
        <v>83.078447863050357</v>
      </c>
      <c r="D124" s="25"/>
      <c r="E124" s="25"/>
      <c r="F124" t="s">
        <v>267</v>
      </c>
      <c r="G124">
        <v>3</v>
      </c>
      <c r="H124">
        <v>35</v>
      </c>
      <c r="K124" t="s">
        <v>314</v>
      </c>
      <c r="L124">
        <v>2</v>
      </c>
      <c r="M124">
        <v>51.25</v>
      </c>
      <c r="P124" t="s">
        <v>179</v>
      </c>
      <c r="Q124">
        <v>2</v>
      </c>
      <c r="R124">
        <v>49.323148016352363</v>
      </c>
      <c r="U124" t="s">
        <v>106</v>
      </c>
      <c r="V124">
        <v>2</v>
      </c>
      <c r="W124">
        <v>25</v>
      </c>
      <c r="AA124" s="25"/>
    </row>
    <row r="125" spans="1:27" x14ac:dyDescent="0.25">
      <c r="A125" t="s">
        <v>116</v>
      </c>
      <c r="B125">
        <v>3</v>
      </c>
      <c r="C125" s="25">
        <v>83.078447863050357</v>
      </c>
      <c r="D125" s="25"/>
      <c r="E125" s="25"/>
      <c r="F125" t="s">
        <v>37</v>
      </c>
      <c r="G125">
        <v>1</v>
      </c>
      <c r="H125">
        <v>33.75</v>
      </c>
      <c r="K125" t="s">
        <v>157</v>
      </c>
      <c r="L125">
        <v>3</v>
      </c>
      <c r="M125">
        <v>51.25</v>
      </c>
      <c r="P125" t="s">
        <v>205</v>
      </c>
      <c r="Q125">
        <v>3</v>
      </c>
      <c r="R125">
        <v>49.26525143828669</v>
      </c>
      <c r="U125" t="s">
        <v>110</v>
      </c>
      <c r="V125">
        <v>3</v>
      </c>
      <c r="W125">
        <v>25</v>
      </c>
      <c r="AA125" s="25"/>
    </row>
    <row r="126" spans="1:27" x14ac:dyDescent="0.25">
      <c r="A126" t="s">
        <v>120</v>
      </c>
      <c r="B126">
        <v>3</v>
      </c>
      <c r="C126" s="25">
        <v>83.078447863050357</v>
      </c>
      <c r="D126" s="25"/>
      <c r="E126" s="25"/>
      <c r="F126" t="s">
        <v>309</v>
      </c>
      <c r="G126">
        <v>2</v>
      </c>
      <c r="H126">
        <v>33.75</v>
      </c>
      <c r="K126" t="s">
        <v>161</v>
      </c>
      <c r="L126">
        <v>3</v>
      </c>
      <c r="M126">
        <v>51.25</v>
      </c>
      <c r="P126" t="s">
        <v>209</v>
      </c>
      <c r="Q126">
        <v>4</v>
      </c>
      <c r="R126">
        <v>49.219119360797222</v>
      </c>
      <c r="U126" t="s">
        <v>111</v>
      </c>
      <c r="V126">
        <v>2</v>
      </c>
      <c r="W126">
        <v>25</v>
      </c>
      <c r="AA126" s="25"/>
    </row>
    <row r="127" spans="1:27" x14ac:dyDescent="0.25">
      <c r="A127" t="s">
        <v>128</v>
      </c>
      <c r="B127">
        <v>2</v>
      </c>
      <c r="C127" s="25">
        <v>83.078447863050357</v>
      </c>
      <c r="D127" s="25"/>
      <c r="E127" s="25"/>
      <c r="F127" t="s">
        <v>70</v>
      </c>
      <c r="G127">
        <v>4</v>
      </c>
      <c r="H127">
        <v>33.75</v>
      </c>
      <c r="K127" t="s">
        <v>178</v>
      </c>
      <c r="L127">
        <v>2</v>
      </c>
      <c r="M127">
        <v>51.25</v>
      </c>
      <c r="P127" t="s">
        <v>259</v>
      </c>
      <c r="Q127">
        <v>3</v>
      </c>
      <c r="R127">
        <v>49.168666177566983</v>
      </c>
      <c r="U127" t="s">
        <v>113</v>
      </c>
      <c r="V127">
        <v>2</v>
      </c>
      <c r="W127">
        <v>25</v>
      </c>
      <c r="AA127" s="25"/>
    </row>
    <row r="128" spans="1:27" x14ac:dyDescent="0.25">
      <c r="A128" t="s">
        <v>156</v>
      </c>
      <c r="B128">
        <v>3</v>
      </c>
      <c r="C128" s="25">
        <v>83.078447863050357</v>
      </c>
      <c r="D128" s="25"/>
      <c r="E128" s="25"/>
      <c r="F128" t="s">
        <v>73</v>
      </c>
      <c r="G128">
        <v>2</v>
      </c>
      <c r="H128">
        <v>33.75</v>
      </c>
      <c r="K128" t="s">
        <v>318</v>
      </c>
      <c r="L128">
        <v>3</v>
      </c>
      <c r="M128">
        <v>51.25</v>
      </c>
      <c r="P128" t="s">
        <v>198</v>
      </c>
      <c r="Q128">
        <v>4</v>
      </c>
      <c r="R128">
        <v>49.071389967906953</v>
      </c>
      <c r="U128" t="s">
        <v>114</v>
      </c>
      <c r="V128">
        <v>2</v>
      </c>
      <c r="W128">
        <v>25</v>
      </c>
      <c r="AA128" s="25"/>
    </row>
    <row r="129" spans="1:29" x14ac:dyDescent="0.25">
      <c r="A129" t="s">
        <v>158</v>
      </c>
      <c r="B129">
        <v>2</v>
      </c>
      <c r="C129" s="25">
        <v>83.078447863050357</v>
      </c>
      <c r="D129" s="25"/>
      <c r="E129" s="25"/>
      <c r="F129" t="s">
        <v>99</v>
      </c>
      <c r="G129">
        <v>3</v>
      </c>
      <c r="H129">
        <v>33.75</v>
      </c>
      <c r="K129" t="s">
        <v>289</v>
      </c>
      <c r="L129">
        <v>4</v>
      </c>
      <c r="M129">
        <v>51.25</v>
      </c>
      <c r="P129" t="s">
        <v>275</v>
      </c>
      <c r="Q129">
        <v>4</v>
      </c>
      <c r="R129">
        <v>49.052242959913983</v>
      </c>
      <c r="U129" t="s">
        <v>115</v>
      </c>
      <c r="V129">
        <v>2</v>
      </c>
      <c r="W129">
        <v>25</v>
      </c>
      <c r="AA129" s="25"/>
    </row>
    <row r="130" spans="1:29" x14ac:dyDescent="0.25">
      <c r="A130" t="s">
        <v>169</v>
      </c>
      <c r="B130">
        <v>4</v>
      </c>
      <c r="C130" s="25">
        <v>83.078447863050357</v>
      </c>
      <c r="D130" s="25"/>
      <c r="E130" s="25"/>
      <c r="F130" t="s">
        <v>114</v>
      </c>
      <c r="G130">
        <v>2</v>
      </c>
      <c r="H130">
        <v>33.75</v>
      </c>
      <c r="K130" t="s">
        <v>291</v>
      </c>
      <c r="L130">
        <v>4</v>
      </c>
      <c r="M130">
        <v>51.25</v>
      </c>
      <c r="P130" t="s">
        <v>139</v>
      </c>
      <c r="Q130">
        <v>3</v>
      </c>
      <c r="R130">
        <v>49.049829049685272</v>
      </c>
      <c r="U130" t="s">
        <v>116</v>
      </c>
      <c r="V130">
        <v>3</v>
      </c>
      <c r="W130">
        <v>25</v>
      </c>
      <c r="AA130" s="25"/>
    </row>
    <row r="131" spans="1:29" x14ac:dyDescent="0.25">
      <c r="A131" t="s">
        <v>178</v>
      </c>
      <c r="B131">
        <v>2</v>
      </c>
      <c r="C131" s="25">
        <v>83.078447863050357</v>
      </c>
      <c r="D131" s="25"/>
      <c r="E131" s="25"/>
      <c r="F131" t="s">
        <v>127</v>
      </c>
      <c r="G131">
        <v>4</v>
      </c>
      <c r="H131">
        <v>33.75</v>
      </c>
      <c r="K131" t="s">
        <v>292</v>
      </c>
      <c r="L131">
        <v>4</v>
      </c>
      <c r="M131">
        <v>51.25</v>
      </c>
      <c r="P131" t="s">
        <v>291</v>
      </c>
      <c r="Q131">
        <v>4</v>
      </c>
      <c r="R131">
        <v>49.019599459305162</v>
      </c>
      <c r="U131" t="s">
        <v>119</v>
      </c>
      <c r="V131">
        <v>3</v>
      </c>
      <c r="W131">
        <v>25</v>
      </c>
      <c r="AA131" s="25"/>
    </row>
    <row r="132" spans="1:29" x14ac:dyDescent="0.25">
      <c r="A132" t="s">
        <v>184</v>
      </c>
      <c r="B132">
        <v>3</v>
      </c>
      <c r="C132" s="25">
        <v>83.078447863050357</v>
      </c>
      <c r="D132" s="25"/>
      <c r="E132" s="25"/>
      <c r="F132" t="s">
        <v>137</v>
      </c>
      <c r="G132">
        <v>2</v>
      </c>
      <c r="H132">
        <v>33.75</v>
      </c>
      <c r="K132" s="22" t="s">
        <v>47</v>
      </c>
      <c r="L132" s="22">
        <v>2</v>
      </c>
      <c r="M132" s="22">
        <v>50</v>
      </c>
      <c r="P132" s="1" t="s">
        <v>224</v>
      </c>
      <c r="Q132" s="1">
        <v>4</v>
      </c>
      <c r="R132">
        <v>48.99834822854487</v>
      </c>
      <c r="U132" t="s">
        <v>124</v>
      </c>
      <c r="V132">
        <v>2</v>
      </c>
      <c r="W132">
        <v>25</v>
      </c>
      <c r="AA132" s="25"/>
      <c r="AC132" s="22"/>
    </row>
    <row r="133" spans="1:29" x14ac:dyDescent="0.25">
      <c r="A133" t="s">
        <v>207</v>
      </c>
      <c r="B133">
        <v>4</v>
      </c>
      <c r="C133" s="25">
        <v>83.078447863050357</v>
      </c>
      <c r="D133" s="25"/>
      <c r="E133" s="25"/>
      <c r="F133" t="s">
        <v>152</v>
      </c>
      <c r="G133">
        <v>3</v>
      </c>
      <c r="H133">
        <v>33.75</v>
      </c>
      <c r="K133" t="s">
        <v>48</v>
      </c>
      <c r="L133">
        <v>1</v>
      </c>
      <c r="M133">
        <v>50</v>
      </c>
      <c r="P133" t="s">
        <v>240</v>
      </c>
      <c r="Q133">
        <v>4</v>
      </c>
      <c r="R133">
        <v>48.943978416737139</v>
      </c>
      <c r="U133" t="s">
        <v>125</v>
      </c>
      <c r="V133">
        <v>2</v>
      </c>
      <c r="W133">
        <v>25</v>
      </c>
      <c r="AA133" s="25"/>
    </row>
    <row r="134" spans="1:29" x14ac:dyDescent="0.25">
      <c r="A134" t="s">
        <v>211</v>
      </c>
      <c r="B134">
        <v>3</v>
      </c>
      <c r="C134" s="25">
        <v>83.078447863050357</v>
      </c>
      <c r="D134" s="25"/>
      <c r="E134" s="25"/>
      <c r="F134" t="s">
        <v>183</v>
      </c>
      <c r="G134">
        <v>3</v>
      </c>
      <c r="H134">
        <v>33.75</v>
      </c>
      <c r="K134" t="s">
        <v>63</v>
      </c>
      <c r="L134">
        <v>2</v>
      </c>
      <c r="M134">
        <v>50</v>
      </c>
      <c r="P134" t="s">
        <v>56</v>
      </c>
      <c r="Q134">
        <v>2</v>
      </c>
      <c r="R134">
        <v>48.827199621380458</v>
      </c>
      <c r="U134" t="s">
        <v>130</v>
      </c>
      <c r="V134">
        <v>3</v>
      </c>
      <c r="W134">
        <v>25</v>
      </c>
      <c r="AA134" s="25"/>
    </row>
    <row r="135" spans="1:29" x14ac:dyDescent="0.25">
      <c r="A135" t="s">
        <v>214</v>
      </c>
      <c r="B135">
        <v>3</v>
      </c>
      <c r="C135" s="25">
        <v>83.078447863050357</v>
      </c>
      <c r="D135" s="25"/>
      <c r="E135" s="25"/>
      <c r="F135" t="s">
        <v>187</v>
      </c>
      <c r="G135">
        <v>4</v>
      </c>
      <c r="H135">
        <v>33.75</v>
      </c>
      <c r="K135" t="s">
        <v>66</v>
      </c>
      <c r="L135">
        <v>2</v>
      </c>
      <c r="M135">
        <v>50</v>
      </c>
      <c r="P135" t="s">
        <v>270</v>
      </c>
      <c r="Q135">
        <v>4</v>
      </c>
      <c r="R135">
        <v>48.779012951102217</v>
      </c>
      <c r="U135" t="s">
        <v>131</v>
      </c>
      <c r="V135">
        <v>2</v>
      </c>
      <c r="W135">
        <v>25</v>
      </c>
      <c r="AA135" s="25"/>
    </row>
    <row r="136" spans="1:29" x14ac:dyDescent="0.25">
      <c r="A136" t="s">
        <v>219</v>
      </c>
      <c r="B136">
        <v>4</v>
      </c>
      <c r="C136" s="25">
        <v>83.078447863050357</v>
      </c>
      <c r="D136" s="25"/>
      <c r="E136" s="25"/>
      <c r="F136" t="s">
        <v>211</v>
      </c>
      <c r="G136">
        <v>3</v>
      </c>
      <c r="H136">
        <v>33.75</v>
      </c>
      <c r="K136" t="s">
        <v>68</v>
      </c>
      <c r="L136">
        <v>2</v>
      </c>
      <c r="M136">
        <v>50</v>
      </c>
      <c r="P136" t="s">
        <v>106</v>
      </c>
      <c r="Q136">
        <v>2</v>
      </c>
      <c r="R136">
        <v>48.75077151234364</v>
      </c>
      <c r="U136" t="s">
        <v>134</v>
      </c>
      <c r="V136">
        <v>3</v>
      </c>
      <c r="W136">
        <v>25</v>
      </c>
      <c r="AA136" s="25"/>
    </row>
    <row r="137" spans="1:29" x14ac:dyDescent="0.25">
      <c r="A137" t="s">
        <v>222</v>
      </c>
      <c r="B137">
        <v>4</v>
      </c>
      <c r="C137" s="25">
        <v>83.078447863050357</v>
      </c>
      <c r="D137" s="25"/>
      <c r="E137" s="25"/>
      <c r="F137" t="s">
        <v>212</v>
      </c>
      <c r="G137">
        <v>4</v>
      </c>
      <c r="H137">
        <v>33.75</v>
      </c>
      <c r="K137" t="s">
        <v>75</v>
      </c>
      <c r="L137">
        <v>2</v>
      </c>
      <c r="M137">
        <v>50</v>
      </c>
      <c r="P137" t="s">
        <v>90</v>
      </c>
      <c r="Q137">
        <v>3</v>
      </c>
      <c r="R137">
        <v>48.727294759200944</v>
      </c>
      <c r="U137" t="s">
        <v>135</v>
      </c>
      <c r="V137">
        <v>3</v>
      </c>
      <c r="W137">
        <v>25</v>
      </c>
      <c r="AA137" s="25"/>
    </row>
    <row r="138" spans="1:29" x14ac:dyDescent="0.25">
      <c r="A138" t="s">
        <v>244</v>
      </c>
      <c r="B138">
        <v>3</v>
      </c>
      <c r="C138" s="25">
        <v>83.078447863050357</v>
      </c>
      <c r="D138" s="25"/>
      <c r="E138" s="25"/>
      <c r="F138" t="s">
        <v>277</v>
      </c>
      <c r="G138">
        <v>4</v>
      </c>
      <c r="H138">
        <v>33.75</v>
      </c>
      <c r="K138" t="s">
        <v>83</v>
      </c>
      <c r="L138">
        <v>2</v>
      </c>
      <c r="M138">
        <v>50</v>
      </c>
      <c r="P138" t="s">
        <v>126</v>
      </c>
      <c r="Q138">
        <v>3</v>
      </c>
      <c r="R138">
        <v>48.676687441101329</v>
      </c>
      <c r="U138" t="s">
        <v>141</v>
      </c>
      <c r="V138">
        <v>4</v>
      </c>
      <c r="W138">
        <v>25</v>
      </c>
      <c r="AA138" s="25"/>
    </row>
    <row r="139" spans="1:29" x14ac:dyDescent="0.25">
      <c r="A139" t="s">
        <v>323</v>
      </c>
      <c r="B139">
        <v>4</v>
      </c>
      <c r="C139" s="25">
        <v>83.078447863050357</v>
      </c>
      <c r="D139" s="25"/>
      <c r="E139" s="25"/>
      <c r="F139" t="s">
        <v>283</v>
      </c>
      <c r="G139">
        <v>4</v>
      </c>
      <c r="H139">
        <v>33.75</v>
      </c>
      <c r="K139" t="s">
        <v>92</v>
      </c>
      <c r="L139">
        <v>3</v>
      </c>
      <c r="M139">
        <v>50</v>
      </c>
      <c r="P139" t="s">
        <v>168</v>
      </c>
      <c r="Q139">
        <v>3</v>
      </c>
      <c r="R139">
        <v>48.63788370212302</v>
      </c>
      <c r="U139" t="s">
        <v>146</v>
      </c>
      <c r="V139">
        <v>3</v>
      </c>
      <c r="W139">
        <v>25</v>
      </c>
      <c r="AA139" s="25"/>
    </row>
    <row r="140" spans="1:29" x14ac:dyDescent="0.25">
      <c r="A140" t="s">
        <v>281</v>
      </c>
      <c r="B140">
        <v>4</v>
      </c>
      <c r="C140" s="25">
        <v>83.078447863050357</v>
      </c>
      <c r="D140" s="25"/>
      <c r="E140" s="25"/>
      <c r="F140" t="s">
        <v>289</v>
      </c>
      <c r="G140">
        <v>4</v>
      </c>
      <c r="H140">
        <v>33.75</v>
      </c>
      <c r="K140" s="2" t="s">
        <v>313</v>
      </c>
      <c r="L140" s="2">
        <v>3</v>
      </c>
      <c r="M140">
        <v>50</v>
      </c>
      <c r="P140" t="s">
        <v>295</v>
      </c>
      <c r="Q140">
        <v>4</v>
      </c>
      <c r="R140">
        <v>48.625072234048098</v>
      </c>
      <c r="U140" t="s">
        <v>147</v>
      </c>
      <c r="V140">
        <v>2</v>
      </c>
      <c r="W140">
        <v>25</v>
      </c>
      <c r="AA140" s="25"/>
    </row>
    <row r="141" spans="1:29" x14ac:dyDescent="0.25">
      <c r="A141" t="s">
        <v>293</v>
      </c>
      <c r="B141">
        <v>4</v>
      </c>
      <c r="C141" s="25">
        <v>83.078447863050357</v>
      </c>
      <c r="D141" s="25"/>
      <c r="E141" s="25"/>
      <c r="F141" t="s">
        <v>71</v>
      </c>
      <c r="G141">
        <v>2</v>
      </c>
      <c r="H141">
        <v>32.5</v>
      </c>
      <c r="K141" t="s">
        <v>107</v>
      </c>
      <c r="L141">
        <v>3</v>
      </c>
      <c r="M141">
        <v>50</v>
      </c>
      <c r="P141" t="s">
        <v>44</v>
      </c>
      <c r="Q141">
        <v>2</v>
      </c>
      <c r="R141">
        <v>48.593388643031048</v>
      </c>
      <c r="U141" t="s">
        <v>148</v>
      </c>
      <c r="V141">
        <v>3</v>
      </c>
      <c r="W141">
        <v>25</v>
      </c>
      <c r="AA141" s="25"/>
    </row>
    <row r="142" spans="1:29" x14ac:dyDescent="0.25">
      <c r="A142" t="s">
        <v>22</v>
      </c>
      <c r="B142">
        <v>1</v>
      </c>
      <c r="C142" s="25">
        <v>82.79864606643568</v>
      </c>
      <c r="D142" s="25"/>
      <c r="E142" s="25"/>
      <c r="F142" t="s">
        <v>142</v>
      </c>
      <c r="G142">
        <v>3</v>
      </c>
      <c r="H142">
        <v>31.25</v>
      </c>
      <c r="K142" t="s">
        <v>116</v>
      </c>
      <c r="L142">
        <v>3</v>
      </c>
      <c r="M142">
        <v>50</v>
      </c>
      <c r="P142" t="s">
        <v>61</v>
      </c>
      <c r="Q142">
        <v>3</v>
      </c>
      <c r="R142">
        <v>48.553010861003266</v>
      </c>
      <c r="U142" t="s">
        <v>316</v>
      </c>
      <c r="V142">
        <v>3</v>
      </c>
      <c r="W142">
        <v>25</v>
      </c>
      <c r="AA142" s="25"/>
    </row>
    <row r="143" spans="1:29" x14ac:dyDescent="0.25">
      <c r="A143" t="s">
        <v>56</v>
      </c>
      <c r="B143">
        <v>2</v>
      </c>
      <c r="C143" s="25">
        <v>81.759742341414636</v>
      </c>
      <c r="D143" s="25"/>
      <c r="E143" s="25"/>
      <c r="F143" t="s">
        <v>188</v>
      </c>
      <c r="G143">
        <v>3</v>
      </c>
      <c r="H143">
        <v>31.25</v>
      </c>
      <c r="K143" t="s">
        <v>139</v>
      </c>
      <c r="L143">
        <v>3</v>
      </c>
      <c r="M143">
        <v>50</v>
      </c>
      <c r="P143" t="s">
        <v>38</v>
      </c>
      <c r="Q143">
        <v>1</v>
      </c>
      <c r="R143">
        <v>48.519001361921255</v>
      </c>
      <c r="U143" t="s">
        <v>152</v>
      </c>
      <c r="V143">
        <v>3</v>
      </c>
      <c r="W143">
        <v>25</v>
      </c>
      <c r="AA143" s="25"/>
    </row>
    <row r="144" spans="1:29" x14ac:dyDescent="0.25">
      <c r="A144" t="s">
        <v>71</v>
      </c>
      <c r="B144">
        <v>2</v>
      </c>
      <c r="C144" s="25">
        <v>81.759742341414636</v>
      </c>
      <c r="D144" s="25"/>
      <c r="E144" s="25"/>
      <c r="F144" t="s">
        <v>157</v>
      </c>
      <c r="G144">
        <v>3</v>
      </c>
      <c r="H144">
        <v>30</v>
      </c>
      <c r="K144" t="s">
        <v>163</v>
      </c>
      <c r="L144">
        <v>3</v>
      </c>
      <c r="M144">
        <v>50</v>
      </c>
      <c r="P144" t="s">
        <v>151</v>
      </c>
      <c r="Q144">
        <v>2</v>
      </c>
      <c r="R144">
        <v>48.496909559250334</v>
      </c>
      <c r="U144" t="s">
        <v>153</v>
      </c>
      <c r="V144">
        <v>2</v>
      </c>
      <c r="W144">
        <v>25</v>
      </c>
      <c r="AA144" s="25"/>
    </row>
    <row r="145" spans="1:30" x14ac:dyDescent="0.25">
      <c r="A145" t="s">
        <v>160</v>
      </c>
      <c r="B145">
        <v>4</v>
      </c>
      <c r="C145" s="25">
        <v>81.759742341414636</v>
      </c>
      <c r="D145" s="25"/>
      <c r="E145" s="25"/>
      <c r="F145" s="22" t="s">
        <v>30</v>
      </c>
      <c r="G145" s="22">
        <v>1</v>
      </c>
      <c r="H145" s="22">
        <v>28.75</v>
      </c>
      <c r="K145" t="s">
        <v>171</v>
      </c>
      <c r="L145">
        <v>2</v>
      </c>
      <c r="M145">
        <v>50</v>
      </c>
      <c r="P145" t="s">
        <v>165</v>
      </c>
      <c r="Q145">
        <v>3</v>
      </c>
      <c r="R145">
        <v>48.455037420559627</v>
      </c>
      <c r="U145" t="s">
        <v>157</v>
      </c>
      <c r="V145">
        <v>3</v>
      </c>
      <c r="W145">
        <v>25</v>
      </c>
      <c r="AA145" s="25"/>
      <c r="AB145" s="22"/>
    </row>
    <row r="146" spans="1:30" x14ac:dyDescent="0.25">
      <c r="A146" t="s">
        <v>236</v>
      </c>
      <c r="B146">
        <v>3</v>
      </c>
      <c r="C146" s="25">
        <v>81.759742341414636</v>
      </c>
      <c r="D146" s="25"/>
      <c r="E146" s="25"/>
      <c r="F146" t="s">
        <v>32</v>
      </c>
      <c r="G146">
        <v>1</v>
      </c>
      <c r="H146">
        <v>28.75</v>
      </c>
      <c r="K146" t="s">
        <v>176</v>
      </c>
      <c r="L146">
        <v>4</v>
      </c>
      <c r="M146">
        <v>50</v>
      </c>
      <c r="P146" s="2" t="s">
        <v>105</v>
      </c>
      <c r="Q146" s="2">
        <v>4</v>
      </c>
      <c r="R146">
        <v>48.354162931988078</v>
      </c>
      <c r="U146" t="s">
        <v>159</v>
      </c>
      <c r="V146">
        <v>4</v>
      </c>
      <c r="W146">
        <v>25</v>
      </c>
      <c r="AA146" s="25"/>
    </row>
    <row r="147" spans="1:30" x14ac:dyDescent="0.25">
      <c r="A147" t="s">
        <v>33</v>
      </c>
      <c r="B147">
        <v>1</v>
      </c>
      <c r="C147" s="25">
        <v>80.796403498733625</v>
      </c>
      <c r="D147" s="25"/>
      <c r="E147" s="25"/>
      <c r="F147" t="s">
        <v>44</v>
      </c>
      <c r="G147">
        <v>2</v>
      </c>
      <c r="H147">
        <v>28.75</v>
      </c>
      <c r="K147" t="s">
        <v>177</v>
      </c>
      <c r="L147">
        <v>3</v>
      </c>
      <c r="M147">
        <v>50</v>
      </c>
      <c r="P147" t="s">
        <v>153</v>
      </c>
      <c r="Q147">
        <v>2</v>
      </c>
      <c r="R147">
        <v>48.338773991254577</v>
      </c>
      <c r="U147" t="s">
        <v>167</v>
      </c>
      <c r="V147">
        <v>4</v>
      </c>
      <c r="W147">
        <v>25</v>
      </c>
      <c r="AA147" s="25"/>
    </row>
    <row r="148" spans="1:30" x14ac:dyDescent="0.25">
      <c r="A148" t="s">
        <v>57</v>
      </c>
      <c r="B148">
        <v>2</v>
      </c>
      <c r="C148" s="25">
        <v>80.630978620580308</v>
      </c>
      <c r="D148" s="25"/>
      <c r="E148" s="25"/>
      <c r="F148" t="s">
        <v>48</v>
      </c>
      <c r="G148">
        <v>1</v>
      </c>
      <c r="H148">
        <v>28.75</v>
      </c>
      <c r="K148" t="s">
        <v>209</v>
      </c>
      <c r="L148">
        <v>4</v>
      </c>
      <c r="M148">
        <v>50</v>
      </c>
      <c r="P148" t="s">
        <v>109</v>
      </c>
      <c r="Q148">
        <v>3</v>
      </c>
      <c r="R148">
        <v>48.269002528988111</v>
      </c>
      <c r="U148" t="s">
        <v>168</v>
      </c>
      <c r="V148">
        <v>3</v>
      </c>
      <c r="W148">
        <v>25</v>
      </c>
      <c r="AA148" s="25"/>
    </row>
    <row r="149" spans="1:30" x14ac:dyDescent="0.25">
      <c r="A149" s="22" t="s">
        <v>126</v>
      </c>
      <c r="B149" s="22">
        <v>3</v>
      </c>
      <c r="C149" s="30">
        <v>80.441036819778915</v>
      </c>
      <c r="D149" s="25"/>
      <c r="E149" s="25"/>
      <c r="F149" t="s">
        <v>57</v>
      </c>
      <c r="G149">
        <v>2</v>
      </c>
      <c r="H149">
        <v>28.75</v>
      </c>
      <c r="K149" t="s">
        <v>216</v>
      </c>
      <c r="L149">
        <v>2</v>
      </c>
      <c r="M149">
        <v>50</v>
      </c>
      <c r="P149" t="s">
        <v>234</v>
      </c>
      <c r="Q149">
        <v>3</v>
      </c>
      <c r="R149">
        <v>48.266051115800423</v>
      </c>
      <c r="U149" t="s">
        <v>173</v>
      </c>
      <c r="V149">
        <v>2</v>
      </c>
      <c r="W149">
        <v>25</v>
      </c>
      <c r="AA149" s="30"/>
    </row>
    <row r="150" spans="1:30" x14ac:dyDescent="0.25">
      <c r="A150" s="22" t="s">
        <v>145</v>
      </c>
      <c r="B150" s="22">
        <v>2</v>
      </c>
      <c r="C150" s="30">
        <v>80.441036819778915</v>
      </c>
      <c r="D150" s="25"/>
      <c r="E150" s="25"/>
      <c r="F150" t="s">
        <v>62</v>
      </c>
      <c r="G150">
        <v>3</v>
      </c>
      <c r="H150">
        <v>28.75</v>
      </c>
      <c r="K150" t="s">
        <v>226</v>
      </c>
      <c r="L150">
        <v>3</v>
      </c>
      <c r="M150">
        <v>50</v>
      </c>
      <c r="P150" s="35" t="s">
        <v>80</v>
      </c>
      <c r="Q150" s="35">
        <v>2</v>
      </c>
      <c r="R150" s="35">
        <v>48.234912982271887</v>
      </c>
      <c r="U150" t="s">
        <v>175</v>
      </c>
      <c r="V150">
        <v>3</v>
      </c>
      <c r="W150">
        <v>25</v>
      </c>
      <c r="AA150" s="30"/>
      <c r="AD150" s="35"/>
    </row>
    <row r="151" spans="1:30" x14ac:dyDescent="0.25">
      <c r="A151" s="22" t="s">
        <v>182</v>
      </c>
      <c r="B151" s="22">
        <v>3</v>
      </c>
      <c r="C151" s="30">
        <v>80.441036819778915</v>
      </c>
      <c r="D151" s="25"/>
      <c r="E151" s="25"/>
      <c r="F151" t="s">
        <v>81</v>
      </c>
      <c r="G151">
        <v>3</v>
      </c>
      <c r="H151">
        <v>28.75</v>
      </c>
      <c r="K151" t="s">
        <v>235</v>
      </c>
      <c r="L151">
        <v>4</v>
      </c>
      <c r="M151">
        <v>50</v>
      </c>
      <c r="P151" t="s">
        <v>174</v>
      </c>
      <c r="Q151">
        <v>2</v>
      </c>
      <c r="R151">
        <v>48.19254676456255</v>
      </c>
      <c r="U151" t="s">
        <v>176</v>
      </c>
      <c r="V151">
        <v>4</v>
      </c>
      <c r="W151">
        <v>25</v>
      </c>
      <c r="AA151" s="30"/>
    </row>
    <row r="152" spans="1:30" x14ac:dyDescent="0.25">
      <c r="A152" t="s">
        <v>31</v>
      </c>
      <c r="B152">
        <v>1</v>
      </c>
      <c r="C152" s="25">
        <v>79.47420105520375</v>
      </c>
      <c r="D152" s="25"/>
      <c r="E152" s="25"/>
      <c r="F152" t="s">
        <v>85</v>
      </c>
      <c r="G152">
        <v>2</v>
      </c>
      <c r="H152">
        <v>28.75</v>
      </c>
      <c r="K152" t="s">
        <v>245</v>
      </c>
      <c r="L152">
        <v>2</v>
      </c>
      <c r="M152">
        <v>50</v>
      </c>
      <c r="P152" t="s">
        <v>117</v>
      </c>
      <c r="Q152">
        <v>2</v>
      </c>
      <c r="R152">
        <v>48.190709158873261</v>
      </c>
      <c r="U152" t="s">
        <v>178</v>
      </c>
      <c r="V152">
        <v>2</v>
      </c>
      <c r="W152">
        <v>25</v>
      </c>
      <c r="AA152" s="25"/>
    </row>
    <row r="153" spans="1:30" x14ac:dyDescent="0.25">
      <c r="A153" t="s">
        <v>41</v>
      </c>
      <c r="B153">
        <v>3</v>
      </c>
      <c r="C153" s="25">
        <v>79.122331298143195</v>
      </c>
      <c r="D153" s="25"/>
      <c r="E153" s="25"/>
      <c r="F153" t="s">
        <v>86</v>
      </c>
      <c r="G153">
        <v>4</v>
      </c>
      <c r="H153">
        <v>28.75</v>
      </c>
      <c r="K153" t="s">
        <v>322</v>
      </c>
      <c r="L153">
        <v>3</v>
      </c>
      <c r="M153">
        <v>50</v>
      </c>
      <c r="P153" s="2" t="s">
        <v>312</v>
      </c>
      <c r="Q153" s="2">
        <v>2</v>
      </c>
      <c r="R153">
        <v>48.172934926421206</v>
      </c>
      <c r="U153" t="s">
        <v>180</v>
      </c>
      <c r="V153">
        <v>2</v>
      </c>
      <c r="W153">
        <v>25</v>
      </c>
      <c r="AA153" s="25"/>
    </row>
    <row r="154" spans="1:30" x14ac:dyDescent="0.25">
      <c r="A154" t="s">
        <v>78</v>
      </c>
      <c r="B154">
        <v>2</v>
      </c>
      <c r="C154" s="25">
        <v>79.122331298143195</v>
      </c>
      <c r="D154" s="25"/>
      <c r="E154" s="25"/>
      <c r="F154" t="s">
        <v>91</v>
      </c>
      <c r="G154">
        <v>2</v>
      </c>
      <c r="H154">
        <v>28.75</v>
      </c>
      <c r="K154" t="s">
        <v>267</v>
      </c>
      <c r="L154">
        <v>3</v>
      </c>
      <c r="M154">
        <v>50</v>
      </c>
      <c r="P154" t="s">
        <v>237</v>
      </c>
      <c r="Q154">
        <v>3</v>
      </c>
      <c r="R154">
        <v>48.106717297178193</v>
      </c>
      <c r="U154" t="s">
        <v>182</v>
      </c>
      <c r="V154">
        <v>3</v>
      </c>
      <c r="W154">
        <v>25</v>
      </c>
      <c r="AA154" s="25"/>
    </row>
    <row r="155" spans="1:30" x14ac:dyDescent="0.25">
      <c r="A155" t="s">
        <v>111</v>
      </c>
      <c r="B155">
        <v>2</v>
      </c>
      <c r="C155" s="25">
        <v>79.122331298143195</v>
      </c>
      <c r="D155" s="25"/>
      <c r="E155" s="25"/>
      <c r="F155" t="s">
        <v>95</v>
      </c>
      <c r="G155">
        <v>3</v>
      </c>
      <c r="H155">
        <v>28.75</v>
      </c>
      <c r="K155" t="s">
        <v>272</v>
      </c>
      <c r="L155">
        <v>3</v>
      </c>
      <c r="M155">
        <v>50</v>
      </c>
      <c r="P155" t="s">
        <v>93</v>
      </c>
      <c r="Q155">
        <v>2</v>
      </c>
      <c r="R155">
        <v>48.022120872998499</v>
      </c>
      <c r="U155" t="s">
        <v>190</v>
      </c>
      <c r="V155">
        <v>3</v>
      </c>
      <c r="W155">
        <v>25</v>
      </c>
      <c r="AA155" s="25"/>
    </row>
    <row r="156" spans="1:30" x14ac:dyDescent="0.25">
      <c r="A156" t="s">
        <v>119</v>
      </c>
      <c r="B156">
        <v>3</v>
      </c>
      <c r="C156" s="25">
        <v>79.122331298143195</v>
      </c>
      <c r="D156" s="25"/>
      <c r="E156" s="25"/>
      <c r="F156" s="2" t="s">
        <v>312</v>
      </c>
      <c r="G156" s="2">
        <v>2</v>
      </c>
      <c r="H156">
        <v>28.75</v>
      </c>
      <c r="K156" t="s">
        <v>323</v>
      </c>
      <c r="L156">
        <v>4</v>
      </c>
      <c r="M156">
        <v>50</v>
      </c>
      <c r="P156" t="s">
        <v>247</v>
      </c>
      <c r="Q156">
        <v>4</v>
      </c>
      <c r="R156">
        <v>48.01026441137158</v>
      </c>
      <c r="U156" t="s">
        <v>193</v>
      </c>
      <c r="V156">
        <v>3</v>
      </c>
      <c r="W156">
        <v>25</v>
      </c>
      <c r="AA156" s="25"/>
    </row>
    <row r="157" spans="1:30" x14ac:dyDescent="0.25">
      <c r="A157" t="s">
        <v>121</v>
      </c>
      <c r="B157">
        <v>2</v>
      </c>
      <c r="C157" s="25">
        <v>79.122331298143195</v>
      </c>
      <c r="D157" s="25"/>
      <c r="E157" s="25"/>
      <c r="F157" t="s">
        <v>106</v>
      </c>
      <c r="G157">
        <v>2</v>
      </c>
      <c r="H157">
        <v>28.75</v>
      </c>
      <c r="K157" t="s">
        <v>277</v>
      </c>
      <c r="L157">
        <v>4</v>
      </c>
      <c r="M157">
        <v>50</v>
      </c>
      <c r="P157" t="s">
        <v>89</v>
      </c>
      <c r="Q157">
        <v>2</v>
      </c>
      <c r="R157">
        <v>47.929297876373113</v>
      </c>
      <c r="U157" t="s">
        <v>195</v>
      </c>
      <c r="V157">
        <v>4</v>
      </c>
      <c r="W157">
        <v>25</v>
      </c>
      <c r="AA157" s="25"/>
    </row>
    <row r="158" spans="1:30" x14ac:dyDescent="0.25">
      <c r="A158" t="s">
        <v>136</v>
      </c>
      <c r="B158">
        <v>3</v>
      </c>
      <c r="C158" s="25">
        <v>79.122331298143195</v>
      </c>
      <c r="D158" s="25"/>
      <c r="E158" s="25"/>
      <c r="F158" t="s">
        <v>115</v>
      </c>
      <c r="G158">
        <v>2</v>
      </c>
      <c r="H158">
        <v>28.75</v>
      </c>
      <c r="K158" t="s">
        <v>286</v>
      </c>
      <c r="L158">
        <v>4</v>
      </c>
      <c r="M158">
        <v>50</v>
      </c>
      <c r="P158" t="s">
        <v>138</v>
      </c>
      <c r="Q158">
        <v>2</v>
      </c>
      <c r="R158">
        <v>47.900293916752325</v>
      </c>
      <c r="U158" t="s">
        <v>197</v>
      </c>
      <c r="V158">
        <v>3</v>
      </c>
      <c r="W158">
        <v>25</v>
      </c>
      <c r="AA158" s="25"/>
    </row>
    <row r="159" spans="1:30" x14ac:dyDescent="0.25">
      <c r="A159" t="s">
        <v>149</v>
      </c>
      <c r="B159">
        <v>3</v>
      </c>
      <c r="C159" s="25">
        <v>79.122331298143195</v>
      </c>
      <c r="D159" s="25"/>
      <c r="E159" s="25"/>
      <c r="F159" t="s">
        <v>317</v>
      </c>
      <c r="G159">
        <v>4</v>
      </c>
      <c r="H159">
        <v>28.75</v>
      </c>
      <c r="K159" t="s">
        <v>50</v>
      </c>
      <c r="L159">
        <v>2</v>
      </c>
      <c r="M159">
        <v>48.75</v>
      </c>
      <c r="P159" t="s">
        <v>132</v>
      </c>
      <c r="Q159">
        <v>3</v>
      </c>
      <c r="R159">
        <v>47.881344781671828</v>
      </c>
      <c r="U159" t="s">
        <v>198</v>
      </c>
      <c r="V159">
        <v>4</v>
      </c>
      <c r="W159">
        <v>25</v>
      </c>
      <c r="AA159" s="25"/>
    </row>
    <row r="160" spans="1:30" x14ac:dyDescent="0.25">
      <c r="A160" t="s">
        <v>316</v>
      </c>
      <c r="B160">
        <v>3</v>
      </c>
      <c r="C160" s="25">
        <v>79.122331298143195</v>
      </c>
      <c r="D160" s="25"/>
      <c r="E160" s="25"/>
      <c r="F160" t="s">
        <v>159</v>
      </c>
      <c r="G160">
        <v>4</v>
      </c>
      <c r="H160">
        <v>28.75</v>
      </c>
      <c r="K160" t="s">
        <v>143</v>
      </c>
      <c r="L160">
        <v>3</v>
      </c>
      <c r="M160">
        <v>48.75</v>
      </c>
      <c r="P160" t="s">
        <v>317</v>
      </c>
      <c r="Q160">
        <v>4</v>
      </c>
      <c r="R160">
        <v>47.841823102354333</v>
      </c>
      <c r="U160" t="s">
        <v>199</v>
      </c>
      <c r="V160">
        <v>2</v>
      </c>
      <c r="W160">
        <v>25</v>
      </c>
      <c r="AA160" s="25"/>
    </row>
    <row r="161" spans="1:27" x14ac:dyDescent="0.25">
      <c r="A161" t="s">
        <v>197</v>
      </c>
      <c r="B161">
        <v>3</v>
      </c>
      <c r="C161" s="25">
        <v>79.122331298143195</v>
      </c>
      <c r="D161" s="25"/>
      <c r="E161" s="25"/>
      <c r="F161" t="s">
        <v>165</v>
      </c>
      <c r="G161">
        <v>3</v>
      </c>
      <c r="H161">
        <v>28.75</v>
      </c>
      <c r="K161" t="s">
        <v>319</v>
      </c>
      <c r="L161">
        <v>4</v>
      </c>
      <c r="M161">
        <v>46.25</v>
      </c>
      <c r="P161" t="s">
        <v>213</v>
      </c>
      <c r="Q161">
        <v>3</v>
      </c>
      <c r="R161">
        <v>47.816313184667209</v>
      </c>
      <c r="U161" t="s">
        <v>205</v>
      </c>
      <c r="V161">
        <v>3</v>
      </c>
      <c r="W161">
        <v>25</v>
      </c>
      <c r="AA161" s="25"/>
    </row>
    <row r="162" spans="1:27" x14ac:dyDescent="0.25">
      <c r="A162" t="s">
        <v>234</v>
      </c>
      <c r="B162">
        <v>3</v>
      </c>
      <c r="C162" s="25">
        <v>79.122331298143195</v>
      </c>
      <c r="D162" s="25"/>
      <c r="E162" s="25"/>
      <c r="F162" t="s">
        <v>171</v>
      </c>
      <c r="G162">
        <v>2</v>
      </c>
      <c r="H162">
        <v>28.75</v>
      </c>
      <c r="K162" t="s">
        <v>324</v>
      </c>
      <c r="L162">
        <v>3</v>
      </c>
      <c r="M162">
        <v>45</v>
      </c>
      <c r="P162" t="s">
        <v>228</v>
      </c>
      <c r="Q162">
        <v>3</v>
      </c>
      <c r="R162">
        <v>47.772444814499991</v>
      </c>
      <c r="U162" t="s">
        <v>206</v>
      </c>
      <c r="V162">
        <v>3</v>
      </c>
      <c r="W162">
        <v>25</v>
      </c>
      <c r="AA162" s="25"/>
    </row>
    <row r="163" spans="1:27" x14ac:dyDescent="0.25">
      <c r="A163" t="s">
        <v>248</v>
      </c>
      <c r="B163">
        <v>4</v>
      </c>
      <c r="C163" s="25">
        <v>79.122331298143195</v>
      </c>
      <c r="D163" s="25"/>
      <c r="E163" s="25"/>
      <c r="F163" t="s">
        <v>176</v>
      </c>
      <c r="G163">
        <v>4</v>
      </c>
      <c r="H163">
        <v>28.75</v>
      </c>
      <c r="K163" t="s">
        <v>29</v>
      </c>
      <c r="L163">
        <v>2</v>
      </c>
      <c r="M163">
        <v>42.5</v>
      </c>
      <c r="P163" t="s">
        <v>195</v>
      </c>
      <c r="Q163">
        <v>4</v>
      </c>
      <c r="R163">
        <v>47.758926796161347</v>
      </c>
      <c r="U163" t="s">
        <v>210</v>
      </c>
      <c r="V163">
        <v>4</v>
      </c>
      <c r="W163">
        <v>25</v>
      </c>
      <c r="AA163" s="25"/>
    </row>
    <row r="164" spans="1:27" x14ac:dyDescent="0.25">
      <c r="A164" t="s">
        <v>255</v>
      </c>
      <c r="B164">
        <v>4</v>
      </c>
      <c r="C164" s="25">
        <v>79.122331298143195</v>
      </c>
      <c r="D164" s="25"/>
      <c r="E164" s="25"/>
      <c r="F164" t="s">
        <v>202</v>
      </c>
      <c r="G164">
        <v>4</v>
      </c>
      <c r="H164">
        <v>28.75</v>
      </c>
      <c r="K164" t="s">
        <v>40</v>
      </c>
      <c r="L164">
        <v>1</v>
      </c>
      <c r="M164">
        <v>42.5</v>
      </c>
      <c r="P164" t="s">
        <v>314</v>
      </c>
      <c r="Q164">
        <v>2</v>
      </c>
      <c r="R164">
        <v>47.653873956365487</v>
      </c>
      <c r="U164" t="s">
        <v>211</v>
      </c>
      <c r="V164">
        <v>3</v>
      </c>
      <c r="W164">
        <v>25</v>
      </c>
      <c r="AA164" s="25"/>
    </row>
    <row r="165" spans="1:27" x14ac:dyDescent="0.25">
      <c r="A165" t="s">
        <v>274</v>
      </c>
      <c r="B165">
        <v>3</v>
      </c>
      <c r="C165" s="25">
        <v>79.122331298143195</v>
      </c>
      <c r="D165" s="25"/>
      <c r="E165" s="25"/>
      <c r="F165" t="s">
        <v>203</v>
      </c>
      <c r="G165">
        <v>4</v>
      </c>
      <c r="H165">
        <v>28.75</v>
      </c>
      <c r="K165" t="s">
        <v>56</v>
      </c>
      <c r="L165">
        <v>2</v>
      </c>
      <c r="M165">
        <v>42.5</v>
      </c>
      <c r="P165" t="s">
        <v>43</v>
      </c>
      <c r="Q165">
        <v>1</v>
      </c>
      <c r="R165">
        <v>47.626803152375416</v>
      </c>
      <c r="U165" t="s">
        <v>214</v>
      </c>
      <c r="V165">
        <v>3</v>
      </c>
      <c r="W165">
        <v>25</v>
      </c>
      <c r="AA165" s="25"/>
    </row>
    <row r="166" spans="1:27" x14ac:dyDescent="0.25">
      <c r="A166" t="s">
        <v>324</v>
      </c>
      <c r="B166">
        <v>3</v>
      </c>
      <c r="C166" s="25">
        <v>79.122331298143195</v>
      </c>
      <c r="D166" s="25"/>
      <c r="E166" s="25"/>
      <c r="F166" t="s">
        <v>209</v>
      </c>
      <c r="G166">
        <v>4</v>
      </c>
      <c r="H166">
        <v>28.75</v>
      </c>
      <c r="K166" t="s">
        <v>71</v>
      </c>
      <c r="L166">
        <v>2</v>
      </c>
      <c r="M166">
        <v>42.5</v>
      </c>
      <c r="P166" t="s">
        <v>231</v>
      </c>
      <c r="Q166">
        <v>4</v>
      </c>
      <c r="R166">
        <v>47.614712672665597</v>
      </c>
      <c r="U166" t="s">
        <v>215</v>
      </c>
      <c r="V166">
        <v>2</v>
      </c>
      <c r="W166">
        <v>25</v>
      </c>
      <c r="AA166" s="25"/>
    </row>
    <row r="167" spans="1:27" x14ac:dyDescent="0.25">
      <c r="A167" t="s">
        <v>26</v>
      </c>
      <c r="B167">
        <v>1</v>
      </c>
      <c r="C167" s="25">
        <v>78.270046493761271</v>
      </c>
      <c r="D167" s="25"/>
      <c r="E167" s="25"/>
      <c r="F167" t="s">
        <v>216</v>
      </c>
      <c r="G167">
        <v>2</v>
      </c>
      <c r="H167">
        <v>28.75</v>
      </c>
      <c r="K167" t="s">
        <v>76</v>
      </c>
      <c r="L167">
        <v>2</v>
      </c>
      <c r="M167">
        <v>42.5</v>
      </c>
      <c r="P167" t="s">
        <v>258</v>
      </c>
      <c r="Q167">
        <v>4</v>
      </c>
      <c r="R167">
        <v>47.543418115422739</v>
      </c>
      <c r="U167" t="s">
        <v>218</v>
      </c>
      <c r="V167">
        <v>4</v>
      </c>
      <c r="W167">
        <v>25</v>
      </c>
      <c r="AA167" s="25"/>
    </row>
    <row r="168" spans="1:27" x14ac:dyDescent="0.25">
      <c r="A168" t="s">
        <v>60</v>
      </c>
      <c r="B168">
        <v>2</v>
      </c>
      <c r="C168" s="25">
        <v>77.803625776507474</v>
      </c>
      <c r="D168" s="25"/>
      <c r="E168" s="25"/>
      <c r="F168" t="s">
        <v>227</v>
      </c>
      <c r="G168">
        <v>4</v>
      </c>
      <c r="H168">
        <v>28.75</v>
      </c>
      <c r="K168" t="s">
        <v>81</v>
      </c>
      <c r="L168">
        <v>3</v>
      </c>
      <c r="M168">
        <v>42.5</v>
      </c>
      <c r="P168" t="s">
        <v>217</v>
      </c>
      <c r="Q168">
        <v>3</v>
      </c>
      <c r="R168">
        <v>47.531851171330445</v>
      </c>
      <c r="U168" t="s">
        <v>219</v>
      </c>
      <c r="V168">
        <v>4</v>
      </c>
      <c r="W168">
        <v>25</v>
      </c>
      <c r="AA168" s="25"/>
    </row>
    <row r="169" spans="1:27" x14ac:dyDescent="0.25">
      <c r="A169" t="s">
        <v>77</v>
      </c>
      <c r="B169">
        <v>3</v>
      </c>
      <c r="C169" s="25">
        <v>77.803625776507474</v>
      </c>
      <c r="D169" s="25"/>
      <c r="E169" s="25"/>
      <c r="F169" t="s">
        <v>235</v>
      </c>
      <c r="G169">
        <v>4</v>
      </c>
      <c r="H169">
        <v>28.75</v>
      </c>
      <c r="K169" t="s">
        <v>89</v>
      </c>
      <c r="L169">
        <v>2</v>
      </c>
      <c r="M169">
        <v>42.5</v>
      </c>
      <c r="P169" t="s">
        <v>244</v>
      </c>
      <c r="Q169">
        <v>3</v>
      </c>
      <c r="R169">
        <v>47.249599527862017</v>
      </c>
      <c r="U169" t="s">
        <v>221</v>
      </c>
      <c r="V169">
        <v>4</v>
      </c>
      <c r="W169">
        <v>25</v>
      </c>
      <c r="AA169" s="25"/>
    </row>
    <row r="170" spans="1:27" x14ac:dyDescent="0.25">
      <c r="A170" t="s">
        <v>175</v>
      </c>
      <c r="B170">
        <v>3</v>
      </c>
      <c r="C170" s="25">
        <v>77.803625776507474</v>
      </c>
      <c r="D170" s="25"/>
      <c r="E170" s="25"/>
      <c r="F170" t="s">
        <v>238</v>
      </c>
      <c r="G170">
        <v>3</v>
      </c>
      <c r="H170">
        <v>28.75</v>
      </c>
      <c r="K170" t="s">
        <v>135</v>
      </c>
      <c r="L170">
        <v>3</v>
      </c>
      <c r="M170">
        <v>42.5</v>
      </c>
      <c r="P170" t="s">
        <v>78</v>
      </c>
      <c r="Q170">
        <v>2</v>
      </c>
      <c r="R170">
        <v>47.236250723624231</v>
      </c>
      <c r="U170" t="s">
        <v>223</v>
      </c>
      <c r="V170">
        <v>3</v>
      </c>
      <c r="W170">
        <v>25</v>
      </c>
      <c r="AA170" s="25"/>
    </row>
    <row r="171" spans="1:27" x14ac:dyDescent="0.25">
      <c r="A171" t="s">
        <v>204</v>
      </c>
      <c r="B171">
        <v>3</v>
      </c>
      <c r="C171" s="25">
        <v>77.803625776507474</v>
      </c>
      <c r="D171" s="25"/>
      <c r="E171" s="25"/>
      <c r="F171" t="s">
        <v>322</v>
      </c>
      <c r="G171">
        <v>3</v>
      </c>
      <c r="H171">
        <v>28.75</v>
      </c>
      <c r="K171" t="s">
        <v>315</v>
      </c>
      <c r="L171">
        <v>2</v>
      </c>
      <c r="M171">
        <v>42.5</v>
      </c>
      <c r="P171" t="s">
        <v>119</v>
      </c>
      <c r="Q171">
        <v>3</v>
      </c>
      <c r="R171">
        <v>47.207983603745994</v>
      </c>
      <c r="U171" t="s">
        <v>227</v>
      </c>
      <c r="V171">
        <v>4</v>
      </c>
      <c r="W171">
        <v>25</v>
      </c>
      <c r="AA171" s="25"/>
    </row>
    <row r="172" spans="1:27" x14ac:dyDescent="0.25">
      <c r="A172" t="s">
        <v>213</v>
      </c>
      <c r="B172">
        <v>3</v>
      </c>
      <c r="C172" s="25">
        <v>77.803625776507474</v>
      </c>
      <c r="D172" s="25"/>
      <c r="E172" s="25"/>
      <c r="F172" t="s">
        <v>261</v>
      </c>
      <c r="G172">
        <v>4</v>
      </c>
      <c r="H172">
        <v>28.75</v>
      </c>
      <c r="K172" t="s">
        <v>145</v>
      </c>
      <c r="L172">
        <v>2</v>
      </c>
      <c r="M172">
        <v>42.5</v>
      </c>
      <c r="P172" t="s">
        <v>160</v>
      </c>
      <c r="Q172">
        <v>4</v>
      </c>
      <c r="R172">
        <v>47.178381381327839</v>
      </c>
      <c r="U172" t="s">
        <v>319</v>
      </c>
      <c r="V172">
        <v>4</v>
      </c>
      <c r="W172">
        <v>25</v>
      </c>
      <c r="AA172" s="25"/>
    </row>
    <row r="173" spans="1:27" x14ac:dyDescent="0.25">
      <c r="A173" t="s">
        <v>226</v>
      </c>
      <c r="B173">
        <v>3</v>
      </c>
      <c r="C173" s="25">
        <v>77.803625776507474</v>
      </c>
      <c r="D173" s="25"/>
      <c r="E173" s="25"/>
      <c r="F173" t="s">
        <v>280</v>
      </c>
      <c r="G173">
        <v>4</v>
      </c>
      <c r="H173">
        <v>28.75</v>
      </c>
      <c r="K173" t="s">
        <v>149</v>
      </c>
      <c r="L173">
        <v>3</v>
      </c>
      <c r="M173">
        <v>42.5</v>
      </c>
      <c r="P173" t="s">
        <v>125</v>
      </c>
      <c r="Q173">
        <v>2</v>
      </c>
      <c r="R173">
        <v>47.162264873522759</v>
      </c>
      <c r="U173" t="s">
        <v>235</v>
      </c>
      <c r="V173">
        <v>4</v>
      </c>
      <c r="W173">
        <v>25</v>
      </c>
      <c r="AA173" s="25"/>
    </row>
    <row r="174" spans="1:27" x14ac:dyDescent="0.25">
      <c r="A174" t="s">
        <v>285</v>
      </c>
      <c r="B174">
        <v>4</v>
      </c>
      <c r="C174" s="25">
        <v>77.803625776507474</v>
      </c>
      <c r="D174" s="25"/>
      <c r="E174" s="25"/>
      <c r="F174" t="s">
        <v>286</v>
      </c>
      <c r="G174">
        <v>4</v>
      </c>
      <c r="H174">
        <v>28.75</v>
      </c>
      <c r="K174" t="s">
        <v>159</v>
      </c>
      <c r="L174">
        <v>4</v>
      </c>
      <c r="M174">
        <v>42.5</v>
      </c>
      <c r="P174" t="s">
        <v>271</v>
      </c>
      <c r="Q174">
        <v>4</v>
      </c>
      <c r="R174">
        <v>47.150431150580374</v>
      </c>
      <c r="U174" t="s">
        <v>236</v>
      </c>
      <c r="V174">
        <v>3</v>
      </c>
      <c r="W174">
        <v>25</v>
      </c>
      <c r="AA174" s="25"/>
    </row>
    <row r="175" spans="1:27" x14ac:dyDescent="0.25">
      <c r="A175" t="s">
        <v>294</v>
      </c>
      <c r="B175">
        <v>3</v>
      </c>
      <c r="C175" s="25">
        <v>77.803625776507474</v>
      </c>
      <c r="D175" s="25"/>
      <c r="E175" s="25"/>
      <c r="F175" t="s">
        <v>294</v>
      </c>
      <c r="G175">
        <v>3</v>
      </c>
      <c r="H175">
        <v>28.75</v>
      </c>
      <c r="K175" t="s">
        <v>196</v>
      </c>
      <c r="L175">
        <v>3</v>
      </c>
      <c r="M175">
        <v>42.5</v>
      </c>
      <c r="P175" t="s">
        <v>188</v>
      </c>
      <c r="Q175">
        <v>3</v>
      </c>
      <c r="R175">
        <v>47.095871031915522</v>
      </c>
      <c r="U175" t="s">
        <v>320</v>
      </c>
      <c r="V175">
        <v>4</v>
      </c>
      <c r="W175">
        <v>25</v>
      </c>
      <c r="AA175" s="25"/>
    </row>
    <row r="176" spans="1:27" x14ac:dyDescent="0.25">
      <c r="A176" t="s">
        <v>39</v>
      </c>
      <c r="B176">
        <v>1</v>
      </c>
      <c r="C176" s="25">
        <v>77.568493604058716</v>
      </c>
      <c r="D176" s="25"/>
      <c r="E176" s="25"/>
      <c r="F176" t="s">
        <v>36</v>
      </c>
      <c r="G176">
        <v>2</v>
      </c>
      <c r="H176">
        <v>27.5</v>
      </c>
      <c r="K176" t="s">
        <v>203</v>
      </c>
      <c r="L176">
        <v>4</v>
      </c>
      <c r="M176">
        <v>42.5</v>
      </c>
      <c r="P176" t="s">
        <v>150</v>
      </c>
      <c r="Q176">
        <v>2</v>
      </c>
      <c r="R176">
        <v>46.999251826545112</v>
      </c>
      <c r="U176" t="s">
        <v>242</v>
      </c>
      <c r="V176">
        <v>4</v>
      </c>
      <c r="W176">
        <v>25</v>
      </c>
      <c r="AA176" s="25"/>
    </row>
    <row r="177" spans="1:27" x14ac:dyDescent="0.25">
      <c r="A177" t="s">
        <v>43</v>
      </c>
      <c r="B177">
        <v>1</v>
      </c>
      <c r="C177" s="25">
        <v>76.686709468682096</v>
      </c>
      <c r="D177" s="25"/>
      <c r="E177" s="25"/>
      <c r="F177" t="s">
        <v>51</v>
      </c>
      <c r="G177">
        <v>1</v>
      </c>
      <c r="H177">
        <v>27.5</v>
      </c>
      <c r="K177" t="s">
        <v>204</v>
      </c>
      <c r="L177">
        <v>3</v>
      </c>
      <c r="M177">
        <v>42.5</v>
      </c>
      <c r="P177" t="s">
        <v>86</v>
      </c>
      <c r="Q177">
        <v>4</v>
      </c>
      <c r="R177">
        <v>46.949923724548903</v>
      </c>
      <c r="U177" t="s">
        <v>321</v>
      </c>
      <c r="V177">
        <v>3</v>
      </c>
      <c r="W177">
        <v>25</v>
      </c>
      <c r="AA177" s="25"/>
    </row>
    <row r="178" spans="1:27" x14ac:dyDescent="0.25">
      <c r="A178" t="s">
        <v>104</v>
      </c>
      <c r="B178">
        <v>3</v>
      </c>
      <c r="C178" s="25">
        <v>76.484920254871753</v>
      </c>
      <c r="D178" s="25"/>
      <c r="E178" s="25"/>
      <c r="F178" s="2" t="s">
        <v>313</v>
      </c>
      <c r="G178" s="2">
        <v>3</v>
      </c>
      <c r="H178">
        <v>27.5</v>
      </c>
      <c r="K178" t="s">
        <v>206</v>
      </c>
      <c r="L178">
        <v>3</v>
      </c>
      <c r="M178">
        <v>42.5</v>
      </c>
      <c r="P178" t="s">
        <v>283</v>
      </c>
      <c r="Q178">
        <v>4</v>
      </c>
      <c r="R178">
        <v>46.877203131700597</v>
      </c>
      <c r="U178" t="s">
        <v>246</v>
      </c>
      <c r="V178">
        <v>4</v>
      </c>
      <c r="W178">
        <v>25</v>
      </c>
      <c r="AA178" s="25"/>
    </row>
    <row r="179" spans="1:27" x14ac:dyDescent="0.25">
      <c r="A179" t="s">
        <v>38</v>
      </c>
      <c r="B179">
        <v>1</v>
      </c>
      <c r="C179" s="25">
        <v>75.667531473788713</v>
      </c>
      <c r="D179" s="25"/>
      <c r="E179" s="25"/>
      <c r="F179" t="s">
        <v>315</v>
      </c>
      <c r="G179">
        <v>2</v>
      </c>
      <c r="H179">
        <v>27.5</v>
      </c>
      <c r="K179" t="s">
        <v>213</v>
      </c>
      <c r="L179">
        <v>3</v>
      </c>
      <c r="M179">
        <v>42.5</v>
      </c>
      <c r="P179" t="s">
        <v>186</v>
      </c>
      <c r="Q179">
        <v>2</v>
      </c>
      <c r="R179">
        <v>46.772317527855314</v>
      </c>
      <c r="U179" t="s">
        <v>322</v>
      </c>
      <c r="V179">
        <v>3</v>
      </c>
      <c r="W179">
        <v>25</v>
      </c>
      <c r="AA179" s="25"/>
    </row>
    <row r="180" spans="1:27" x14ac:dyDescent="0.25">
      <c r="A180" t="s">
        <v>309</v>
      </c>
      <c r="B180">
        <v>2</v>
      </c>
      <c r="C180" s="25">
        <v>75.166214733236032</v>
      </c>
      <c r="D180" s="25"/>
      <c r="E180" s="25"/>
      <c r="F180" t="s">
        <v>196</v>
      </c>
      <c r="G180">
        <v>3</v>
      </c>
      <c r="H180">
        <v>27.5</v>
      </c>
      <c r="K180" t="s">
        <v>214</v>
      </c>
      <c r="L180">
        <v>3</v>
      </c>
      <c r="M180">
        <v>42.5</v>
      </c>
      <c r="P180" t="s">
        <v>52</v>
      </c>
      <c r="Q180">
        <v>2</v>
      </c>
      <c r="R180">
        <v>46.646947843643702</v>
      </c>
      <c r="U180" t="s">
        <v>254</v>
      </c>
      <c r="V180">
        <v>3</v>
      </c>
      <c r="W180">
        <v>25</v>
      </c>
      <c r="AA180" s="25"/>
    </row>
    <row r="181" spans="1:27" x14ac:dyDescent="0.25">
      <c r="A181" t="s">
        <v>94</v>
      </c>
      <c r="B181">
        <v>3</v>
      </c>
      <c r="C181" s="25">
        <v>75.166214733236032</v>
      </c>
      <c r="D181" s="25"/>
      <c r="E181" s="25"/>
      <c r="F181" t="s">
        <v>197</v>
      </c>
      <c r="G181">
        <v>3</v>
      </c>
      <c r="H181">
        <v>27.5</v>
      </c>
      <c r="K181" t="s">
        <v>222</v>
      </c>
      <c r="L181">
        <v>4</v>
      </c>
      <c r="M181">
        <v>42.5</v>
      </c>
      <c r="P181" t="s">
        <v>149</v>
      </c>
      <c r="Q181">
        <v>3</v>
      </c>
      <c r="R181">
        <v>46.62089764158609</v>
      </c>
      <c r="U181" t="s">
        <v>256</v>
      </c>
      <c r="V181">
        <v>4</v>
      </c>
      <c r="W181">
        <v>25</v>
      </c>
      <c r="AA181" s="25"/>
    </row>
    <row r="182" spans="1:27" x14ac:dyDescent="0.25">
      <c r="A182" t="s">
        <v>96</v>
      </c>
      <c r="B182">
        <v>3</v>
      </c>
      <c r="C182" s="25">
        <v>75.166214733236032</v>
      </c>
      <c r="D182" s="25"/>
      <c r="E182" s="25"/>
      <c r="F182" t="s">
        <v>201</v>
      </c>
      <c r="G182">
        <v>4</v>
      </c>
      <c r="H182">
        <v>27.5</v>
      </c>
      <c r="K182" t="s">
        <v>250</v>
      </c>
      <c r="L182">
        <v>4</v>
      </c>
      <c r="M182">
        <v>42.5</v>
      </c>
      <c r="P182" t="s">
        <v>239</v>
      </c>
      <c r="Q182">
        <v>4</v>
      </c>
      <c r="R182">
        <v>46.559237485325362</v>
      </c>
      <c r="U182" t="s">
        <v>258</v>
      </c>
      <c r="V182">
        <v>4</v>
      </c>
      <c r="W182">
        <v>25</v>
      </c>
      <c r="AA182" s="25"/>
    </row>
    <row r="183" spans="1:27" x14ac:dyDescent="0.25">
      <c r="A183" t="s">
        <v>106</v>
      </c>
      <c r="B183">
        <v>2</v>
      </c>
      <c r="C183" s="25">
        <v>75.166214733236032</v>
      </c>
      <c r="D183" s="25"/>
      <c r="E183" s="25"/>
      <c r="F183" t="s">
        <v>248</v>
      </c>
      <c r="G183">
        <v>4</v>
      </c>
      <c r="H183">
        <v>27.5</v>
      </c>
      <c r="K183" t="s">
        <v>252</v>
      </c>
      <c r="L183">
        <v>3</v>
      </c>
      <c r="M183">
        <v>42.5</v>
      </c>
      <c r="P183" t="s">
        <v>158</v>
      </c>
      <c r="Q183">
        <v>2</v>
      </c>
      <c r="R183">
        <v>46.414855160188019</v>
      </c>
      <c r="U183" t="s">
        <v>260</v>
      </c>
      <c r="V183">
        <v>4</v>
      </c>
      <c r="W183">
        <v>25</v>
      </c>
      <c r="AA183" s="25"/>
    </row>
    <row r="184" spans="1:27" x14ac:dyDescent="0.25">
      <c r="A184" t="s">
        <v>123</v>
      </c>
      <c r="B184">
        <v>3</v>
      </c>
      <c r="C184" s="25">
        <v>75.166214733236032</v>
      </c>
      <c r="D184" s="25"/>
      <c r="E184" s="25"/>
      <c r="F184" t="s">
        <v>325</v>
      </c>
      <c r="G184">
        <v>4</v>
      </c>
      <c r="H184">
        <v>27.5</v>
      </c>
      <c r="K184" t="s">
        <v>55</v>
      </c>
      <c r="L184">
        <v>3</v>
      </c>
      <c r="M184">
        <v>41.25</v>
      </c>
      <c r="P184" t="s">
        <v>35</v>
      </c>
      <c r="Q184">
        <v>2</v>
      </c>
      <c r="R184">
        <v>46.227686447170008</v>
      </c>
      <c r="U184" t="s">
        <v>263</v>
      </c>
      <c r="V184">
        <v>4</v>
      </c>
      <c r="W184">
        <v>25</v>
      </c>
      <c r="AA184" s="25"/>
    </row>
    <row r="185" spans="1:27" x14ac:dyDescent="0.25">
      <c r="A185" t="s">
        <v>129</v>
      </c>
      <c r="B185">
        <v>3</v>
      </c>
      <c r="C185" s="25">
        <v>75.166214733236032</v>
      </c>
      <c r="D185" s="25"/>
      <c r="E185" s="25"/>
      <c r="F185" t="s">
        <v>90</v>
      </c>
      <c r="G185">
        <v>3</v>
      </c>
      <c r="H185">
        <v>26.25</v>
      </c>
      <c r="K185" t="s">
        <v>72</v>
      </c>
      <c r="L185">
        <v>3</v>
      </c>
      <c r="M185">
        <v>41.25</v>
      </c>
      <c r="P185" t="s">
        <v>157</v>
      </c>
      <c r="Q185">
        <v>3</v>
      </c>
      <c r="R185">
        <v>46.134283328703937</v>
      </c>
      <c r="U185" t="s">
        <v>265</v>
      </c>
      <c r="V185">
        <v>4</v>
      </c>
      <c r="W185">
        <v>25</v>
      </c>
      <c r="AA185" s="25"/>
    </row>
    <row r="186" spans="1:27" x14ac:dyDescent="0.25">
      <c r="A186" t="s">
        <v>141</v>
      </c>
      <c r="B186">
        <v>4</v>
      </c>
      <c r="C186" s="25">
        <v>75.166214733236032</v>
      </c>
      <c r="D186" s="25"/>
      <c r="E186" s="25"/>
      <c r="F186" t="s">
        <v>177</v>
      </c>
      <c r="G186">
        <v>3</v>
      </c>
      <c r="H186">
        <v>26.25</v>
      </c>
      <c r="K186" t="s">
        <v>93</v>
      </c>
      <c r="L186">
        <v>2</v>
      </c>
      <c r="M186">
        <v>41.25</v>
      </c>
      <c r="P186" t="s">
        <v>192</v>
      </c>
      <c r="Q186">
        <v>3</v>
      </c>
      <c r="R186">
        <v>46.133472056000663</v>
      </c>
      <c r="U186" t="s">
        <v>266</v>
      </c>
      <c r="V186">
        <v>4</v>
      </c>
      <c r="W186">
        <v>25</v>
      </c>
      <c r="AA186" s="25"/>
    </row>
    <row r="187" spans="1:27" x14ac:dyDescent="0.25">
      <c r="A187" t="s">
        <v>190</v>
      </c>
      <c r="B187">
        <v>3</v>
      </c>
      <c r="C187" s="25">
        <v>75.166214733236032</v>
      </c>
      <c r="D187" s="25"/>
      <c r="E187" s="25"/>
      <c r="F187" t="s">
        <v>245</v>
      </c>
      <c r="G187">
        <v>2</v>
      </c>
      <c r="H187">
        <v>26.25</v>
      </c>
      <c r="K187" s="2" t="s">
        <v>105</v>
      </c>
      <c r="L187" s="2">
        <v>4</v>
      </c>
      <c r="M187">
        <v>41.25</v>
      </c>
      <c r="P187" t="s">
        <v>262</v>
      </c>
      <c r="Q187">
        <v>3</v>
      </c>
      <c r="R187">
        <v>46.106007760312536</v>
      </c>
      <c r="U187" t="s">
        <v>270</v>
      </c>
      <c r="V187">
        <v>4</v>
      </c>
      <c r="W187">
        <v>25</v>
      </c>
      <c r="AA187" s="25"/>
    </row>
    <row r="188" spans="1:27" x14ac:dyDescent="0.25">
      <c r="A188" t="s">
        <v>196</v>
      </c>
      <c r="B188">
        <v>3</v>
      </c>
      <c r="C188" s="25">
        <v>75.166214733236032</v>
      </c>
      <c r="D188" s="25"/>
      <c r="E188" s="25"/>
      <c r="F188" t="s">
        <v>204</v>
      </c>
      <c r="G188">
        <v>3</v>
      </c>
      <c r="H188">
        <v>25</v>
      </c>
      <c r="K188" t="s">
        <v>134</v>
      </c>
      <c r="L188">
        <v>3</v>
      </c>
      <c r="M188">
        <v>41.25</v>
      </c>
      <c r="P188" t="s">
        <v>269</v>
      </c>
      <c r="Q188">
        <v>3</v>
      </c>
      <c r="R188">
        <v>46.101280231106642</v>
      </c>
      <c r="U188" t="s">
        <v>272</v>
      </c>
      <c r="V188">
        <v>3</v>
      </c>
      <c r="W188">
        <v>25</v>
      </c>
      <c r="AA188" s="25"/>
    </row>
    <row r="189" spans="1:27" x14ac:dyDescent="0.25">
      <c r="A189" t="s">
        <v>200</v>
      </c>
      <c r="B189">
        <v>2</v>
      </c>
      <c r="C189" s="25">
        <v>75.166214733236032</v>
      </c>
      <c r="D189" s="25"/>
      <c r="E189" s="25"/>
      <c r="F189" t="s">
        <v>29</v>
      </c>
      <c r="G189">
        <v>2</v>
      </c>
      <c r="H189">
        <v>22.5</v>
      </c>
      <c r="K189" t="s">
        <v>317</v>
      </c>
      <c r="L189">
        <v>4</v>
      </c>
      <c r="M189">
        <v>41.25</v>
      </c>
      <c r="P189" t="s">
        <v>189</v>
      </c>
      <c r="Q189">
        <v>2</v>
      </c>
      <c r="R189">
        <v>46.039621607093224</v>
      </c>
      <c r="U189" t="s">
        <v>323</v>
      </c>
      <c r="V189">
        <v>4</v>
      </c>
      <c r="W189">
        <v>25</v>
      </c>
      <c r="AA189" s="25"/>
    </row>
    <row r="190" spans="1:27" x14ac:dyDescent="0.25">
      <c r="A190" t="s">
        <v>229</v>
      </c>
      <c r="B190">
        <v>4</v>
      </c>
      <c r="C190" s="25">
        <v>75.166214733236032</v>
      </c>
      <c r="D190" s="25"/>
      <c r="E190" s="25"/>
      <c r="F190" t="s">
        <v>35</v>
      </c>
      <c r="G190">
        <v>2</v>
      </c>
      <c r="H190">
        <v>22.5</v>
      </c>
      <c r="K190" t="s">
        <v>174</v>
      </c>
      <c r="L190">
        <v>2</v>
      </c>
      <c r="M190">
        <v>41.25</v>
      </c>
      <c r="P190" t="s">
        <v>155</v>
      </c>
      <c r="Q190">
        <v>4</v>
      </c>
      <c r="R190">
        <v>46.017775276660046</v>
      </c>
      <c r="U190" t="s">
        <v>273</v>
      </c>
      <c r="V190">
        <v>3</v>
      </c>
      <c r="W190">
        <v>25</v>
      </c>
      <c r="AA190" s="25"/>
    </row>
    <row r="191" spans="1:27" x14ac:dyDescent="0.25">
      <c r="A191" t="s">
        <v>319</v>
      </c>
      <c r="B191">
        <v>4</v>
      </c>
      <c r="C191" s="25">
        <v>75.166214733236032</v>
      </c>
      <c r="D191" s="25"/>
      <c r="E191" s="25"/>
      <c r="F191" t="s">
        <v>47</v>
      </c>
      <c r="G191">
        <v>2</v>
      </c>
      <c r="H191">
        <v>22.5</v>
      </c>
      <c r="K191" t="s">
        <v>217</v>
      </c>
      <c r="L191">
        <v>3</v>
      </c>
      <c r="M191">
        <v>41.25</v>
      </c>
      <c r="P191" t="s">
        <v>68</v>
      </c>
      <c r="Q191">
        <v>2</v>
      </c>
      <c r="R191">
        <v>45.860289672127848</v>
      </c>
      <c r="U191" t="s">
        <v>279</v>
      </c>
      <c r="V191">
        <v>4</v>
      </c>
      <c r="W191">
        <v>25</v>
      </c>
      <c r="AA191" s="25"/>
    </row>
    <row r="192" spans="1:27" x14ac:dyDescent="0.25">
      <c r="A192" t="s">
        <v>247</v>
      </c>
      <c r="B192">
        <v>4</v>
      </c>
      <c r="C192" s="25">
        <v>75.166214733236032</v>
      </c>
      <c r="D192" s="25"/>
      <c r="E192" s="25"/>
      <c r="F192" t="s">
        <v>66</v>
      </c>
      <c r="G192">
        <v>2</v>
      </c>
      <c r="H192">
        <v>22.5</v>
      </c>
      <c r="K192" t="s">
        <v>223</v>
      </c>
      <c r="L192">
        <v>3</v>
      </c>
      <c r="M192">
        <v>41.25</v>
      </c>
      <c r="P192" t="s">
        <v>101</v>
      </c>
      <c r="Q192">
        <v>2</v>
      </c>
      <c r="R192">
        <v>45.809074387234176</v>
      </c>
      <c r="U192" t="s">
        <v>280</v>
      </c>
      <c r="V192">
        <v>4</v>
      </c>
      <c r="W192">
        <v>25</v>
      </c>
      <c r="AA192" s="25"/>
    </row>
    <row r="193" spans="1:31" x14ac:dyDescent="0.25">
      <c r="A193" t="s">
        <v>249</v>
      </c>
      <c r="B193">
        <v>3</v>
      </c>
      <c r="C193" s="25">
        <v>75.166214733236032</v>
      </c>
      <c r="D193" s="25"/>
      <c r="E193" s="25"/>
      <c r="F193" t="s">
        <v>72</v>
      </c>
      <c r="G193">
        <v>3</v>
      </c>
      <c r="H193">
        <v>22.5</v>
      </c>
      <c r="K193" t="s">
        <v>232</v>
      </c>
      <c r="L193">
        <v>3</v>
      </c>
      <c r="M193">
        <v>41.25</v>
      </c>
      <c r="P193" t="s">
        <v>130</v>
      </c>
      <c r="Q193">
        <v>3</v>
      </c>
      <c r="R193">
        <v>45.758390015956806</v>
      </c>
      <c r="U193" t="s">
        <v>324</v>
      </c>
      <c r="V193">
        <v>3</v>
      </c>
      <c r="W193">
        <v>25</v>
      </c>
      <c r="AA193" s="25"/>
    </row>
    <row r="194" spans="1:31" x14ac:dyDescent="0.25">
      <c r="A194" t="s">
        <v>257</v>
      </c>
      <c r="B194">
        <v>4</v>
      </c>
      <c r="C194" s="25">
        <v>75.166214733236032</v>
      </c>
      <c r="D194" s="25"/>
      <c r="E194" s="25"/>
      <c r="F194" t="s">
        <v>76</v>
      </c>
      <c r="G194">
        <v>2</v>
      </c>
      <c r="H194">
        <v>22.5</v>
      </c>
      <c r="K194" t="s">
        <v>246</v>
      </c>
      <c r="L194">
        <v>4</v>
      </c>
      <c r="M194">
        <v>41.25</v>
      </c>
      <c r="P194" s="2" t="s">
        <v>313</v>
      </c>
      <c r="Q194" s="2">
        <v>3</v>
      </c>
      <c r="R194">
        <v>45.727670004520242</v>
      </c>
      <c r="U194" t="s">
        <v>287</v>
      </c>
      <c r="V194">
        <v>3</v>
      </c>
      <c r="W194">
        <v>25</v>
      </c>
      <c r="AA194" s="25"/>
    </row>
    <row r="195" spans="1:31" x14ac:dyDescent="0.25">
      <c r="A195" t="s">
        <v>265</v>
      </c>
      <c r="B195">
        <v>4</v>
      </c>
      <c r="C195" s="25">
        <v>75.166214733236032</v>
      </c>
      <c r="D195" s="25"/>
      <c r="E195" s="25"/>
      <c r="F195" t="s">
        <v>80</v>
      </c>
      <c r="G195">
        <v>2</v>
      </c>
      <c r="H195">
        <v>22.5</v>
      </c>
      <c r="K195" t="s">
        <v>248</v>
      </c>
      <c r="L195">
        <v>4</v>
      </c>
      <c r="M195">
        <v>41.25</v>
      </c>
      <c r="P195" t="s">
        <v>159</v>
      </c>
      <c r="Q195">
        <v>4</v>
      </c>
      <c r="R195">
        <v>45.720672381995051</v>
      </c>
      <c r="U195" t="s">
        <v>289</v>
      </c>
      <c r="V195">
        <v>4</v>
      </c>
      <c r="W195">
        <v>25</v>
      </c>
      <c r="AA195" s="25"/>
    </row>
    <row r="196" spans="1:31" x14ac:dyDescent="0.25">
      <c r="A196" t="s">
        <v>268</v>
      </c>
      <c r="B196">
        <v>3</v>
      </c>
      <c r="C196" s="25">
        <v>75.166214733236032</v>
      </c>
      <c r="D196" s="25"/>
      <c r="E196" s="25"/>
      <c r="F196" t="s">
        <v>119</v>
      </c>
      <c r="G196">
        <v>3</v>
      </c>
      <c r="H196">
        <v>22.5</v>
      </c>
      <c r="K196" t="s">
        <v>251</v>
      </c>
      <c r="L196">
        <v>3</v>
      </c>
      <c r="M196">
        <v>41.25</v>
      </c>
      <c r="P196" t="s">
        <v>320</v>
      </c>
      <c r="Q196">
        <v>4</v>
      </c>
      <c r="R196">
        <v>45.716300928405055</v>
      </c>
      <c r="U196" t="s">
        <v>290</v>
      </c>
      <c r="V196">
        <v>4</v>
      </c>
      <c r="W196">
        <v>25</v>
      </c>
      <c r="AA196" s="25"/>
    </row>
    <row r="197" spans="1:31" x14ac:dyDescent="0.25">
      <c r="A197" t="s">
        <v>280</v>
      </c>
      <c r="B197">
        <v>4</v>
      </c>
      <c r="C197" s="25">
        <v>75.166214733236032</v>
      </c>
      <c r="D197" s="25"/>
      <c r="E197" s="25"/>
      <c r="F197" t="s">
        <v>121</v>
      </c>
      <c r="G197">
        <v>2</v>
      </c>
      <c r="H197">
        <v>22.5</v>
      </c>
      <c r="K197" t="s">
        <v>265</v>
      </c>
      <c r="L197">
        <v>4</v>
      </c>
      <c r="M197">
        <v>41.25</v>
      </c>
      <c r="P197" t="s">
        <v>255</v>
      </c>
      <c r="Q197">
        <v>4</v>
      </c>
      <c r="R197">
        <v>45.690677106187849</v>
      </c>
      <c r="U197" t="s">
        <v>294</v>
      </c>
      <c r="V197">
        <v>3</v>
      </c>
      <c r="W197">
        <v>25</v>
      </c>
      <c r="AA197" s="25"/>
    </row>
    <row r="198" spans="1:31" x14ac:dyDescent="0.25">
      <c r="A198" t="s">
        <v>298</v>
      </c>
      <c r="B198">
        <v>4</v>
      </c>
      <c r="C198" s="25">
        <v>75.166214733236032</v>
      </c>
      <c r="D198" s="25"/>
      <c r="E198" s="25"/>
      <c r="F198" t="s">
        <v>126</v>
      </c>
      <c r="G198">
        <v>3</v>
      </c>
      <c r="H198">
        <v>22.5</v>
      </c>
      <c r="K198" t="s">
        <v>273</v>
      </c>
      <c r="L198">
        <v>3</v>
      </c>
      <c r="M198">
        <v>41.25</v>
      </c>
      <c r="P198" t="s">
        <v>250</v>
      </c>
      <c r="Q198">
        <v>4</v>
      </c>
      <c r="R198">
        <v>45.586045028637798</v>
      </c>
      <c r="U198" t="s">
        <v>295</v>
      </c>
      <c r="V198">
        <v>4</v>
      </c>
      <c r="W198">
        <v>25</v>
      </c>
      <c r="AA198" s="25"/>
    </row>
    <row r="199" spans="1:31" x14ac:dyDescent="0.25">
      <c r="A199" t="s">
        <v>299</v>
      </c>
      <c r="B199">
        <v>4</v>
      </c>
      <c r="C199" s="25">
        <v>75.166214733236032</v>
      </c>
      <c r="D199" s="25"/>
      <c r="E199" s="25"/>
      <c r="F199" t="s">
        <v>143</v>
      </c>
      <c r="G199">
        <v>3</v>
      </c>
      <c r="H199">
        <v>22.5</v>
      </c>
      <c r="K199" t="s">
        <v>279</v>
      </c>
      <c r="L199">
        <v>4</v>
      </c>
      <c r="M199">
        <v>41.25</v>
      </c>
      <c r="P199" t="s">
        <v>318</v>
      </c>
      <c r="Q199">
        <v>3</v>
      </c>
      <c r="R199">
        <v>45.492235477984011</v>
      </c>
      <c r="U199" t="s">
        <v>326</v>
      </c>
      <c r="V199">
        <v>4</v>
      </c>
      <c r="W199">
        <v>25</v>
      </c>
      <c r="AA199" s="25"/>
    </row>
    <row r="200" spans="1:31" x14ac:dyDescent="0.25">
      <c r="A200" t="s">
        <v>32</v>
      </c>
      <c r="B200">
        <v>1</v>
      </c>
      <c r="C200" s="25">
        <v>74.657582809433819</v>
      </c>
      <c r="D200" s="25"/>
      <c r="E200" s="25"/>
      <c r="F200" t="s">
        <v>145</v>
      </c>
      <c r="G200">
        <v>2</v>
      </c>
      <c r="H200">
        <v>22.5</v>
      </c>
      <c r="K200" t="s">
        <v>106</v>
      </c>
      <c r="L200">
        <v>2</v>
      </c>
      <c r="M200">
        <v>35</v>
      </c>
      <c r="P200" t="s">
        <v>190</v>
      </c>
      <c r="Q200">
        <v>3</v>
      </c>
      <c r="R200">
        <v>45.407325605742997</v>
      </c>
      <c r="U200" t="s">
        <v>298</v>
      </c>
      <c r="V200">
        <v>4</v>
      </c>
      <c r="W200">
        <v>25</v>
      </c>
      <c r="AA200" s="25"/>
    </row>
    <row r="201" spans="1:31" x14ac:dyDescent="0.25">
      <c r="A201" t="s">
        <v>110</v>
      </c>
      <c r="B201">
        <v>3</v>
      </c>
      <c r="C201" s="25">
        <v>73.847509211600311</v>
      </c>
      <c r="D201" s="25"/>
      <c r="E201" s="25"/>
      <c r="F201" t="s">
        <v>186</v>
      </c>
      <c r="G201">
        <v>2</v>
      </c>
      <c r="H201">
        <v>22.5</v>
      </c>
      <c r="K201" t="s">
        <v>123</v>
      </c>
      <c r="L201">
        <v>3</v>
      </c>
      <c r="M201">
        <v>35</v>
      </c>
      <c r="P201" t="s">
        <v>265</v>
      </c>
      <c r="Q201">
        <v>4</v>
      </c>
      <c r="R201">
        <v>45.403351842528977</v>
      </c>
      <c r="U201" s="33" t="s">
        <v>39</v>
      </c>
      <c r="V201" s="33">
        <v>1</v>
      </c>
      <c r="W201" s="33">
        <v>12.5</v>
      </c>
      <c r="AA201" s="25"/>
      <c r="AE201" s="33"/>
    </row>
    <row r="202" spans="1:31" x14ac:dyDescent="0.25">
      <c r="A202" t="s">
        <v>130</v>
      </c>
      <c r="B202">
        <v>3</v>
      </c>
      <c r="C202" s="25">
        <v>73.847509211600311</v>
      </c>
      <c r="D202" s="25"/>
      <c r="E202" s="25"/>
      <c r="F202" t="s">
        <v>190</v>
      </c>
      <c r="G202">
        <v>3</v>
      </c>
      <c r="H202">
        <v>22.5</v>
      </c>
      <c r="K202" t="s">
        <v>148</v>
      </c>
      <c r="L202">
        <v>3</v>
      </c>
      <c r="M202">
        <v>35</v>
      </c>
      <c r="P202" t="s">
        <v>64</v>
      </c>
      <c r="Q202">
        <v>2</v>
      </c>
      <c r="R202">
        <v>45.383584397796803</v>
      </c>
      <c r="U202" t="s">
        <v>40</v>
      </c>
      <c r="V202">
        <v>1</v>
      </c>
      <c r="W202">
        <v>12.5</v>
      </c>
      <c r="AA202" s="25"/>
    </row>
    <row r="203" spans="1:31" x14ac:dyDescent="0.25">
      <c r="A203" t="s">
        <v>174</v>
      </c>
      <c r="B203">
        <v>2</v>
      </c>
      <c r="C203" s="25">
        <v>73.847509211600311</v>
      </c>
      <c r="D203" s="25"/>
      <c r="E203" s="25"/>
      <c r="F203" t="s">
        <v>200</v>
      </c>
      <c r="G203">
        <v>2</v>
      </c>
      <c r="H203">
        <v>22.5</v>
      </c>
      <c r="K203" t="s">
        <v>167</v>
      </c>
      <c r="L203">
        <v>4</v>
      </c>
      <c r="M203">
        <v>35</v>
      </c>
      <c r="P203" t="s">
        <v>120</v>
      </c>
      <c r="Q203">
        <v>3</v>
      </c>
      <c r="R203">
        <v>45.34378692613253</v>
      </c>
      <c r="U203" t="s">
        <v>44</v>
      </c>
      <c r="V203">
        <v>2</v>
      </c>
      <c r="W203">
        <v>12.5</v>
      </c>
      <c r="AA203" s="25"/>
    </row>
    <row r="204" spans="1:31" x14ac:dyDescent="0.25">
      <c r="A204" t="s">
        <v>179</v>
      </c>
      <c r="B204">
        <v>2</v>
      </c>
      <c r="C204" s="25">
        <v>73.847509211600311</v>
      </c>
      <c r="D204" s="25"/>
      <c r="E204" s="25"/>
      <c r="F204" t="s">
        <v>223</v>
      </c>
      <c r="G204">
        <v>3</v>
      </c>
      <c r="H204">
        <v>22.5</v>
      </c>
      <c r="K204" t="s">
        <v>202</v>
      </c>
      <c r="L204">
        <v>4</v>
      </c>
      <c r="M204">
        <v>35</v>
      </c>
      <c r="P204" t="s">
        <v>91</v>
      </c>
      <c r="Q204">
        <v>2</v>
      </c>
      <c r="R204">
        <v>45.327152550404357</v>
      </c>
      <c r="U204" t="s">
        <v>50</v>
      </c>
      <c r="V204">
        <v>2</v>
      </c>
      <c r="W204">
        <v>12.5</v>
      </c>
      <c r="AA204" s="25"/>
    </row>
    <row r="205" spans="1:31" x14ac:dyDescent="0.25">
      <c r="A205" t="s">
        <v>202</v>
      </c>
      <c r="B205">
        <v>4</v>
      </c>
      <c r="C205" s="25">
        <v>73.847509211600311</v>
      </c>
      <c r="D205" s="25"/>
      <c r="E205" s="25"/>
      <c r="F205" t="s">
        <v>229</v>
      </c>
      <c r="G205">
        <v>4</v>
      </c>
      <c r="H205">
        <v>22.5</v>
      </c>
      <c r="K205" t="s">
        <v>244</v>
      </c>
      <c r="L205">
        <v>3</v>
      </c>
      <c r="M205">
        <v>35</v>
      </c>
      <c r="P205" t="s">
        <v>236</v>
      </c>
      <c r="Q205">
        <v>3</v>
      </c>
      <c r="R205">
        <v>45.298439536219426</v>
      </c>
      <c r="U205" t="s">
        <v>61</v>
      </c>
      <c r="V205">
        <v>3</v>
      </c>
      <c r="W205">
        <v>12.5</v>
      </c>
      <c r="AA205" s="25"/>
    </row>
    <row r="206" spans="1:31" x14ac:dyDescent="0.25">
      <c r="A206" t="s">
        <v>215</v>
      </c>
      <c r="B206">
        <v>2</v>
      </c>
      <c r="C206" s="25">
        <v>73.847509211600311</v>
      </c>
      <c r="D206" s="25"/>
      <c r="E206" s="25"/>
      <c r="F206" t="s">
        <v>242</v>
      </c>
      <c r="G206">
        <v>4</v>
      </c>
      <c r="H206">
        <v>22.5</v>
      </c>
      <c r="K206" t="s">
        <v>264</v>
      </c>
      <c r="L206">
        <v>4</v>
      </c>
      <c r="M206">
        <v>35</v>
      </c>
      <c r="P206" t="s">
        <v>276</v>
      </c>
      <c r="Q206">
        <v>4</v>
      </c>
      <c r="R206">
        <v>45.232039345369877</v>
      </c>
      <c r="U206" t="s">
        <v>65</v>
      </c>
      <c r="V206">
        <v>1</v>
      </c>
      <c r="W206">
        <v>12.5</v>
      </c>
      <c r="AA206" s="25"/>
    </row>
    <row r="207" spans="1:31" x14ac:dyDescent="0.25">
      <c r="A207" t="s">
        <v>242</v>
      </c>
      <c r="B207">
        <v>4</v>
      </c>
      <c r="C207" s="25">
        <v>73.847509211600311</v>
      </c>
      <c r="D207" s="25"/>
      <c r="E207" s="25"/>
      <c r="F207" t="s">
        <v>252</v>
      </c>
      <c r="G207">
        <v>3</v>
      </c>
      <c r="H207">
        <v>22.5</v>
      </c>
      <c r="K207" t="s">
        <v>325</v>
      </c>
      <c r="L207">
        <v>4</v>
      </c>
      <c r="M207">
        <v>35</v>
      </c>
      <c r="P207" t="s">
        <v>323</v>
      </c>
      <c r="Q207">
        <v>4</v>
      </c>
      <c r="R207">
        <v>45.161718328822545</v>
      </c>
      <c r="U207" t="s">
        <v>68</v>
      </c>
      <c r="V207">
        <v>2</v>
      </c>
      <c r="W207">
        <v>12.5</v>
      </c>
      <c r="AA207" s="25"/>
    </row>
    <row r="208" spans="1:31" x14ac:dyDescent="0.25">
      <c r="A208" t="s">
        <v>243</v>
      </c>
      <c r="B208">
        <v>4</v>
      </c>
      <c r="C208" s="25">
        <v>73.847509211600311</v>
      </c>
      <c r="D208" s="25"/>
      <c r="E208" s="25"/>
      <c r="F208" t="s">
        <v>253</v>
      </c>
      <c r="G208">
        <v>4</v>
      </c>
      <c r="H208">
        <v>22.5</v>
      </c>
      <c r="K208" s="33" t="s">
        <v>22</v>
      </c>
      <c r="L208" s="33">
        <v>1</v>
      </c>
      <c r="M208" s="33">
        <v>33.75</v>
      </c>
      <c r="P208" t="s">
        <v>144</v>
      </c>
      <c r="Q208">
        <v>3</v>
      </c>
      <c r="R208">
        <v>45.161041180955905</v>
      </c>
      <c r="U208" t="s">
        <v>72</v>
      </c>
      <c r="V208">
        <v>3</v>
      </c>
      <c r="W208">
        <v>12.5</v>
      </c>
      <c r="AA208" s="25"/>
      <c r="AC208" s="33"/>
    </row>
    <row r="209" spans="1:30" x14ac:dyDescent="0.25">
      <c r="A209" t="s">
        <v>164</v>
      </c>
      <c r="B209">
        <v>2</v>
      </c>
      <c r="C209" s="25">
        <v>72.52880368996459</v>
      </c>
      <c r="D209" s="25"/>
      <c r="E209" s="25"/>
      <c r="F209" t="s">
        <v>323</v>
      </c>
      <c r="G209">
        <v>4</v>
      </c>
      <c r="H209">
        <v>22.5</v>
      </c>
      <c r="K209" t="s">
        <v>39</v>
      </c>
      <c r="L209">
        <v>1</v>
      </c>
      <c r="M209">
        <v>33.75</v>
      </c>
      <c r="P209" t="s">
        <v>176</v>
      </c>
      <c r="Q209">
        <v>4</v>
      </c>
      <c r="R209">
        <v>45.088370331550507</v>
      </c>
      <c r="U209" t="s">
        <v>76</v>
      </c>
      <c r="V209">
        <v>2</v>
      </c>
      <c r="W209">
        <v>12.5</v>
      </c>
      <c r="AA209" s="25"/>
    </row>
    <row r="210" spans="1:30" x14ac:dyDescent="0.25">
      <c r="A210" t="s">
        <v>177</v>
      </c>
      <c r="B210">
        <v>3</v>
      </c>
      <c r="C210" s="25">
        <v>72.52880368996459</v>
      </c>
      <c r="D210" s="25"/>
      <c r="E210" s="25"/>
      <c r="F210" t="s">
        <v>285</v>
      </c>
      <c r="G210">
        <v>4</v>
      </c>
      <c r="H210">
        <v>22.5</v>
      </c>
      <c r="K210" t="s">
        <v>70</v>
      </c>
      <c r="L210">
        <v>4</v>
      </c>
      <c r="M210">
        <v>33.75</v>
      </c>
      <c r="P210" t="s">
        <v>29</v>
      </c>
      <c r="Q210">
        <v>2</v>
      </c>
      <c r="R210">
        <v>45.085782454259032</v>
      </c>
      <c r="U210" t="s">
        <v>77</v>
      </c>
      <c r="V210">
        <v>3</v>
      </c>
      <c r="W210">
        <v>12.5</v>
      </c>
      <c r="AA210" s="25"/>
    </row>
    <row r="211" spans="1:30" x14ac:dyDescent="0.25">
      <c r="A211" t="s">
        <v>252</v>
      </c>
      <c r="B211">
        <v>3</v>
      </c>
      <c r="C211" s="25">
        <v>72.52880368996459</v>
      </c>
      <c r="D211" s="25"/>
      <c r="E211" s="25"/>
      <c r="F211" t="s">
        <v>291</v>
      </c>
      <c r="G211">
        <v>4</v>
      </c>
      <c r="H211">
        <v>22.5</v>
      </c>
      <c r="K211" t="s">
        <v>82</v>
      </c>
      <c r="L211">
        <v>3</v>
      </c>
      <c r="M211">
        <v>33.75</v>
      </c>
      <c r="P211" t="s">
        <v>167</v>
      </c>
      <c r="Q211">
        <v>4</v>
      </c>
      <c r="R211">
        <v>45.065308813543282</v>
      </c>
      <c r="U211" t="s">
        <v>81</v>
      </c>
      <c r="V211">
        <v>3</v>
      </c>
      <c r="W211">
        <v>12.5</v>
      </c>
      <c r="AA211" s="25"/>
    </row>
    <row r="212" spans="1:30" x14ac:dyDescent="0.25">
      <c r="A212" t="s">
        <v>49</v>
      </c>
      <c r="B212">
        <v>1</v>
      </c>
      <c r="C212" s="25">
        <v>71.625689072917766</v>
      </c>
      <c r="D212" s="25"/>
      <c r="E212" s="25"/>
      <c r="F212" t="s">
        <v>296</v>
      </c>
      <c r="G212">
        <v>4</v>
      </c>
      <c r="H212">
        <v>22.5</v>
      </c>
      <c r="K212" t="s">
        <v>86</v>
      </c>
      <c r="L212">
        <v>4</v>
      </c>
      <c r="M212">
        <v>33.75</v>
      </c>
      <c r="P212" t="s">
        <v>79</v>
      </c>
      <c r="Q212">
        <v>2</v>
      </c>
      <c r="R212">
        <v>44.934060560536622</v>
      </c>
      <c r="U212" t="s">
        <v>91</v>
      </c>
      <c r="V212">
        <v>2</v>
      </c>
      <c r="W212">
        <v>12.5</v>
      </c>
      <c r="AA212" s="25"/>
    </row>
    <row r="213" spans="1:30" x14ac:dyDescent="0.25">
      <c r="A213" t="s">
        <v>53</v>
      </c>
      <c r="B213">
        <v>3</v>
      </c>
      <c r="C213" s="25">
        <v>71.210098168328869</v>
      </c>
      <c r="D213" s="25"/>
      <c r="E213" s="25"/>
      <c r="F213" t="s">
        <v>297</v>
      </c>
      <c r="G213">
        <v>4</v>
      </c>
      <c r="H213">
        <v>22.5</v>
      </c>
      <c r="K213" t="s">
        <v>100</v>
      </c>
      <c r="L213">
        <v>3</v>
      </c>
      <c r="M213">
        <v>33.75</v>
      </c>
      <c r="P213" t="s">
        <v>73</v>
      </c>
      <c r="Q213">
        <v>2</v>
      </c>
      <c r="R213">
        <v>44.850616453052517</v>
      </c>
      <c r="U213" s="2" t="s">
        <v>105</v>
      </c>
      <c r="V213" s="2">
        <v>4</v>
      </c>
      <c r="W213">
        <v>12.5</v>
      </c>
      <c r="AA213" s="25"/>
    </row>
    <row r="214" spans="1:30" x14ac:dyDescent="0.25">
      <c r="A214" t="s">
        <v>75</v>
      </c>
      <c r="B214">
        <v>2</v>
      </c>
      <c r="C214" s="25">
        <v>71.210098168328869</v>
      </c>
      <c r="D214" s="25"/>
      <c r="E214" s="25"/>
      <c r="F214" s="33" t="s">
        <v>50</v>
      </c>
      <c r="G214" s="33">
        <v>2</v>
      </c>
      <c r="H214" s="33">
        <v>21.25</v>
      </c>
      <c r="K214" t="s">
        <v>109</v>
      </c>
      <c r="L214">
        <v>3</v>
      </c>
      <c r="M214">
        <v>33.75</v>
      </c>
      <c r="P214" t="s">
        <v>173</v>
      </c>
      <c r="Q214">
        <v>2</v>
      </c>
      <c r="R214">
        <v>44.806039924945452</v>
      </c>
      <c r="U214" t="s">
        <v>108</v>
      </c>
      <c r="V214">
        <v>3</v>
      </c>
      <c r="W214">
        <v>12.5</v>
      </c>
      <c r="AA214" s="25"/>
      <c r="AB214" s="33"/>
    </row>
    <row r="215" spans="1:30" x14ac:dyDescent="0.25">
      <c r="A215" t="s">
        <v>86</v>
      </c>
      <c r="B215">
        <v>4</v>
      </c>
      <c r="C215" s="25">
        <v>71.210098168328869</v>
      </c>
      <c r="D215" s="25"/>
      <c r="E215" s="25"/>
      <c r="F215" t="s">
        <v>311</v>
      </c>
      <c r="G215">
        <v>3</v>
      </c>
      <c r="H215">
        <v>21.25</v>
      </c>
      <c r="K215" t="s">
        <v>112</v>
      </c>
      <c r="L215">
        <v>2</v>
      </c>
      <c r="M215">
        <v>33.75</v>
      </c>
      <c r="P215" t="s">
        <v>196</v>
      </c>
      <c r="Q215">
        <v>3</v>
      </c>
      <c r="R215">
        <v>44.79334778811694</v>
      </c>
      <c r="U215" t="s">
        <v>109</v>
      </c>
      <c r="V215">
        <v>3</v>
      </c>
      <c r="W215">
        <v>12.5</v>
      </c>
      <c r="AA215" s="25"/>
    </row>
    <row r="216" spans="1:30" x14ac:dyDescent="0.25">
      <c r="A216" t="s">
        <v>101</v>
      </c>
      <c r="B216">
        <v>2</v>
      </c>
      <c r="C216" s="25">
        <v>71.210098168328869</v>
      </c>
      <c r="D216" s="25"/>
      <c r="E216" s="25"/>
      <c r="F216" t="s">
        <v>118</v>
      </c>
      <c r="G216">
        <v>4</v>
      </c>
      <c r="H216">
        <v>21.25</v>
      </c>
      <c r="K216" t="s">
        <v>118</v>
      </c>
      <c r="L216">
        <v>4</v>
      </c>
      <c r="M216">
        <v>33.75</v>
      </c>
      <c r="P216" t="s">
        <v>121</v>
      </c>
      <c r="Q216">
        <v>2</v>
      </c>
      <c r="R216">
        <v>44.652314024976697</v>
      </c>
      <c r="U216" t="s">
        <v>112</v>
      </c>
      <c r="V216">
        <v>2</v>
      </c>
      <c r="W216">
        <v>12.5</v>
      </c>
      <c r="AA216" s="25"/>
    </row>
    <row r="217" spans="1:30" x14ac:dyDescent="0.25">
      <c r="A217" t="s">
        <v>155</v>
      </c>
      <c r="B217">
        <v>4</v>
      </c>
      <c r="C217" s="25">
        <v>71.210098168328869</v>
      </c>
      <c r="D217" s="25"/>
      <c r="E217" s="25"/>
      <c r="F217" t="s">
        <v>135</v>
      </c>
      <c r="G217">
        <v>3</v>
      </c>
      <c r="H217">
        <v>21.25</v>
      </c>
      <c r="K217" t="s">
        <v>121</v>
      </c>
      <c r="L217">
        <v>2</v>
      </c>
      <c r="M217">
        <v>33.75</v>
      </c>
      <c r="P217" t="s">
        <v>122</v>
      </c>
      <c r="Q217">
        <v>2</v>
      </c>
      <c r="R217">
        <v>44.597600950918427</v>
      </c>
      <c r="U217" t="s">
        <v>117</v>
      </c>
      <c r="V217">
        <v>2</v>
      </c>
      <c r="W217">
        <v>12.5</v>
      </c>
      <c r="AA217" s="25"/>
    </row>
    <row r="218" spans="1:30" x14ac:dyDescent="0.25">
      <c r="A218" t="s">
        <v>163</v>
      </c>
      <c r="B218">
        <v>3</v>
      </c>
      <c r="C218" s="25">
        <v>71.210098168328869</v>
      </c>
      <c r="D218" s="25"/>
      <c r="E218" s="25"/>
      <c r="F218" t="s">
        <v>148</v>
      </c>
      <c r="G218">
        <v>3</v>
      </c>
      <c r="H218">
        <v>21.25</v>
      </c>
      <c r="K218" t="s">
        <v>125</v>
      </c>
      <c r="L218">
        <v>2</v>
      </c>
      <c r="M218">
        <v>33.75</v>
      </c>
      <c r="P218" t="s">
        <v>104</v>
      </c>
      <c r="Q218">
        <v>3</v>
      </c>
      <c r="R218">
        <v>44.581595408191134</v>
      </c>
      <c r="U218" t="s">
        <v>121</v>
      </c>
      <c r="V218">
        <v>2</v>
      </c>
      <c r="W218">
        <v>12.5</v>
      </c>
      <c r="AA218" s="25"/>
    </row>
    <row r="219" spans="1:30" x14ac:dyDescent="0.25">
      <c r="A219" t="s">
        <v>251</v>
      </c>
      <c r="B219">
        <v>3</v>
      </c>
      <c r="C219" s="25">
        <v>71.210098168328869</v>
      </c>
      <c r="D219" s="25"/>
      <c r="E219" s="25"/>
      <c r="F219" t="s">
        <v>198</v>
      </c>
      <c r="G219">
        <v>4</v>
      </c>
      <c r="H219">
        <v>21.25</v>
      </c>
      <c r="K219" t="s">
        <v>126</v>
      </c>
      <c r="L219">
        <v>3</v>
      </c>
      <c r="M219">
        <v>33.75</v>
      </c>
      <c r="P219" t="s">
        <v>252</v>
      </c>
      <c r="Q219">
        <v>3</v>
      </c>
      <c r="R219">
        <v>44.560885683889083</v>
      </c>
      <c r="U219" t="s">
        <v>122</v>
      </c>
      <c r="V219">
        <v>2</v>
      </c>
      <c r="W219">
        <v>12.5</v>
      </c>
      <c r="AA219" s="25"/>
    </row>
    <row r="220" spans="1:30" x14ac:dyDescent="0.25">
      <c r="A220" t="s">
        <v>48</v>
      </c>
      <c r="B220">
        <v>1</v>
      </c>
      <c r="C220" s="25">
        <v>71.045119125106382</v>
      </c>
      <c r="D220" s="25"/>
      <c r="E220" s="25"/>
      <c r="F220" t="s">
        <v>321</v>
      </c>
      <c r="G220">
        <v>3</v>
      </c>
      <c r="H220">
        <v>21.25</v>
      </c>
      <c r="K220" t="s">
        <v>137</v>
      </c>
      <c r="L220">
        <v>2</v>
      </c>
      <c r="M220">
        <v>33.75</v>
      </c>
      <c r="P220" t="s">
        <v>175</v>
      </c>
      <c r="Q220">
        <v>3</v>
      </c>
      <c r="R220">
        <v>44.548191117441966</v>
      </c>
      <c r="U220" t="s">
        <v>123</v>
      </c>
      <c r="V220">
        <v>3</v>
      </c>
      <c r="W220">
        <v>12.5</v>
      </c>
      <c r="AA220" s="25"/>
    </row>
    <row r="221" spans="1:30" x14ac:dyDescent="0.25">
      <c r="A221" s="33" t="s">
        <v>44</v>
      </c>
      <c r="B221" s="33">
        <v>2</v>
      </c>
      <c r="C221" s="34">
        <v>69.891392646693149</v>
      </c>
      <c r="D221" s="25"/>
      <c r="E221" s="25"/>
      <c r="F221" t="s">
        <v>249</v>
      </c>
      <c r="G221">
        <v>3</v>
      </c>
      <c r="H221">
        <v>21.25</v>
      </c>
      <c r="K221" t="s">
        <v>138</v>
      </c>
      <c r="L221">
        <v>2</v>
      </c>
      <c r="M221">
        <v>33.75</v>
      </c>
      <c r="P221" t="s">
        <v>113</v>
      </c>
      <c r="Q221">
        <v>2</v>
      </c>
      <c r="R221">
        <v>44.538830369220726</v>
      </c>
      <c r="U221" t="s">
        <v>129</v>
      </c>
      <c r="V221">
        <v>3</v>
      </c>
      <c r="W221">
        <v>12.5</v>
      </c>
      <c r="AA221" s="34"/>
    </row>
    <row r="222" spans="1:30" x14ac:dyDescent="0.25">
      <c r="A222" s="33" t="s">
        <v>72</v>
      </c>
      <c r="B222" s="33">
        <v>3</v>
      </c>
      <c r="C222" s="34">
        <v>69.891392646693149</v>
      </c>
      <c r="D222" s="25"/>
      <c r="E222" s="25"/>
      <c r="F222" t="s">
        <v>278</v>
      </c>
      <c r="G222">
        <v>4</v>
      </c>
      <c r="H222">
        <v>21.25</v>
      </c>
      <c r="K222" t="s">
        <v>175</v>
      </c>
      <c r="L222">
        <v>3</v>
      </c>
      <c r="M222">
        <v>33.75</v>
      </c>
      <c r="P222" t="s">
        <v>286</v>
      </c>
      <c r="Q222" s="33">
        <v>4</v>
      </c>
      <c r="R222" s="33">
        <v>44.409844357457857</v>
      </c>
      <c r="U222" t="s">
        <v>133</v>
      </c>
      <c r="V222">
        <v>3</v>
      </c>
      <c r="W222">
        <v>12.5</v>
      </c>
      <c r="AA222" s="34"/>
      <c r="AD222" s="33"/>
    </row>
    <row r="223" spans="1:30" x14ac:dyDescent="0.25">
      <c r="A223" s="33" t="s">
        <v>134</v>
      </c>
      <c r="B223" s="33">
        <v>3</v>
      </c>
      <c r="C223" s="34">
        <v>69.891392646693149</v>
      </c>
      <c r="D223" s="25"/>
      <c r="E223" s="25"/>
      <c r="F223" t="s">
        <v>284</v>
      </c>
      <c r="G223">
        <v>4</v>
      </c>
      <c r="H223">
        <v>21.25</v>
      </c>
      <c r="K223" t="s">
        <v>183</v>
      </c>
      <c r="L223">
        <v>3</v>
      </c>
      <c r="M223">
        <v>33.75</v>
      </c>
      <c r="P223" t="s">
        <v>123</v>
      </c>
      <c r="Q223">
        <v>3</v>
      </c>
      <c r="R223">
        <v>44.409057600771249</v>
      </c>
      <c r="U223" t="s">
        <v>138</v>
      </c>
      <c r="V223">
        <v>2</v>
      </c>
      <c r="W223">
        <v>12.5</v>
      </c>
      <c r="AA223" s="34"/>
    </row>
    <row r="224" spans="1:30" x14ac:dyDescent="0.25">
      <c r="A224" s="33" t="s">
        <v>140</v>
      </c>
      <c r="B224" s="33">
        <v>2</v>
      </c>
      <c r="C224" s="34">
        <v>69.891392646693149</v>
      </c>
      <c r="D224" s="25"/>
      <c r="E224" s="25"/>
      <c r="F224" t="s">
        <v>326</v>
      </c>
      <c r="G224">
        <v>4</v>
      </c>
      <c r="H224">
        <v>21.25</v>
      </c>
      <c r="K224" t="s">
        <v>191</v>
      </c>
      <c r="L224">
        <v>3</v>
      </c>
      <c r="M224">
        <v>33.75</v>
      </c>
      <c r="P224" t="s">
        <v>218</v>
      </c>
      <c r="Q224">
        <v>4</v>
      </c>
      <c r="R224">
        <v>44.393301144826161</v>
      </c>
      <c r="U224" t="s">
        <v>143</v>
      </c>
      <c r="V224">
        <v>3</v>
      </c>
      <c r="W224">
        <v>12.5</v>
      </c>
      <c r="AA224" s="34"/>
    </row>
    <row r="225" spans="1:27" x14ac:dyDescent="0.25">
      <c r="A225" s="33" t="s">
        <v>212</v>
      </c>
      <c r="B225" s="33">
        <v>4</v>
      </c>
      <c r="C225" s="34">
        <v>69.891392646693149</v>
      </c>
      <c r="D225" s="25"/>
      <c r="E225" s="25"/>
      <c r="F225" t="s">
        <v>130</v>
      </c>
      <c r="G225">
        <v>3</v>
      </c>
      <c r="H225">
        <v>18.75</v>
      </c>
      <c r="K225" t="s">
        <v>211</v>
      </c>
      <c r="L225">
        <v>3</v>
      </c>
      <c r="M225">
        <v>33.75</v>
      </c>
      <c r="P225" t="s">
        <v>248</v>
      </c>
      <c r="Q225">
        <v>4</v>
      </c>
      <c r="R225">
        <v>44.330610816908738</v>
      </c>
      <c r="U225" t="s">
        <v>156</v>
      </c>
      <c r="V225">
        <v>3</v>
      </c>
      <c r="W225">
        <v>12.5</v>
      </c>
      <c r="AA225" s="34"/>
    </row>
    <row r="226" spans="1:27" x14ac:dyDescent="0.25">
      <c r="A226" s="33" t="s">
        <v>240</v>
      </c>
      <c r="B226" s="33">
        <v>4</v>
      </c>
      <c r="C226" s="34">
        <v>69.891392646693149</v>
      </c>
      <c r="D226" s="25"/>
      <c r="E226" s="25"/>
      <c r="F226" t="s">
        <v>134</v>
      </c>
      <c r="G226">
        <v>3</v>
      </c>
      <c r="H226">
        <v>18.75</v>
      </c>
      <c r="K226" t="s">
        <v>225</v>
      </c>
      <c r="L226">
        <v>4</v>
      </c>
      <c r="M226">
        <v>33.75</v>
      </c>
      <c r="P226" t="s">
        <v>145</v>
      </c>
      <c r="Q226">
        <v>2</v>
      </c>
      <c r="R226">
        <v>44.313946926447947</v>
      </c>
      <c r="U226" t="s">
        <v>160</v>
      </c>
      <c r="V226">
        <v>4</v>
      </c>
      <c r="W226">
        <v>12.5</v>
      </c>
      <c r="AA226" s="34"/>
    </row>
    <row r="227" spans="1:27" x14ac:dyDescent="0.25">
      <c r="A227" s="33" t="s">
        <v>273</v>
      </c>
      <c r="B227" s="33">
        <v>3</v>
      </c>
      <c r="C227" s="34">
        <v>69.891392646693149</v>
      </c>
      <c r="D227" s="25"/>
      <c r="E227" s="25"/>
      <c r="F227" t="s">
        <v>178</v>
      </c>
      <c r="G227">
        <v>2</v>
      </c>
      <c r="H227">
        <v>18.75</v>
      </c>
      <c r="K227" t="s">
        <v>227</v>
      </c>
      <c r="L227">
        <v>4</v>
      </c>
      <c r="M227">
        <v>33.75</v>
      </c>
      <c r="P227" t="s">
        <v>280</v>
      </c>
      <c r="Q227">
        <v>4</v>
      </c>
      <c r="R227">
        <v>44.263809565186129</v>
      </c>
      <c r="U227" t="s">
        <v>163</v>
      </c>
      <c r="V227">
        <v>3</v>
      </c>
      <c r="W227">
        <v>12.5</v>
      </c>
      <c r="AA227" s="34"/>
    </row>
    <row r="228" spans="1:27" x14ac:dyDescent="0.25">
      <c r="A228" s="33" t="s">
        <v>290</v>
      </c>
      <c r="B228" s="33">
        <v>4</v>
      </c>
      <c r="C228" s="34">
        <v>69.891392646693149</v>
      </c>
      <c r="D228" s="25"/>
      <c r="E228" s="25"/>
      <c r="F228" t="s">
        <v>276</v>
      </c>
      <c r="G228">
        <v>4</v>
      </c>
      <c r="H228">
        <v>18.75</v>
      </c>
      <c r="K228" t="s">
        <v>229</v>
      </c>
      <c r="L228">
        <v>4</v>
      </c>
      <c r="M228">
        <v>33.75</v>
      </c>
      <c r="P228" t="s">
        <v>214</v>
      </c>
      <c r="Q228">
        <v>3</v>
      </c>
      <c r="R228">
        <v>44.250932823875651</v>
      </c>
      <c r="U228" t="s">
        <v>164</v>
      </c>
      <c r="V228">
        <v>2</v>
      </c>
      <c r="W228">
        <v>12.5</v>
      </c>
      <c r="AA228" s="34"/>
    </row>
    <row r="229" spans="1:27" x14ac:dyDescent="0.25">
      <c r="A229" t="s">
        <v>34</v>
      </c>
      <c r="B229">
        <v>2</v>
      </c>
      <c r="C229" s="25">
        <v>69.495406356784741</v>
      </c>
      <c r="D229" s="25"/>
      <c r="E229" s="25"/>
      <c r="F229" t="s">
        <v>89</v>
      </c>
      <c r="G229">
        <v>2</v>
      </c>
      <c r="H229">
        <v>17.5</v>
      </c>
      <c r="K229" t="s">
        <v>320</v>
      </c>
      <c r="L229">
        <v>4</v>
      </c>
      <c r="M229">
        <v>33.75</v>
      </c>
      <c r="P229" t="s">
        <v>268</v>
      </c>
      <c r="Q229">
        <v>3</v>
      </c>
      <c r="R229">
        <v>44.180285352208955</v>
      </c>
      <c r="U229" t="s">
        <v>165</v>
      </c>
      <c r="V229">
        <v>3</v>
      </c>
      <c r="W229">
        <v>12.5</v>
      </c>
      <c r="AA229" s="25"/>
    </row>
    <row r="230" spans="1:27" x14ac:dyDescent="0.25">
      <c r="A230" t="s">
        <v>50</v>
      </c>
      <c r="B230">
        <v>2</v>
      </c>
      <c r="C230" s="25">
        <v>69.495406356784741</v>
      </c>
      <c r="D230" s="25"/>
      <c r="E230" s="25"/>
      <c r="F230" t="s">
        <v>22</v>
      </c>
      <c r="G230">
        <v>1</v>
      </c>
      <c r="H230">
        <v>16.25</v>
      </c>
      <c r="K230" t="s">
        <v>253</v>
      </c>
      <c r="L230">
        <v>4</v>
      </c>
      <c r="M230">
        <v>33.75</v>
      </c>
      <c r="P230" t="s">
        <v>32</v>
      </c>
      <c r="Q230">
        <v>1</v>
      </c>
      <c r="R230">
        <v>44.113101560768882</v>
      </c>
      <c r="U230" t="s">
        <v>181</v>
      </c>
      <c r="V230">
        <v>3</v>
      </c>
      <c r="W230">
        <v>12.5</v>
      </c>
      <c r="AA230" s="25"/>
    </row>
    <row r="231" spans="1:27" x14ac:dyDescent="0.25">
      <c r="A231" t="s">
        <v>30</v>
      </c>
      <c r="B231">
        <v>1</v>
      </c>
      <c r="C231" s="25">
        <v>68.851069582322623</v>
      </c>
      <c r="D231" s="25"/>
      <c r="E231" s="25"/>
      <c r="F231" t="s">
        <v>93</v>
      </c>
      <c r="G231">
        <v>2</v>
      </c>
      <c r="H231">
        <v>16.25</v>
      </c>
      <c r="K231" t="s">
        <v>287</v>
      </c>
      <c r="L231">
        <v>3</v>
      </c>
      <c r="M231">
        <v>33.75</v>
      </c>
      <c r="P231" t="s">
        <v>99</v>
      </c>
      <c r="Q231">
        <v>3</v>
      </c>
      <c r="R231">
        <v>43.961863335947328</v>
      </c>
      <c r="U231" t="s">
        <v>186</v>
      </c>
      <c r="V231">
        <v>2</v>
      </c>
      <c r="W231">
        <v>12.5</v>
      </c>
      <c r="AA231" s="25"/>
    </row>
    <row r="232" spans="1:27" x14ac:dyDescent="0.25">
      <c r="A232" t="s">
        <v>122</v>
      </c>
      <c r="B232">
        <v>2</v>
      </c>
      <c r="C232" s="25">
        <v>68.572687125057442</v>
      </c>
      <c r="D232" s="25"/>
      <c r="E232" s="25"/>
      <c r="F232" t="s">
        <v>100</v>
      </c>
      <c r="G232">
        <v>3</v>
      </c>
      <c r="H232">
        <v>16.25</v>
      </c>
      <c r="K232" t="s">
        <v>288</v>
      </c>
      <c r="L232">
        <v>4</v>
      </c>
      <c r="M232">
        <v>33.75</v>
      </c>
      <c r="P232" t="s">
        <v>273</v>
      </c>
      <c r="Q232">
        <v>3</v>
      </c>
      <c r="R232">
        <v>43.910960212206099</v>
      </c>
      <c r="U232" t="s">
        <v>196</v>
      </c>
      <c r="V232">
        <v>3</v>
      </c>
      <c r="W232">
        <v>12.5</v>
      </c>
      <c r="AA232" s="25"/>
    </row>
    <row r="233" spans="1:27" x14ac:dyDescent="0.25">
      <c r="A233" t="s">
        <v>139</v>
      </c>
      <c r="B233">
        <v>3</v>
      </c>
      <c r="C233" s="25">
        <v>68.572687125057442</v>
      </c>
      <c r="D233" s="25"/>
      <c r="E233" s="25"/>
      <c r="F233" s="2" t="s">
        <v>105</v>
      </c>
      <c r="G233" s="2">
        <v>4</v>
      </c>
      <c r="H233">
        <v>16.25</v>
      </c>
      <c r="K233" t="s">
        <v>297</v>
      </c>
      <c r="L233">
        <v>4</v>
      </c>
      <c r="M233">
        <v>33.75</v>
      </c>
      <c r="P233" t="s">
        <v>39</v>
      </c>
      <c r="Q233">
        <v>1</v>
      </c>
      <c r="R233">
        <v>43.681611069758738</v>
      </c>
      <c r="U233" t="s">
        <v>200</v>
      </c>
      <c r="V233">
        <v>2</v>
      </c>
      <c r="W233">
        <v>12.5</v>
      </c>
      <c r="AA233" s="25"/>
    </row>
    <row r="234" spans="1:27" x14ac:dyDescent="0.25">
      <c r="A234" t="s">
        <v>296</v>
      </c>
      <c r="B234">
        <v>4</v>
      </c>
      <c r="C234" s="25">
        <v>68.572687125057442</v>
      </c>
      <c r="D234" s="25"/>
      <c r="E234" s="25"/>
      <c r="F234" t="s">
        <v>112</v>
      </c>
      <c r="G234">
        <v>2</v>
      </c>
      <c r="H234">
        <v>16.25</v>
      </c>
      <c r="K234" t="s">
        <v>34</v>
      </c>
      <c r="L234">
        <v>2</v>
      </c>
      <c r="M234">
        <v>32.5</v>
      </c>
      <c r="P234" t="s">
        <v>47</v>
      </c>
      <c r="Q234">
        <v>2</v>
      </c>
      <c r="R234">
        <v>43.613986563736397</v>
      </c>
      <c r="U234" t="s">
        <v>203</v>
      </c>
      <c r="V234">
        <v>4</v>
      </c>
      <c r="W234">
        <v>12.5</v>
      </c>
      <c r="AA234" s="25"/>
    </row>
    <row r="235" spans="1:27" x14ac:dyDescent="0.25">
      <c r="A235" t="s">
        <v>138</v>
      </c>
      <c r="B235">
        <v>2</v>
      </c>
      <c r="C235" s="25">
        <v>67.253981603421721</v>
      </c>
      <c r="D235" s="25"/>
      <c r="E235" s="25"/>
      <c r="F235" t="s">
        <v>123</v>
      </c>
      <c r="G235">
        <v>3</v>
      </c>
      <c r="H235">
        <v>16.25</v>
      </c>
      <c r="K235" t="s">
        <v>120</v>
      </c>
      <c r="L235">
        <v>3</v>
      </c>
      <c r="M235">
        <v>32.5</v>
      </c>
      <c r="P235" t="s">
        <v>202</v>
      </c>
      <c r="Q235">
        <v>4</v>
      </c>
      <c r="R235">
        <v>43.601112759391299</v>
      </c>
      <c r="U235" t="s">
        <v>204</v>
      </c>
      <c r="V235">
        <v>3</v>
      </c>
      <c r="W235">
        <v>12.5</v>
      </c>
      <c r="AA235" s="25"/>
    </row>
    <row r="236" spans="1:27" x14ac:dyDescent="0.25">
      <c r="A236" t="s">
        <v>315</v>
      </c>
      <c r="B236">
        <v>2</v>
      </c>
      <c r="C236" s="25">
        <v>67.253981603421721</v>
      </c>
      <c r="D236" s="25"/>
      <c r="E236" s="25"/>
      <c r="F236" t="s">
        <v>125</v>
      </c>
      <c r="G236">
        <v>2</v>
      </c>
      <c r="H236">
        <v>16.25</v>
      </c>
      <c r="K236" t="s">
        <v>44</v>
      </c>
      <c r="L236">
        <v>2</v>
      </c>
      <c r="M236">
        <v>26.25</v>
      </c>
      <c r="P236" t="s">
        <v>172</v>
      </c>
      <c r="Q236">
        <v>3</v>
      </c>
      <c r="R236">
        <v>43.598194730663444</v>
      </c>
      <c r="U236" t="s">
        <v>209</v>
      </c>
      <c r="V236">
        <v>4</v>
      </c>
      <c r="W236">
        <v>12.5</v>
      </c>
      <c r="AA236" s="25"/>
    </row>
    <row r="237" spans="1:27" x14ac:dyDescent="0.25">
      <c r="A237" t="s">
        <v>166</v>
      </c>
      <c r="B237">
        <v>3</v>
      </c>
      <c r="C237" s="25">
        <v>67.253981603421721</v>
      </c>
      <c r="D237" s="25"/>
      <c r="E237" s="25"/>
      <c r="F237" t="s">
        <v>131</v>
      </c>
      <c r="G237">
        <v>2</v>
      </c>
      <c r="H237">
        <v>16.25</v>
      </c>
      <c r="K237" t="s">
        <v>74</v>
      </c>
      <c r="L237">
        <v>2</v>
      </c>
      <c r="M237">
        <v>26.25</v>
      </c>
      <c r="P237" t="s">
        <v>298</v>
      </c>
      <c r="Q237">
        <v>4</v>
      </c>
      <c r="R237">
        <v>43.497148216776012</v>
      </c>
      <c r="U237" t="s">
        <v>230</v>
      </c>
      <c r="V237">
        <v>3</v>
      </c>
      <c r="W237">
        <v>12.5</v>
      </c>
      <c r="AA237" s="25"/>
    </row>
    <row r="238" spans="1:27" x14ac:dyDescent="0.25">
      <c r="A238" t="s">
        <v>199</v>
      </c>
      <c r="B238">
        <v>2</v>
      </c>
      <c r="C238" s="25">
        <v>67.253981603421721</v>
      </c>
      <c r="D238" s="25"/>
      <c r="E238" s="25"/>
      <c r="F238" t="s">
        <v>144</v>
      </c>
      <c r="G238">
        <v>3</v>
      </c>
      <c r="H238">
        <v>16.25</v>
      </c>
      <c r="K238" t="s">
        <v>90</v>
      </c>
      <c r="L238">
        <v>3</v>
      </c>
      <c r="M238">
        <v>26.25</v>
      </c>
      <c r="P238" t="s">
        <v>267</v>
      </c>
      <c r="Q238">
        <v>3</v>
      </c>
      <c r="R238">
        <v>43.415818489187615</v>
      </c>
      <c r="U238" t="s">
        <v>231</v>
      </c>
      <c r="V238">
        <v>4</v>
      </c>
      <c r="W238">
        <v>12.5</v>
      </c>
      <c r="AA238" s="25"/>
    </row>
    <row r="239" spans="1:27" x14ac:dyDescent="0.25">
      <c r="A239" t="s">
        <v>217</v>
      </c>
      <c r="B239">
        <v>3</v>
      </c>
      <c r="C239" s="25">
        <v>67.253981603421721</v>
      </c>
      <c r="D239" s="25"/>
      <c r="E239" s="25"/>
      <c r="F239" t="s">
        <v>149</v>
      </c>
      <c r="G239">
        <v>3</v>
      </c>
      <c r="H239">
        <v>16.25</v>
      </c>
      <c r="K239" t="s">
        <v>99</v>
      </c>
      <c r="L239">
        <v>3</v>
      </c>
      <c r="M239">
        <v>26.25</v>
      </c>
      <c r="P239" t="s">
        <v>166</v>
      </c>
      <c r="Q239">
        <v>3</v>
      </c>
      <c r="R239">
        <v>43.334910529477455</v>
      </c>
      <c r="U239" t="s">
        <v>233</v>
      </c>
      <c r="V239">
        <v>3</v>
      </c>
      <c r="W239">
        <v>12.5</v>
      </c>
      <c r="AA239" s="25"/>
    </row>
    <row r="240" spans="1:27" x14ac:dyDescent="0.25">
      <c r="A240" t="s">
        <v>232</v>
      </c>
      <c r="B240">
        <v>3</v>
      </c>
      <c r="C240" s="25">
        <v>67.253981603421721</v>
      </c>
      <c r="D240" s="25"/>
      <c r="E240" s="25"/>
      <c r="F240" t="s">
        <v>167</v>
      </c>
      <c r="G240">
        <v>4</v>
      </c>
      <c r="H240">
        <v>16.25</v>
      </c>
      <c r="K240" t="s">
        <v>115</v>
      </c>
      <c r="L240">
        <v>2</v>
      </c>
      <c r="M240">
        <v>26.25</v>
      </c>
      <c r="P240" t="s">
        <v>94</v>
      </c>
      <c r="Q240">
        <v>3</v>
      </c>
      <c r="R240">
        <v>43.025407178785933</v>
      </c>
      <c r="U240" t="s">
        <v>234</v>
      </c>
      <c r="V240">
        <v>3</v>
      </c>
      <c r="W240">
        <v>12.5</v>
      </c>
      <c r="AA240" s="25"/>
    </row>
    <row r="241" spans="1:27" x14ac:dyDescent="0.25">
      <c r="A241" t="s">
        <v>264</v>
      </c>
      <c r="B241">
        <v>4</v>
      </c>
      <c r="C241" s="25">
        <v>67.253981603421721</v>
      </c>
      <c r="D241" s="25"/>
      <c r="E241" s="25"/>
      <c r="F241" t="s">
        <v>181</v>
      </c>
      <c r="G241">
        <v>3</v>
      </c>
      <c r="H241">
        <v>16.25</v>
      </c>
      <c r="K241" t="s">
        <v>119</v>
      </c>
      <c r="L241">
        <v>3</v>
      </c>
      <c r="M241">
        <v>26.25</v>
      </c>
      <c r="P241" t="s">
        <v>266</v>
      </c>
      <c r="Q241">
        <v>4</v>
      </c>
      <c r="R241">
        <v>42.924858935175813</v>
      </c>
      <c r="U241" t="s">
        <v>244</v>
      </c>
      <c r="V241">
        <v>3</v>
      </c>
      <c r="W241">
        <v>12.5</v>
      </c>
      <c r="AA241" s="25"/>
    </row>
    <row r="242" spans="1:27" x14ac:dyDescent="0.25">
      <c r="A242" t="s">
        <v>267</v>
      </c>
      <c r="B242">
        <v>3</v>
      </c>
      <c r="C242" s="25">
        <v>67.253981603421721</v>
      </c>
      <c r="D242" s="25"/>
      <c r="E242" s="25"/>
      <c r="F242" t="s">
        <v>191</v>
      </c>
      <c r="G242">
        <v>3</v>
      </c>
      <c r="H242">
        <v>16.25</v>
      </c>
      <c r="K242" t="s">
        <v>166</v>
      </c>
      <c r="L242">
        <v>3</v>
      </c>
      <c r="M242">
        <v>26.25</v>
      </c>
      <c r="P242" t="s">
        <v>287</v>
      </c>
      <c r="Q242">
        <v>3</v>
      </c>
      <c r="R242">
        <v>42.728961162268789</v>
      </c>
      <c r="U242" t="s">
        <v>245</v>
      </c>
      <c r="V242">
        <v>2</v>
      </c>
      <c r="W242">
        <v>12.5</v>
      </c>
      <c r="AA242" s="25"/>
    </row>
    <row r="243" spans="1:27" x14ac:dyDescent="0.25">
      <c r="A243" t="s">
        <v>98</v>
      </c>
      <c r="B243">
        <v>2</v>
      </c>
      <c r="C243" s="25">
        <v>65.935276081786</v>
      </c>
      <c r="D243" s="25"/>
      <c r="E243" s="25"/>
      <c r="F243" t="s">
        <v>206</v>
      </c>
      <c r="G243">
        <v>3</v>
      </c>
      <c r="H243">
        <v>16.25</v>
      </c>
      <c r="K243" t="s">
        <v>181</v>
      </c>
      <c r="L243">
        <v>3</v>
      </c>
      <c r="M243">
        <v>26.25</v>
      </c>
      <c r="P243" t="s">
        <v>227</v>
      </c>
      <c r="Q243">
        <v>4</v>
      </c>
      <c r="R243">
        <v>42.705422047010451</v>
      </c>
      <c r="U243" t="s">
        <v>248</v>
      </c>
      <c r="V243">
        <v>4</v>
      </c>
      <c r="W243">
        <v>12.5</v>
      </c>
      <c r="AA243" s="25"/>
    </row>
    <row r="244" spans="1:27" x14ac:dyDescent="0.25">
      <c r="A244" s="2" t="s">
        <v>105</v>
      </c>
      <c r="B244" s="2">
        <v>4</v>
      </c>
      <c r="C244" s="25">
        <v>65.935276081786</v>
      </c>
      <c r="D244" s="25"/>
      <c r="E244" s="25"/>
      <c r="F244" t="s">
        <v>222</v>
      </c>
      <c r="G244">
        <v>4</v>
      </c>
      <c r="H244">
        <v>16.25</v>
      </c>
      <c r="K244" t="s">
        <v>186</v>
      </c>
      <c r="L244">
        <v>2</v>
      </c>
      <c r="M244">
        <v>26.25</v>
      </c>
      <c r="P244" t="s">
        <v>31</v>
      </c>
      <c r="Q244">
        <v>1</v>
      </c>
      <c r="R244">
        <v>42.651164576225753</v>
      </c>
      <c r="U244" t="s">
        <v>252</v>
      </c>
      <c r="V244">
        <v>3</v>
      </c>
      <c r="W244">
        <v>12.5</v>
      </c>
      <c r="AA244" s="25"/>
    </row>
    <row r="245" spans="1:27" x14ac:dyDescent="0.25">
      <c r="A245" t="s">
        <v>218</v>
      </c>
      <c r="B245">
        <v>4</v>
      </c>
      <c r="C245" s="25">
        <v>65.935276081786</v>
      </c>
      <c r="D245" s="25"/>
      <c r="E245" s="25"/>
      <c r="F245" t="s">
        <v>226</v>
      </c>
      <c r="G245">
        <v>3</v>
      </c>
      <c r="H245">
        <v>16.25</v>
      </c>
      <c r="K245" t="s">
        <v>321</v>
      </c>
      <c r="L245">
        <v>3</v>
      </c>
      <c r="M245">
        <v>26.25</v>
      </c>
      <c r="P245" t="s">
        <v>83</v>
      </c>
      <c r="Q245">
        <v>2</v>
      </c>
      <c r="R245">
        <v>42.624461533712505</v>
      </c>
      <c r="U245" t="s">
        <v>255</v>
      </c>
      <c r="V245">
        <v>4</v>
      </c>
      <c r="W245">
        <v>12.5</v>
      </c>
      <c r="AA245" s="25"/>
    </row>
    <row r="246" spans="1:27" x14ac:dyDescent="0.25">
      <c r="A246" t="s">
        <v>47</v>
      </c>
      <c r="B246">
        <v>2</v>
      </c>
      <c r="C246" s="25">
        <v>65.851838558279042</v>
      </c>
      <c r="D246" s="25"/>
      <c r="E246" s="25"/>
      <c r="F246" t="s">
        <v>319</v>
      </c>
      <c r="G246">
        <v>4</v>
      </c>
      <c r="H246">
        <v>16.25</v>
      </c>
      <c r="K246" t="s">
        <v>249</v>
      </c>
      <c r="L246">
        <v>3</v>
      </c>
      <c r="M246">
        <v>26.25</v>
      </c>
      <c r="P246" t="s">
        <v>185</v>
      </c>
      <c r="Q246">
        <v>3</v>
      </c>
      <c r="R246">
        <v>42.410107018560375</v>
      </c>
      <c r="U246" t="s">
        <v>257</v>
      </c>
      <c r="V246">
        <v>4</v>
      </c>
      <c r="W246">
        <v>12.5</v>
      </c>
      <c r="AA246" s="25"/>
    </row>
    <row r="247" spans="1:27" x14ac:dyDescent="0.25">
      <c r="A247" t="s">
        <v>208</v>
      </c>
      <c r="B247">
        <v>4</v>
      </c>
      <c r="C247" s="25">
        <v>64.616570560150279</v>
      </c>
      <c r="D247" s="25"/>
      <c r="E247" s="25"/>
      <c r="F247" t="s">
        <v>239</v>
      </c>
      <c r="G247">
        <v>4</v>
      </c>
      <c r="H247">
        <v>16.25</v>
      </c>
      <c r="K247" t="s">
        <v>270</v>
      </c>
      <c r="L247">
        <v>4</v>
      </c>
      <c r="M247">
        <v>26.25</v>
      </c>
      <c r="P247" t="s">
        <v>124</v>
      </c>
      <c r="Q247">
        <v>2</v>
      </c>
      <c r="R247">
        <v>42.371734605793272</v>
      </c>
      <c r="U247" t="s">
        <v>259</v>
      </c>
      <c r="V247">
        <v>3</v>
      </c>
      <c r="W247">
        <v>12.5</v>
      </c>
      <c r="AA247" s="25"/>
    </row>
    <row r="248" spans="1:27" x14ac:dyDescent="0.25">
      <c r="A248" t="s">
        <v>108</v>
      </c>
      <c r="B248">
        <v>3</v>
      </c>
      <c r="C248" s="25">
        <v>63.297865038514558</v>
      </c>
      <c r="D248" s="25"/>
      <c r="E248" s="25"/>
      <c r="F248" t="s">
        <v>250</v>
      </c>
      <c r="G248">
        <v>4</v>
      </c>
      <c r="H248">
        <v>16.25</v>
      </c>
      <c r="K248" t="s">
        <v>280</v>
      </c>
      <c r="L248">
        <v>4</v>
      </c>
      <c r="M248">
        <v>26.25</v>
      </c>
      <c r="P248" t="s">
        <v>322</v>
      </c>
      <c r="Q248">
        <v>3</v>
      </c>
      <c r="R248">
        <v>42.349102329475443</v>
      </c>
      <c r="U248" t="s">
        <v>267</v>
      </c>
      <c r="V248">
        <v>3</v>
      </c>
      <c r="W248">
        <v>12.5</v>
      </c>
      <c r="AA248" s="25"/>
    </row>
    <row r="249" spans="1:27" x14ac:dyDescent="0.25">
      <c r="A249" t="s">
        <v>176</v>
      </c>
      <c r="B249">
        <v>4</v>
      </c>
      <c r="C249" s="25">
        <v>63.297865038514558</v>
      </c>
      <c r="D249" s="25"/>
      <c r="E249" s="25"/>
      <c r="F249" t="s">
        <v>255</v>
      </c>
      <c r="G249">
        <v>4</v>
      </c>
      <c r="H249">
        <v>16.25</v>
      </c>
      <c r="K249" t="s">
        <v>282</v>
      </c>
      <c r="L249">
        <v>3</v>
      </c>
      <c r="M249">
        <v>26.25</v>
      </c>
      <c r="P249" t="s">
        <v>197</v>
      </c>
      <c r="Q249">
        <v>3</v>
      </c>
      <c r="R249">
        <v>42.305207131759772</v>
      </c>
      <c r="U249" t="s">
        <v>274</v>
      </c>
      <c r="V249">
        <v>3</v>
      </c>
      <c r="W249">
        <v>12.5</v>
      </c>
      <c r="AA249" s="25"/>
    </row>
    <row r="250" spans="1:27" x14ac:dyDescent="0.25">
      <c r="A250" t="s">
        <v>194</v>
      </c>
      <c r="B250">
        <v>2</v>
      </c>
      <c r="C250" s="25">
        <v>63.297865038514558</v>
      </c>
      <c r="D250" s="25"/>
      <c r="E250" s="25"/>
      <c r="F250" t="s">
        <v>262</v>
      </c>
      <c r="G250">
        <v>3</v>
      </c>
      <c r="H250">
        <v>16.25</v>
      </c>
      <c r="K250" t="s">
        <v>43</v>
      </c>
      <c r="L250">
        <v>1</v>
      </c>
      <c r="M250">
        <v>25</v>
      </c>
      <c r="P250" t="s">
        <v>204</v>
      </c>
      <c r="Q250">
        <v>3</v>
      </c>
      <c r="R250">
        <v>42.247194849325027</v>
      </c>
      <c r="U250" t="s">
        <v>276</v>
      </c>
      <c r="V250">
        <v>4</v>
      </c>
      <c r="W250">
        <v>12.5</v>
      </c>
      <c r="AA250" s="25"/>
    </row>
    <row r="251" spans="1:27" x14ac:dyDescent="0.25">
      <c r="A251" t="s">
        <v>216</v>
      </c>
      <c r="B251">
        <v>2</v>
      </c>
      <c r="C251" s="25">
        <v>63.297865038514558</v>
      </c>
      <c r="D251" s="25"/>
      <c r="E251" s="25"/>
      <c r="F251" t="s">
        <v>263</v>
      </c>
      <c r="G251">
        <v>4</v>
      </c>
      <c r="H251">
        <v>16.25</v>
      </c>
      <c r="K251" t="s">
        <v>316</v>
      </c>
      <c r="L251">
        <v>3</v>
      </c>
      <c r="M251">
        <v>25</v>
      </c>
      <c r="P251" t="s">
        <v>115</v>
      </c>
      <c r="Q251">
        <v>2</v>
      </c>
      <c r="R251">
        <v>42.195305565874186</v>
      </c>
      <c r="U251" t="s">
        <v>288</v>
      </c>
      <c r="V251">
        <v>4</v>
      </c>
      <c r="W251">
        <v>12.5</v>
      </c>
      <c r="AA251" s="25"/>
    </row>
    <row r="252" spans="1:27" x14ac:dyDescent="0.25">
      <c r="A252" t="s">
        <v>262</v>
      </c>
      <c r="B252">
        <v>3</v>
      </c>
      <c r="C252" s="25">
        <v>63.297865038514558</v>
      </c>
      <c r="D252" s="25"/>
      <c r="E252" s="25"/>
      <c r="F252" t="s">
        <v>265</v>
      </c>
      <c r="G252">
        <v>4</v>
      </c>
      <c r="H252">
        <v>16.25</v>
      </c>
      <c r="K252" t="s">
        <v>198</v>
      </c>
      <c r="L252">
        <v>4</v>
      </c>
      <c r="M252">
        <v>25</v>
      </c>
      <c r="P252" t="s">
        <v>282</v>
      </c>
      <c r="Q252">
        <v>3</v>
      </c>
      <c r="R252">
        <v>42.074121161669822</v>
      </c>
      <c r="U252" t="s">
        <v>43</v>
      </c>
      <c r="V252">
        <v>1</v>
      </c>
      <c r="W252">
        <v>0</v>
      </c>
      <c r="AA252" s="25"/>
    </row>
    <row r="253" spans="1:27" x14ac:dyDescent="0.25">
      <c r="A253" t="s">
        <v>326</v>
      </c>
      <c r="B253">
        <v>4</v>
      </c>
      <c r="C253" s="25">
        <v>63.297865038514558</v>
      </c>
      <c r="D253" s="25"/>
      <c r="E253" s="25"/>
      <c r="F253" t="s">
        <v>266</v>
      </c>
      <c r="G253">
        <v>4</v>
      </c>
      <c r="H253">
        <v>16.25</v>
      </c>
      <c r="K253" t="s">
        <v>231</v>
      </c>
      <c r="L253">
        <v>4</v>
      </c>
      <c r="M253">
        <v>25</v>
      </c>
      <c r="P253" t="s">
        <v>194</v>
      </c>
      <c r="Q253">
        <v>2</v>
      </c>
      <c r="R253">
        <v>41.622941315738466</v>
      </c>
      <c r="U253" t="s">
        <v>52</v>
      </c>
      <c r="V253">
        <v>2</v>
      </c>
      <c r="W253">
        <v>0</v>
      </c>
      <c r="AA253" s="25"/>
    </row>
    <row r="254" spans="1:27" x14ac:dyDescent="0.25">
      <c r="A254" t="s">
        <v>157</v>
      </c>
      <c r="B254">
        <v>3</v>
      </c>
      <c r="C254" s="25">
        <v>61.979159516878838</v>
      </c>
      <c r="D254" s="25"/>
      <c r="E254" s="25"/>
      <c r="F254" t="s">
        <v>271</v>
      </c>
      <c r="G254">
        <v>4</v>
      </c>
      <c r="H254">
        <v>16.25</v>
      </c>
      <c r="K254" t="s">
        <v>239</v>
      </c>
      <c r="L254">
        <v>4</v>
      </c>
      <c r="M254">
        <v>25</v>
      </c>
      <c r="P254" t="s">
        <v>297</v>
      </c>
      <c r="Q254">
        <v>4</v>
      </c>
      <c r="R254">
        <v>41.530523144232703</v>
      </c>
      <c r="U254" t="s">
        <v>55</v>
      </c>
      <c r="V254">
        <v>3</v>
      </c>
      <c r="W254">
        <v>0</v>
      </c>
      <c r="AA254" s="25"/>
    </row>
    <row r="255" spans="1:27" x14ac:dyDescent="0.25">
      <c r="A255" t="s">
        <v>165</v>
      </c>
      <c r="B255">
        <v>3</v>
      </c>
      <c r="C255" s="25">
        <v>61.979159516878838</v>
      </c>
      <c r="D255" s="25"/>
      <c r="E255" s="25"/>
      <c r="F255" t="s">
        <v>273</v>
      </c>
      <c r="G255">
        <v>3</v>
      </c>
      <c r="H255">
        <v>16.25</v>
      </c>
      <c r="K255" t="s">
        <v>242</v>
      </c>
      <c r="L255">
        <v>4</v>
      </c>
      <c r="M255">
        <v>25</v>
      </c>
      <c r="P255" t="s">
        <v>49</v>
      </c>
      <c r="Q255">
        <v>1</v>
      </c>
      <c r="R255">
        <v>41.412650323767771</v>
      </c>
      <c r="U255" t="s">
        <v>70</v>
      </c>
      <c r="V255">
        <v>4</v>
      </c>
      <c r="W255">
        <v>0</v>
      </c>
      <c r="AA255" s="25"/>
    </row>
    <row r="256" spans="1:27" x14ac:dyDescent="0.25">
      <c r="A256" t="s">
        <v>170</v>
      </c>
      <c r="B256">
        <v>3</v>
      </c>
      <c r="C256" s="25">
        <v>61.979159516878838</v>
      </c>
      <c r="D256" s="25"/>
      <c r="E256" s="25"/>
      <c r="F256" t="s">
        <v>287</v>
      </c>
      <c r="G256">
        <v>3</v>
      </c>
      <c r="H256">
        <v>16.25</v>
      </c>
      <c r="K256" t="s">
        <v>255</v>
      </c>
      <c r="L256">
        <v>4</v>
      </c>
      <c r="M256">
        <v>25</v>
      </c>
      <c r="P256" t="s">
        <v>212</v>
      </c>
      <c r="Q256">
        <v>4</v>
      </c>
      <c r="R256">
        <v>41.389945449407989</v>
      </c>
      <c r="U256" t="s">
        <v>74</v>
      </c>
      <c r="V256">
        <v>2</v>
      </c>
      <c r="W256">
        <v>0</v>
      </c>
      <c r="AA256" s="25"/>
    </row>
    <row r="257" spans="1:27" x14ac:dyDescent="0.25">
      <c r="A257" t="s">
        <v>210</v>
      </c>
      <c r="B257">
        <v>4</v>
      </c>
      <c r="C257" s="25">
        <v>61.979159516878838</v>
      </c>
      <c r="D257" s="25"/>
      <c r="E257" s="25"/>
      <c r="F257" t="s">
        <v>310</v>
      </c>
      <c r="G257">
        <v>3</v>
      </c>
      <c r="H257">
        <v>15</v>
      </c>
      <c r="K257" t="s">
        <v>257</v>
      </c>
      <c r="L257">
        <v>4</v>
      </c>
      <c r="M257">
        <v>25</v>
      </c>
      <c r="P257" t="s">
        <v>251</v>
      </c>
      <c r="Q257">
        <v>3</v>
      </c>
      <c r="R257">
        <v>41.230386641423614</v>
      </c>
      <c r="U257" t="s">
        <v>75</v>
      </c>
      <c r="V257">
        <v>2</v>
      </c>
      <c r="W257">
        <v>0</v>
      </c>
      <c r="AA257" s="25"/>
    </row>
    <row r="258" spans="1:27" x14ac:dyDescent="0.25">
      <c r="A258" t="s">
        <v>272</v>
      </c>
      <c r="B258">
        <v>3</v>
      </c>
      <c r="C258" s="25">
        <v>61.979159516878838</v>
      </c>
      <c r="D258" s="25"/>
      <c r="E258" s="25"/>
      <c r="F258" t="s">
        <v>77</v>
      </c>
      <c r="G258">
        <v>3</v>
      </c>
      <c r="H258">
        <v>15</v>
      </c>
      <c r="K258" t="s">
        <v>266</v>
      </c>
      <c r="L258">
        <v>4</v>
      </c>
      <c r="M258">
        <v>25</v>
      </c>
      <c r="P258" t="s">
        <v>184</v>
      </c>
      <c r="Q258">
        <v>3</v>
      </c>
      <c r="R258">
        <v>41.151330930480569</v>
      </c>
      <c r="U258" t="s">
        <v>82</v>
      </c>
      <c r="V258">
        <v>3</v>
      </c>
      <c r="W258">
        <v>0</v>
      </c>
      <c r="AA258" s="25"/>
    </row>
    <row r="259" spans="1:27" x14ac:dyDescent="0.25">
      <c r="A259" t="s">
        <v>187</v>
      </c>
      <c r="B259">
        <v>4</v>
      </c>
      <c r="C259" s="25">
        <v>60.660453995243117</v>
      </c>
      <c r="D259" s="25"/>
      <c r="E259" s="25"/>
      <c r="F259" t="s">
        <v>87</v>
      </c>
      <c r="G259">
        <v>3</v>
      </c>
      <c r="H259">
        <v>15</v>
      </c>
      <c r="K259" t="s">
        <v>271</v>
      </c>
      <c r="L259">
        <v>4</v>
      </c>
      <c r="M259">
        <v>25</v>
      </c>
      <c r="P259" t="s">
        <v>278</v>
      </c>
      <c r="Q259">
        <v>4</v>
      </c>
      <c r="R259">
        <v>41.007863732346841</v>
      </c>
      <c r="U259" t="s">
        <v>311</v>
      </c>
      <c r="V259">
        <v>3</v>
      </c>
      <c r="W259">
        <v>0</v>
      </c>
      <c r="AA259" s="25"/>
    </row>
    <row r="260" spans="1:27" x14ac:dyDescent="0.25">
      <c r="A260" t="s">
        <v>58</v>
      </c>
      <c r="B260">
        <v>1</v>
      </c>
      <c r="C260" s="25">
        <v>59.341748473607396</v>
      </c>
      <c r="D260" s="25"/>
      <c r="E260" s="25"/>
      <c r="F260" t="s">
        <v>314</v>
      </c>
      <c r="G260">
        <v>2</v>
      </c>
      <c r="H260">
        <v>15</v>
      </c>
      <c r="K260" t="s">
        <v>294</v>
      </c>
      <c r="L260">
        <v>3</v>
      </c>
      <c r="M260">
        <v>25</v>
      </c>
      <c r="P260" t="s">
        <v>111</v>
      </c>
      <c r="Q260">
        <v>2</v>
      </c>
      <c r="R260">
        <v>40.957003626345227</v>
      </c>
      <c r="U260" t="s">
        <v>87</v>
      </c>
      <c r="V260">
        <v>3</v>
      </c>
      <c r="W260">
        <v>0</v>
      </c>
      <c r="AA260" s="25"/>
    </row>
    <row r="261" spans="1:27" x14ac:dyDescent="0.25">
      <c r="A261" t="s">
        <v>91</v>
      </c>
      <c r="B261">
        <v>2</v>
      </c>
      <c r="C261" s="25">
        <v>59.341748473607396</v>
      </c>
      <c r="D261" s="25"/>
      <c r="E261" s="25"/>
      <c r="F261" t="s">
        <v>320</v>
      </c>
      <c r="G261">
        <v>4</v>
      </c>
      <c r="H261">
        <v>15</v>
      </c>
      <c r="K261" t="s">
        <v>87</v>
      </c>
      <c r="L261">
        <v>3</v>
      </c>
      <c r="M261">
        <v>17.5</v>
      </c>
      <c r="P261" t="s">
        <v>294</v>
      </c>
      <c r="Q261">
        <v>3</v>
      </c>
      <c r="R261">
        <v>40.896292266635122</v>
      </c>
      <c r="U261" t="s">
        <v>90</v>
      </c>
      <c r="V261">
        <v>3</v>
      </c>
      <c r="W261">
        <v>0</v>
      </c>
      <c r="AA261" s="25"/>
    </row>
    <row r="262" spans="1:27" x14ac:dyDescent="0.25">
      <c r="A262" t="s">
        <v>168</v>
      </c>
      <c r="B262">
        <v>3</v>
      </c>
      <c r="C262" s="25">
        <v>59.341748473607396</v>
      </c>
      <c r="D262" s="25"/>
      <c r="E262" s="25"/>
      <c r="F262" t="s">
        <v>34</v>
      </c>
      <c r="G262">
        <v>2</v>
      </c>
      <c r="H262">
        <v>12.5</v>
      </c>
      <c r="K262" t="s">
        <v>96</v>
      </c>
      <c r="L262">
        <v>3</v>
      </c>
      <c r="M262">
        <v>17.5</v>
      </c>
      <c r="P262" t="s">
        <v>245</v>
      </c>
      <c r="Q262">
        <v>2</v>
      </c>
      <c r="R262">
        <v>40.669674290168253</v>
      </c>
      <c r="U262" t="s">
        <v>94</v>
      </c>
      <c r="V262">
        <v>3</v>
      </c>
      <c r="W262">
        <v>0</v>
      </c>
      <c r="AA262" s="25"/>
    </row>
    <row r="263" spans="1:27" x14ac:dyDescent="0.25">
      <c r="A263" t="s">
        <v>188</v>
      </c>
      <c r="B263">
        <v>3</v>
      </c>
      <c r="C263" s="25">
        <v>59.341748473607396</v>
      </c>
      <c r="D263" s="25"/>
      <c r="E263" s="25"/>
      <c r="F263" t="s">
        <v>43</v>
      </c>
      <c r="G263">
        <v>1</v>
      </c>
      <c r="H263">
        <v>12.5</v>
      </c>
      <c r="K263" t="s">
        <v>101</v>
      </c>
      <c r="L263">
        <v>2</v>
      </c>
      <c r="M263">
        <v>17.5</v>
      </c>
      <c r="P263" t="s">
        <v>257</v>
      </c>
      <c r="Q263">
        <v>4</v>
      </c>
      <c r="R263">
        <v>40.649661149093156</v>
      </c>
      <c r="U263" t="s">
        <v>118</v>
      </c>
      <c r="V263">
        <v>4</v>
      </c>
      <c r="W263">
        <v>0</v>
      </c>
      <c r="AA263" s="25"/>
    </row>
    <row r="264" spans="1:27" x14ac:dyDescent="0.25">
      <c r="A264" t="s">
        <v>51</v>
      </c>
      <c r="B264">
        <v>1</v>
      </c>
      <c r="C264" s="25">
        <v>58.132444967034452</v>
      </c>
      <c r="D264" s="25"/>
      <c r="E264" s="25"/>
      <c r="F264" t="s">
        <v>101</v>
      </c>
      <c r="G264">
        <v>2</v>
      </c>
      <c r="H264">
        <v>12.5</v>
      </c>
      <c r="K264" t="s">
        <v>122</v>
      </c>
      <c r="L264">
        <v>2</v>
      </c>
      <c r="M264">
        <v>17.5</v>
      </c>
      <c r="P264" t="s">
        <v>215</v>
      </c>
      <c r="Q264">
        <v>2</v>
      </c>
      <c r="R264">
        <v>40.474259222176585</v>
      </c>
      <c r="U264" t="s">
        <v>132</v>
      </c>
      <c r="V264">
        <v>3</v>
      </c>
      <c r="W264">
        <v>0</v>
      </c>
      <c r="AA264" s="25"/>
    </row>
    <row r="265" spans="1:27" x14ac:dyDescent="0.25">
      <c r="A265" t="s">
        <v>152</v>
      </c>
      <c r="B265">
        <v>3</v>
      </c>
      <c r="C265" s="25">
        <v>58.023042951971675</v>
      </c>
      <c r="D265" s="25"/>
      <c r="E265" s="25"/>
      <c r="F265" t="s">
        <v>237</v>
      </c>
      <c r="G265">
        <v>3</v>
      </c>
      <c r="H265">
        <v>11.25</v>
      </c>
      <c r="K265" t="s">
        <v>132</v>
      </c>
      <c r="L265">
        <v>3</v>
      </c>
      <c r="M265">
        <v>17.5</v>
      </c>
      <c r="P265" t="s">
        <v>131</v>
      </c>
      <c r="Q265">
        <v>2</v>
      </c>
      <c r="R265">
        <v>40.464864547669542</v>
      </c>
      <c r="U265" t="s">
        <v>314</v>
      </c>
      <c r="V265">
        <v>2</v>
      </c>
      <c r="W265">
        <v>0</v>
      </c>
      <c r="AA265" s="25"/>
    </row>
    <row r="266" spans="1:27" x14ac:dyDescent="0.25">
      <c r="A266" t="s">
        <v>259</v>
      </c>
      <c r="B266">
        <v>3</v>
      </c>
      <c r="C266" s="25">
        <v>58.023042951971675</v>
      </c>
      <c r="D266" s="25"/>
      <c r="E266" s="25"/>
      <c r="F266" t="s">
        <v>270</v>
      </c>
      <c r="G266">
        <v>4</v>
      </c>
      <c r="H266">
        <v>11.25</v>
      </c>
      <c r="K266" t="s">
        <v>133</v>
      </c>
      <c r="L266">
        <v>3</v>
      </c>
      <c r="M266">
        <v>17.5</v>
      </c>
      <c r="P266" t="s">
        <v>274</v>
      </c>
      <c r="Q266">
        <v>3</v>
      </c>
      <c r="R266">
        <v>40.410042457811791</v>
      </c>
      <c r="U266" t="s">
        <v>140</v>
      </c>
      <c r="V266">
        <v>2</v>
      </c>
      <c r="W266">
        <v>0</v>
      </c>
      <c r="AA266" s="25"/>
    </row>
    <row r="267" spans="1:27" x14ac:dyDescent="0.25">
      <c r="A267" t="s">
        <v>118</v>
      </c>
      <c r="B267">
        <v>4</v>
      </c>
      <c r="C267" s="25">
        <v>56.704337430335954</v>
      </c>
      <c r="D267" s="25"/>
      <c r="E267" s="25"/>
      <c r="F267" t="s">
        <v>279</v>
      </c>
      <c r="G267">
        <v>4</v>
      </c>
      <c r="H267">
        <v>11.25</v>
      </c>
      <c r="K267" t="s">
        <v>140</v>
      </c>
      <c r="L267">
        <v>2</v>
      </c>
      <c r="M267">
        <v>17.5</v>
      </c>
      <c r="P267" t="s">
        <v>98</v>
      </c>
      <c r="Q267">
        <v>2</v>
      </c>
      <c r="R267">
        <v>40.227159405743443</v>
      </c>
      <c r="U267" t="s">
        <v>144</v>
      </c>
      <c r="V267">
        <v>3</v>
      </c>
      <c r="W267">
        <v>0</v>
      </c>
      <c r="AA267" s="25"/>
    </row>
    <row r="268" spans="1:27" x14ac:dyDescent="0.25">
      <c r="A268" t="s">
        <v>221</v>
      </c>
      <c r="B268">
        <v>4</v>
      </c>
      <c r="C268" s="25">
        <v>56.704337430335954</v>
      </c>
      <c r="D268" s="25"/>
      <c r="E268" s="25"/>
      <c r="F268" t="s">
        <v>324</v>
      </c>
      <c r="G268">
        <v>3</v>
      </c>
      <c r="H268">
        <v>11.25</v>
      </c>
      <c r="K268" t="s">
        <v>155</v>
      </c>
      <c r="L268">
        <v>4</v>
      </c>
      <c r="M268">
        <v>17.5</v>
      </c>
      <c r="P268" t="s">
        <v>211</v>
      </c>
      <c r="Q268">
        <v>3</v>
      </c>
      <c r="R268">
        <v>39.772746148188624</v>
      </c>
      <c r="U268" t="s">
        <v>145</v>
      </c>
      <c r="V268">
        <v>2</v>
      </c>
      <c r="W268">
        <v>0</v>
      </c>
      <c r="AA268" s="25"/>
    </row>
    <row r="269" spans="1:27" x14ac:dyDescent="0.25">
      <c r="A269" t="s">
        <v>40</v>
      </c>
      <c r="B269">
        <v>1</v>
      </c>
      <c r="C269" s="25">
        <v>56.403940659417636</v>
      </c>
      <c r="D269" s="25"/>
      <c r="E269" s="25"/>
      <c r="F269" t="s">
        <v>299</v>
      </c>
      <c r="G269">
        <v>4</v>
      </c>
      <c r="H269">
        <v>11.25</v>
      </c>
      <c r="K269" t="s">
        <v>234</v>
      </c>
      <c r="L269">
        <v>3</v>
      </c>
      <c r="M269">
        <v>17.5</v>
      </c>
      <c r="P269" t="s">
        <v>137</v>
      </c>
      <c r="Q269">
        <v>2</v>
      </c>
      <c r="R269">
        <v>39.722260245116082</v>
      </c>
      <c r="U269" t="s">
        <v>155</v>
      </c>
      <c r="V269">
        <v>4</v>
      </c>
      <c r="W269">
        <v>0</v>
      </c>
      <c r="AA269" s="25"/>
    </row>
    <row r="270" spans="1:27" x14ac:dyDescent="0.25">
      <c r="A270" t="s">
        <v>55</v>
      </c>
      <c r="B270">
        <v>3</v>
      </c>
      <c r="C270" s="25">
        <v>55.385631908700233</v>
      </c>
      <c r="D270" s="25"/>
      <c r="E270" s="25"/>
      <c r="F270" t="s">
        <v>56</v>
      </c>
      <c r="G270">
        <v>2</v>
      </c>
      <c r="H270">
        <v>10</v>
      </c>
      <c r="K270" t="s">
        <v>263</v>
      </c>
      <c r="L270">
        <v>4</v>
      </c>
      <c r="M270">
        <v>17.5</v>
      </c>
      <c r="P270" t="s">
        <v>284</v>
      </c>
      <c r="Q270">
        <v>4</v>
      </c>
      <c r="R270">
        <v>39.227832201082983</v>
      </c>
      <c r="U270" t="s">
        <v>187</v>
      </c>
      <c r="V270">
        <v>4</v>
      </c>
      <c r="W270">
        <v>0</v>
      </c>
      <c r="AA270" s="25"/>
    </row>
    <row r="271" spans="1:27" x14ac:dyDescent="0.25">
      <c r="A271" t="s">
        <v>310</v>
      </c>
      <c r="B271">
        <v>3</v>
      </c>
      <c r="C271" s="25">
        <v>55.385631908700233</v>
      </c>
      <c r="D271" s="25"/>
      <c r="E271" s="25"/>
      <c r="F271" t="s">
        <v>63</v>
      </c>
      <c r="G271">
        <v>2</v>
      </c>
      <c r="H271">
        <v>10</v>
      </c>
      <c r="K271" t="s">
        <v>268</v>
      </c>
      <c r="L271">
        <v>3</v>
      </c>
      <c r="M271">
        <v>17.5</v>
      </c>
      <c r="P271" t="s">
        <v>28</v>
      </c>
      <c r="Q271">
        <v>1</v>
      </c>
      <c r="R271">
        <v>39.134129656776359</v>
      </c>
      <c r="U271" t="s">
        <v>191</v>
      </c>
      <c r="V271">
        <v>3</v>
      </c>
      <c r="W271">
        <v>0</v>
      </c>
      <c r="AA271" s="25"/>
    </row>
    <row r="272" spans="1:27" x14ac:dyDescent="0.25">
      <c r="A272" t="s">
        <v>186</v>
      </c>
      <c r="B272">
        <v>2</v>
      </c>
      <c r="C272" s="25">
        <v>55.385631908700233</v>
      </c>
      <c r="D272" s="25"/>
      <c r="E272" s="25"/>
      <c r="F272" t="s">
        <v>74</v>
      </c>
      <c r="G272">
        <v>2</v>
      </c>
      <c r="H272">
        <v>10</v>
      </c>
      <c r="K272" t="s">
        <v>285</v>
      </c>
      <c r="L272">
        <v>4</v>
      </c>
      <c r="M272">
        <v>17.5</v>
      </c>
      <c r="P272" t="s">
        <v>233</v>
      </c>
      <c r="Q272">
        <v>3</v>
      </c>
      <c r="R272">
        <v>39.1051458983207</v>
      </c>
      <c r="U272" t="s">
        <v>192</v>
      </c>
      <c r="V272">
        <v>3</v>
      </c>
      <c r="W272">
        <v>0</v>
      </c>
      <c r="AA272" s="25"/>
    </row>
    <row r="273" spans="1:27" x14ac:dyDescent="0.25">
      <c r="A273" t="s">
        <v>270</v>
      </c>
      <c r="B273">
        <v>4</v>
      </c>
      <c r="C273" s="25">
        <v>55.385631908700233</v>
      </c>
      <c r="D273" s="25"/>
      <c r="E273" s="25"/>
      <c r="F273" t="s">
        <v>82</v>
      </c>
      <c r="G273">
        <v>3</v>
      </c>
      <c r="H273">
        <v>10</v>
      </c>
      <c r="K273" t="s">
        <v>326</v>
      </c>
      <c r="L273">
        <v>4</v>
      </c>
      <c r="M273">
        <v>17.5</v>
      </c>
      <c r="P273" t="s">
        <v>25</v>
      </c>
      <c r="Q273">
        <v>1</v>
      </c>
      <c r="R273">
        <v>39.089246509770952</v>
      </c>
      <c r="U273" t="s">
        <v>194</v>
      </c>
      <c r="V273">
        <v>2</v>
      </c>
      <c r="W273">
        <v>0</v>
      </c>
      <c r="AA273" s="25"/>
    </row>
    <row r="274" spans="1:27" x14ac:dyDescent="0.25">
      <c r="A274" t="s">
        <v>151</v>
      </c>
      <c r="B274">
        <v>2</v>
      </c>
      <c r="C274" s="25">
        <v>54.06692638706452</v>
      </c>
      <c r="D274" s="25"/>
      <c r="E274" s="25"/>
      <c r="F274" t="s">
        <v>94</v>
      </c>
      <c r="G274">
        <v>3</v>
      </c>
      <c r="H274">
        <v>10</v>
      </c>
      <c r="K274" t="s">
        <v>221</v>
      </c>
      <c r="L274">
        <v>4</v>
      </c>
      <c r="M274">
        <v>16.25</v>
      </c>
      <c r="P274" t="s">
        <v>76</v>
      </c>
      <c r="Q274">
        <v>2</v>
      </c>
      <c r="R274">
        <v>39.067921353835835</v>
      </c>
      <c r="U274" t="s">
        <v>207</v>
      </c>
      <c r="V274">
        <v>4</v>
      </c>
      <c r="W274">
        <v>0</v>
      </c>
      <c r="AA274" s="25"/>
    </row>
    <row r="275" spans="1:27" x14ac:dyDescent="0.25">
      <c r="A275" t="s">
        <v>154</v>
      </c>
      <c r="B275">
        <v>3</v>
      </c>
      <c r="C275" s="25">
        <v>54.06692638706452</v>
      </c>
      <c r="D275" s="25"/>
      <c r="E275" s="25"/>
      <c r="F275" t="s">
        <v>109</v>
      </c>
      <c r="G275">
        <v>3</v>
      </c>
      <c r="H275">
        <v>10</v>
      </c>
      <c r="K275" t="s">
        <v>276</v>
      </c>
      <c r="L275">
        <v>4</v>
      </c>
      <c r="M275">
        <v>16.25</v>
      </c>
      <c r="P275" t="s">
        <v>326</v>
      </c>
      <c r="Q275">
        <v>4</v>
      </c>
      <c r="R275">
        <v>39.060517076367468</v>
      </c>
      <c r="U275" t="s">
        <v>213</v>
      </c>
      <c r="V275">
        <v>3</v>
      </c>
      <c r="W275">
        <v>0</v>
      </c>
      <c r="AA275" s="25"/>
    </row>
    <row r="276" spans="1:27" x14ac:dyDescent="0.25">
      <c r="A276" t="s">
        <v>172</v>
      </c>
      <c r="B276">
        <v>3</v>
      </c>
      <c r="C276" s="25">
        <v>54.06692638706452</v>
      </c>
      <c r="D276" s="25"/>
      <c r="E276" s="25"/>
      <c r="F276" t="s">
        <v>132</v>
      </c>
      <c r="G276">
        <v>3</v>
      </c>
      <c r="H276">
        <v>10</v>
      </c>
      <c r="K276" t="s">
        <v>281</v>
      </c>
      <c r="L276">
        <v>4</v>
      </c>
      <c r="M276">
        <v>16.25</v>
      </c>
      <c r="P276" t="s">
        <v>288</v>
      </c>
      <c r="Q276">
        <v>4</v>
      </c>
      <c r="R276">
        <v>38.989896485186215</v>
      </c>
      <c r="U276" t="s">
        <v>222</v>
      </c>
      <c r="V276">
        <v>4</v>
      </c>
      <c r="W276">
        <v>0</v>
      </c>
      <c r="AA276" s="25"/>
    </row>
    <row r="277" spans="1:27" x14ac:dyDescent="0.25">
      <c r="A277" t="s">
        <v>231</v>
      </c>
      <c r="B277">
        <v>4</v>
      </c>
      <c r="C277" s="25">
        <v>54.06692638706452</v>
      </c>
      <c r="D277" s="25"/>
      <c r="E277" s="25"/>
      <c r="F277" t="s">
        <v>133</v>
      </c>
      <c r="G277">
        <v>3</v>
      </c>
      <c r="H277">
        <v>10</v>
      </c>
      <c r="K277" t="s">
        <v>293</v>
      </c>
      <c r="L277">
        <v>4</v>
      </c>
      <c r="M277">
        <v>16.25</v>
      </c>
      <c r="P277" t="s">
        <v>191</v>
      </c>
      <c r="Q277">
        <v>3</v>
      </c>
      <c r="R277">
        <v>38.934962545650457</v>
      </c>
      <c r="U277" t="s">
        <v>226</v>
      </c>
      <c r="V277">
        <v>3</v>
      </c>
      <c r="W277">
        <v>0</v>
      </c>
      <c r="AA277" s="25"/>
    </row>
    <row r="278" spans="1:27" x14ac:dyDescent="0.25">
      <c r="A278" t="s">
        <v>235</v>
      </c>
      <c r="B278">
        <v>4</v>
      </c>
      <c r="C278" s="25">
        <v>54.06692638706452</v>
      </c>
      <c r="D278" s="25"/>
      <c r="E278" s="25"/>
      <c r="F278" t="s">
        <v>140</v>
      </c>
      <c r="G278">
        <v>2</v>
      </c>
      <c r="H278">
        <v>10</v>
      </c>
      <c r="K278" t="s">
        <v>65</v>
      </c>
      <c r="L278">
        <v>1</v>
      </c>
      <c r="M278">
        <v>8.75</v>
      </c>
      <c r="P278" t="s">
        <v>279</v>
      </c>
      <c r="Q278">
        <v>4</v>
      </c>
      <c r="R278">
        <v>38.653847363111524</v>
      </c>
      <c r="U278" t="s">
        <v>229</v>
      </c>
      <c r="V278">
        <v>4</v>
      </c>
      <c r="W278">
        <v>0</v>
      </c>
      <c r="AA278" s="25"/>
    </row>
    <row r="279" spans="1:27" x14ac:dyDescent="0.25">
      <c r="A279" t="s">
        <v>276</v>
      </c>
      <c r="B279">
        <v>4</v>
      </c>
      <c r="C279" s="25">
        <v>54.06692638706452</v>
      </c>
      <c r="D279" s="25"/>
      <c r="E279" s="25"/>
      <c r="F279" t="s">
        <v>164</v>
      </c>
      <c r="G279">
        <v>2</v>
      </c>
      <c r="H279">
        <v>10</v>
      </c>
      <c r="K279" t="s">
        <v>77</v>
      </c>
      <c r="L279">
        <v>3</v>
      </c>
      <c r="M279">
        <v>8.75</v>
      </c>
      <c r="P279" t="s">
        <v>203</v>
      </c>
      <c r="Q279">
        <v>4</v>
      </c>
      <c r="R279">
        <v>38.486915403016468</v>
      </c>
      <c r="U279" t="s">
        <v>237</v>
      </c>
      <c r="V279">
        <v>3</v>
      </c>
      <c r="W279">
        <v>0</v>
      </c>
      <c r="AA279" s="25"/>
    </row>
    <row r="280" spans="1:27" x14ac:dyDescent="0.25">
      <c r="A280" t="s">
        <v>288</v>
      </c>
      <c r="B280">
        <v>4</v>
      </c>
      <c r="C280" s="25">
        <v>54.06692638706452</v>
      </c>
      <c r="D280" s="25"/>
      <c r="E280" s="25"/>
      <c r="F280" t="s">
        <v>192</v>
      </c>
      <c r="G280">
        <v>3</v>
      </c>
      <c r="H280">
        <v>10</v>
      </c>
      <c r="K280" t="s">
        <v>94</v>
      </c>
      <c r="L280">
        <v>3</v>
      </c>
      <c r="M280">
        <v>8.75</v>
      </c>
      <c r="P280" t="s">
        <v>48</v>
      </c>
      <c r="Q280">
        <v>1</v>
      </c>
      <c r="R280">
        <v>38.127816618432725</v>
      </c>
      <c r="U280" t="s">
        <v>239</v>
      </c>
      <c r="V280">
        <v>4</v>
      </c>
      <c r="W280">
        <v>0</v>
      </c>
      <c r="AA280" s="25"/>
    </row>
    <row r="281" spans="1:27" x14ac:dyDescent="0.25">
      <c r="A281" t="s">
        <v>225</v>
      </c>
      <c r="B281">
        <v>4</v>
      </c>
      <c r="C281" s="25">
        <v>51.429515343793078</v>
      </c>
      <c r="D281" s="25"/>
      <c r="E281" s="25"/>
      <c r="F281" t="s">
        <v>194</v>
      </c>
      <c r="G281">
        <v>2</v>
      </c>
      <c r="H281">
        <v>10</v>
      </c>
      <c r="K281" t="s">
        <v>130</v>
      </c>
      <c r="L281">
        <v>3</v>
      </c>
      <c r="M281">
        <v>8.75</v>
      </c>
      <c r="P281" t="s">
        <v>152</v>
      </c>
      <c r="Q281">
        <v>3</v>
      </c>
      <c r="R281">
        <v>37.700908198830611</v>
      </c>
      <c r="U281" t="s">
        <v>241</v>
      </c>
      <c r="V281">
        <v>4</v>
      </c>
      <c r="W281">
        <v>0</v>
      </c>
      <c r="AA281" s="25"/>
    </row>
    <row r="282" spans="1:27" x14ac:dyDescent="0.25">
      <c r="A282" t="s">
        <v>287</v>
      </c>
      <c r="B282">
        <v>3</v>
      </c>
      <c r="C282" s="25">
        <v>50.110809822157357</v>
      </c>
      <c r="D282" s="25"/>
      <c r="E282" s="25"/>
      <c r="F282" t="s">
        <v>213</v>
      </c>
      <c r="G282">
        <v>3</v>
      </c>
      <c r="H282">
        <v>10</v>
      </c>
      <c r="K282" t="s">
        <v>142</v>
      </c>
      <c r="L282">
        <v>3</v>
      </c>
      <c r="M282">
        <v>8.75</v>
      </c>
      <c r="P282" t="s">
        <v>290</v>
      </c>
      <c r="Q282">
        <v>4</v>
      </c>
      <c r="R282">
        <v>37.085217317894539</v>
      </c>
      <c r="U282" t="s">
        <v>243</v>
      </c>
      <c r="V282">
        <v>4</v>
      </c>
      <c r="W282">
        <v>0</v>
      </c>
      <c r="AA282" s="25"/>
    </row>
    <row r="283" spans="1:27" x14ac:dyDescent="0.25">
      <c r="A283" t="s">
        <v>291</v>
      </c>
      <c r="B283">
        <v>4</v>
      </c>
      <c r="C283" s="25">
        <v>47.473398778885915</v>
      </c>
      <c r="D283" s="25"/>
      <c r="E283" s="25"/>
      <c r="F283" t="s">
        <v>221</v>
      </c>
      <c r="G283">
        <v>4</v>
      </c>
      <c r="H283">
        <v>10</v>
      </c>
      <c r="K283" t="s">
        <v>144</v>
      </c>
      <c r="L283">
        <v>3</v>
      </c>
      <c r="M283">
        <v>8.75</v>
      </c>
      <c r="P283" t="s">
        <v>216</v>
      </c>
      <c r="Q283">
        <v>2</v>
      </c>
      <c r="R283">
        <v>37.076580959701538</v>
      </c>
      <c r="U283" t="s">
        <v>247</v>
      </c>
      <c r="V283">
        <v>4</v>
      </c>
      <c r="W283">
        <v>0</v>
      </c>
      <c r="AA283" s="25"/>
    </row>
    <row r="284" spans="1:27" x14ac:dyDescent="0.25">
      <c r="A284" t="s">
        <v>263</v>
      </c>
      <c r="B284">
        <v>4</v>
      </c>
      <c r="C284" s="25">
        <v>46.154693257250194</v>
      </c>
      <c r="D284" s="25"/>
      <c r="E284" s="25"/>
      <c r="F284" t="s">
        <v>234</v>
      </c>
      <c r="G284">
        <v>3</v>
      </c>
      <c r="H284">
        <v>10</v>
      </c>
      <c r="K284" t="s">
        <v>164</v>
      </c>
      <c r="L284">
        <v>2</v>
      </c>
      <c r="M284">
        <v>8.75</v>
      </c>
      <c r="P284" t="s">
        <v>324</v>
      </c>
      <c r="Q284">
        <v>3</v>
      </c>
      <c r="R284">
        <v>36.627928509721819</v>
      </c>
      <c r="U284" t="s">
        <v>249</v>
      </c>
      <c r="V284">
        <v>3</v>
      </c>
      <c r="W284">
        <v>0</v>
      </c>
      <c r="AA284" s="25"/>
    </row>
    <row r="285" spans="1:27" x14ac:dyDescent="0.25">
      <c r="A285" t="s">
        <v>237</v>
      </c>
      <c r="B285">
        <v>3</v>
      </c>
      <c r="C285" s="25">
        <v>44.835987735614474</v>
      </c>
      <c r="D285" s="25"/>
      <c r="E285" s="25"/>
      <c r="F285" t="s">
        <v>241</v>
      </c>
      <c r="G285">
        <v>4</v>
      </c>
      <c r="H285">
        <v>10</v>
      </c>
      <c r="K285" t="s">
        <v>192</v>
      </c>
      <c r="L285">
        <v>3</v>
      </c>
      <c r="M285">
        <v>8.75</v>
      </c>
      <c r="P285" t="s">
        <v>299</v>
      </c>
      <c r="Q285">
        <v>4</v>
      </c>
      <c r="R285">
        <v>36.540190429448849</v>
      </c>
      <c r="U285" t="s">
        <v>250</v>
      </c>
      <c r="V285">
        <v>4</v>
      </c>
      <c r="W285">
        <v>0</v>
      </c>
      <c r="AA285" s="25"/>
    </row>
    <row r="286" spans="1:27" x14ac:dyDescent="0.25">
      <c r="A286" t="s">
        <v>325</v>
      </c>
      <c r="B286">
        <v>4</v>
      </c>
      <c r="C286" s="25">
        <v>42.198576692343039</v>
      </c>
      <c r="D286" s="25"/>
      <c r="E286" s="25"/>
      <c r="F286" t="s">
        <v>244</v>
      </c>
      <c r="G286">
        <v>3</v>
      </c>
      <c r="H286">
        <v>10</v>
      </c>
      <c r="K286" t="s">
        <v>194</v>
      </c>
      <c r="L286">
        <v>2</v>
      </c>
      <c r="M286">
        <v>8.75</v>
      </c>
      <c r="P286" t="s">
        <v>261</v>
      </c>
      <c r="Q286">
        <v>4</v>
      </c>
      <c r="R286">
        <v>36.325684484841382</v>
      </c>
      <c r="U286" t="s">
        <v>253</v>
      </c>
      <c r="V286">
        <v>4</v>
      </c>
      <c r="W286">
        <v>0</v>
      </c>
      <c r="AA286" s="25"/>
    </row>
    <row r="287" spans="1:27" x14ac:dyDescent="0.25">
      <c r="A287" t="s">
        <v>80</v>
      </c>
      <c r="B287">
        <v>2</v>
      </c>
      <c r="C287" s="25">
        <v>36.923754605800156</v>
      </c>
      <c r="D287" s="25"/>
      <c r="E287" s="25"/>
      <c r="F287" t="s">
        <v>256</v>
      </c>
      <c r="G287">
        <v>4</v>
      </c>
      <c r="H287">
        <v>10</v>
      </c>
      <c r="K287" t="s">
        <v>200</v>
      </c>
      <c r="L287">
        <v>2</v>
      </c>
      <c r="M287">
        <v>8.75</v>
      </c>
      <c r="P287" t="s">
        <v>293</v>
      </c>
      <c r="Q287">
        <v>4</v>
      </c>
      <c r="R287">
        <v>34.580893154576167</v>
      </c>
      <c r="U287" t="s">
        <v>264</v>
      </c>
      <c r="V287">
        <v>4</v>
      </c>
      <c r="W287">
        <v>0</v>
      </c>
      <c r="AA287" s="25"/>
    </row>
    <row r="288" spans="1:27" x14ac:dyDescent="0.25">
      <c r="A288" t="s">
        <v>317</v>
      </c>
      <c r="B288">
        <v>4</v>
      </c>
      <c r="C288" s="25">
        <v>32.967638040893</v>
      </c>
      <c r="D288" s="25"/>
      <c r="E288" s="25"/>
      <c r="F288" t="s">
        <v>257</v>
      </c>
      <c r="G288">
        <v>4</v>
      </c>
      <c r="H288">
        <v>10</v>
      </c>
      <c r="K288" t="s">
        <v>207</v>
      </c>
      <c r="L288">
        <v>4</v>
      </c>
      <c r="M288">
        <v>8.75</v>
      </c>
      <c r="P288" t="s">
        <v>84</v>
      </c>
      <c r="Q288">
        <v>2</v>
      </c>
      <c r="R288">
        <v>34.051396211509442</v>
      </c>
      <c r="U288" t="s">
        <v>271</v>
      </c>
      <c r="V288">
        <v>4</v>
      </c>
      <c r="W288">
        <v>0</v>
      </c>
      <c r="AA288" s="25"/>
    </row>
    <row r="289" spans="1:27" x14ac:dyDescent="0.25">
      <c r="A289" t="s">
        <v>295</v>
      </c>
      <c r="B289">
        <v>4</v>
      </c>
      <c r="C289" s="25">
        <v>32.967638040893</v>
      </c>
      <c r="D289" s="25"/>
      <c r="E289" s="25"/>
      <c r="F289" t="s">
        <v>259</v>
      </c>
      <c r="G289">
        <v>3</v>
      </c>
      <c r="H289">
        <v>10</v>
      </c>
      <c r="K289" t="s">
        <v>219</v>
      </c>
      <c r="L289">
        <v>4</v>
      </c>
      <c r="M289">
        <v>8.75</v>
      </c>
      <c r="P289" t="s">
        <v>264</v>
      </c>
      <c r="Q289">
        <v>4</v>
      </c>
      <c r="R289">
        <v>33.723818097909962</v>
      </c>
      <c r="U289" t="s">
        <v>281</v>
      </c>
      <c r="V289">
        <v>4</v>
      </c>
      <c r="W289">
        <v>0</v>
      </c>
      <c r="AA289" s="25"/>
    </row>
    <row r="290" spans="1:27" x14ac:dyDescent="0.25">
      <c r="A290" t="s">
        <v>133</v>
      </c>
      <c r="B290">
        <v>3</v>
      </c>
      <c r="C290" s="25">
        <v>31.648932519257279</v>
      </c>
      <c r="D290" s="25"/>
      <c r="E290" s="25"/>
      <c r="F290" t="s">
        <v>281</v>
      </c>
      <c r="G290">
        <v>4</v>
      </c>
      <c r="H290">
        <v>10</v>
      </c>
      <c r="K290" t="s">
        <v>237</v>
      </c>
      <c r="L290">
        <v>3</v>
      </c>
      <c r="M290">
        <v>8.75</v>
      </c>
      <c r="P290" t="s">
        <v>289</v>
      </c>
      <c r="Q290">
        <v>4</v>
      </c>
      <c r="R290">
        <v>33.390705834137805</v>
      </c>
      <c r="U290" t="s">
        <v>283</v>
      </c>
      <c r="V290">
        <v>4</v>
      </c>
      <c r="W290">
        <v>0</v>
      </c>
      <c r="AA290" s="25"/>
    </row>
    <row r="291" spans="1:27" x14ac:dyDescent="0.25">
      <c r="A291" t="s">
        <v>100</v>
      </c>
      <c r="B291">
        <v>3</v>
      </c>
      <c r="C291" s="25">
        <v>27.692815954350117</v>
      </c>
      <c r="D291" s="25"/>
      <c r="E291" s="25"/>
      <c r="F291" t="s">
        <v>293</v>
      </c>
      <c r="G291">
        <v>4</v>
      </c>
      <c r="H291">
        <v>10</v>
      </c>
      <c r="K291" t="s">
        <v>241</v>
      </c>
      <c r="L291">
        <v>4</v>
      </c>
      <c r="M291">
        <v>8.75</v>
      </c>
      <c r="P291" t="s">
        <v>27</v>
      </c>
      <c r="Q291">
        <v>1</v>
      </c>
      <c r="R291">
        <v>33.140431594894487</v>
      </c>
      <c r="U291" t="s">
        <v>284</v>
      </c>
      <c r="V291">
        <v>4</v>
      </c>
      <c r="W291">
        <v>0</v>
      </c>
      <c r="AA291" s="25"/>
    </row>
    <row r="292" spans="1:27" x14ac:dyDescent="0.25">
      <c r="A292" s="2" t="s">
        <v>312</v>
      </c>
      <c r="B292" s="2">
        <v>2</v>
      </c>
      <c r="C292" s="25">
        <v>27.692815954350117</v>
      </c>
      <c r="D292" s="25"/>
      <c r="E292" s="25"/>
      <c r="F292" t="s">
        <v>65</v>
      </c>
      <c r="G292">
        <v>1</v>
      </c>
      <c r="H292">
        <v>6.25</v>
      </c>
      <c r="K292" t="s">
        <v>243</v>
      </c>
      <c r="L292">
        <v>4</v>
      </c>
      <c r="M292">
        <v>8.75</v>
      </c>
      <c r="P292" t="s">
        <v>281</v>
      </c>
      <c r="Q292">
        <v>4</v>
      </c>
      <c r="R292">
        <v>32.276799986722189</v>
      </c>
      <c r="U292" t="s">
        <v>285</v>
      </c>
      <c r="V292">
        <v>4</v>
      </c>
      <c r="W292">
        <v>0</v>
      </c>
      <c r="AA292" s="25"/>
    </row>
    <row r="293" spans="1:27" x14ac:dyDescent="0.25">
      <c r="A293" t="s">
        <v>250</v>
      </c>
      <c r="B293">
        <v>4</v>
      </c>
      <c r="C293" s="25">
        <v>27.692815954350117</v>
      </c>
      <c r="D293" s="25"/>
      <c r="E293" s="25"/>
      <c r="F293" t="s">
        <v>155</v>
      </c>
      <c r="G293">
        <v>4</v>
      </c>
      <c r="H293">
        <v>6.25</v>
      </c>
      <c r="K293" t="s">
        <v>256</v>
      </c>
      <c r="L293">
        <v>4</v>
      </c>
      <c r="M293">
        <v>8.75</v>
      </c>
      <c r="P293" t="s">
        <v>249</v>
      </c>
      <c r="Q293">
        <v>3</v>
      </c>
      <c r="R293">
        <v>31.34839213957294</v>
      </c>
      <c r="U293" t="s">
        <v>286</v>
      </c>
      <c r="V293">
        <v>4</v>
      </c>
      <c r="W293">
        <v>0</v>
      </c>
      <c r="AA293" s="25"/>
    </row>
    <row r="294" spans="1:27" x14ac:dyDescent="0.25">
      <c r="A294" t="s">
        <v>63</v>
      </c>
      <c r="B294">
        <v>2</v>
      </c>
      <c r="C294" s="25">
        <v>22.417993867807237</v>
      </c>
      <c r="D294" s="25"/>
      <c r="E294" s="25"/>
      <c r="F294" t="s">
        <v>207</v>
      </c>
      <c r="G294">
        <v>4</v>
      </c>
      <c r="H294">
        <v>6.25</v>
      </c>
      <c r="K294" t="s">
        <v>259</v>
      </c>
      <c r="L294">
        <v>3</v>
      </c>
      <c r="M294">
        <v>8.75</v>
      </c>
      <c r="P294" t="s">
        <v>26</v>
      </c>
      <c r="Q294">
        <v>1</v>
      </c>
      <c r="R294">
        <v>31.157836350401936</v>
      </c>
      <c r="U294" t="s">
        <v>291</v>
      </c>
      <c r="V294">
        <v>4</v>
      </c>
      <c r="W294">
        <v>0</v>
      </c>
      <c r="AA294" s="25"/>
    </row>
    <row r="295" spans="1:27" x14ac:dyDescent="0.25">
      <c r="A295" t="s">
        <v>318</v>
      </c>
      <c r="B295">
        <v>3</v>
      </c>
      <c r="C295" s="25">
        <v>21.099288346171519</v>
      </c>
      <c r="D295" s="25"/>
      <c r="E295" s="25"/>
      <c r="F295" t="s">
        <v>219</v>
      </c>
      <c r="G295">
        <v>4</v>
      </c>
      <c r="H295">
        <v>6.25</v>
      </c>
      <c r="K295" t="s">
        <v>295</v>
      </c>
      <c r="L295">
        <v>4</v>
      </c>
      <c r="M295">
        <v>8.75</v>
      </c>
      <c r="P295" t="s">
        <v>321</v>
      </c>
      <c r="Q295">
        <v>3</v>
      </c>
      <c r="R295">
        <v>28.894965959327919</v>
      </c>
      <c r="U295" t="s">
        <v>292</v>
      </c>
      <c r="V295">
        <v>4</v>
      </c>
      <c r="W295">
        <v>0</v>
      </c>
      <c r="AA295" s="25"/>
    </row>
    <row r="296" spans="1:27" x14ac:dyDescent="0.25">
      <c r="A296" t="s">
        <v>223</v>
      </c>
      <c r="B296">
        <v>3</v>
      </c>
      <c r="C296" s="25">
        <v>14.505760737992919</v>
      </c>
      <c r="D296" s="25"/>
      <c r="E296" s="25"/>
      <c r="F296" t="s">
        <v>295</v>
      </c>
      <c r="G296">
        <v>4</v>
      </c>
      <c r="H296">
        <v>6.25</v>
      </c>
      <c r="K296" t="s">
        <v>296</v>
      </c>
      <c r="L296">
        <v>4</v>
      </c>
      <c r="M296">
        <v>8.75</v>
      </c>
      <c r="P296" t="s">
        <v>296</v>
      </c>
      <c r="Q296">
        <v>4</v>
      </c>
      <c r="R296">
        <v>26.252826937071664</v>
      </c>
      <c r="U296" t="s">
        <v>296</v>
      </c>
      <c r="V296">
        <v>4</v>
      </c>
      <c r="W296">
        <v>0</v>
      </c>
      <c r="AA296" s="25"/>
    </row>
    <row r="297" spans="1:27" x14ac:dyDescent="0.25">
      <c r="A297" t="s">
        <v>74</v>
      </c>
      <c r="B297">
        <v>2</v>
      </c>
      <c r="C297" s="25">
        <v>13.1870552163572</v>
      </c>
      <c r="D297" s="25"/>
      <c r="E297" s="25"/>
      <c r="F297" t="s">
        <v>243</v>
      </c>
      <c r="G297">
        <v>4</v>
      </c>
      <c r="H297">
        <v>5</v>
      </c>
      <c r="K297" t="s">
        <v>299</v>
      </c>
      <c r="L297">
        <v>4</v>
      </c>
      <c r="M297">
        <v>8.75</v>
      </c>
      <c r="P297" t="s">
        <v>325</v>
      </c>
      <c r="Q297">
        <v>4</v>
      </c>
      <c r="R297">
        <v>12.979397868008729</v>
      </c>
      <c r="U297" t="s">
        <v>299</v>
      </c>
      <c r="V297">
        <v>4</v>
      </c>
      <c r="W297">
        <v>0</v>
      </c>
      <c r="AA297" s="25"/>
    </row>
  </sheetData>
  <sortState xmlns:xlrd2="http://schemas.microsoft.com/office/spreadsheetml/2017/richdata2" ref="A2:C297">
    <sortCondition descending="1" ref="C2:C297"/>
  </sortState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2F8F4-901A-49CB-A9D1-FB787AA6F45C}">
  <dimension ref="A1:AV1048575"/>
  <sheetViews>
    <sheetView workbookViewId="0">
      <selection activeCell="AV17" sqref="AV17"/>
    </sheetView>
  </sheetViews>
  <sheetFormatPr defaultRowHeight="14.4" x14ac:dyDescent="0.25"/>
  <cols>
    <col min="1" max="1" width="11" style="41" customWidth="1"/>
    <col min="2" max="2" width="9" style="41"/>
    <col min="3" max="3" width="11.44140625" style="42" customWidth="1"/>
    <col min="4" max="4" width="12.33203125" style="41" customWidth="1"/>
    <col min="5" max="5" width="9" style="41"/>
    <col min="6" max="6" width="9" style="42"/>
    <col min="7" max="7" width="10.44140625" style="41" customWidth="1"/>
    <col min="8" max="8" width="11.6640625" style="41" customWidth="1"/>
    <col min="9" max="11" width="9" style="41"/>
    <col min="15" max="15" width="11" style="41" customWidth="1"/>
    <col min="16" max="18" width="9" style="41"/>
    <col min="29" max="29" width="11" style="41" customWidth="1"/>
    <col min="30" max="30" width="3.6640625" style="41" customWidth="1"/>
    <col min="31" max="32" width="9.33203125" style="41" customWidth="1"/>
    <col min="33" max="33" width="9.33203125" style="42" customWidth="1"/>
    <col min="34" max="35" width="9.33203125" style="41" customWidth="1"/>
    <col min="36" max="36" width="9.44140625" style="41" customWidth="1"/>
    <col min="37" max="37" width="6.77734375" style="41" customWidth="1"/>
    <col min="47" max="47" width="9" style="68"/>
    <col min="48" max="48" width="14" style="68" customWidth="1"/>
  </cols>
  <sheetData>
    <row r="1" spans="1:48" ht="14.25" customHeight="1" x14ac:dyDescent="0.25">
      <c r="A1" s="109" t="s">
        <v>388</v>
      </c>
      <c r="B1" s="119" t="s">
        <v>389</v>
      </c>
      <c r="C1" s="119"/>
      <c r="D1" s="119"/>
      <c r="E1" s="119"/>
      <c r="F1" s="119"/>
      <c r="G1" s="119"/>
      <c r="H1" s="119"/>
      <c r="I1" s="119"/>
      <c r="J1" s="110" t="s">
        <v>390</v>
      </c>
      <c r="K1" s="110" t="s">
        <v>391</v>
      </c>
      <c r="O1" s="58" t="s">
        <v>388</v>
      </c>
      <c r="P1" s="43" t="s">
        <v>327</v>
      </c>
      <c r="Q1" s="44" t="s">
        <v>390</v>
      </c>
      <c r="R1" s="53" t="s">
        <v>436</v>
      </c>
      <c r="AC1" s="109" t="s">
        <v>388</v>
      </c>
      <c r="AD1" s="116" t="s">
        <v>327</v>
      </c>
      <c r="AE1" s="113" t="s">
        <v>428</v>
      </c>
      <c r="AF1" s="114"/>
      <c r="AG1" s="114"/>
      <c r="AH1" s="114"/>
      <c r="AI1" s="115"/>
      <c r="AJ1" s="110" t="s">
        <v>390</v>
      </c>
      <c r="AK1" s="109" t="s">
        <v>429</v>
      </c>
      <c r="AU1" s="66"/>
      <c r="AV1" s="67"/>
    </row>
    <row r="2" spans="1:48" ht="15" customHeight="1" x14ac:dyDescent="0.25">
      <c r="A2" s="109"/>
      <c r="B2" s="120" t="s">
        <v>327</v>
      </c>
      <c r="C2" s="119" t="s">
        <v>392</v>
      </c>
      <c r="D2" s="119"/>
      <c r="E2" s="109" t="s">
        <v>393</v>
      </c>
      <c r="F2" s="109" t="s">
        <v>394</v>
      </c>
      <c r="G2" s="119" t="s">
        <v>395</v>
      </c>
      <c r="H2" s="119"/>
      <c r="I2" s="109" t="s">
        <v>396</v>
      </c>
      <c r="J2" s="110"/>
      <c r="K2" s="110"/>
      <c r="M2" s="41"/>
      <c r="N2" s="41"/>
      <c r="O2" s="59" t="s">
        <v>24</v>
      </c>
      <c r="P2" s="38">
        <v>1</v>
      </c>
      <c r="Q2" s="40">
        <v>77.236588530681047</v>
      </c>
      <c r="R2" s="55">
        <v>1</v>
      </c>
      <c r="S2">
        <f>(77.24-26.38)/4</f>
        <v>12.715</v>
      </c>
      <c r="T2" s="45">
        <f>S2+26.38</f>
        <v>39.094999999999999</v>
      </c>
      <c r="U2" t="s">
        <v>399</v>
      </c>
      <c r="AC2" s="109"/>
      <c r="AD2" s="117"/>
      <c r="AE2" s="111" t="s">
        <v>392</v>
      </c>
      <c r="AF2" s="109" t="s">
        <v>425</v>
      </c>
      <c r="AG2" s="109" t="s">
        <v>426</v>
      </c>
      <c r="AH2" s="111" t="s">
        <v>427</v>
      </c>
      <c r="AI2" s="109" t="s">
        <v>424</v>
      </c>
      <c r="AJ2" s="110"/>
      <c r="AK2" s="110"/>
      <c r="AV2" s="69"/>
    </row>
    <row r="3" spans="1:48" x14ac:dyDescent="0.25">
      <c r="A3" s="109"/>
      <c r="B3" s="120"/>
      <c r="C3" s="37" t="s">
        <v>397</v>
      </c>
      <c r="D3" s="37" t="s">
        <v>398</v>
      </c>
      <c r="E3" s="110"/>
      <c r="F3" s="110"/>
      <c r="G3" s="37" t="s">
        <v>397</v>
      </c>
      <c r="H3" s="37" t="s">
        <v>398</v>
      </c>
      <c r="I3" s="110"/>
      <c r="J3" s="110"/>
      <c r="K3" s="110"/>
      <c r="M3" s="41"/>
      <c r="N3" s="41"/>
      <c r="O3" s="59" t="s">
        <v>33</v>
      </c>
      <c r="P3" s="38">
        <v>1</v>
      </c>
      <c r="Q3" s="40">
        <v>70.030853457936757</v>
      </c>
      <c r="R3" s="55">
        <v>1</v>
      </c>
      <c r="T3" s="45">
        <f>T2+S2</f>
        <v>51.81</v>
      </c>
      <c r="U3" t="s">
        <v>400</v>
      </c>
      <c r="AC3" s="109"/>
      <c r="AD3" s="118"/>
      <c r="AE3" s="112"/>
      <c r="AF3" s="110"/>
      <c r="AG3" s="110"/>
      <c r="AH3" s="112"/>
      <c r="AI3" s="110"/>
      <c r="AJ3" s="110"/>
      <c r="AK3" s="110"/>
      <c r="AV3" s="69"/>
    </row>
    <row r="4" spans="1:48" x14ac:dyDescent="0.25">
      <c r="A4" s="38" t="s">
        <v>24</v>
      </c>
      <c r="B4" s="38">
        <v>1</v>
      </c>
      <c r="C4" s="39">
        <v>87.5</v>
      </c>
      <c r="D4" s="40">
        <v>84.290819300973666</v>
      </c>
      <c r="E4" s="40">
        <v>95</v>
      </c>
      <c r="F4" s="39">
        <v>91.25</v>
      </c>
      <c r="G4" s="40">
        <v>60.995659898746432</v>
      </c>
      <c r="H4" s="40">
        <v>58.758561676215791</v>
      </c>
      <c r="I4" s="40">
        <v>87.5</v>
      </c>
      <c r="J4" s="40">
        <v>77.236588530681047</v>
      </c>
      <c r="K4" s="38">
        <v>1</v>
      </c>
      <c r="M4" s="41"/>
      <c r="N4" s="41"/>
      <c r="O4" s="59" t="s">
        <v>23</v>
      </c>
      <c r="P4" s="38">
        <v>1</v>
      </c>
      <c r="Q4" s="40">
        <v>68.777126609044416</v>
      </c>
      <c r="R4" s="55">
        <v>1</v>
      </c>
      <c r="T4" s="45">
        <f>T3+S2</f>
        <v>64.525000000000006</v>
      </c>
      <c r="U4" t="s">
        <v>401</v>
      </c>
      <c r="AC4" s="38" t="s">
        <v>24</v>
      </c>
      <c r="AD4" s="38">
        <v>1</v>
      </c>
      <c r="AE4" s="40">
        <v>84.290819300973666</v>
      </c>
      <c r="AF4" s="40">
        <v>95</v>
      </c>
      <c r="AG4" s="39">
        <v>91.25</v>
      </c>
      <c r="AH4" s="40">
        <v>58.758561676215791</v>
      </c>
      <c r="AI4" s="40">
        <v>87.5</v>
      </c>
      <c r="AJ4" s="40">
        <v>77.236588530681047</v>
      </c>
      <c r="AK4" s="38">
        <v>1</v>
      </c>
      <c r="AM4" s="41"/>
      <c r="AN4" s="48"/>
      <c r="AV4" s="69"/>
    </row>
    <row r="5" spans="1:48" x14ac:dyDescent="0.25">
      <c r="A5" s="38" t="s">
        <v>33</v>
      </c>
      <c r="B5" s="38">
        <v>1</v>
      </c>
      <c r="C5" s="39">
        <v>82.5</v>
      </c>
      <c r="D5" s="40">
        <v>80.796403498733625</v>
      </c>
      <c r="E5" s="40">
        <v>88.75</v>
      </c>
      <c r="F5" s="39">
        <v>83.75</v>
      </c>
      <c r="G5" s="40">
        <v>51.683682076791229</v>
      </c>
      <c r="H5" s="40">
        <v>50.616431895475046</v>
      </c>
      <c r="I5" s="40">
        <v>75</v>
      </c>
      <c r="J5" s="40">
        <v>70.030853457936757</v>
      </c>
      <c r="K5" s="38">
        <v>2</v>
      </c>
      <c r="M5" s="41"/>
      <c r="N5" s="41"/>
      <c r="O5" s="59" t="s">
        <v>69</v>
      </c>
      <c r="P5" s="38">
        <v>3</v>
      </c>
      <c r="Q5" s="40">
        <v>68.663131020881764</v>
      </c>
      <c r="R5" s="55">
        <v>1</v>
      </c>
      <c r="T5" s="45">
        <f>T4+S2</f>
        <v>77.240000000000009</v>
      </c>
      <c r="U5" t="s">
        <v>402</v>
      </c>
      <c r="AC5" s="38" t="s">
        <v>33</v>
      </c>
      <c r="AD5" s="38">
        <v>1</v>
      </c>
      <c r="AE5" s="40">
        <v>80.796403498733625</v>
      </c>
      <c r="AF5" s="40">
        <v>88.75</v>
      </c>
      <c r="AG5" s="39">
        <v>83.75</v>
      </c>
      <c r="AH5" s="40">
        <v>50.616431895475046</v>
      </c>
      <c r="AI5" s="40">
        <v>75</v>
      </c>
      <c r="AJ5" s="40">
        <v>70.030853457936757</v>
      </c>
      <c r="AK5" s="38">
        <v>2</v>
      </c>
      <c r="AM5" s="41"/>
      <c r="AN5" s="48"/>
      <c r="AV5" s="69"/>
    </row>
    <row r="6" spans="1:48" x14ac:dyDescent="0.25">
      <c r="A6" s="38" t="s">
        <v>23</v>
      </c>
      <c r="B6" s="38">
        <v>1</v>
      </c>
      <c r="C6" s="39">
        <v>88.75</v>
      </c>
      <c r="D6" s="40">
        <v>85.49497386241616</v>
      </c>
      <c r="E6" s="40">
        <v>87.5</v>
      </c>
      <c r="F6" s="39">
        <v>82.5</v>
      </c>
      <c r="G6" s="40">
        <v>54.31230681126948</v>
      </c>
      <c r="H6" s="40">
        <v>52.320329591402938</v>
      </c>
      <c r="I6" s="40">
        <v>50</v>
      </c>
      <c r="J6" s="40">
        <v>68.777126609044416</v>
      </c>
      <c r="K6" s="38">
        <v>3</v>
      </c>
      <c r="M6" s="41"/>
      <c r="N6" s="41"/>
      <c r="O6" s="59" t="s">
        <v>45</v>
      </c>
      <c r="P6" s="38">
        <v>2</v>
      </c>
      <c r="Q6" s="40">
        <v>68.116780975721156</v>
      </c>
      <c r="R6" s="55">
        <v>1</v>
      </c>
      <c r="AC6" s="38" t="s">
        <v>23</v>
      </c>
      <c r="AD6" s="38">
        <v>1</v>
      </c>
      <c r="AE6" s="40">
        <v>85.49497386241616</v>
      </c>
      <c r="AF6" s="40">
        <v>87.5</v>
      </c>
      <c r="AG6" s="39">
        <v>82.5</v>
      </c>
      <c r="AH6" s="40">
        <v>52.320329591402938</v>
      </c>
      <c r="AI6" s="40">
        <v>50</v>
      </c>
      <c r="AJ6" s="40">
        <v>68.777126609044416</v>
      </c>
      <c r="AK6" s="38">
        <v>3</v>
      </c>
      <c r="AM6" s="41"/>
      <c r="AN6" s="48"/>
      <c r="AV6" s="69"/>
    </row>
    <row r="7" spans="1:48" ht="15" thickBot="1" x14ac:dyDescent="0.3">
      <c r="A7" s="38" t="s">
        <v>69</v>
      </c>
      <c r="B7" s="38">
        <v>3</v>
      </c>
      <c r="C7" s="39">
        <v>93.75</v>
      </c>
      <c r="D7" s="40">
        <v>98.902914122678993</v>
      </c>
      <c r="E7" s="40">
        <v>63.75</v>
      </c>
      <c r="F7" s="39">
        <v>83.75</v>
      </c>
      <c r="G7" s="40">
        <v>50.967473033867797</v>
      </c>
      <c r="H7" s="40">
        <v>53.768870490864899</v>
      </c>
      <c r="I7" s="40">
        <v>62.5</v>
      </c>
      <c r="J7" s="40">
        <v>68.663131020881764</v>
      </c>
      <c r="K7" s="38">
        <v>4</v>
      </c>
      <c r="M7" s="41"/>
      <c r="N7" s="41"/>
      <c r="O7" s="59" t="s">
        <v>162</v>
      </c>
      <c r="P7" s="38">
        <v>3</v>
      </c>
      <c r="Q7" s="40">
        <v>67.230492493977991</v>
      </c>
      <c r="R7" s="55">
        <v>1</v>
      </c>
      <c r="AC7" s="38" t="s">
        <v>69</v>
      </c>
      <c r="AD7" s="38">
        <v>3</v>
      </c>
      <c r="AE7" s="40">
        <v>98.902914122678993</v>
      </c>
      <c r="AF7" s="40">
        <v>63.75</v>
      </c>
      <c r="AG7" s="39">
        <v>83.75</v>
      </c>
      <c r="AH7" s="40">
        <v>53.768870490864899</v>
      </c>
      <c r="AI7" s="40">
        <v>62.5</v>
      </c>
      <c r="AJ7" s="40">
        <v>68.663131020881764</v>
      </c>
      <c r="AK7" s="38">
        <v>4</v>
      </c>
      <c r="AM7" s="41"/>
      <c r="AN7" s="48"/>
      <c r="AV7" s="69"/>
    </row>
    <row r="8" spans="1:48" ht="15" thickTop="1" x14ac:dyDescent="0.25">
      <c r="A8" s="38" t="s">
        <v>45</v>
      </c>
      <c r="B8" s="38">
        <v>2</v>
      </c>
      <c r="C8" s="39">
        <v>100</v>
      </c>
      <c r="D8" s="40">
        <v>102.40521381646617</v>
      </c>
      <c r="E8" s="40">
        <v>65</v>
      </c>
      <c r="F8" s="39">
        <v>82.5</v>
      </c>
      <c r="G8" s="40">
        <v>49.157014232976024</v>
      </c>
      <c r="H8" s="40">
        <v>50.339345531069803</v>
      </c>
      <c r="I8" s="40">
        <v>62.5</v>
      </c>
      <c r="J8" s="40">
        <v>68.116780975721156</v>
      </c>
      <c r="K8" s="38">
        <v>5</v>
      </c>
      <c r="M8" s="41"/>
      <c r="N8" s="41"/>
      <c r="O8" s="59" t="s">
        <v>103</v>
      </c>
      <c r="P8" s="38">
        <v>2</v>
      </c>
      <c r="Q8" s="40">
        <v>66.205801536013752</v>
      </c>
      <c r="R8" s="55">
        <v>1</v>
      </c>
      <c r="T8" s="46"/>
      <c r="U8" s="46" t="s">
        <v>402</v>
      </c>
      <c r="V8" s="46" t="s">
        <v>401</v>
      </c>
      <c r="W8" s="46" t="s">
        <v>400</v>
      </c>
      <c r="X8" s="46" t="s">
        <v>399</v>
      </c>
      <c r="AC8" s="38" t="s">
        <v>45</v>
      </c>
      <c r="AD8" s="38">
        <v>2</v>
      </c>
      <c r="AE8" s="40">
        <v>102.40521381646617</v>
      </c>
      <c r="AF8" s="40">
        <v>65</v>
      </c>
      <c r="AG8" s="39">
        <v>82.5</v>
      </c>
      <c r="AH8" s="40">
        <v>50.339345531069803</v>
      </c>
      <c r="AI8" s="40">
        <v>62.5</v>
      </c>
      <c r="AJ8" s="40">
        <v>68.116780975721156</v>
      </c>
      <c r="AK8" s="38">
        <v>5</v>
      </c>
      <c r="AM8" s="41"/>
      <c r="AN8" s="48"/>
      <c r="AV8" s="69"/>
    </row>
    <row r="9" spans="1:48" ht="15" thickBot="1" x14ac:dyDescent="0.3">
      <c r="A9" s="38" t="s">
        <v>162</v>
      </c>
      <c r="B9" s="38">
        <v>3</v>
      </c>
      <c r="C9" s="39">
        <v>85</v>
      </c>
      <c r="D9" s="40">
        <v>89.671975471228947</v>
      </c>
      <c r="E9" s="40">
        <v>66.25</v>
      </c>
      <c r="F9" s="39">
        <v>83.75</v>
      </c>
      <c r="G9" s="40">
        <v>47.800421200917569</v>
      </c>
      <c r="H9" s="40">
        <v>50.427743499330504</v>
      </c>
      <c r="I9" s="40">
        <v>75</v>
      </c>
      <c r="J9" s="40">
        <v>67.230492493977991</v>
      </c>
      <c r="K9" s="38">
        <v>6</v>
      </c>
      <c r="M9" s="41"/>
      <c r="N9" s="41"/>
      <c r="O9" s="59" t="s">
        <v>25</v>
      </c>
      <c r="P9" s="38">
        <v>1</v>
      </c>
      <c r="Q9" s="40">
        <v>65.948322975059384</v>
      </c>
      <c r="R9" s="55">
        <v>1</v>
      </c>
      <c r="T9" s="47"/>
      <c r="U9" s="47" t="s">
        <v>403</v>
      </c>
      <c r="V9" s="47" t="s">
        <v>404</v>
      </c>
      <c r="W9" s="47" t="s">
        <v>405</v>
      </c>
      <c r="X9" s="47" t="s">
        <v>406</v>
      </c>
      <c r="AC9" s="38" t="s">
        <v>162</v>
      </c>
      <c r="AD9" s="38">
        <v>3</v>
      </c>
      <c r="AE9" s="40">
        <v>89.671975471228947</v>
      </c>
      <c r="AF9" s="40">
        <v>66.25</v>
      </c>
      <c r="AG9" s="39">
        <v>83.75</v>
      </c>
      <c r="AH9" s="40">
        <v>50.427743499330504</v>
      </c>
      <c r="AI9" s="40">
        <v>75</v>
      </c>
      <c r="AJ9" s="40">
        <v>67.230492493977991</v>
      </c>
      <c r="AK9" s="38">
        <v>6</v>
      </c>
      <c r="AM9" s="41"/>
      <c r="AN9" s="48"/>
      <c r="AV9" s="69"/>
    </row>
    <row r="10" spans="1:48" ht="15.6" thickTop="1" thickBot="1" x14ac:dyDescent="0.3">
      <c r="A10" s="38" t="s">
        <v>103</v>
      </c>
      <c r="B10" s="38">
        <v>2</v>
      </c>
      <c r="C10" s="39">
        <v>91.25</v>
      </c>
      <c r="D10" s="40">
        <v>96.265503079407551</v>
      </c>
      <c r="E10" s="40">
        <v>75</v>
      </c>
      <c r="F10" s="39">
        <v>75</v>
      </c>
      <c r="G10" s="40">
        <v>52.022372887556607</v>
      </c>
      <c r="H10" s="40">
        <v>54.881752300330618</v>
      </c>
      <c r="I10" s="40">
        <v>25</v>
      </c>
      <c r="J10" s="40">
        <v>66.205801536013752</v>
      </c>
      <c r="K10" s="38">
        <v>7</v>
      </c>
      <c r="M10" s="41"/>
      <c r="N10" s="41"/>
      <c r="O10" s="59" t="s">
        <v>22</v>
      </c>
      <c r="P10" s="38">
        <v>1</v>
      </c>
      <c r="Q10" s="40">
        <v>65.490526703528744</v>
      </c>
      <c r="R10" s="55">
        <v>1</v>
      </c>
      <c r="T10" t="s">
        <v>407</v>
      </c>
      <c r="U10" s="56">
        <v>5</v>
      </c>
      <c r="V10" s="56">
        <v>11</v>
      </c>
      <c r="W10" s="56">
        <v>5</v>
      </c>
      <c r="X10" s="56">
        <v>0</v>
      </c>
      <c r="Y10" s="49">
        <f>SUM(U10:X10)</f>
        <v>21</v>
      </c>
      <c r="AC10" s="38" t="s">
        <v>103</v>
      </c>
      <c r="AD10" s="38">
        <v>2</v>
      </c>
      <c r="AE10" s="40">
        <v>96.265503079407551</v>
      </c>
      <c r="AF10" s="40">
        <v>75</v>
      </c>
      <c r="AG10" s="39">
        <v>75</v>
      </c>
      <c r="AH10" s="40">
        <v>54.881752300330618</v>
      </c>
      <c r="AI10" s="40">
        <v>25</v>
      </c>
      <c r="AJ10" s="40">
        <v>66.205801536013752</v>
      </c>
      <c r="AK10" s="38">
        <v>7</v>
      </c>
      <c r="AM10" s="41"/>
      <c r="AN10" s="48"/>
      <c r="AV10" s="69"/>
    </row>
    <row r="11" spans="1:48" ht="15" thickBot="1" x14ac:dyDescent="0.3">
      <c r="A11" s="38" t="s">
        <v>25</v>
      </c>
      <c r="B11" s="38">
        <v>1</v>
      </c>
      <c r="C11" s="39">
        <v>86.25</v>
      </c>
      <c r="D11" s="40">
        <v>85.313121855754986</v>
      </c>
      <c r="E11" s="40">
        <v>81.25</v>
      </c>
      <c r="F11" s="39">
        <v>82.5</v>
      </c>
      <c r="G11" s="40">
        <v>39.518510612799901</v>
      </c>
      <c r="H11" s="40">
        <v>39.089246509770952</v>
      </c>
      <c r="I11" s="40">
        <v>87.5</v>
      </c>
      <c r="J11" s="40">
        <v>65.948322975059384</v>
      </c>
      <c r="K11" s="38">
        <v>8</v>
      </c>
      <c r="M11" s="41"/>
      <c r="N11" s="41"/>
      <c r="O11" s="59"/>
      <c r="P11" s="38"/>
      <c r="Q11" s="40"/>
      <c r="R11" s="55"/>
      <c r="T11" t="s">
        <v>408</v>
      </c>
      <c r="U11" s="56">
        <v>2</v>
      </c>
      <c r="V11" s="56">
        <v>38</v>
      </c>
      <c r="W11" s="56">
        <v>36</v>
      </c>
      <c r="X11" s="56">
        <v>4</v>
      </c>
      <c r="Y11" s="49">
        <f t="shared" ref="Y11:Y13" si="0">SUM(U11:X11)</f>
        <v>80</v>
      </c>
      <c r="AC11" s="38" t="s">
        <v>25</v>
      </c>
      <c r="AD11" s="38">
        <v>1</v>
      </c>
      <c r="AE11" s="40">
        <v>85.313121855754986</v>
      </c>
      <c r="AF11" s="40">
        <v>81.25</v>
      </c>
      <c r="AG11" s="39">
        <v>82.5</v>
      </c>
      <c r="AH11" s="40">
        <v>39.089246509770952</v>
      </c>
      <c r="AI11" s="40">
        <v>87.5</v>
      </c>
      <c r="AJ11" s="40">
        <v>65.948322975059384</v>
      </c>
      <c r="AK11" s="38">
        <v>8</v>
      </c>
      <c r="AM11" s="41"/>
      <c r="AN11" s="48"/>
      <c r="AV11" s="69"/>
    </row>
    <row r="12" spans="1:48" ht="15" thickBot="1" x14ac:dyDescent="0.3">
      <c r="A12" s="38" t="s">
        <v>22</v>
      </c>
      <c r="B12" s="38">
        <v>1</v>
      </c>
      <c r="C12" s="39">
        <v>80</v>
      </c>
      <c r="D12" s="40">
        <v>82.79864606643568</v>
      </c>
      <c r="E12" s="40">
        <v>66.25</v>
      </c>
      <c r="F12" s="39">
        <v>75</v>
      </c>
      <c r="G12" s="40">
        <v>52.973807017677196</v>
      </c>
      <c r="H12" s="40">
        <v>54.826993725604005</v>
      </c>
      <c r="I12" s="40">
        <v>62.5</v>
      </c>
      <c r="J12" s="40">
        <v>65.490526703528744</v>
      </c>
      <c r="K12" s="38">
        <v>9</v>
      </c>
      <c r="M12" s="41"/>
      <c r="N12" s="41"/>
      <c r="O12" s="59" t="s">
        <v>27</v>
      </c>
      <c r="P12" s="38">
        <v>1</v>
      </c>
      <c r="Q12" s="40">
        <v>62.961829235018023</v>
      </c>
      <c r="R12" s="48">
        <v>2</v>
      </c>
      <c r="T12" t="s">
        <v>409</v>
      </c>
      <c r="U12" s="56">
        <v>2</v>
      </c>
      <c r="V12" s="56">
        <v>35</v>
      </c>
      <c r="W12" s="56">
        <v>65</v>
      </c>
      <c r="X12" s="56">
        <v>8</v>
      </c>
      <c r="Y12" s="49">
        <f t="shared" si="0"/>
        <v>110</v>
      </c>
      <c r="AC12" s="38" t="s">
        <v>22</v>
      </c>
      <c r="AD12" s="38">
        <v>1</v>
      </c>
      <c r="AE12" s="40">
        <v>82.79864606643568</v>
      </c>
      <c r="AF12" s="40">
        <v>66.25</v>
      </c>
      <c r="AG12" s="39">
        <v>75</v>
      </c>
      <c r="AH12" s="40">
        <v>54.826993725604005</v>
      </c>
      <c r="AI12" s="40">
        <v>62.5</v>
      </c>
      <c r="AJ12" s="40">
        <v>65.490526703528744</v>
      </c>
      <c r="AK12" s="38">
        <v>9</v>
      </c>
      <c r="AM12" s="41"/>
      <c r="AN12" s="48"/>
      <c r="AV12" s="69"/>
    </row>
    <row r="13" spans="1:48" ht="15" thickBot="1" x14ac:dyDescent="0.3">
      <c r="A13" s="38" t="s">
        <v>153</v>
      </c>
      <c r="B13" s="38">
        <v>2</v>
      </c>
      <c r="C13" s="39">
        <v>85</v>
      </c>
      <c r="D13" s="40">
        <v>89.671975471228947</v>
      </c>
      <c r="E13" s="40">
        <v>75</v>
      </c>
      <c r="F13" s="39">
        <v>91.25</v>
      </c>
      <c r="G13" s="40">
        <v>45.820288531224975</v>
      </c>
      <c r="H13" s="40">
        <v>48.338773991254577</v>
      </c>
      <c r="I13" s="40">
        <v>25</v>
      </c>
      <c r="J13" s="40">
        <v>63.894904690747623</v>
      </c>
      <c r="K13" s="38">
        <v>10</v>
      </c>
      <c r="M13" s="41"/>
      <c r="N13" s="41"/>
      <c r="O13" s="59" t="s">
        <v>28</v>
      </c>
      <c r="P13" s="38">
        <v>1</v>
      </c>
      <c r="Q13" s="40">
        <v>62.282162646063526</v>
      </c>
      <c r="R13" s="48">
        <v>2</v>
      </c>
      <c r="T13" s="47" t="s">
        <v>410</v>
      </c>
      <c r="U13" s="56">
        <v>0</v>
      </c>
      <c r="V13" s="56">
        <v>14</v>
      </c>
      <c r="W13" s="56">
        <v>52</v>
      </c>
      <c r="X13" s="56">
        <v>18</v>
      </c>
      <c r="Y13" s="49">
        <f t="shared" si="0"/>
        <v>84</v>
      </c>
      <c r="AC13" s="38" t="s">
        <v>153</v>
      </c>
      <c r="AD13" s="38">
        <v>2</v>
      </c>
      <c r="AE13" s="40">
        <v>89.671975471228947</v>
      </c>
      <c r="AF13" s="40">
        <v>75</v>
      </c>
      <c r="AG13" s="39">
        <v>91.25</v>
      </c>
      <c r="AH13" s="40">
        <v>48.338773991254577</v>
      </c>
      <c r="AI13" s="40">
        <v>25</v>
      </c>
      <c r="AJ13" s="40">
        <v>63.894904690747623</v>
      </c>
      <c r="AK13" s="38">
        <v>10</v>
      </c>
      <c r="AM13" s="41"/>
      <c r="AN13" s="48"/>
      <c r="AV13" s="69"/>
    </row>
    <row r="14" spans="1:48" ht="15" thickTop="1" x14ac:dyDescent="0.25">
      <c r="A14" s="38" t="s">
        <v>42</v>
      </c>
      <c r="B14" s="38">
        <v>2</v>
      </c>
      <c r="C14" s="39">
        <v>93.75</v>
      </c>
      <c r="D14" s="40">
        <v>98.902914122678993</v>
      </c>
      <c r="E14" s="40">
        <v>58.75</v>
      </c>
      <c r="F14" s="39">
        <v>83.75</v>
      </c>
      <c r="G14" s="40">
        <v>47.612801633774197</v>
      </c>
      <c r="H14" s="40">
        <v>50.22981153200341</v>
      </c>
      <c r="I14" s="40">
        <v>37.5</v>
      </c>
      <c r="J14" s="40">
        <v>63.747507437337163</v>
      </c>
      <c r="K14" s="38">
        <v>11</v>
      </c>
      <c r="M14" s="41"/>
      <c r="N14" s="41"/>
      <c r="O14" s="59" t="s">
        <v>31</v>
      </c>
      <c r="P14" s="38">
        <v>1</v>
      </c>
      <c r="Q14" s="40">
        <v>61.705306041531053</v>
      </c>
      <c r="R14" s="48">
        <v>2</v>
      </c>
      <c r="Y14" s="49">
        <f>SUM(Y10:Y13)</f>
        <v>295</v>
      </c>
      <c r="AC14" s="38" t="s">
        <v>42</v>
      </c>
      <c r="AD14" s="38">
        <v>2</v>
      </c>
      <c r="AE14" s="40">
        <v>98.902914122678993</v>
      </c>
      <c r="AF14" s="40">
        <v>58.75</v>
      </c>
      <c r="AG14" s="39">
        <v>83.75</v>
      </c>
      <c r="AH14" s="40">
        <v>50.22981153200341</v>
      </c>
      <c r="AI14" s="40">
        <v>37.5</v>
      </c>
      <c r="AJ14" s="40">
        <v>63.747507437337163</v>
      </c>
      <c r="AK14" s="38">
        <v>11</v>
      </c>
      <c r="AM14" s="41"/>
      <c r="AN14" s="48"/>
      <c r="AV14" s="69"/>
    </row>
    <row r="15" spans="1:48" x14ac:dyDescent="0.25">
      <c r="A15" s="38" t="s">
        <v>27</v>
      </c>
      <c r="B15" s="38">
        <v>1</v>
      </c>
      <c r="C15" s="39">
        <v>91.25</v>
      </c>
      <c r="D15" s="40">
        <v>87.903282985301118</v>
      </c>
      <c r="E15" s="40">
        <v>83.75</v>
      </c>
      <c r="F15" s="39">
        <v>91.25</v>
      </c>
      <c r="G15" s="40">
        <v>34.402177942998961</v>
      </c>
      <c r="H15" s="40">
        <v>33.140431594894487</v>
      </c>
      <c r="I15" s="40">
        <v>62.5</v>
      </c>
      <c r="J15" s="40">
        <v>62.961829235018023</v>
      </c>
      <c r="K15" s="38">
        <v>12</v>
      </c>
      <c r="M15" s="41"/>
      <c r="N15" s="41"/>
      <c r="O15" s="59" t="s">
        <v>38</v>
      </c>
      <c r="P15" s="38">
        <v>1</v>
      </c>
      <c r="Q15" s="40">
        <v>61.41610683952625</v>
      </c>
      <c r="R15" s="48">
        <v>2</v>
      </c>
      <c r="AC15" s="38" t="s">
        <v>27</v>
      </c>
      <c r="AD15" s="38">
        <v>1</v>
      </c>
      <c r="AE15" s="40">
        <v>87.903282985301118</v>
      </c>
      <c r="AF15" s="40">
        <v>83.75</v>
      </c>
      <c r="AG15" s="39">
        <v>91.25</v>
      </c>
      <c r="AH15" s="40">
        <v>33.140431594894487</v>
      </c>
      <c r="AI15" s="40">
        <v>62.5</v>
      </c>
      <c r="AJ15" s="40">
        <v>62.961829235018023</v>
      </c>
      <c r="AK15" s="38">
        <v>12</v>
      </c>
      <c r="AM15" s="41"/>
      <c r="AN15" s="48"/>
      <c r="AV15" s="69"/>
    </row>
    <row r="16" spans="1:48" x14ac:dyDescent="0.25">
      <c r="A16" s="38" t="s">
        <v>169</v>
      </c>
      <c r="B16" s="38">
        <v>4</v>
      </c>
      <c r="C16" s="39">
        <v>78.75</v>
      </c>
      <c r="D16" s="40">
        <v>83.078447863050357</v>
      </c>
      <c r="E16" s="40">
        <v>57.5</v>
      </c>
      <c r="F16" s="39">
        <v>75</v>
      </c>
      <c r="G16" s="40">
        <v>55.083942546209173</v>
      </c>
      <c r="H16" s="40">
        <v>58.111599351320635</v>
      </c>
      <c r="I16" s="40">
        <v>37.5</v>
      </c>
      <c r="J16" s="40">
        <v>62.61032931313833</v>
      </c>
      <c r="K16" s="38">
        <v>13</v>
      </c>
      <c r="M16" s="41"/>
      <c r="N16" s="41"/>
      <c r="O16" s="59" t="s">
        <v>58</v>
      </c>
      <c r="P16" s="38">
        <v>1</v>
      </c>
      <c r="Q16" s="40">
        <v>57.060543790012836</v>
      </c>
      <c r="R16" s="48">
        <v>2</v>
      </c>
      <c r="AC16" s="38" t="s">
        <v>169</v>
      </c>
      <c r="AD16" s="38">
        <v>4</v>
      </c>
      <c r="AE16" s="40">
        <v>83.078447863050357</v>
      </c>
      <c r="AF16" s="40">
        <v>57.5</v>
      </c>
      <c r="AG16" s="39">
        <v>75</v>
      </c>
      <c r="AH16" s="40">
        <v>58.111599351320635</v>
      </c>
      <c r="AI16" s="40">
        <v>37.5</v>
      </c>
      <c r="AJ16" s="40">
        <v>62.61032931313833</v>
      </c>
      <c r="AK16" s="38">
        <v>13</v>
      </c>
      <c r="AM16" s="41"/>
      <c r="AN16" s="48"/>
      <c r="AV16" s="69"/>
    </row>
    <row r="17" spans="1:48" x14ac:dyDescent="0.25">
      <c r="A17" s="38" t="s">
        <v>61</v>
      </c>
      <c r="B17" s="38">
        <v>3</v>
      </c>
      <c r="C17" s="39">
        <v>91.25</v>
      </c>
      <c r="D17" s="40">
        <v>96.265503079407551</v>
      </c>
      <c r="E17" s="40">
        <v>71.25</v>
      </c>
      <c r="F17" s="39">
        <v>82.5</v>
      </c>
      <c r="G17" s="40">
        <v>46.02336350345508</v>
      </c>
      <c r="H17" s="40">
        <v>48.553010861003266</v>
      </c>
      <c r="I17" s="40">
        <v>12.5</v>
      </c>
      <c r="J17" s="40">
        <v>62.424304960282811</v>
      </c>
      <c r="K17" s="38">
        <v>14</v>
      </c>
      <c r="M17" s="41"/>
      <c r="N17" s="41"/>
      <c r="O17" s="59" t="s">
        <v>26</v>
      </c>
      <c r="P17" s="38">
        <v>1</v>
      </c>
      <c r="Q17" s="40">
        <v>56.11714383891303</v>
      </c>
      <c r="R17" s="48">
        <v>2</v>
      </c>
      <c r="AC17" s="38" t="s">
        <v>61</v>
      </c>
      <c r="AD17" s="38">
        <v>3</v>
      </c>
      <c r="AE17" s="40">
        <v>96.265503079407551</v>
      </c>
      <c r="AF17" s="40">
        <v>71.25</v>
      </c>
      <c r="AG17" s="39">
        <v>82.5</v>
      </c>
      <c r="AH17" s="40">
        <v>48.553010861003266</v>
      </c>
      <c r="AI17" s="40">
        <v>12.5</v>
      </c>
      <c r="AJ17" s="40">
        <v>62.424304960282811</v>
      </c>
      <c r="AK17" s="38">
        <v>14</v>
      </c>
      <c r="AM17" s="41"/>
      <c r="AN17" s="48"/>
      <c r="AV17" s="69"/>
    </row>
    <row r="18" spans="1:48" x14ac:dyDescent="0.25">
      <c r="A18" s="38" t="s">
        <v>46</v>
      </c>
      <c r="B18" s="38">
        <v>2</v>
      </c>
      <c r="C18" s="39">
        <v>91.25</v>
      </c>
      <c r="D18" s="40">
        <v>93.872896223514132</v>
      </c>
      <c r="E18" s="40">
        <v>58.75</v>
      </c>
      <c r="F18" s="39">
        <v>57.5</v>
      </c>
      <c r="G18" s="40">
        <v>51.19425501042344</v>
      </c>
      <c r="H18" s="40">
        <v>52.665786168039425</v>
      </c>
      <c r="I18" s="40">
        <v>50</v>
      </c>
      <c r="J18" s="40">
        <v>62.340893711918596</v>
      </c>
      <c r="K18" s="38">
        <v>15</v>
      </c>
      <c r="M18" s="41"/>
      <c r="N18" s="41"/>
      <c r="O18" s="59" t="s">
        <v>48</v>
      </c>
      <c r="P18" s="38">
        <v>1</v>
      </c>
      <c r="Q18" s="40">
        <v>56.085150472394368</v>
      </c>
      <c r="R18" s="48">
        <v>2</v>
      </c>
      <c r="T18" t="s">
        <v>411</v>
      </c>
      <c r="AC18" s="38" t="s">
        <v>46</v>
      </c>
      <c r="AD18" s="38">
        <v>2</v>
      </c>
      <c r="AE18" s="40">
        <v>93.872896223514132</v>
      </c>
      <c r="AF18" s="40">
        <v>58.75</v>
      </c>
      <c r="AG18" s="39">
        <v>57.5</v>
      </c>
      <c r="AH18" s="40">
        <v>52.665786168039425</v>
      </c>
      <c r="AI18" s="40">
        <v>50</v>
      </c>
      <c r="AJ18" s="40">
        <v>62.340893711918596</v>
      </c>
      <c r="AK18" s="38">
        <v>15</v>
      </c>
      <c r="AM18" s="41"/>
      <c r="AN18" s="48"/>
      <c r="AV18" s="69"/>
    </row>
    <row r="19" spans="1:48" x14ac:dyDescent="0.25">
      <c r="A19" s="38" t="s">
        <v>28</v>
      </c>
      <c r="B19" s="38">
        <v>1</v>
      </c>
      <c r="C19" s="39">
        <v>100</v>
      </c>
      <c r="D19" s="40">
        <v>97.517553916764882</v>
      </c>
      <c r="E19" s="40">
        <v>68.75</v>
      </c>
      <c r="F19" s="39">
        <v>83.75</v>
      </c>
      <c r="G19" s="40">
        <v>40.130343804746062</v>
      </c>
      <c r="H19" s="40">
        <v>39.134129656776359</v>
      </c>
      <c r="I19" s="40">
        <v>50</v>
      </c>
      <c r="J19" s="40">
        <v>62.282162646063526</v>
      </c>
      <c r="K19" s="38">
        <v>16</v>
      </c>
      <c r="M19" s="41"/>
      <c r="N19" s="41"/>
      <c r="O19" s="59" t="s">
        <v>32</v>
      </c>
      <c r="P19" s="38">
        <v>1</v>
      </c>
      <c r="Q19" s="40">
        <v>55.951757186194321</v>
      </c>
      <c r="R19" s="48">
        <v>2</v>
      </c>
      <c r="T19" t="s">
        <v>437</v>
      </c>
      <c r="U19" t="s">
        <v>413</v>
      </c>
      <c r="V19" t="s">
        <v>414</v>
      </c>
      <c r="W19" t="s">
        <v>415</v>
      </c>
      <c r="X19" t="s">
        <v>416</v>
      </c>
      <c r="AC19" s="38" t="s">
        <v>28</v>
      </c>
      <c r="AD19" s="38">
        <v>1</v>
      </c>
      <c r="AE19" s="40">
        <v>97.517553916764882</v>
      </c>
      <c r="AF19" s="40">
        <v>68.75</v>
      </c>
      <c r="AG19" s="39">
        <v>83.75</v>
      </c>
      <c r="AH19" s="40">
        <v>39.134129656776359</v>
      </c>
      <c r="AI19" s="40">
        <v>50</v>
      </c>
      <c r="AJ19" s="40">
        <v>62.282162646063526</v>
      </c>
      <c r="AK19" s="38">
        <v>16</v>
      </c>
      <c r="AM19" s="41"/>
      <c r="AN19" s="48"/>
      <c r="AV19" s="69"/>
    </row>
    <row r="20" spans="1:48" x14ac:dyDescent="0.25">
      <c r="A20" s="38" t="s">
        <v>173</v>
      </c>
      <c r="B20" s="38">
        <v>2</v>
      </c>
      <c r="C20" s="39">
        <v>91.25</v>
      </c>
      <c r="D20" s="40">
        <v>96.265503079407551</v>
      </c>
      <c r="E20" s="40">
        <v>75</v>
      </c>
      <c r="F20" s="39">
        <v>75</v>
      </c>
      <c r="G20" s="40">
        <v>42.471612492158336</v>
      </c>
      <c r="H20" s="40">
        <v>44.806039924945452</v>
      </c>
      <c r="I20" s="40">
        <v>25</v>
      </c>
      <c r="J20" s="40">
        <v>62.17551658585969</v>
      </c>
      <c r="K20" s="38">
        <v>17</v>
      </c>
      <c r="M20" s="41"/>
      <c r="N20" s="41"/>
      <c r="O20" s="59" t="s">
        <v>30</v>
      </c>
      <c r="P20" s="38">
        <v>1</v>
      </c>
      <c r="Q20" s="40">
        <v>55.926191833798384</v>
      </c>
      <c r="R20" s="48">
        <v>2</v>
      </c>
      <c r="T20" t="s">
        <v>443</v>
      </c>
      <c r="U20" s="41">
        <v>9</v>
      </c>
      <c r="V20" s="41">
        <v>68.63</v>
      </c>
      <c r="W20" s="48">
        <v>3.56</v>
      </c>
      <c r="X20" t="s">
        <v>438</v>
      </c>
      <c r="AC20" s="38" t="s">
        <v>173</v>
      </c>
      <c r="AD20" s="38">
        <v>2</v>
      </c>
      <c r="AE20" s="40">
        <v>96.265503079407551</v>
      </c>
      <c r="AF20" s="40">
        <v>75</v>
      </c>
      <c r="AG20" s="39">
        <v>75</v>
      </c>
      <c r="AH20" s="40">
        <v>44.806039924945452</v>
      </c>
      <c r="AI20" s="40">
        <v>25</v>
      </c>
      <c r="AJ20" s="40">
        <v>62.17551658585969</v>
      </c>
      <c r="AK20" s="38">
        <v>17</v>
      </c>
      <c r="AM20" s="41"/>
      <c r="AN20" s="48"/>
      <c r="AV20" s="69"/>
    </row>
    <row r="21" spans="1:48" x14ac:dyDescent="0.25">
      <c r="A21" s="38" t="s">
        <v>35</v>
      </c>
      <c r="B21" s="38">
        <v>2</v>
      </c>
      <c r="C21" s="39">
        <v>95</v>
      </c>
      <c r="D21" s="40">
        <v>95.219698576599356</v>
      </c>
      <c r="E21" s="40">
        <v>63.75</v>
      </c>
      <c r="F21" s="39">
        <v>66.25</v>
      </c>
      <c r="G21" s="40">
        <v>46.121026196573283</v>
      </c>
      <c r="H21" s="40">
        <v>46.227686447170008</v>
      </c>
      <c r="I21" s="40">
        <v>50</v>
      </c>
      <c r="J21" s="40">
        <v>61.910014294187874</v>
      </c>
      <c r="K21" s="38">
        <v>18</v>
      </c>
      <c r="M21" s="41"/>
      <c r="N21" s="41"/>
      <c r="O21" s="59" t="s">
        <v>39</v>
      </c>
      <c r="P21" s="38">
        <v>1</v>
      </c>
      <c r="Q21" s="40">
        <v>55.111343148715243</v>
      </c>
      <c r="R21" s="48">
        <v>2</v>
      </c>
      <c r="T21">
        <v>2</v>
      </c>
      <c r="U21" s="41">
        <v>98</v>
      </c>
      <c r="V21" s="41">
        <v>57.122999999999998</v>
      </c>
      <c r="W21" s="48">
        <v>3.2120000000000002</v>
      </c>
      <c r="X21" t="s">
        <v>439</v>
      </c>
      <c r="AC21" s="38" t="s">
        <v>35</v>
      </c>
      <c r="AD21" s="38">
        <v>2</v>
      </c>
      <c r="AE21" s="40">
        <v>95.219698576599356</v>
      </c>
      <c r="AF21" s="40">
        <v>63.75</v>
      </c>
      <c r="AG21" s="39">
        <v>66.25</v>
      </c>
      <c r="AH21" s="40">
        <v>46.227686447170008</v>
      </c>
      <c r="AI21" s="40">
        <v>50</v>
      </c>
      <c r="AJ21" s="40">
        <v>61.910014294187874</v>
      </c>
      <c r="AK21" s="38">
        <v>18</v>
      </c>
      <c r="AM21" s="41"/>
      <c r="AN21" s="48" t="s">
        <v>411</v>
      </c>
      <c r="AV21" s="69"/>
    </row>
    <row r="22" spans="1:48" x14ac:dyDescent="0.25">
      <c r="A22" s="38" t="s">
        <v>41</v>
      </c>
      <c r="B22" s="38">
        <v>3</v>
      </c>
      <c r="C22" s="39">
        <v>75</v>
      </c>
      <c r="D22" s="40">
        <v>79.122331298143195</v>
      </c>
      <c r="E22" s="40">
        <v>46.25</v>
      </c>
      <c r="F22" s="39">
        <v>75</v>
      </c>
      <c r="G22" s="40">
        <v>60.398178194045201</v>
      </c>
      <c r="H22" s="40">
        <v>63.717928864980429</v>
      </c>
      <c r="I22" s="40">
        <v>37.5</v>
      </c>
      <c r="J22" s="40">
        <v>61.811637805620805</v>
      </c>
      <c r="K22" s="38">
        <v>19</v>
      </c>
      <c r="M22" s="41"/>
      <c r="N22" s="41"/>
      <c r="O22" s="59" t="s">
        <v>37</v>
      </c>
      <c r="P22" s="38">
        <v>1</v>
      </c>
      <c r="Q22" s="40">
        <v>54.477088672957102</v>
      </c>
      <c r="R22" s="48">
        <v>2</v>
      </c>
      <c r="T22">
        <v>3</v>
      </c>
      <c r="U22" s="41">
        <v>158</v>
      </c>
      <c r="V22" s="41">
        <v>45.527999999999999</v>
      </c>
      <c r="W22" s="48">
        <v>3.4249999999999998</v>
      </c>
      <c r="X22" t="s">
        <v>440</v>
      </c>
      <c r="AC22" s="38" t="s">
        <v>41</v>
      </c>
      <c r="AD22" s="38">
        <v>3</v>
      </c>
      <c r="AE22" s="40">
        <v>79.122331298143195</v>
      </c>
      <c r="AF22" s="40">
        <v>46.25</v>
      </c>
      <c r="AG22" s="39">
        <v>75</v>
      </c>
      <c r="AH22" s="40">
        <v>63.717928864980429</v>
      </c>
      <c r="AI22" s="40">
        <v>37.5</v>
      </c>
      <c r="AJ22" s="40">
        <v>61.811637805620805</v>
      </c>
      <c r="AK22" s="38">
        <v>19</v>
      </c>
      <c r="AM22" s="41"/>
      <c r="AN22" s="48" t="s">
        <v>412</v>
      </c>
      <c r="AO22" t="s">
        <v>413</v>
      </c>
      <c r="AP22" t="s">
        <v>414</v>
      </c>
      <c r="AQ22" t="s">
        <v>415</v>
      </c>
      <c r="AR22" t="s">
        <v>416</v>
      </c>
      <c r="AV22" s="69"/>
    </row>
    <row r="23" spans="1:48" x14ac:dyDescent="0.25">
      <c r="A23" s="38" t="s">
        <v>260</v>
      </c>
      <c r="B23" s="38">
        <v>4</v>
      </c>
      <c r="C23" s="39">
        <v>85</v>
      </c>
      <c r="D23" s="40">
        <v>89.671975471228947</v>
      </c>
      <c r="E23" s="40">
        <v>58.75</v>
      </c>
      <c r="F23" s="39">
        <v>57.5</v>
      </c>
      <c r="G23" s="40">
        <v>56.447851551007375</v>
      </c>
      <c r="H23" s="40">
        <v>59.550474819829489</v>
      </c>
      <c r="I23" s="40">
        <v>25</v>
      </c>
      <c r="J23" s="40">
        <v>61.754585022177579</v>
      </c>
      <c r="K23" s="38">
        <v>20</v>
      </c>
      <c r="M23" s="41"/>
      <c r="N23" s="41"/>
      <c r="O23" s="59" t="s">
        <v>153</v>
      </c>
      <c r="P23" s="38">
        <v>2</v>
      </c>
      <c r="Q23" s="40">
        <v>63.894904690747623</v>
      </c>
      <c r="R23" s="48">
        <v>2</v>
      </c>
      <c r="T23">
        <v>4</v>
      </c>
      <c r="U23" s="41">
        <v>31</v>
      </c>
      <c r="V23" s="41">
        <v>34.905999999999999</v>
      </c>
      <c r="W23" s="48">
        <v>3.4140000000000001</v>
      </c>
      <c r="X23" t="s">
        <v>441</v>
      </c>
      <c r="AC23" s="38" t="s">
        <v>260</v>
      </c>
      <c r="AD23" s="38">
        <v>4</v>
      </c>
      <c r="AE23" s="40">
        <v>89.671975471228947</v>
      </c>
      <c r="AF23" s="40">
        <v>58.75</v>
      </c>
      <c r="AG23" s="39">
        <v>57.5</v>
      </c>
      <c r="AH23" s="40">
        <v>59.550474819829489</v>
      </c>
      <c r="AI23" s="40">
        <v>25</v>
      </c>
      <c r="AJ23" s="40">
        <v>61.754585022177579</v>
      </c>
      <c r="AK23" s="38">
        <v>20</v>
      </c>
      <c r="AM23" s="41"/>
      <c r="AN23" s="50" t="s">
        <v>407</v>
      </c>
      <c r="AO23">
        <v>21</v>
      </c>
      <c r="AP23">
        <v>58.34</v>
      </c>
      <c r="AQ23">
        <v>8.59</v>
      </c>
      <c r="AR23" t="s">
        <v>430</v>
      </c>
      <c r="AV23" s="69"/>
    </row>
    <row r="24" spans="1:48" x14ac:dyDescent="0.25">
      <c r="A24" s="38" t="s">
        <v>31</v>
      </c>
      <c r="B24" s="38">
        <v>1</v>
      </c>
      <c r="C24" s="39">
        <v>82.5</v>
      </c>
      <c r="D24" s="40">
        <v>79.47420105520375</v>
      </c>
      <c r="E24" s="40">
        <v>62.5</v>
      </c>
      <c r="F24" s="39">
        <v>75</v>
      </c>
      <c r="G24" s="40">
        <v>44.27501039103845</v>
      </c>
      <c r="H24" s="40">
        <v>42.651164576225753</v>
      </c>
      <c r="I24" s="40">
        <v>87.5</v>
      </c>
      <c r="J24" s="40">
        <v>61.705306041531053</v>
      </c>
      <c r="K24" s="38">
        <v>21</v>
      </c>
      <c r="M24" s="41"/>
      <c r="N24" s="41"/>
      <c r="O24" s="59" t="s">
        <v>42</v>
      </c>
      <c r="P24" s="38">
        <v>2</v>
      </c>
      <c r="Q24" s="40">
        <v>63.747507437337163</v>
      </c>
      <c r="R24" s="48">
        <v>2</v>
      </c>
      <c r="T24" t="s">
        <v>442</v>
      </c>
      <c r="U24" s="41"/>
      <c r="V24" s="41"/>
      <c r="W24" s="48"/>
      <c r="AC24" s="38" t="s">
        <v>31</v>
      </c>
      <c r="AD24" s="38">
        <v>1</v>
      </c>
      <c r="AE24" s="40">
        <v>79.47420105520375</v>
      </c>
      <c r="AF24" s="40">
        <v>62.5</v>
      </c>
      <c r="AG24" s="39">
        <v>75</v>
      </c>
      <c r="AH24" s="40">
        <v>42.651164576225753</v>
      </c>
      <c r="AI24" s="40">
        <v>87.5</v>
      </c>
      <c r="AJ24" s="40">
        <v>61.705306041531053</v>
      </c>
      <c r="AK24" s="38">
        <v>21</v>
      </c>
      <c r="AM24" s="41"/>
      <c r="AN24" s="50" t="s">
        <v>408</v>
      </c>
      <c r="AO24">
        <v>80</v>
      </c>
      <c r="AP24">
        <v>51.003</v>
      </c>
      <c r="AQ24">
        <v>8.1449999999999996</v>
      </c>
      <c r="AR24" t="s">
        <v>431</v>
      </c>
      <c r="AV24" s="69"/>
    </row>
    <row r="25" spans="1:48" x14ac:dyDescent="0.25">
      <c r="A25" s="38" t="s">
        <v>136</v>
      </c>
      <c r="B25" s="38">
        <v>3</v>
      </c>
      <c r="C25" s="39">
        <v>75</v>
      </c>
      <c r="D25" s="40">
        <v>79.122331298143195</v>
      </c>
      <c r="E25" s="40">
        <v>53.75</v>
      </c>
      <c r="F25" s="39">
        <v>75</v>
      </c>
      <c r="G25" s="40">
        <v>50.566325094195804</v>
      </c>
      <c r="H25" s="40">
        <v>53.345673688434296</v>
      </c>
      <c r="I25" s="40">
        <v>62.5</v>
      </c>
      <c r="J25" s="40">
        <v>61.662735735002357</v>
      </c>
      <c r="K25" s="38">
        <v>22</v>
      </c>
      <c r="M25" s="41"/>
      <c r="N25" s="41"/>
      <c r="O25" s="59" t="s">
        <v>46</v>
      </c>
      <c r="P25" s="38">
        <v>2</v>
      </c>
      <c r="Q25" s="40">
        <v>62.340893711918596</v>
      </c>
      <c r="R25" s="48">
        <v>2</v>
      </c>
      <c r="U25" s="41"/>
      <c r="V25" s="41"/>
      <c r="W25" s="48"/>
      <c r="AC25" s="38" t="s">
        <v>136</v>
      </c>
      <c r="AD25" s="38">
        <v>3</v>
      </c>
      <c r="AE25" s="40">
        <v>79.122331298143195</v>
      </c>
      <c r="AF25" s="40">
        <v>53.75</v>
      </c>
      <c r="AG25" s="39">
        <v>75</v>
      </c>
      <c r="AH25" s="40">
        <v>53.345673688434296</v>
      </c>
      <c r="AI25" s="40">
        <v>62.5</v>
      </c>
      <c r="AJ25" s="40">
        <v>61.662735735002357</v>
      </c>
      <c r="AK25" s="38">
        <v>22</v>
      </c>
      <c r="AM25" s="41"/>
      <c r="AN25" s="50" t="s">
        <v>409</v>
      </c>
      <c r="AO25">
        <v>111</v>
      </c>
      <c r="AP25">
        <v>48.710999999999999</v>
      </c>
      <c r="AQ25">
        <v>7.5720000000000001</v>
      </c>
      <c r="AR25" t="s">
        <v>432</v>
      </c>
      <c r="AV25" s="69"/>
    </row>
    <row r="26" spans="1:48" x14ac:dyDescent="0.25">
      <c r="A26" s="38" t="s">
        <v>128</v>
      </c>
      <c r="B26" s="38">
        <v>2</v>
      </c>
      <c r="C26" s="39">
        <v>78.75</v>
      </c>
      <c r="D26" s="40">
        <v>83.078447863050357</v>
      </c>
      <c r="E26" s="40">
        <v>38.75</v>
      </c>
      <c r="F26" s="39">
        <v>82.5</v>
      </c>
      <c r="G26" s="40">
        <v>56.812136599014693</v>
      </c>
      <c r="H26" s="40">
        <v>59.934782583234757</v>
      </c>
      <c r="I26" s="40">
        <v>50</v>
      </c>
      <c r="J26" s="40">
        <v>61.589602605903977</v>
      </c>
      <c r="K26" s="38">
        <v>23</v>
      </c>
      <c r="M26" s="41"/>
      <c r="N26" s="41"/>
      <c r="O26" s="59" t="s">
        <v>173</v>
      </c>
      <c r="P26" s="38">
        <v>2</v>
      </c>
      <c r="Q26" s="40">
        <v>62.17551658585969</v>
      </c>
      <c r="R26" s="48">
        <v>2</v>
      </c>
      <c r="U26" s="41"/>
      <c r="V26" s="41"/>
      <c r="W26" s="48"/>
      <c r="AC26" s="38" t="s">
        <v>128</v>
      </c>
      <c r="AD26" s="38">
        <v>2</v>
      </c>
      <c r="AE26" s="40">
        <v>83.078447863050357</v>
      </c>
      <c r="AF26" s="40">
        <v>38.75</v>
      </c>
      <c r="AG26" s="39">
        <v>82.5</v>
      </c>
      <c r="AH26" s="40">
        <v>59.934782583234757</v>
      </c>
      <c r="AI26" s="40">
        <v>50</v>
      </c>
      <c r="AJ26" s="40">
        <v>61.589602605903977</v>
      </c>
      <c r="AK26" s="38">
        <v>23</v>
      </c>
      <c r="AM26" s="41"/>
      <c r="AN26" s="50" t="s">
        <v>410</v>
      </c>
      <c r="AO26">
        <v>84</v>
      </c>
      <c r="AP26">
        <v>44.988</v>
      </c>
      <c r="AQ26">
        <v>7.5659999999999998</v>
      </c>
      <c r="AR26" t="s">
        <v>433</v>
      </c>
      <c r="AV26" s="69"/>
    </row>
    <row r="27" spans="1:48" x14ac:dyDescent="0.25">
      <c r="A27" s="38" t="s">
        <v>88</v>
      </c>
      <c r="B27" s="38">
        <v>3</v>
      </c>
      <c r="C27" s="39">
        <v>85</v>
      </c>
      <c r="D27" s="40">
        <v>89.671975471228947</v>
      </c>
      <c r="E27" s="40">
        <v>53.75</v>
      </c>
      <c r="F27" s="39">
        <v>75</v>
      </c>
      <c r="G27" s="40">
        <v>53.991356734334403</v>
      </c>
      <c r="H27" s="40">
        <v>56.958960196936552</v>
      </c>
      <c r="I27" s="40">
        <v>25</v>
      </c>
      <c r="J27" s="40">
        <v>61.46797917302041</v>
      </c>
      <c r="K27" s="38">
        <v>24</v>
      </c>
      <c r="M27" s="41"/>
      <c r="N27" s="41"/>
      <c r="O27" s="59" t="s">
        <v>35</v>
      </c>
      <c r="P27" s="38">
        <v>2</v>
      </c>
      <c r="Q27" s="40">
        <v>61.910014294187874</v>
      </c>
      <c r="R27" s="48">
        <v>2</v>
      </c>
      <c r="T27" t="s">
        <v>435</v>
      </c>
      <c r="U27" s="41"/>
      <c r="V27" s="41"/>
      <c r="W27" s="48"/>
      <c r="AC27" s="38" t="s">
        <v>88</v>
      </c>
      <c r="AD27" s="38">
        <v>3</v>
      </c>
      <c r="AE27" s="40">
        <v>89.671975471228947</v>
      </c>
      <c r="AF27" s="40">
        <v>53.75</v>
      </c>
      <c r="AG27" s="39">
        <v>75</v>
      </c>
      <c r="AH27" s="40">
        <v>56.958960196936552</v>
      </c>
      <c r="AI27" s="40">
        <v>25</v>
      </c>
      <c r="AJ27" s="40">
        <v>61.46797917302041</v>
      </c>
      <c r="AK27" s="38">
        <v>24</v>
      </c>
      <c r="AM27" s="41"/>
      <c r="AN27" s="48" t="s">
        <v>434</v>
      </c>
      <c r="AV27" s="69"/>
    </row>
    <row r="28" spans="1:48" x14ac:dyDescent="0.25">
      <c r="A28" s="38" t="s">
        <v>38</v>
      </c>
      <c r="B28" s="38">
        <v>1</v>
      </c>
      <c r="C28" s="39">
        <v>76.25</v>
      </c>
      <c r="D28" s="40">
        <v>75.667531473788713</v>
      </c>
      <c r="E28" s="40">
        <v>66.25</v>
      </c>
      <c r="F28" s="39">
        <v>73.75</v>
      </c>
      <c r="G28" s="40">
        <v>48.892487726099944</v>
      </c>
      <c r="H28" s="40">
        <v>48.519001361921255</v>
      </c>
      <c r="I28" s="40">
        <v>62.5</v>
      </c>
      <c r="J28" s="40">
        <v>61.41610683952625</v>
      </c>
      <c r="K28" s="38">
        <v>25</v>
      </c>
      <c r="M28" s="41"/>
      <c r="N28" s="41"/>
      <c r="O28" s="59" t="s">
        <v>128</v>
      </c>
      <c r="P28" s="38">
        <v>2</v>
      </c>
      <c r="Q28" s="40">
        <v>61.589602605903977</v>
      </c>
      <c r="R28" s="48">
        <v>2</v>
      </c>
      <c r="T28" t="s">
        <v>437</v>
      </c>
      <c r="U28" s="41" t="s">
        <v>413</v>
      </c>
      <c r="V28" s="41" t="s">
        <v>414</v>
      </c>
      <c r="W28" s="48" t="s">
        <v>417</v>
      </c>
      <c r="AC28" s="38" t="s">
        <v>38</v>
      </c>
      <c r="AD28" s="38">
        <v>1</v>
      </c>
      <c r="AE28" s="40">
        <v>75.667531473788713</v>
      </c>
      <c r="AF28" s="40">
        <v>66.25</v>
      </c>
      <c r="AG28" s="39">
        <v>73.75</v>
      </c>
      <c r="AH28" s="40">
        <v>48.519001361921255</v>
      </c>
      <c r="AI28" s="40">
        <v>62.5</v>
      </c>
      <c r="AJ28" s="40">
        <v>61.41610683952625</v>
      </c>
      <c r="AK28" s="38">
        <v>25</v>
      </c>
      <c r="AM28" s="41"/>
      <c r="AN28" s="48"/>
      <c r="AV28" s="69"/>
    </row>
    <row r="29" spans="1:48" x14ac:dyDescent="0.25">
      <c r="A29" s="38" t="s">
        <v>275</v>
      </c>
      <c r="B29" s="38">
        <v>4</v>
      </c>
      <c r="C29" s="39">
        <v>81.25</v>
      </c>
      <c r="D29" s="40">
        <v>85.715858906321799</v>
      </c>
      <c r="E29" s="40">
        <v>53.75</v>
      </c>
      <c r="F29" s="39">
        <v>75</v>
      </c>
      <c r="G29" s="40">
        <v>46.49658524507965</v>
      </c>
      <c r="H29" s="40">
        <v>49.052242959913983</v>
      </c>
      <c r="I29" s="40">
        <v>62.5</v>
      </c>
      <c r="J29" s="40">
        <v>61.264068965229953</v>
      </c>
      <c r="K29" s="38">
        <v>26</v>
      </c>
      <c r="M29" s="41"/>
      <c r="N29" s="41"/>
      <c r="O29" s="59" t="s">
        <v>60</v>
      </c>
      <c r="P29" s="38">
        <v>2</v>
      </c>
      <c r="Q29" s="40">
        <v>61.180025957939776</v>
      </c>
      <c r="R29" s="48">
        <v>2</v>
      </c>
      <c r="T29">
        <v>1</v>
      </c>
      <c r="U29" s="41">
        <v>9</v>
      </c>
      <c r="V29" s="41">
        <v>68.63</v>
      </c>
      <c r="W29" s="48" t="s">
        <v>383</v>
      </c>
      <c r="X29" t="s">
        <v>418</v>
      </c>
      <c r="Y29" t="s">
        <v>418</v>
      </c>
      <c r="Z29" t="s">
        <v>418</v>
      </c>
      <c r="AC29" s="38" t="s">
        <v>275</v>
      </c>
      <c r="AD29" s="38">
        <v>4</v>
      </c>
      <c r="AE29" s="40">
        <v>85.715858906321799</v>
      </c>
      <c r="AF29" s="40">
        <v>53.75</v>
      </c>
      <c r="AG29" s="39">
        <v>75</v>
      </c>
      <c r="AH29" s="40">
        <v>49.052242959913983</v>
      </c>
      <c r="AI29" s="40">
        <v>62.5</v>
      </c>
      <c r="AJ29" s="40">
        <v>61.264068965229953</v>
      </c>
      <c r="AK29" s="38">
        <v>26</v>
      </c>
      <c r="AM29" s="41"/>
      <c r="AN29" s="48"/>
      <c r="AV29" s="69"/>
    </row>
    <row r="30" spans="1:48" x14ac:dyDescent="0.25">
      <c r="A30" s="38" t="s">
        <v>269</v>
      </c>
      <c r="B30" s="38">
        <v>3</v>
      </c>
      <c r="C30" s="39">
        <v>85</v>
      </c>
      <c r="D30" s="40">
        <v>89.671975471228947</v>
      </c>
      <c r="E30" s="40">
        <v>56.25</v>
      </c>
      <c r="F30" s="39">
        <v>73.75</v>
      </c>
      <c r="G30" s="40">
        <v>43.699369831562827</v>
      </c>
      <c r="H30" s="40">
        <v>46.101280231106642</v>
      </c>
      <c r="I30" s="40">
        <v>62.5</v>
      </c>
      <c r="J30" s="40">
        <v>61.249907186688446</v>
      </c>
      <c r="K30" s="38">
        <v>27</v>
      </c>
      <c r="M30" s="41"/>
      <c r="N30" s="41"/>
      <c r="O30" s="59" t="s">
        <v>189</v>
      </c>
      <c r="P30" s="38">
        <v>2</v>
      </c>
      <c r="Q30" s="40">
        <v>60.795279319774508</v>
      </c>
      <c r="R30" s="48">
        <v>2</v>
      </c>
      <c r="T30">
        <v>2</v>
      </c>
      <c r="U30" s="41">
        <v>98</v>
      </c>
      <c r="V30" s="41">
        <v>57.122999999999998</v>
      </c>
      <c r="W30" s="48" t="s">
        <v>418</v>
      </c>
      <c r="X30" t="s">
        <v>419</v>
      </c>
      <c r="Y30" t="s">
        <v>418</v>
      </c>
      <c r="Z30" t="s">
        <v>418</v>
      </c>
      <c r="AC30" s="38" t="s">
        <v>269</v>
      </c>
      <c r="AD30" s="38">
        <v>3</v>
      </c>
      <c r="AE30" s="40">
        <v>89.671975471228947</v>
      </c>
      <c r="AF30" s="40">
        <v>56.25</v>
      </c>
      <c r="AG30" s="39">
        <v>73.75</v>
      </c>
      <c r="AH30" s="40">
        <v>46.101280231106642</v>
      </c>
      <c r="AI30" s="40">
        <v>62.5</v>
      </c>
      <c r="AJ30" s="40">
        <v>61.249907186688446</v>
      </c>
      <c r="AK30" s="38">
        <v>27</v>
      </c>
      <c r="AM30" s="41"/>
      <c r="AN30" s="48" t="s">
        <v>435</v>
      </c>
      <c r="AV30" s="69"/>
    </row>
    <row r="31" spans="1:48" x14ac:dyDescent="0.25">
      <c r="A31" s="38" t="s">
        <v>60</v>
      </c>
      <c r="B31" s="38">
        <v>2</v>
      </c>
      <c r="C31" s="39">
        <v>73.75</v>
      </c>
      <c r="D31" s="40">
        <v>77.803625776507474</v>
      </c>
      <c r="E31" s="40">
        <v>66.25</v>
      </c>
      <c r="F31" s="39">
        <v>57.5</v>
      </c>
      <c r="G31" s="40">
        <v>48.270113352743245</v>
      </c>
      <c r="H31" s="40">
        <v>50.923252006595689</v>
      </c>
      <c r="I31" s="40">
        <v>62.5</v>
      </c>
      <c r="J31" s="40">
        <v>61.180025957939776</v>
      </c>
      <c r="K31" s="38">
        <v>28</v>
      </c>
      <c r="M31" s="41"/>
      <c r="N31" s="41"/>
      <c r="O31" s="59" t="s">
        <v>36</v>
      </c>
      <c r="P31" s="38">
        <v>2</v>
      </c>
      <c r="Q31" s="40">
        <v>59.871244422610673</v>
      </c>
      <c r="R31" s="48">
        <v>2</v>
      </c>
      <c r="T31">
        <v>3</v>
      </c>
      <c r="U31" s="41">
        <v>158</v>
      </c>
      <c r="V31" s="41">
        <v>45.527999999999999</v>
      </c>
      <c r="W31" s="48" t="s">
        <v>418</v>
      </c>
      <c r="X31" t="s">
        <v>418</v>
      </c>
      <c r="Y31" t="s">
        <v>381</v>
      </c>
      <c r="Z31" t="s">
        <v>418</v>
      </c>
      <c r="AC31" s="38" t="s">
        <v>60</v>
      </c>
      <c r="AD31" s="38">
        <v>2</v>
      </c>
      <c r="AE31" s="40">
        <v>77.803625776507474</v>
      </c>
      <c r="AF31" s="40">
        <v>66.25</v>
      </c>
      <c r="AG31" s="39">
        <v>57.5</v>
      </c>
      <c r="AH31" s="40">
        <v>50.923252006595689</v>
      </c>
      <c r="AI31" s="40">
        <v>62.5</v>
      </c>
      <c r="AJ31" s="40">
        <v>61.180025957939776</v>
      </c>
      <c r="AK31" s="38">
        <v>28</v>
      </c>
      <c r="AM31" s="41"/>
      <c r="AN31" s="48" t="s">
        <v>412</v>
      </c>
      <c r="AO31" t="s">
        <v>413</v>
      </c>
      <c r="AP31" t="s">
        <v>414</v>
      </c>
      <c r="AQ31" t="s">
        <v>417</v>
      </c>
      <c r="AV31" s="69"/>
    </row>
    <row r="32" spans="1:48" x14ac:dyDescent="0.25">
      <c r="A32" s="38" t="s">
        <v>189</v>
      </c>
      <c r="B32" s="38">
        <v>2</v>
      </c>
      <c r="C32" s="39">
        <v>80</v>
      </c>
      <c r="D32" s="40">
        <v>84.397153384686078</v>
      </c>
      <c r="E32" s="40">
        <v>68.75</v>
      </c>
      <c r="F32" s="39">
        <v>67.5</v>
      </c>
      <c r="G32" s="40">
        <v>43.640923666932252</v>
      </c>
      <c r="H32" s="40">
        <v>46.039621607093224</v>
      </c>
      <c r="I32" s="40">
        <v>50</v>
      </c>
      <c r="J32" s="40">
        <v>60.795279319774508</v>
      </c>
      <c r="K32" s="38">
        <v>29</v>
      </c>
      <c r="M32" s="41"/>
      <c r="N32" s="41"/>
      <c r="O32" s="59" t="s">
        <v>54</v>
      </c>
      <c r="P32" s="38">
        <v>2</v>
      </c>
      <c r="Q32" s="40">
        <v>59.796232283404002</v>
      </c>
      <c r="R32" s="48">
        <v>2</v>
      </c>
      <c r="T32">
        <v>4</v>
      </c>
      <c r="U32" s="41">
        <v>31</v>
      </c>
      <c r="V32" s="41">
        <v>34.905999999999999</v>
      </c>
      <c r="W32" s="48" t="s">
        <v>418</v>
      </c>
      <c r="X32" t="s">
        <v>418</v>
      </c>
      <c r="Y32" t="s">
        <v>418</v>
      </c>
      <c r="Z32" t="s">
        <v>444</v>
      </c>
      <c r="AC32" s="38" t="s">
        <v>189</v>
      </c>
      <c r="AD32" s="38">
        <v>2</v>
      </c>
      <c r="AE32" s="40">
        <v>84.397153384686078</v>
      </c>
      <c r="AF32" s="40">
        <v>68.75</v>
      </c>
      <c r="AG32" s="39">
        <v>67.5</v>
      </c>
      <c r="AH32" s="40">
        <v>46.039621607093224</v>
      </c>
      <c r="AI32" s="40">
        <v>50</v>
      </c>
      <c r="AJ32" s="40">
        <v>60.795279319774508</v>
      </c>
      <c r="AK32" s="38">
        <v>29</v>
      </c>
      <c r="AM32" s="41"/>
      <c r="AN32" s="50" t="s">
        <v>407</v>
      </c>
      <c r="AO32">
        <v>21</v>
      </c>
      <c r="AP32">
        <v>58.34</v>
      </c>
      <c r="AQ32" t="s">
        <v>383</v>
      </c>
      <c r="AR32" t="s">
        <v>418</v>
      </c>
      <c r="AS32" t="s">
        <v>418</v>
      </c>
      <c r="AV32" s="69"/>
    </row>
    <row r="33" spans="1:48" x14ac:dyDescent="0.25">
      <c r="A33" s="38" t="s">
        <v>208</v>
      </c>
      <c r="B33" s="38">
        <v>4</v>
      </c>
      <c r="C33" s="39">
        <v>61.25</v>
      </c>
      <c r="D33" s="40">
        <v>64.616570560150279</v>
      </c>
      <c r="E33" s="40">
        <v>46.25</v>
      </c>
      <c r="F33" s="39">
        <v>100</v>
      </c>
      <c r="G33" s="40">
        <v>55.582288102953207</v>
      </c>
      <c r="H33" s="40">
        <v>58.63733618120942</v>
      </c>
      <c r="I33" s="40">
        <v>50</v>
      </c>
      <c r="J33" s="40">
        <v>60.628248584513827</v>
      </c>
      <c r="K33" s="38">
        <v>30</v>
      </c>
      <c r="M33" s="41"/>
      <c r="N33" s="41"/>
      <c r="O33" s="59" t="s">
        <v>67</v>
      </c>
      <c r="P33" s="38">
        <v>2</v>
      </c>
      <c r="Q33" s="40">
        <v>59.311026490020183</v>
      </c>
      <c r="R33" s="48">
        <v>2</v>
      </c>
      <c r="T33" t="s">
        <v>420</v>
      </c>
      <c r="U33" s="41"/>
      <c r="V33" s="41"/>
      <c r="W33" s="48"/>
      <c r="AC33" s="38" t="s">
        <v>208</v>
      </c>
      <c r="AD33" s="38">
        <v>4</v>
      </c>
      <c r="AE33" s="40">
        <v>64.616570560150279</v>
      </c>
      <c r="AF33" s="40">
        <v>46.25</v>
      </c>
      <c r="AG33" s="39">
        <v>100</v>
      </c>
      <c r="AH33" s="40">
        <v>58.63733618120942</v>
      </c>
      <c r="AI33" s="40">
        <v>50</v>
      </c>
      <c r="AJ33" s="40">
        <v>60.628248584513827</v>
      </c>
      <c r="AK33" s="38">
        <v>30</v>
      </c>
      <c r="AM33" s="41"/>
      <c r="AN33" s="50" t="s">
        <v>408</v>
      </c>
      <c r="AO33">
        <v>80</v>
      </c>
      <c r="AP33">
        <v>51.003</v>
      </c>
      <c r="AQ33" t="s">
        <v>418</v>
      </c>
      <c r="AR33" t="s">
        <v>419</v>
      </c>
      <c r="AS33" t="s">
        <v>418</v>
      </c>
      <c r="AV33" s="69"/>
    </row>
    <row r="34" spans="1:48" x14ac:dyDescent="0.25">
      <c r="A34" s="38" t="s">
        <v>161</v>
      </c>
      <c r="B34" s="38">
        <v>3</v>
      </c>
      <c r="C34" s="39">
        <v>85</v>
      </c>
      <c r="D34" s="40">
        <v>89.671975471228947</v>
      </c>
      <c r="E34" s="40">
        <v>46.25</v>
      </c>
      <c r="F34" s="39">
        <v>51.25</v>
      </c>
      <c r="G34" s="40">
        <v>57.000427826104129</v>
      </c>
      <c r="H34" s="40">
        <v>60.13342312790548</v>
      </c>
      <c r="I34" s="40">
        <v>37.5</v>
      </c>
      <c r="J34" s="40">
        <v>60.112764345407982</v>
      </c>
      <c r="K34" s="38">
        <v>31</v>
      </c>
      <c r="M34" s="41"/>
      <c r="N34" s="41"/>
      <c r="O34" s="59" t="s">
        <v>158</v>
      </c>
      <c r="P34" s="38">
        <v>2</v>
      </c>
      <c r="Q34" s="40">
        <v>59.181631636685282</v>
      </c>
      <c r="R34" s="48">
        <v>2</v>
      </c>
      <c r="U34" s="41"/>
      <c r="V34" s="41"/>
      <c r="W34" s="48"/>
      <c r="AC34" s="38" t="s">
        <v>161</v>
      </c>
      <c r="AD34" s="38">
        <v>3</v>
      </c>
      <c r="AE34" s="40">
        <v>89.671975471228947</v>
      </c>
      <c r="AF34" s="40">
        <v>46.25</v>
      </c>
      <c r="AG34" s="39">
        <v>51.25</v>
      </c>
      <c r="AH34" s="40">
        <v>60.13342312790548</v>
      </c>
      <c r="AI34" s="40">
        <v>37.5</v>
      </c>
      <c r="AJ34" s="40">
        <v>60.112764345407982</v>
      </c>
      <c r="AK34" s="38">
        <v>31</v>
      </c>
      <c r="AM34" s="41"/>
      <c r="AN34" s="50" t="s">
        <v>409</v>
      </c>
      <c r="AO34">
        <v>111</v>
      </c>
      <c r="AP34">
        <v>48.710999999999999</v>
      </c>
      <c r="AQ34" t="s">
        <v>418</v>
      </c>
      <c r="AR34" t="s">
        <v>419</v>
      </c>
      <c r="AS34" t="s">
        <v>418</v>
      </c>
      <c r="AV34" s="69"/>
    </row>
    <row r="35" spans="1:48" x14ac:dyDescent="0.25">
      <c r="A35" s="38" t="s">
        <v>36</v>
      </c>
      <c r="B35" s="38">
        <v>2</v>
      </c>
      <c r="C35" s="39">
        <v>85</v>
      </c>
      <c r="D35" s="40">
        <v>89.671975471228947</v>
      </c>
      <c r="E35" s="40">
        <v>27.5</v>
      </c>
      <c r="F35" s="39">
        <v>91.25</v>
      </c>
      <c r="G35" s="40">
        <v>58.797834602954779</v>
      </c>
      <c r="H35" s="40">
        <v>62.029623320912215</v>
      </c>
      <c r="I35" s="40">
        <v>25</v>
      </c>
      <c r="J35" s="40">
        <v>59.871244422610673</v>
      </c>
      <c r="K35" s="38">
        <v>32</v>
      </c>
      <c r="M35" s="41"/>
      <c r="N35" s="41"/>
      <c r="O35" s="59" t="s">
        <v>59</v>
      </c>
      <c r="P35" s="38">
        <v>2</v>
      </c>
      <c r="Q35" s="40">
        <v>59.141245022127336</v>
      </c>
      <c r="R35" s="48">
        <v>2</v>
      </c>
      <c r="U35" s="41"/>
      <c r="V35" s="41"/>
      <c r="W35" s="48"/>
      <c r="AC35" s="38" t="s">
        <v>36</v>
      </c>
      <c r="AD35" s="38">
        <v>2</v>
      </c>
      <c r="AE35" s="40">
        <v>89.671975471228947</v>
      </c>
      <c r="AF35" s="40">
        <v>27.5</v>
      </c>
      <c r="AG35" s="39">
        <v>91.25</v>
      </c>
      <c r="AH35" s="40">
        <v>62.029623320912215</v>
      </c>
      <c r="AI35" s="40">
        <v>25</v>
      </c>
      <c r="AJ35" s="40">
        <v>59.871244422610673</v>
      </c>
      <c r="AK35" s="38">
        <v>32</v>
      </c>
      <c r="AM35" s="41"/>
      <c r="AN35" s="50" t="s">
        <v>410</v>
      </c>
      <c r="AO35">
        <v>84</v>
      </c>
      <c r="AP35">
        <v>44.988</v>
      </c>
      <c r="AQ35" t="s">
        <v>418</v>
      </c>
      <c r="AR35" t="s">
        <v>418</v>
      </c>
      <c r="AS35" t="s">
        <v>381</v>
      </c>
      <c r="AV35" s="69"/>
    </row>
    <row r="36" spans="1:48" x14ac:dyDescent="0.25">
      <c r="A36" s="38" t="s">
        <v>54</v>
      </c>
      <c r="B36" s="38">
        <v>2</v>
      </c>
      <c r="C36" s="39">
        <v>87.5</v>
      </c>
      <c r="D36" s="40">
        <v>92.24137345330989</v>
      </c>
      <c r="E36" s="40">
        <v>52.5</v>
      </c>
      <c r="F36" s="39">
        <v>73.75</v>
      </c>
      <c r="G36" s="40">
        <v>49.737274084872084</v>
      </c>
      <c r="H36" s="40">
        <v>52.432393981855064</v>
      </c>
      <c r="I36" s="40">
        <v>25</v>
      </c>
      <c r="J36" s="40">
        <v>59.796232283404002</v>
      </c>
      <c r="K36" s="38">
        <v>33</v>
      </c>
      <c r="M36" s="41"/>
      <c r="N36" s="41"/>
      <c r="O36" s="59" t="s">
        <v>124</v>
      </c>
      <c r="P36" s="38">
        <v>2</v>
      </c>
      <c r="Q36" s="40">
        <v>59.076794458198819</v>
      </c>
      <c r="R36" s="48">
        <v>2</v>
      </c>
      <c r="U36" s="41"/>
      <c r="V36" s="41"/>
      <c r="W36" s="48"/>
      <c r="AC36" s="38" t="s">
        <v>54</v>
      </c>
      <c r="AD36" s="38">
        <v>2</v>
      </c>
      <c r="AE36" s="40">
        <v>92.24137345330989</v>
      </c>
      <c r="AF36" s="40">
        <v>52.5</v>
      </c>
      <c r="AG36" s="39">
        <v>73.75</v>
      </c>
      <c r="AH36" s="40">
        <v>52.432393981855064</v>
      </c>
      <c r="AI36" s="40">
        <v>25</v>
      </c>
      <c r="AJ36" s="40">
        <v>59.796232283404002</v>
      </c>
      <c r="AK36" s="38">
        <v>33</v>
      </c>
      <c r="AM36" s="41"/>
      <c r="AN36" s="48" t="s">
        <v>420</v>
      </c>
      <c r="AV36" s="69"/>
    </row>
    <row r="37" spans="1:48" x14ac:dyDescent="0.25">
      <c r="A37" s="38" t="s">
        <v>185</v>
      </c>
      <c r="B37" s="38">
        <v>3</v>
      </c>
      <c r="C37" s="39">
        <v>91.25</v>
      </c>
      <c r="D37" s="40">
        <v>96.265503079407551</v>
      </c>
      <c r="E37" s="40">
        <v>46.25</v>
      </c>
      <c r="F37" s="39">
        <v>91.25</v>
      </c>
      <c r="G37" s="40">
        <v>40.200509441595187</v>
      </c>
      <c r="H37" s="40">
        <v>42.410107018560375</v>
      </c>
      <c r="I37" s="40">
        <v>50</v>
      </c>
      <c r="J37" s="40">
        <v>59.592143423305657</v>
      </c>
      <c r="K37" s="38">
        <v>34</v>
      </c>
      <c r="M37" s="41"/>
      <c r="N37" s="41"/>
      <c r="O37" s="59" t="s">
        <v>179</v>
      </c>
      <c r="P37" s="38">
        <v>2</v>
      </c>
      <c r="Q37" s="40">
        <v>58.373761048861006</v>
      </c>
      <c r="R37" s="48">
        <v>2</v>
      </c>
      <c r="U37" s="41"/>
      <c r="V37" s="41"/>
      <c r="W37" s="48"/>
      <c r="AC37" s="38" t="s">
        <v>185</v>
      </c>
      <c r="AD37" s="38">
        <v>3</v>
      </c>
      <c r="AE37" s="40">
        <v>96.265503079407551</v>
      </c>
      <c r="AF37" s="40">
        <v>46.25</v>
      </c>
      <c r="AG37" s="39">
        <v>91.25</v>
      </c>
      <c r="AH37" s="40">
        <v>42.410107018560375</v>
      </c>
      <c r="AI37" s="40">
        <v>50</v>
      </c>
      <c r="AJ37" s="40">
        <v>59.592143423305657</v>
      </c>
      <c r="AK37" s="38">
        <v>34</v>
      </c>
      <c r="AM37" s="41"/>
      <c r="AN37" s="48"/>
      <c r="AV37" s="69"/>
    </row>
    <row r="38" spans="1:48" ht="15" thickBot="1" x14ac:dyDescent="0.3">
      <c r="A38" s="38" t="s">
        <v>67</v>
      </c>
      <c r="B38" s="38">
        <v>2</v>
      </c>
      <c r="C38" s="39">
        <v>81.25</v>
      </c>
      <c r="D38" s="40">
        <v>85.715858906321799</v>
      </c>
      <c r="E38" s="40">
        <v>52.5</v>
      </c>
      <c r="F38" s="39">
        <v>66.25</v>
      </c>
      <c r="G38" s="40">
        <v>53.420888749658332</v>
      </c>
      <c r="H38" s="40">
        <v>56.357136771889564</v>
      </c>
      <c r="I38" s="40">
        <v>25</v>
      </c>
      <c r="J38" s="40">
        <v>59.311026490020183</v>
      </c>
      <c r="K38" s="38">
        <v>35</v>
      </c>
      <c r="M38" s="41"/>
      <c r="N38" s="41"/>
      <c r="O38" s="59" t="s">
        <v>150</v>
      </c>
      <c r="P38" s="38">
        <v>2</v>
      </c>
      <c r="Q38" s="40">
        <v>57.984095824863829</v>
      </c>
      <c r="R38" s="48">
        <v>2</v>
      </c>
      <c r="U38" s="41"/>
      <c r="V38" s="41"/>
      <c r="W38" s="48"/>
      <c r="AC38" s="38" t="s">
        <v>67</v>
      </c>
      <c r="AD38" s="38">
        <v>2</v>
      </c>
      <c r="AE38" s="40">
        <v>85.715858906321799</v>
      </c>
      <c r="AF38" s="40">
        <v>52.5</v>
      </c>
      <c r="AG38" s="39">
        <v>66.25</v>
      </c>
      <c r="AH38" s="40">
        <v>56.357136771889564</v>
      </c>
      <c r="AI38" s="40">
        <v>25</v>
      </c>
      <c r="AJ38" s="40">
        <v>59.311026490020183</v>
      </c>
      <c r="AK38" s="38">
        <v>35</v>
      </c>
      <c r="AM38" s="41"/>
      <c r="AN38" s="48"/>
      <c r="AV38" s="69"/>
    </row>
    <row r="39" spans="1:48" ht="15" thickBot="1" x14ac:dyDescent="0.3">
      <c r="A39" s="38" t="s">
        <v>53</v>
      </c>
      <c r="B39" s="38">
        <v>3</v>
      </c>
      <c r="C39" s="39">
        <v>67.5</v>
      </c>
      <c r="D39" s="40">
        <v>71.210098168328869</v>
      </c>
      <c r="E39" s="40">
        <v>46.25</v>
      </c>
      <c r="F39" s="39">
        <v>83.75</v>
      </c>
      <c r="G39" s="40">
        <v>52.951430480674397</v>
      </c>
      <c r="H39" s="40">
        <v>55.861875002700231</v>
      </c>
      <c r="I39" s="40">
        <v>50</v>
      </c>
      <c r="J39" s="40">
        <v>59.21176963474587</v>
      </c>
      <c r="K39" s="38">
        <v>36</v>
      </c>
      <c r="M39" s="41"/>
      <c r="N39" s="41"/>
      <c r="O39" s="59" t="s">
        <v>102</v>
      </c>
      <c r="P39" s="38">
        <v>2</v>
      </c>
      <c r="Q39" s="40">
        <v>57.796393277066002</v>
      </c>
      <c r="R39" s="48">
        <v>2</v>
      </c>
      <c r="T39" s="61"/>
      <c r="U39" s="62" t="s">
        <v>413</v>
      </c>
      <c r="V39" s="62" t="s">
        <v>414</v>
      </c>
      <c r="W39" s="62" t="s">
        <v>415</v>
      </c>
      <c r="X39" s="62" t="s">
        <v>416</v>
      </c>
      <c r="Y39" s="62" t="s">
        <v>445</v>
      </c>
      <c r="AC39" s="38" t="s">
        <v>53</v>
      </c>
      <c r="AD39" s="38">
        <v>3</v>
      </c>
      <c r="AE39" s="40">
        <v>71.210098168328869</v>
      </c>
      <c r="AF39" s="40">
        <v>46.25</v>
      </c>
      <c r="AG39" s="39">
        <v>83.75</v>
      </c>
      <c r="AH39" s="40">
        <v>55.861875002700231</v>
      </c>
      <c r="AI39" s="40">
        <v>50</v>
      </c>
      <c r="AJ39" s="40">
        <v>59.21176963474587</v>
      </c>
      <c r="AK39" s="38">
        <v>36</v>
      </c>
      <c r="AM39" s="41"/>
      <c r="AN39" s="48"/>
      <c r="AV39" s="69"/>
    </row>
    <row r="40" spans="1:48" ht="15" thickBot="1" x14ac:dyDescent="0.3">
      <c r="A40" s="38" t="s">
        <v>158</v>
      </c>
      <c r="B40" s="38">
        <v>2</v>
      </c>
      <c r="C40" s="39">
        <v>78.75</v>
      </c>
      <c r="D40" s="40">
        <v>83.078447863050357</v>
      </c>
      <c r="E40" s="40">
        <v>57.5</v>
      </c>
      <c r="F40" s="39">
        <v>75</v>
      </c>
      <c r="G40" s="40">
        <v>43.996607277619418</v>
      </c>
      <c r="H40" s="40">
        <v>46.414855160188019</v>
      </c>
      <c r="I40" s="40">
        <v>50</v>
      </c>
      <c r="J40" s="40">
        <v>59.181631636685282</v>
      </c>
      <c r="K40" s="38">
        <v>37</v>
      </c>
      <c r="M40" s="41"/>
      <c r="N40" s="41"/>
      <c r="O40" s="59" t="s">
        <v>147</v>
      </c>
      <c r="P40" s="38">
        <v>2</v>
      </c>
      <c r="Q40" s="40">
        <v>56.78336725981778</v>
      </c>
      <c r="R40" s="48">
        <v>2</v>
      </c>
      <c r="T40" s="63" t="s">
        <v>443</v>
      </c>
      <c r="U40" s="64">
        <v>9</v>
      </c>
      <c r="V40" s="64">
        <v>68.63</v>
      </c>
      <c r="W40" s="64">
        <v>3.56</v>
      </c>
      <c r="X40" s="64" t="s">
        <v>438</v>
      </c>
      <c r="Y40" s="56" t="s">
        <v>383</v>
      </c>
      <c r="AC40" s="38" t="s">
        <v>158</v>
      </c>
      <c r="AD40" s="38">
        <v>2</v>
      </c>
      <c r="AE40" s="40">
        <v>83.078447863050357</v>
      </c>
      <c r="AF40" s="40">
        <v>57.5</v>
      </c>
      <c r="AG40" s="39">
        <v>75</v>
      </c>
      <c r="AH40" s="40">
        <v>46.414855160188019</v>
      </c>
      <c r="AI40" s="40">
        <v>50</v>
      </c>
      <c r="AJ40" s="40">
        <v>59.181631636685282</v>
      </c>
      <c r="AK40" s="38">
        <v>37</v>
      </c>
      <c r="AM40" s="41"/>
      <c r="AN40" s="48"/>
      <c r="AV40" s="69"/>
    </row>
    <row r="41" spans="1:48" ht="15" thickBot="1" x14ac:dyDescent="0.3">
      <c r="A41" s="38" t="s">
        <v>59</v>
      </c>
      <c r="B41" s="38">
        <v>2</v>
      </c>
      <c r="C41" s="39">
        <v>91.25</v>
      </c>
      <c r="D41" s="40">
        <v>96.265503079407551</v>
      </c>
      <c r="E41" s="40">
        <v>41.25</v>
      </c>
      <c r="F41" s="39">
        <v>83.75</v>
      </c>
      <c r="G41" s="40">
        <v>49.203423512654425</v>
      </c>
      <c r="H41" s="40">
        <v>51.907861015614557</v>
      </c>
      <c r="I41" s="40">
        <v>25</v>
      </c>
      <c r="J41" s="40">
        <v>59.141245022127336</v>
      </c>
      <c r="K41" s="38">
        <v>38</v>
      </c>
      <c r="M41" s="41"/>
      <c r="N41" s="41"/>
      <c r="O41" s="59" t="s">
        <v>57</v>
      </c>
      <c r="P41" s="38">
        <v>2</v>
      </c>
      <c r="Q41" s="40">
        <v>56.442992500320365</v>
      </c>
      <c r="R41" s="48">
        <v>2</v>
      </c>
      <c r="T41" s="63" t="s">
        <v>446</v>
      </c>
      <c r="U41" s="64">
        <v>98</v>
      </c>
      <c r="V41" s="64">
        <v>57.122999999999998</v>
      </c>
      <c r="W41" s="64">
        <v>3.2120000000000002</v>
      </c>
      <c r="X41" s="64" t="s">
        <v>439</v>
      </c>
      <c r="Y41" s="56" t="s">
        <v>419</v>
      </c>
      <c r="AC41" s="38" t="s">
        <v>59</v>
      </c>
      <c r="AD41" s="38">
        <v>2</v>
      </c>
      <c r="AE41" s="40">
        <v>96.265503079407551</v>
      </c>
      <c r="AF41" s="40">
        <v>41.25</v>
      </c>
      <c r="AG41" s="39">
        <v>83.75</v>
      </c>
      <c r="AH41" s="40">
        <v>51.907861015614557</v>
      </c>
      <c r="AI41" s="40">
        <v>25</v>
      </c>
      <c r="AJ41" s="40">
        <v>59.141245022127336</v>
      </c>
      <c r="AK41" s="38">
        <v>38</v>
      </c>
      <c r="AM41" s="41"/>
      <c r="AN41" s="48"/>
      <c r="AV41" s="69"/>
    </row>
    <row r="42" spans="1:48" ht="15" thickBot="1" x14ac:dyDescent="0.3">
      <c r="A42" s="38" t="s">
        <v>124</v>
      </c>
      <c r="B42" s="38">
        <v>2</v>
      </c>
      <c r="C42" s="39">
        <v>91.25</v>
      </c>
      <c r="D42" s="40">
        <v>96.265503079407551</v>
      </c>
      <c r="E42" s="40">
        <v>65</v>
      </c>
      <c r="F42" s="39">
        <v>73.75</v>
      </c>
      <c r="G42" s="40">
        <v>40.164136259583046</v>
      </c>
      <c r="H42" s="40">
        <v>42.371734605793272</v>
      </c>
      <c r="I42" s="40">
        <v>25</v>
      </c>
      <c r="J42" s="40">
        <v>59.076794458198819</v>
      </c>
      <c r="K42" s="38">
        <v>39</v>
      </c>
      <c r="M42" s="41"/>
      <c r="N42" s="41"/>
      <c r="O42" s="59" t="s">
        <v>79</v>
      </c>
      <c r="P42" s="38">
        <v>2</v>
      </c>
      <c r="Q42" s="40">
        <v>56.379207048750445</v>
      </c>
      <c r="R42" s="48">
        <v>2</v>
      </c>
      <c r="T42" s="63" t="s">
        <v>447</v>
      </c>
      <c r="U42" s="64">
        <v>158</v>
      </c>
      <c r="V42" s="64">
        <v>45.527999999999999</v>
      </c>
      <c r="W42" s="64">
        <v>3.4249999999999998</v>
      </c>
      <c r="X42" s="64" t="s">
        <v>440</v>
      </c>
      <c r="Y42" s="56" t="s">
        <v>449</v>
      </c>
      <c r="AC42" s="38" t="s">
        <v>124</v>
      </c>
      <c r="AD42" s="38">
        <v>2</v>
      </c>
      <c r="AE42" s="40">
        <v>96.265503079407551</v>
      </c>
      <c r="AF42" s="40">
        <v>65</v>
      </c>
      <c r="AG42" s="39">
        <v>73.75</v>
      </c>
      <c r="AH42" s="40">
        <v>42.371734605793272</v>
      </c>
      <c r="AI42" s="40">
        <v>25</v>
      </c>
      <c r="AJ42" s="40">
        <v>59.076794458198819</v>
      </c>
      <c r="AK42" s="38">
        <v>39</v>
      </c>
      <c r="AM42" s="41"/>
      <c r="AN42" s="48"/>
      <c r="AV42" s="69"/>
    </row>
    <row r="43" spans="1:48" ht="15" thickBot="1" x14ac:dyDescent="0.3">
      <c r="A43" s="38" t="s">
        <v>210</v>
      </c>
      <c r="B43" s="38">
        <v>4</v>
      </c>
      <c r="C43" s="39">
        <v>58.75</v>
      </c>
      <c r="D43" s="40">
        <v>61.979159516878838</v>
      </c>
      <c r="E43" s="40">
        <v>65</v>
      </c>
      <c r="F43" s="39">
        <v>91.25</v>
      </c>
      <c r="G43" s="40">
        <v>51.609465679456605</v>
      </c>
      <c r="H43" s="40">
        <v>54.446149888134883</v>
      </c>
      <c r="I43" s="40">
        <v>25</v>
      </c>
      <c r="J43" s="40">
        <v>58.799291858629715</v>
      </c>
      <c r="K43" s="38">
        <v>40</v>
      </c>
      <c r="M43" s="41"/>
      <c r="N43" s="41"/>
      <c r="O43" s="59" t="s">
        <v>215</v>
      </c>
      <c r="P43" s="38">
        <v>2</v>
      </c>
      <c r="Q43" s="40">
        <v>56.33420553119069</v>
      </c>
      <c r="R43" s="48">
        <v>2</v>
      </c>
      <c r="T43" s="63" t="s">
        <v>448</v>
      </c>
      <c r="U43" s="64">
        <v>31</v>
      </c>
      <c r="V43" s="64">
        <v>34.905999999999999</v>
      </c>
      <c r="W43" s="64">
        <v>3.4140000000000001</v>
      </c>
      <c r="X43" s="64" t="s">
        <v>441</v>
      </c>
      <c r="Y43" s="56" t="s">
        <v>450</v>
      </c>
      <c r="AC43" s="38" t="s">
        <v>210</v>
      </c>
      <c r="AD43" s="38">
        <v>4</v>
      </c>
      <c r="AE43" s="40">
        <v>61.979159516878838</v>
      </c>
      <c r="AF43" s="40">
        <v>65</v>
      </c>
      <c r="AG43" s="39">
        <v>91.25</v>
      </c>
      <c r="AH43" s="40">
        <v>54.446149888134883</v>
      </c>
      <c r="AI43" s="40">
        <v>25</v>
      </c>
      <c r="AJ43" s="40">
        <v>58.799291858629715</v>
      </c>
      <c r="AK43" s="38">
        <v>40</v>
      </c>
      <c r="AM43" s="41"/>
      <c r="AN43" s="48"/>
      <c r="AV43" s="69"/>
    </row>
    <row r="44" spans="1:48" x14ac:dyDescent="0.25">
      <c r="A44" s="38" t="s">
        <v>62</v>
      </c>
      <c r="B44" s="38">
        <v>3</v>
      </c>
      <c r="C44" s="39">
        <v>93.75</v>
      </c>
      <c r="D44" s="40">
        <v>98.902914122678993</v>
      </c>
      <c r="E44" s="40">
        <v>28.75</v>
      </c>
      <c r="F44" s="39">
        <v>75</v>
      </c>
      <c r="G44" s="40">
        <v>51.527779954118174</v>
      </c>
      <c r="H44" s="40">
        <v>54.3599743545008</v>
      </c>
      <c r="I44" s="40">
        <v>37.5</v>
      </c>
      <c r="J44" s="40">
        <v>58.524572566336118</v>
      </c>
      <c r="K44" s="38">
        <v>41</v>
      </c>
      <c r="M44" s="41"/>
      <c r="N44" s="41"/>
      <c r="O44" s="59" t="s">
        <v>85</v>
      </c>
      <c r="P44" s="38">
        <v>2</v>
      </c>
      <c r="Q44" s="40">
        <v>56.270418938768586</v>
      </c>
      <c r="R44" s="48">
        <v>2</v>
      </c>
      <c r="U44" s="41"/>
      <c r="V44" s="41"/>
      <c r="W44" s="48"/>
      <c r="AC44" s="38" t="s">
        <v>62</v>
      </c>
      <c r="AD44" s="38">
        <v>3</v>
      </c>
      <c r="AE44" s="40">
        <v>98.902914122678993</v>
      </c>
      <c r="AF44" s="40">
        <v>28.75</v>
      </c>
      <c r="AG44" s="39">
        <v>75</v>
      </c>
      <c r="AH44" s="40">
        <v>54.3599743545008</v>
      </c>
      <c r="AI44" s="40">
        <v>37.5</v>
      </c>
      <c r="AJ44" s="40">
        <v>58.524572566336118</v>
      </c>
      <c r="AK44" s="38">
        <v>41</v>
      </c>
      <c r="AM44" s="41"/>
      <c r="AN44" s="48"/>
      <c r="AV44" s="69"/>
    </row>
    <row r="45" spans="1:48" x14ac:dyDescent="0.25">
      <c r="A45" s="38" t="s">
        <v>179</v>
      </c>
      <c r="B45" s="38">
        <v>2</v>
      </c>
      <c r="C45" s="39">
        <v>70</v>
      </c>
      <c r="D45" s="40">
        <v>73.847509211600311</v>
      </c>
      <c r="E45" s="40">
        <v>58.75</v>
      </c>
      <c r="F45" s="39">
        <v>83.75</v>
      </c>
      <c r="G45" s="40">
        <v>46.753375950049126</v>
      </c>
      <c r="H45" s="40">
        <v>49.323148016352363</v>
      </c>
      <c r="I45" s="40">
        <v>37.5</v>
      </c>
      <c r="J45" s="40">
        <v>58.373761048861006</v>
      </c>
      <c r="K45" s="38">
        <v>42</v>
      </c>
      <c r="M45" s="41"/>
      <c r="N45" s="41"/>
      <c r="O45" s="59" t="s">
        <v>98</v>
      </c>
      <c r="P45" s="38">
        <v>2</v>
      </c>
      <c r="Q45" s="40">
        <v>56.027918978654583</v>
      </c>
      <c r="R45" s="48">
        <v>2</v>
      </c>
      <c r="U45" s="41"/>
      <c r="V45" s="41"/>
      <c r="W45" s="48"/>
      <c r="AC45" s="38" t="s">
        <v>179</v>
      </c>
      <c r="AD45" s="38">
        <v>2</v>
      </c>
      <c r="AE45" s="40">
        <v>73.847509211600311</v>
      </c>
      <c r="AF45" s="40">
        <v>58.75</v>
      </c>
      <c r="AG45" s="39">
        <v>83.75</v>
      </c>
      <c r="AH45" s="40">
        <v>49.323148016352363</v>
      </c>
      <c r="AI45" s="40">
        <v>37.5</v>
      </c>
      <c r="AJ45" s="40">
        <v>58.373761048861006</v>
      </c>
      <c r="AK45" s="38">
        <v>42</v>
      </c>
      <c r="AM45" s="41"/>
      <c r="AN45" s="48"/>
      <c r="AV45" s="69"/>
    </row>
    <row r="46" spans="1:48" x14ac:dyDescent="0.25">
      <c r="A46" s="38" t="s">
        <v>228</v>
      </c>
      <c r="B46" s="38">
        <v>3</v>
      </c>
      <c r="C46" s="39">
        <v>81.25</v>
      </c>
      <c r="D46" s="40">
        <v>85.715858906321799</v>
      </c>
      <c r="E46" s="40">
        <v>47.5</v>
      </c>
      <c r="F46" s="39">
        <v>73.75</v>
      </c>
      <c r="G46" s="40">
        <v>45.283465518559382</v>
      </c>
      <c r="H46" s="40">
        <v>47.772444814499991</v>
      </c>
      <c r="I46" s="40">
        <v>50</v>
      </c>
      <c r="J46" s="40">
        <v>58.127149707064355</v>
      </c>
      <c r="K46" s="38">
        <v>43</v>
      </c>
      <c r="M46" s="41"/>
      <c r="N46" s="41"/>
      <c r="O46" s="59" t="s">
        <v>117</v>
      </c>
      <c r="P46" s="38">
        <v>2</v>
      </c>
      <c r="Q46" s="40">
        <v>55.500572009720827</v>
      </c>
      <c r="R46" s="48">
        <v>2</v>
      </c>
      <c r="U46" s="41"/>
      <c r="V46" s="41"/>
      <c r="W46" s="48"/>
      <c r="AC46" s="38" t="s">
        <v>228</v>
      </c>
      <c r="AD46" s="38">
        <v>3</v>
      </c>
      <c r="AE46" s="40">
        <v>85.715858906321799</v>
      </c>
      <c r="AF46" s="40">
        <v>47.5</v>
      </c>
      <c r="AG46" s="39">
        <v>73.75</v>
      </c>
      <c r="AH46" s="40">
        <v>47.772444814499991</v>
      </c>
      <c r="AI46" s="40">
        <v>50</v>
      </c>
      <c r="AJ46" s="40">
        <v>58.127149707064355</v>
      </c>
      <c r="AK46" s="38">
        <v>43</v>
      </c>
      <c r="AM46" s="41"/>
      <c r="AN46" s="48"/>
      <c r="AV46" s="69"/>
    </row>
    <row r="47" spans="1:48" x14ac:dyDescent="0.25">
      <c r="A47" s="38" t="s">
        <v>230</v>
      </c>
      <c r="B47" s="38">
        <v>3</v>
      </c>
      <c r="C47" s="39">
        <v>91.25</v>
      </c>
      <c r="D47" s="40">
        <v>96.265503079407551</v>
      </c>
      <c r="E47" s="40">
        <v>47.5</v>
      </c>
      <c r="F47" s="39">
        <v>66.25</v>
      </c>
      <c r="G47" s="40">
        <v>50.795125466305208</v>
      </c>
      <c r="H47" s="40">
        <v>53.587049939676682</v>
      </c>
      <c r="I47" s="40">
        <v>12.5</v>
      </c>
      <c r="J47" s="40">
        <v>58.062920591752182</v>
      </c>
      <c r="K47" s="38">
        <v>44</v>
      </c>
      <c r="M47" s="41"/>
      <c r="N47" s="41"/>
      <c r="O47" s="59" t="s">
        <v>151</v>
      </c>
      <c r="P47" s="38">
        <v>2</v>
      </c>
      <c r="Q47" s="40">
        <v>55.212149101113042</v>
      </c>
      <c r="R47" s="48">
        <v>2</v>
      </c>
      <c r="U47" s="41"/>
      <c r="V47" s="41"/>
      <c r="W47" s="48"/>
      <c r="AC47" s="38" t="s">
        <v>230</v>
      </c>
      <c r="AD47" s="38">
        <v>3</v>
      </c>
      <c r="AE47" s="40">
        <v>96.265503079407551</v>
      </c>
      <c r="AF47" s="40">
        <v>47.5</v>
      </c>
      <c r="AG47" s="39">
        <v>66.25</v>
      </c>
      <c r="AH47" s="40">
        <v>53.587049939676682</v>
      </c>
      <c r="AI47" s="40">
        <v>12.5</v>
      </c>
      <c r="AJ47" s="40">
        <v>58.062920591752182</v>
      </c>
      <c r="AK47" s="38">
        <v>44</v>
      </c>
      <c r="AM47" s="41"/>
      <c r="AN47" s="48"/>
      <c r="AV47" s="69"/>
    </row>
    <row r="48" spans="1:48" x14ac:dyDescent="0.25">
      <c r="A48" s="38" t="s">
        <v>150</v>
      </c>
      <c r="B48" s="38">
        <v>2</v>
      </c>
      <c r="C48" s="39">
        <v>85</v>
      </c>
      <c r="D48" s="40">
        <v>89.671975471228947</v>
      </c>
      <c r="E48" s="40">
        <v>46.25</v>
      </c>
      <c r="F48" s="39">
        <v>82.5</v>
      </c>
      <c r="G48" s="40">
        <v>44.550556450472094</v>
      </c>
      <c r="H48" s="40">
        <v>46.999251826545112</v>
      </c>
      <c r="I48" s="40">
        <v>37.5</v>
      </c>
      <c r="J48" s="40">
        <v>57.984095824863829</v>
      </c>
      <c r="K48" s="38">
        <v>45</v>
      </c>
      <c r="M48" s="41"/>
      <c r="N48" s="41"/>
      <c r="O48" s="59" t="s">
        <v>113</v>
      </c>
      <c r="P48" s="38">
        <v>2</v>
      </c>
      <c r="Q48" s="40">
        <v>54.694962824625506</v>
      </c>
      <c r="R48" s="48">
        <v>2</v>
      </c>
      <c r="U48" s="41"/>
      <c r="V48" s="41"/>
      <c r="W48" s="48"/>
      <c r="AC48" s="38" t="s">
        <v>150</v>
      </c>
      <c r="AD48" s="38">
        <v>2</v>
      </c>
      <c r="AE48" s="40">
        <v>89.671975471228947</v>
      </c>
      <c r="AF48" s="40">
        <v>46.25</v>
      </c>
      <c r="AG48" s="39">
        <v>82.5</v>
      </c>
      <c r="AH48" s="40">
        <v>46.999251826545112</v>
      </c>
      <c r="AI48" s="40">
        <v>37.5</v>
      </c>
      <c r="AJ48" s="40">
        <v>57.984095824863829</v>
      </c>
      <c r="AK48" s="38">
        <v>45</v>
      </c>
      <c r="AM48" s="41"/>
      <c r="AN48" s="48"/>
      <c r="AV48" s="69"/>
    </row>
    <row r="49" spans="1:48" x14ac:dyDescent="0.25">
      <c r="A49" s="38" t="s">
        <v>127</v>
      </c>
      <c r="B49" s="38">
        <v>4</v>
      </c>
      <c r="C49" s="39">
        <v>85</v>
      </c>
      <c r="D49" s="40">
        <v>89.671975471228947</v>
      </c>
      <c r="E49" s="40">
        <v>33.75</v>
      </c>
      <c r="F49" s="39">
        <v>58.75</v>
      </c>
      <c r="G49" s="40">
        <v>53.129408592295377</v>
      </c>
      <c r="H49" s="40">
        <v>56.049635577520142</v>
      </c>
      <c r="I49" s="40">
        <v>50</v>
      </c>
      <c r="J49" s="40">
        <v>57.979249325253846</v>
      </c>
      <c r="K49" s="38">
        <v>46</v>
      </c>
      <c r="M49" s="41"/>
      <c r="N49" s="41"/>
      <c r="O49" s="59" t="s">
        <v>78</v>
      </c>
      <c r="P49" s="38">
        <v>2</v>
      </c>
      <c r="Q49" s="40">
        <v>54.468966549078331</v>
      </c>
      <c r="R49" s="48">
        <v>2</v>
      </c>
      <c r="U49" s="41"/>
      <c r="V49" s="41"/>
      <c r="W49" s="48"/>
      <c r="AC49" s="38" t="s">
        <v>127</v>
      </c>
      <c r="AD49" s="38">
        <v>4</v>
      </c>
      <c r="AE49" s="40">
        <v>89.671975471228947</v>
      </c>
      <c r="AF49" s="40">
        <v>33.75</v>
      </c>
      <c r="AG49" s="39">
        <v>58.75</v>
      </c>
      <c r="AH49" s="40">
        <v>56.049635577520142</v>
      </c>
      <c r="AI49" s="40">
        <v>50</v>
      </c>
      <c r="AJ49" s="40">
        <v>57.979249325253846</v>
      </c>
      <c r="AK49" s="38">
        <v>46</v>
      </c>
      <c r="AM49" s="41"/>
      <c r="AN49" s="48"/>
      <c r="AV49" s="69"/>
    </row>
    <row r="50" spans="1:48" x14ac:dyDescent="0.25">
      <c r="A50" s="38" t="s">
        <v>193</v>
      </c>
      <c r="B50" s="38">
        <v>3</v>
      </c>
      <c r="C50" s="39">
        <v>91.25</v>
      </c>
      <c r="D50" s="40">
        <v>96.265503079407551</v>
      </c>
      <c r="E50" s="40">
        <v>47.5</v>
      </c>
      <c r="F50" s="39">
        <v>58.75</v>
      </c>
      <c r="G50" s="40">
        <v>49.026156746963295</v>
      </c>
      <c r="H50" s="40">
        <v>51.720850885439042</v>
      </c>
      <c r="I50" s="40">
        <v>25</v>
      </c>
      <c r="J50" s="40">
        <v>57.81644097005713</v>
      </c>
      <c r="K50" s="38">
        <v>47</v>
      </c>
      <c r="M50" s="41"/>
      <c r="N50" s="41"/>
      <c r="O50" s="59" t="s">
        <v>64</v>
      </c>
      <c r="P50" s="38">
        <v>2</v>
      </c>
      <c r="Q50" s="40">
        <v>54.449087749037375</v>
      </c>
      <c r="R50" s="48">
        <v>2</v>
      </c>
      <c r="U50" s="41"/>
      <c r="V50" s="41"/>
      <c r="W50" s="48"/>
      <c r="AC50" s="38" t="s">
        <v>193</v>
      </c>
      <c r="AD50" s="38">
        <v>3</v>
      </c>
      <c r="AE50" s="40">
        <v>96.265503079407551</v>
      </c>
      <c r="AF50" s="40">
        <v>47.5</v>
      </c>
      <c r="AG50" s="39">
        <v>58.75</v>
      </c>
      <c r="AH50" s="40">
        <v>51.720850885439042</v>
      </c>
      <c r="AI50" s="40">
        <v>25</v>
      </c>
      <c r="AJ50" s="40">
        <v>57.81644097005713</v>
      </c>
      <c r="AK50" s="38">
        <v>47</v>
      </c>
      <c r="AM50" s="41"/>
      <c r="AN50" s="48"/>
      <c r="AV50" s="69"/>
    </row>
    <row r="51" spans="1:48" x14ac:dyDescent="0.25">
      <c r="A51" s="38" t="s">
        <v>102</v>
      </c>
      <c r="B51" s="38">
        <v>2</v>
      </c>
      <c r="C51" s="39">
        <v>85</v>
      </c>
      <c r="D51" s="40">
        <v>89.671975471228947</v>
      </c>
      <c r="E51" s="40">
        <v>35</v>
      </c>
      <c r="F51" s="39">
        <v>73.75</v>
      </c>
      <c r="G51" s="40">
        <v>48.549026504340844</v>
      </c>
      <c r="H51" s="40">
        <v>51.217495457050546</v>
      </c>
      <c r="I51" s="40">
        <v>50</v>
      </c>
      <c r="J51" s="40">
        <v>57.796393277066002</v>
      </c>
      <c r="K51" s="38">
        <v>48</v>
      </c>
      <c r="M51" s="41"/>
      <c r="N51" s="41"/>
      <c r="O51" s="59" t="s">
        <v>171</v>
      </c>
      <c r="P51" s="38">
        <v>2</v>
      </c>
      <c r="Q51" s="40">
        <v>54.417870158124124</v>
      </c>
      <c r="R51" s="48">
        <v>2</v>
      </c>
      <c r="U51" s="41"/>
      <c r="V51" s="41"/>
      <c r="W51" s="48"/>
      <c r="AC51" s="38" t="s">
        <v>102</v>
      </c>
      <c r="AD51" s="38">
        <v>2</v>
      </c>
      <c r="AE51" s="40">
        <v>89.671975471228947</v>
      </c>
      <c r="AF51" s="40">
        <v>35</v>
      </c>
      <c r="AG51" s="39">
        <v>73.75</v>
      </c>
      <c r="AH51" s="40">
        <v>51.217495457050546</v>
      </c>
      <c r="AI51" s="40">
        <v>50</v>
      </c>
      <c r="AJ51" s="40">
        <v>57.796393277066002</v>
      </c>
      <c r="AK51" s="38">
        <v>48</v>
      </c>
      <c r="AM51" s="41"/>
      <c r="AN51" s="48"/>
      <c r="AV51" s="69"/>
    </row>
    <row r="52" spans="1:48" x14ac:dyDescent="0.25">
      <c r="A52" s="38" t="s">
        <v>254</v>
      </c>
      <c r="B52" s="38">
        <v>3</v>
      </c>
      <c r="C52" s="39">
        <v>93.75</v>
      </c>
      <c r="D52" s="40">
        <v>98.902914122678993</v>
      </c>
      <c r="E52" s="40">
        <v>43.75</v>
      </c>
      <c r="F52" s="39">
        <v>58.75</v>
      </c>
      <c r="G52" s="40">
        <v>49.103086491616381</v>
      </c>
      <c r="H52" s="40">
        <v>51.802009028680679</v>
      </c>
      <c r="I52" s="40">
        <v>25</v>
      </c>
      <c r="J52" s="40">
        <v>57.626386436008076</v>
      </c>
      <c r="K52" s="38">
        <v>49</v>
      </c>
      <c r="M52" s="41"/>
      <c r="N52" s="41"/>
      <c r="O52" s="59" t="s">
        <v>83</v>
      </c>
      <c r="P52" s="38">
        <v>2</v>
      </c>
      <c r="Q52" s="40">
        <v>54.30288522936651</v>
      </c>
      <c r="R52" s="48">
        <v>2</v>
      </c>
      <c r="U52" s="41"/>
      <c r="V52" s="41"/>
      <c r="W52" s="48"/>
      <c r="AC52" s="38" t="s">
        <v>254</v>
      </c>
      <c r="AD52" s="38">
        <v>3</v>
      </c>
      <c r="AE52" s="40">
        <v>98.902914122678993</v>
      </c>
      <c r="AF52" s="40">
        <v>43.75</v>
      </c>
      <c r="AG52" s="39">
        <v>58.75</v>
      </c>
      <c r="AH52" s="40">
        <v>51.802009028680679</v>
      </c>
      <c r="AI52" s="40">
        <v>25</v>
      </c>
      <c r="AJ52" s="40">
        <v>57.626386436008076</v>
      </c>
      <c r="AK52" s="38">
        <v>49</v>
      </c>
      <c r="AM52" s="41"/>
      <c r="AN52" s="48"/>
      <c r="AV52" s="69"/>
    </row>
    <row r="53" spans="1:48" x14ac:dyDescent="0.25">
      <c r="A53" s="38" t="s">
        <v>240</v>
      </c>
      <c r="B53" s="38">
        <v>4</v>
      </c>
      <c r="C53" s="39">
        <v>66.25</v>
      </c>
      <c r="D53" s="40">
        <v>69.891392646693149</v>
      </c>
      <c r="E53" s="40">
        <v>65</v>
      </c>
      <c r="F53" s="39">
        <v>58.75</v>
      </c>
      <c r="G53" s="40">
        <v>46.393961363742449</v>
      </c>
      <c r="H53" s="40">
        <v>48.943978416737139</v>
      </c>
      <c r="I53" s="40">
        <v>50</v>
      </c>
      <c r="J53" s="40">
        <v>57.430869896033485</v>
      </c>
      <c r="K53" s="38">
        <v>50</v>
      </c>
      <c r="M53" s="41"/>
      <c r="N53" s="41"/>
      <c r="O53" s="59" t="s">
        <v>180</v>
      </c>
      <c r="P53" s="38">
        <v>2</v>
      </c>
      <c r="Q53" s="40">
        <v>54.194012612182988</v>
      </c>
      <c r="R53" s="48">
        <v>2</v>
      </c>
      <c r="U53" s="41"/>
      <c r="V53" s="41"/>
      <c r="W53" s="48"/>
      <c r="AC53" s="38" t="s">
        <v>240</v>
      </c>
      <c r="AD53" s="38">
        <v>4</v>
      </c>
      <c r="AE53" s="40">
        <v>69.891392646693149</v>
      </c>
      <c r="AF53" s="40">
        <v>65</v>
      </c>
      <c r="AG53" s="39">
        <v>58.75</v>
      </c>
      <c r="AH53" s="40">
        <v>48.943978416737139</v>
      </c>
      <c r="AI53" s="40">
        <v>50</v>
      </c>
      <c r="AJ53" s="40">
        <v>57.430869896033485</v>
      </c>
      <c r="AK53" s="38">
        <v>50</v>
      </c>
      <c r="AM53" s="41"/>
      <c r="AN53" s="48"/>
      <c r="AV53" s="69"/>
    </row>
    <row r="54" spans="1:48" x14ac:dyDescent="0.25">
      <c r="A54" s="38" t="s">
        <v>107</v>
      </c>
      <c r="B54" s="38">
        <v>3</v>
      </c>
      <c r="C54" s="39">
        <v>85</v>
      </c>
      <c r="D54" s="40">
        <v>89.671975471228947</v>
      </c>
      <c r="E54" s="40">
        <v>35</v>
      </c>
      <c r="F54" s="39">
        <v>50</v>
      </c>
      <c r="G54" s="40">
        <v>50.27425046899252</v>
      </c>
      <c r="H54" s="40">
        <v>53.037545351646095</v>
      </c>
      <c r="I54" s="40">
        <v>62.5</v>
      </c>
      <c r="J54" s="40">
        <v>57.39941323490423</v>
      </c>
      <c r="K54" s="38">
        <v>51</v>
      </c>
      <c r="M54" s="41"/>
      <c r="N54" s="41"/>
      <c r="O54" s="59" t="s">
        <v>66</v>
      </c>
      <c r="P54" s="38">
        <v>2</v>
      </c>
      <c r="Q54" s="40">
        <v>54.121671869048086</v>
      </c>
      <c r="R54" s="48">
        <v>2</v>
      </c>
      <c r="U54" s="41"/>
      <c r="V54" s="41"/>
      <c r="W54" s="48"/>
      <c r="AC54" s="38" t="s">
        <v>107</v>
      </c>
      <c r="AD54" s="38">
        <v>3</v>
      </c>
      <c r="AE54" s="40">
        <v>89.671975471228947</v>
      </c>
      <c r="AF54" s="40">
        <v>35</v>
      </c>
      <c r="AG54" s="39">
        <v>50</v>
      </c>
      <c r="AH54" s="40">
        <v>53.037545351646095</v>
      </c>
      <c r="AI54" s="40">
        <v>62.5</v>
      </c>
      <c r="AJ54" s="40">
        <v>57.39941323490423</v>
      </c>
      <c r="AK54" s="38">
        <v>51</v>
      </c>
      <c r="AM54" s="41"/>
      <c r="AN54" s="48"/>
      <c r="AV54" s="69"/>
    </row>
    <row r="55" spans="1:48" x14ac:dyDescent="0.25">
      <c r="A55" s="38" t="s">
        <v>184</v>
      </c>
      <c r="B55" s="38">
        <v>3</v>
      </c>
      <c r="C55" s="39">
        <v>78.75</v>
      </c>
      <c r="D55" s="40">
        <v>83.078447863050357</v>
      </c>
      <c r="E55" s="40">
        <v>62.5</v>
      </c>
      <c r="F55" s="39">
        <v>66.25</v>
      </c>
      <c r="G55" s="40">
        <v>39.007316507855116</v>
      </c>
      <c r="H55" s="40">
        <v>41.151330930480569</v>
      </c>
      <c r="I55" s="40">
        <v>50</v>
      </c>
      <c r="J55" s="40">
        <v>57.201221944802299</v>
      </c>
      <c r="K55" s="38">
        <v>52</v>
      </c>
      <c r="M55" s="41"/>
      <c r="N55" s="41"/>
      <c r="O55" s="59" t="s">
        <v>114</v>
      </c>
      <c r="P55" s="38">
        <v>2</v>
      </c>
      <c r="Q55" s="40">
        <v>53.934754573449084</v>
      </c>
      <c r="R55" s="48">
        <v>2</v>
      </c>
      <c r="U55" s="41"/>
      <c r="V55" s="41"/>
      <c r="W55" s="48"/>
      <c r="AC55" s="38" t="s">
        <v>184</v>
      </c>
      <c r="AD55" s="38">
        <v>3</v>
      </c>
      <c r="AE55" s="40">
        <v>83.078447863050357</v>
      </c>
      <c r="AF55" s="40">
        <v>62.5</v>
      </c>
      <c r="AG55" s="39">
        <v>66.25</v>
      </c>
      <c r="AH55" s="40">
        <v>41.151330930480569</v>
      </c>
      <c r="AI55" s="40">
        <v>50</v>
      </c>
      <c r="AJ55" s="40">
        <v>57.201221944802299</v>
      </c>
      <c r="AK55" s="38">
        <v>52</v>
      </c>
      <c r="AM55" s="41"/>
      <c r="AN55" s="48"/>
      <c r="AV55" s="69"/>
    </row>
    <row r="56" spans="1:48" x14ac:dyDescent="0.25">
      <c r="A56" s="38" t="s">
        <v>92</v>
      </c>
      <c r="B56" s="38">
        <v>3</v>
      </c>
      <c r="C56" s="39">
        <v>91.25</v>
      </c>
      <c r="D56" s="40">
        <v>96.265503079407551</v>
      </c>
      <c r="E56" s="40">
        <v>40</v>
      </c>
      <c r="F56" s="39">
        <v>50</v>
      </c>
      <c r="G56" s="40">
        <v>53.148295822925064</v>
      </c>
      <c r="H56" s="40">
        <v>56.069560933775961</v>
      </c>
      <c r="I56" s="40">
        <v>25</v>
      </c>
      <c r="J56" s="40">
        <v>57.180924989391897</v>
      </c>
      <c r="K56" s="38">
        <v>53</v>
      </c>
      <c r="M56" s="41"/>
      <c r="N56" s="41"/>
      <c r="O56" s="59" t="s">
        <v>199</v>
      </c>
      <c r="P56" s="38">
        <v>2</v>
      </c>
      <c r="Q56" s="40">
        <v>53.527003219728968</v>
      </c>
      <c r="R56" s="48">
        <v>2</v>
      </c>
      <c r="U56" s="41"/>
      <c r="V56" s="41"/>
      <c r="W56" s="48"/>
      <c r="AC56" s="38" t="s">
        <v>92</v>
      </c>
      <c r="AD56" s="38">
        <v>3</v>
      </c>
      <c r="AE56" s="40">
        <v>96.265503079407551</v>
      </c>
      <c r="AF56" s="40">
        <v>40</v>
      </c>
      <c r="AG56" s="39">
        <v>50</v>
      </c>
      <c r="AH56" s="40">
        <v>56.069560933775961</v>
      </c>
      <c r="AI56" s="40">
        <v>25</v>
      </c>
      <c r="AJ56" s="40">
        <v>57.180924989391897</v>
      </c>
      <c r="AK56" s="38">
        <v>53</v>
      </c>
      <c r="AM56" s="41"/>
      <c r="AN56" s="48"/>
      <c r="AV56" s="69"/>
    </row>
    <row r="57" spans="1:48" x14ac:dyDescent="0.25">
      <c r="A57" s="38" t="s">
        <v>58</v>
      </c>
      <c r="B57" s="38">
        <v>1</v>
      </c>
      <c r="C57" s="39">
        <v>56.25</v>
      </c>
      <c r="D57" s="40">
        <v>59.341748473607396</v>
      </c>
      <c r="E57" s="40">
        <v>72.5</v>
      </c>
      <c r="F57" s="39">
        <v>73.75</v>
      </c>
      <c r="G57" s="40">
        <v>49.331507664495824</v>
      </c>
      <c r="H57" s="40">
        <v>52.042985238228383</v>
      </c>
      <c r="I57" s="40">
        <v>25</v>
      </c>
      <c r="J57" s="40">
        <v>57.060543790012836</v>
      </c>
      <c r="K57" s="38">
        <v>54</v>
      </c>
      <c r="M57" s="41"/>
      <c r="N57" s="41"/>
      <c r="O57" s="59" t="s">
        <v>73</v>
      </c>
      <c r="P57" s="38">
        <v>2</v>
      </c>
      <c r="Q57" s="40">
        <v>53.388382779793943</v>
      </c>
      <c r="R57" s="48">
        <v>2</v>
      </c>
      <c r="U57" s="41"/>
      <c r="V57" s="41"/>
      <c r="W57" s="48"/>
      <c r="AC57" s="38" t="s">
        <v>58</v>
      </c>
      <c r="AD57" s="38">
        <v>1</v>
      </c>
      <c r="AE57" s="40">
        <v>59.341748473607396</v>
      </c>
      <c r="AF57" s="40">
        <v>72.5</v>
      </c>
      <c r="AG57" s="39">
        <v>73.75</v>
      </c>
      <c r="AH57" s="40">
        <v>52.042985238228383</v>
      </c>
      <c r="AI57" s="40">
        <v>25</v>
      </c>
      <c r="AJ57" s="40">
        <v>57.060543790012836</v>
      </c>
      <c r="AK57" s="38">
        <v>54</v>
      </c>
      <c r="AM57" s="41"/>
      <c r="AN57" s="48"/>
      <c r="AV57" s="69"/>
    </row>
    <row r="58" spans="1:48" x14ac:dyDescent="0.25">
      <c r="A58" s="38" t="s">
        <v>95</v>
      </c>
      <c r="B58" s="38">
        <v>3</v>
      </c>
      <c r="C58" s="39">
        <v>90</v>
      </c>
      <c r="D58" s="40">
        <v>94.946797557771831</v>
      </c>
      <c r="E58" s="40">
        <v>28.75</v>
      </c>
      <c r="F58" s="39">
        <v>67.5</v>
      </c>
      <c r="G58" s="40">
        <v>48.381321766229966</v>
      </c>
      <c r="H58" s="40">
        <v>51.040572925729521</v>
      </c>
      <c r="I58" s="40">
        <v>50</v>
      </c>
      <c r="J58" s="40">
        <v>56.905588681846176</v>
      </c>
      <c r="K58" s="38">
        <v>55</v>
      </c>
      <c r="M58" s="41"/>
      <c r="N58" s="41"/>
      <c r="O58" s="59" t="s">
        <v>84</v>
      </c>
      <c r="P58" s="38">
        <v>2</v>
      </c>
      <c r="Q58" s="40">
        <v>53.374989161540995</v>
      </c>
      <c r="R58" s="48">
        <v>2</v>
      </c>
      <c r="U58" s="41"/>
      <c r="V58" s="41"/>
      <c r="W58" s="48"/>
      <c r="AC58" s="38" t="s">
        <v>95</v>
      </c>
      <c r="AD58" s="38">
        <v>3</v>
      </c>
      <c r="AE58" s="40">
        <v>94.946797557771831</v>
      </c>
      <c r="AF58" s="40">
        <v>28.75</v>
      </c>
      <c r="AG58" s="39">
        <v>67.5</v>
      </c>
      <c r="AH58" s="40">
        <v>51.040572925729521</v>
      </c>
      <c r="AI58" s="40">
        <v>50</v>
      </c>
      <c r="AJ58" s="40">
        <v>56.905588681846176</v>
      </c>
      <c r="AK58" s="38">
        <v>55</v>
      </c>
      <c r="AM58" s="41"/>
      <c r="AN58" s="48"/>
      <c r="AV58" s="69"/>
    </row>
    <row r="59" spans="1:48" x14ac:dyDescent="0.25">
      <c r="A59" s="38" t="s">
        <v>147</v>
      </c>
      <c r="B59" s="38">
        <v>2</v>
      </c>
      <c r="C59" s="39">
        <v>81.25</v>
      </c>
      <c r="D59" s="40">
        <v>85.715858906321799</v>
      </c>
      <c r="E59" s="40">
        <v>41.25</v>
      </c>
      <c r="F59" s="39">
        <v>73.75</v>
      </c>
      <c r="G59" s="40">
        <v>50.985595166903749</v>
      </c>
      <c r="H59" s="40">
        <v>53.787988696383557</v>
      </c>
      <c r="I59" s="40">
        <v>25</v>
      </c>
      <c r="J59" s="40">
        <v>56.78336725981778</v>
      </c>
      <c r="K59" s="38">
        <v>56</v>
      </c>
      <c r="M59" s="41"/>
      <c r="N59" s="41"/>
      <c r="O59" s="59" t="s">
        <v>71</v>
      </c>
      <c r="P59" s="38">
        <v>2</v>
      </c>
      <c r="Q59" s="40">
        <v>52.865402828199088</v>
      </c>
      <c r="R59" s="48">
        <v>2</v>
      </c>
      <c r="U59" s="41"/>
      <c r="V59" s="41"/>
      <c r="W59" s="48"/>
      <c r="AC59" s="38" t="s">
        <v>147</v>
      </c>
      <c r="AD59" s="38">
        <v>2</v>
      </c>
      <c r="AE59" s="40">
        <v>85.715858906321799</v>
      </c>
      <c r="AF59" s="40">
        <v>41.25</v>
      </c>
      <c r="AG59" s="39">
        <v>73.75</v>
      </c>
      <c r="AH59" s="40">
        <v>53.787988696383557</v>
      </c>
      <c r="AI59" s="40">
        <v>25</v>
      </c>
      <c r="AJ59" s="40">
        <v>56.78336725981778</v>
      </c>
      <c r="AK59" s="38">
        <v>56</v>
      </c>
      <c r="AM59" s="41"/>
      <c r="AN59" s="48"/>
      <c r="AV59" s="69"/>
    </row>
    <row r="60" spans="1:48" x14ac:dyDescent="0.25">
      <c r="A60" s="38" t="s">
        <v>104</v>
      </c>
      <c r="B60" s="38">
        <v>3</v>
      </c>
      <c r="C60" s="39">
        <v>72.5</v>
      </c>
      <c r="D60" s="40">
        <v>76.484920254871753</v>
      </c>
      <c r="E60" s="40">
        <v>58.75</v>
      </c>
      <c r="F60" s="39">
        <v>91.25</v>
      </c>
      <c r="G60" s="40">
        <v>42.258861698793268</v>
      </c>
      <c r="H60" s="40">
        <v>44.581595408191134</v>
      </c>
      <c r="I60" s="40">
        <v>25</v>
      </c>
      <c r="J60" s="40">
        <v>56.504622214250801</v>
      </c>
      <c r="K60" s="38">
        <v>57</v>
      </c>
      <c r="M60" s="41"/>
      <c r="N60" s="41"/>
      <c r="O60" s="59" t="s">
        <v>174</v>
      </c>
      <c r="P60" s="38">
        <v>2</v>
      </c>
      <c r="Q60" s="40">
        <v>52.421520548145082</v>
      </c>
      <c r="R60" s="48">
        <v>2</v>
      </c>
      <c r="U60" s="41"/>
      <c r="V60" s="41"/>
      <c r="W60" s="48"/>
      <c r="AC60" s="38" t="s">
        <v>104</v>
      </c>
      <c r="AD60" s="38">
        <v>3</v>
      </c>
      <c r="AE60" s="40">
        <v>76.484920254871753</v>
      </c>
      <c r="AF60" s="40">
        <v>58.75</v>
      </c>
      <c r="AG60" s="39">
        <v>91.25</v>
      </c>
      <c r="AH60" s="40">
        <v>44.581595408191134</v>
      </c>
      <c r="AI60" s="40">
        <v>25</v>
      </c>
      <c r="AJ60" s="40">
        <v>56.504622214250801</v>
      </c>
      <c r="AK60" s="38">
        <v>57</v>
      </c>
      <c r="AM60" s="41"/>
      <c r="AN60" s="48"/>
      <c r="AV60" s="69"/>
    </row>
    <row r="61" spans="1:48" x14ac:dyDescent="0.25">
      <c r="A61" s="38" t="s">
        <v>110</v>
      </c>
      <c r="B61" s="38">
        <v>3</v>
      </c>
      <c r="C61" s="39">
        <v>70</v>
      </c>
      <c r="D61" s="40">
        <v>73.847509211600311</v>
      </c>
      <c r="E61" s="40">
        <v>46.25</v>
      </c>
      <c r="F61" s="39">
        <v>83.75</v>
      </c>
      <c r="G61" s="40">
        <v>51.178828141546248</v>
      </c>
      <c r="H61" s="40">
        <v>53.991842608882088</v>
      </c>
      <c r="I61" s="40">
        <v>25</v>
      </c>
      <c r="J61" s="40">
        <v>56.491238885872896</v>
      </c>
      <c r="K61" s="38">
        <v>58</v>
      </c>
      <c r="M61" s="41"/>
      <c r="N61" s="41"/>
      <c r="O61" s="59" t="s">
        <v>61</v>
      </c>
      <c r="P61" s="38">
        <v>3</v>
      </c>
      <c r="Q61" s="40">
        <v>62.424304960282811</v>
      </c>
      <c r="R61" s="48">
        <v>2</v>
      </c>
      <c r="U61" s="41"/>
      <c r="V61" s="41"/>
      <c r="W61" s="48"/>
      <c r="AC61" s="38" t="s">
        <v>110</v>
      </c>
      <c r="AD61" s="38">
        <v>3</v>
      </c>
      <c r="AE61" s="40">
        <v>73.847509211600311</v>
      </c>
      <c r="AF61" s="40">
        <v>46.25</v>
      </c>
      <c r="AG61" s="39">
        <v>83.75</v>
      </c>
      <c r="AH61" s="40">
        <v>53.991842608882088</v>
      </c>
      <c r="AI61" s="40">
        <v>25</v>
      </c>
      <c r="AJ61" s="40">
        <v>56.491238885872896</v>
      </c>
      <c r="AK61" s="38">
        <v>58</v>
      </c>
      <c r="AM61" s="41"/>
      <c r="AN61" s="48"/>
      <c r="AV61" s="69"/>
    </row>
    <row r="62" spans="1:48" x14ac:dyDescent="0.25">
      <c r="A62" s="38" t="s">
        <v>57</v>
      </c>
      <c r="B62" s="38">
        <v>2</v>
      </c>
      <c r="C62" s="39">
        <v>80</v>
      </c>
      <c r="D62" s="40">
        <v>80.630978620580308</v>
      </c>
      <c r="E62" s="40">
        <v>33.75</v>
      </c>
      <c r="F62" s="39">
        <v>73.75</v>
      </c>
      <c r="G62" s="40">
        <v>52.564900336693398</v>
      </c>
      <c r="H62" s="40">
        <v>52.979491940510755</v>
      </c>
      <c r="I62" s="40">
        <v>50</v>
      </c>
      <c r="J62" s="40">
        <v>56.442992500320365</v>
      </c>
      <c r="K62" s="38">
        <v>59</v>
      </c>
      <c r="M62" s="41"/>
      <c r="N62" s="41"/>
      <c r="O62" s="59" t="s">
        <v>41</v>
      </c>
      <c r="P62" s="38">
        <v>3</v>
      </c>
      <c r="Q62" s="40">
        <v>61.811637805620805</v>
      </c>
      <c r="R62" s="48">
        <v>2</v>
      </c>
      <c r="U62" s="41"/>
      <c r="V62" s="41"/>
      <c r="W62" s="48"/>
      <c r="AC62" s="38" t="s">
        <v>57</v>
      </c>
      <c r="AD62" s="38">
        <v>2</v>
      </c>
      <c r="AE62" s="40">
        <v>80.630978620580308</v>
      </c>
      <c r="AF62" s="40">
        <v>33.75</v>
      </c>
      <c r="AG62" s="39">
        <v>73.75</v>
      </c>
      <c r="AH62" s="40">
        <v>52.979491940510755</v>
      </c>
      <c r="AI62" s="40">
        <v>50</v>
      </c>
      <c r="AJ62" s="40">
        <v>56.442992500320365</v>
      </c>
      <c r="AK62" s="38">
        <v>59</v>
      </c>
      <c r="AM62" s="41"/>
      <c r="AN62" s="48"/>
      <c r="AV62" s="69"/>
    </row>
    <row r="63" spans="1:48" x14ac:dyDescent="0.25">
      <c r="A63" s="38" t="s">
        <v>79</v>
      </c>
      <c r="B63" s="38">
        <v>2</v>
      </c>
      <c r="C63" s="39">
        <v>93.75</v>
      </c>
      <c r="D63" s="40">
        <v>98.902914122678993</v>
      </c>
      <c r="E63" s="40">
        <v>47.5</v>
      </c>
      <c r="F63" s="39">
        <v>66.25</v>
      </c>
      <c r="G63" s="40">
        <v>42.592963159053596</v>
      </c>
      <c r="H63" s="40">
        <v>44.934060560536622</v>
      </c>
      <c r="I63" s="40">
        <v>25</v>
      </c>
      <c r="J63" s="40">
        <v>56.379207048750445</v>
      </c>
      <c r="K63" s="38">
        <v>60</v>
      </c>
      <c r="M63" s="41"/>
      <c r="N63" s="41"/>
      <c r="O63" s="59" t="s">
        <v>136</v>
      </c>
      <c r="P63" s="38">
        <v>3</v>
      </c>
      <c r="Q63" s="40">
        <v>61.662735735002357</v>
      </c>
      <c r="R63" s="48">
        <v>2</v>
      </c>
      <c r="U63" s="41"/>
      <c r="V63" s="41"/>
      <c r="W63" s="48"/>
      <c r="AC63" s="38" t="s">
        <v>79</v>
      </c>
      <c r="AD63" s="38">
        <v>2</v>
      </c>
      <c r="AE63" s="40">
        <v>98.902914122678993</v>
      </c>
      <c r="AF63" s="40">
        <v>47.5</v>
      </c>
      <c r="AG63" s="39">
        <v>66.25</v>
      </c>
      <c r="AH63" s="40">
        <v>44.934060560536622</v>
      </c>
      <c r="AI63" s="40">
        <v>25</v>
      </c>
      <c r="AJ63" s="40">
        <v>56.379207048750445</v>
      </c>
      <c r="AK63" s="38">
        <v>60</v>
      </c>
      <c r="AM63" s="41"/>
      <c r="AN63" s="48"/>
      <c r="AV63" s="69"/>
    </row>
    <row r="64" spans="1:48" x14ac:dyDescent="0.25">
      <c r="A64" s="38" t="s">
        <v>215</v>
      </c>
      <c r="B64" s="38">
        <v>2</v>
      </c>
      <c r="C64" s="39">
        <v>70</v>
      </c>
      <c r="D64" s="40">
        <v>73.847509211600311</v>
      </c>
      <c r="E64" s="40">
        <v>56.25</v>
      </c>
      <c r="F64" s="39">
        <v>66.25</v>
      </c>
      <c r="G64" s="40">
        <v>38.365520730485365</v>
      </c>
      <c r="H64" s="40">
        <v>40.474259222176585</v>
      </c>
      <c r="I64" s="40">
        <v>75</v>
      </c>
      <c r="J64" s="40">
        <v>56.33420553119069</v>
      </c>
      <c r="K64" s="38">
        <v>61</v>
      </c>
      <c r="M64" s="41"/>
      <c r="N64" s="41"/>
      <c r="O64" s="59" t="s">
        <v>88</v>
      </c>
      <c r="P64" s="38">
        <v>3</v>
      </c>
      <c r="Q64" s="40">
        <v>61.46797917302041</v>
      </c>
      <c r="R64" s="48">
        <v>2</v>
      </c>
      <c r="U64" s="41"/>
      <c r="V64" s="41"/>
      <c r="W64" s="48"/>
      <c r="AC64" s="38" t="s">
        <v>215</v>
      </c>
      <c r="AD64" s="38">
        <v>2</v>
      </c>
      <c r="AE64" s="40">
        <v>73.847509211600311</v>
      </c>
      <c r="AF64" s="40">
        <v>56.25</v>
      </c>
      <c r="AG64" s="39">
        <v>66.25</v>
      </c>
      <c r="AH64" s="40">
        <v>40.474259222176585</v>
      </c>
      <c r="AI64" s="40">
        <v>75</v>
      </c>
      <c r="AJ64" s="40">
        <v>56.33420553119069</v>
      </c>
      <c r="AK64" s="38">
        <v>61</v>
      </c>
      <c r="AM64" s="41"/>
      <c r="AN64" s="48"/>
      <c r="AV64" s="69"/>
    </row>
    <row r="65" spans="1:48" x14ac:dyDescent="0.25">
      <c r="A65" s="38" t="s">
        <v>85</v>
      </c>
      <c r="B65" s="38">
        <v>2</v>
      </c>
      <c r="C65" s="39">
        <v>91.25</v>
      </c>
      <c r="D65" s="40">
        <v>96.265503079407551</v>
      </c>
      <c r="E65" s="40">
        <v>28.75</v>
      </c>
      <c r="F65" s="39">
        <v>75</v>
      </c>
      <c r="G65" s="40">
        <v>50.398188730251761</v>
      </c>
      <c r="H65" s="40">
        <v>53.168295807217689</v>
      </c>
      <c r="I65" s="40">
        <v>25</v>
      </c>
      <c r="J65" s="40">
        <v>56.270418938768586</v>
      </c>
      <c r="K65" s="38">
        <v>62</v>
      </c>
      <c r="M65" s="41"/>
      <c r="N65" s="41"/>
      <c r="O65" s="59" t="s">
        <v>269</v>
      </c>
      <c r="P65" s="38">
        <v>3</v>
      </c>
      <c r="Q65" s="40">
        <v>61.249907186688446</v>
      </c>
      <c r="R65" s="48">
        <v>2</v>
      </c>
      <c r="U65" s="41"/>
      <c r="V65" s="41"/>
      <c r="W65" s="48"/>
      <c r="AC65" s="38" t="s">
        <v>85</v>
      </c>
      <c r="AD65" s="38">
        <v>2</v>
      </c>
      <c r="AE65" s="40">
        <v>96.265503079407551</v>
      </c>
      <c r="AF65" s="40">
        <v>28.75</v>
      </c>
      <c r="AG65" s="39">
        <v>75</v>
      </c>
      <c r="AH65" s="40">
        <v>53.168295807217689</v>
      </c>
      <c r="AI65" s="40">
        <v>25</v>
      </c>
      <c r="AJ65" s="40">
        <v>56.270418938768586</v>
      </c>
      <c r="AK65" s="38">
        <v>62</v>
      </c>
      <c r="AM65" s="41"/>
      <c r="AN65" s="48"/>
      <c r="AV65" s="69"/>
    </row>
    <row r="66" spans="1:48" x14ac:dyDescent="0.25">
      <c r="A66" s="38" t="s">
        <v>26</v>
      </c>
      <c r="B66" s="38">
        <v>1</v>
      </c>
      <c r="C66" s="39">
        <v>81.25</v>
      </c>
      <c r="D66" s="40">
        <v>78.270046493761271</v>
      </c>
      <c r="E66" s="40">
        <v>67.5</v>
      </c>
      <c r="F66" s="39">
        <v>82.5</v>
      </c>
      <c r="G66" s="40">
        <v>32.344099906366395</v>
      </c>
      <c r="H66" s="40">
        <v>31.157836350401936</v>
      </c>
      <c r="I66" s="40">
        <v>62.5</v>
      </c>
      <c r="J66" s="40">
        <v>56.11714383891303</v>
      </c>
      <c r="K66" s="38">
        <v>63</v>
      </c>
      <c r="M66" s="41"/>
      <c r="N66" s="41"/>
      <c r="O66" s="59" t="s">
        <v>161</v>
      </c>
      <c r="P66" s="38">
        <v>3</v>
      </c>
      <c r="Q66" s="40">
        <v>60.112764345407982</v>
      </c>
      <c r="R66" s="48">
        <v>2</v>
      </c>
      <c r="U66" s="41"/>
      <c r="V66" s="41"/>
      <c r="W66" s="48"/>
      <c r="AC66" s="38" t="s">
        <v>26</v>
      </c>
      <c r="AD66" s="38">
        <v>1</v>
      </c>
      <c r="AE66" s="40">
        <v>78.270046493761271</v>
      </c>
      <c r="AF66" s="40">
        <v>67.5</v>
      </c>
      <c r="AG66" s="39">
        <v>82.5</v>
      </c>
      <c r="AH66" s="40">
        <v>31.157836350401936</v>
      </c>
      <c r="AI66" s="40">
        <v>62.5</v>
      </c>
      <c r="AJ66" s="40">
        <v>56.11714383891303</v>
      </c>
      <c r="AK66" s="38">
        <v>63</v>
      </c>
      <c r="AM66" s="41"/>
      <c r="AN66" s="48"/>
      <c r="AV66" s="69"/>
    </row>
    <row r="67" spans="1:48" x14ac:dyDescent="0.25">
      <c r="A67" s="38" t="s">
        <v>48</v>
      </c>
      <c r="B67" s="38">
        <v>1</v>
      </c>
      <c r="C67" s="39">
        <v>73.75</v>
      </c>
      <c r="D67" s="40">
        <v>71.045119125106382</v>
      </c>
      <c r="E67" s="40">
        <v>58.75</v>
      </c>
      <c r="F67" s="39">
        <v>73.75</v>
      </c>
      <c r="G67" s="40">
        <v>39.579446276355341</v>
      </c>
      <c r="H67" s="40">
        <v>38.127816618432725</v>
      </c>
      <c r="I67" s="40">
        <v>75</v>
      </c>
      <c r="J67" s="40">
        <v>56.085150472394368</v>
      </c>
      <c r="K67" s="38">
        <v>64</v>
      </c>
      <c r="M67" s="41"/>
      <c r="N67" s="41"/>
      <c r="O67" s="59" t="s">
        <v>185</v>
      </c>
      <c r="P67" s="38">
        <v>3</v>
      </c>
      <c r="Q67" s="40">
        <v>59.592143423305657</v>
      </c>
      <c r="R67" s="48">
        <v>2</v>
      </c>
      <c r="T67" s="57" t="s">
        <v>69</v>
      </c>
      <c r="U67" s="59" t="s">
        <v>69</v>
      </c>
      <c r="V67" s="38">
        <v>3</v>
      </c>
      <c r="W67" s="48"/>
      <c r="AC67" s="38" t="s">
        <v>48</v>
      </c>
      <c r="AD67" s="38">
        <v>1</v>
      </c>
      <c r="AE67" s="40">
        <v>71.045119125106382</v>
      </c>
      <c r="AF67" s="40">
        <v>58.75</v>
      </c>
      <c r="AG67" s="39">
        <v>73.75</v>
      </c>
      <c r="AH67" s="40">
        <v>38.127816618432725</v>
      </c>
      <c r="AI67" s="40">
        <v>75</v>
      </c>
      <c r="AJ67" s="40">
        <v>56.085150472394368</v>
      </c>
      <c r="AK67" s="38">
        <v>64</v>
      </c>
      <c r="AM67" s="41"/>
      <c r="AN67" s="48"/>
      <c r="AV67" s="69"/>
    </row>
    <row r="68" spans="1:48" x14ac:dyDescent="0.25">
      <c r="A68" s="38" t="s">
        <v>277</v>
      </c>
      <c r="B68" s="38">
        <v>4</v>
      </c>
      <c r="C68" s="39">
        <v>91.25</v>
      </c>
      <c r="D68" s="40">
        <v>96.265503079407551</v>
      </c>
      <c r="E68" s="40">
        <v>33.75</v>
      </c>
      <c r="F68" s="39">
        <v>50</v>
      </c>
      <c r="G68" s="40">
        <v>47.524698084880335</v>
      </c>
      <c r="H68" s="40">
        <v>50.136865422881776</v>
      </c>
      <c r="I68" s="40">
        <v>50</v>
      </c>
      <c r="J68" s="40">
        <v>56.057846785034222</v>
      </c>
      <c r="K68" s="38">
        <v>65</v>
      </c>
      <c r="M68" s="41"/>
      <c r="N68" s="41"/>
      <c r="O68" s="59" t="s">
        <v>53</v>
      </c>
      <c r="P68" s="38">
        <v>3</v>
      </c>
      <c r="Q68" s="40">
        <v>59.21176963474587</v>
      </c>
      <c r="R68" s="48">
        <v>2</v>
      </c>
      <c r="T68" s="57" t="s">
        <v>162</v>
      </c>
      <c r="U68" s="59" t="s">
        <v>162</v>
      </c>
      <c r="V68" s="38">
        <v>3</v>
      </c>
      <c r="W68" s="48"/>
      <c r="AC68" s="38" t="s">
        <v>277</v>
      </c>
      <c r="AD68" s="38">
        <v>4</v>
      </c>
      <c r="AE68" s="40">
        <v>96.265503079407551</v>
      </c>
      <c r="AF68" s="40">
        <v>33.75</v>
      </c>
      <c r="AG68" s="39">
        <v>50</v>
      </c>
      <c r="AH68" s="40">
        <v>50.136865422881776</v>
      </c>
      <c r="AI68" s="40">
        <v>50</v>
      </c>
      <c r="AJ68" s="40">
        <v>56.057846785034222</v>
      </c>
      <c r="AK68" s="38">
        <v>65</v>
      </c>
      <c r="AM68" s="41"/>
      <c r="AN68" s="48"/>
      <c r="AV68" s="69"/>
    </row>
    <row r="69" spans="1:48" x14ac:dyDescent="0.25">
      <c r="A69" s="38" t="s">
        <v>98</v>
      </c>
      <c r="B69" s="38">
        <v>2</v>
      </c>
      <c r="C69" s="39">
        <v>62.5</v>
      </c>
      <c r="D69" s="40">
        <v>65.935276081786</v>
      </c>
      <c r="E69" s="40">
        <v>65</v>
      </c>
      <c r="F69" s="39">
        <v>75</v>
      </c>
      <c r="G69" s="40">
        <v>38.131294995115503</v>
      </c>
      <c r="H69" s="40">
        <v>40.227159405743443</v>
      </c>
      <c r="I69" s="40">
        <v>62.5</v>
      </c>
      <c r="J69" s="40">
        <v>56.027918978654583</v>
      </c>
      <c r="K69" s="38">
        <v>66</v>
      </c>
      <c r="M69" s="41"/>
      <c r="N69" s="41"/>
      <c r="O69" s="59" t="s">
        <v>62</v>
      </c>
      <c r="P69" s="38">
        <v>3</v>
      </c>
      <c r="Q69" s="40">
        <v>58.524572566336118</v>
      </c>
      <c r="R69" s="48">
        <v>2</v>
      </c>
      <c r="T69" s="57" t="s">
        <v>61</v>
      </c>
      <c r="U69" s="59" t="s">
        <v>61</v>
      </c>
      <c r="V69" s="38">
        <v>3</v>
      </c>
      <c r="W69" s="48"/>
      <c r="AC69" s="38" t="s">
        <v>98</v>
      </c>
      <c r="AD69" s="38">
        <v>2</v>
      </c>
      <c r="AE69" s="40">
        <v>65.935276081786</v>
      </c>
      <c r="AF69" s="40">
        <v>65</v>
      </c>
      <c r="AG69" s="39">
        <v>75</v>
      </c>
      <c r="AH69" s="40">
        <v>40.227159405743443</v>
      </c>
      <c r="AI69" s="40">
        <v>62.5</v>
      </c>
      <c r="AJ69" s="40">
        <v>56.027918978654583</v>
      </c>
      <c r="AK69" s="38">
        <v>66</v>
      </c>
      <c r="AM69" s="41"/>
      <c r="AN69" s="48"/>
      <c r="AV69" s="69"/>
    </row>
    <row r="70" spans="1:48" x14ac:dyDescent="0.25">
      <c r="A70" s="38" t="s">
        <v>205</v>
      </c>
      <c r="B70" s="38">
        <v>3</v>
      </c>
      <c r="C70" s="39">
        <v>85</v>
      </c>
      <c r="D70" s="40">
        <v>89.671975471228947</v>
      </c>
      <c r="E70" s="40">
        <v>46.25</v>
      </c>
      <c r="F70" s="39">
        <v>66.25</v>
      </c>
      <c r="G70" s="40">
        <v>46.698495826022402</v>
      </c>
      <c r="H70" s="40">
        <v>49.26525143828669</v>
      </c>
      <c r="I70" s="40">
        <v>25</v>
      </c>
      <c r="J70" s="40">
        <v>56.015495669560465</v>
      </c>
      <c r="K70" s="38">
        <v>67</v>
      </c>
      <c r="M70" s="41"/>
      <c r="N70" s="41"/>
      <c r="O70" s="59" t="s">
        <v>228</v>
      </c>
      <c r="P70" s="38">
        <v>3</v>
      </c>
      <c r="Q70" s="40">
        <v>58.127149707064355</v>
      </c>
      <c r="R70" s="48">
        <v>2</v>
      </c>
      <c r="T70" s="57" t="s">
        <v>41</v>
      </c>
      <c r="U70" s="59" t="s">
        <v>41</v>
      </c>
      <c r="V70" s="38">
        <v>3</v>
      </c>
      <c r="W70" s="48"/>
      <c r="AC70" s="38" t="s">
        <v>205</v>
      </c>
      <c r="AD70" s="38">
        <v>3</v>
      </c>
      <c r="AE70" s="40">
        <v>89.671975471228947</v>
      </c>
      <c r="AF70" s="40">
        <v>46.25</v>
      </c>
      <c r="AG70" s="39">
        <v>66.25</v>
      </c>
      <c r="AH70" s="40">
        <v>49.26525143828669</v>
      </c>
      <c r="AI70" s="40">
        <v>25</v>
      </c>
      <c r="AJ70" s="40">
        <v>56.015495669560465</v>
      </c>
      <c r="AK70" s="38">
        <v>67</v>
      </c>
      <c r="AM70" s="41"/>
      <c r="AN70" s="48"/>
      <c r="AV70" s="69"/>
    </row>
    <row r="71" spans="1:48" x14ac:dyDescent="0.25">
      <c r="A71" s="38" t="s">
        <v>32</v>
      </c>
      <c r="B71" s="38">
        <v>1</v>
      </c>
      <c r="C71" s="39">
        <v>77.5</v>
      </c>
      <c r="D71" s="40">
        <v>74.657582809433819</v>
      </c>
      <c r="E71" s="40">
        <v>46.25</v>
      </c>
      <c r="F71" s="39">
        <v>91.25</v>
      </c>
      <c r="G71" s="40">
        <v>45.792607291962696</v>
      </c>
      <c r="H71" s="40">
        <v>44.113101560768882</v>
      </c>
      <c r="I71" s="40">
        <v>50</v>
      </c>
      <c r="J71" s="40">
        <v>55.951757186194321</v>
      </c>
      <c r="K71" s="38">
        <v>68</v>
      </c>
      <c r="M71" s="41"/>
      <c r="N71" s="41"/>
      <c r="O71" s="59" t="s">
        <v>230</v>
      </c>
      <c r="P71" s="38">
        <v>3</v>
      </c>
      <c r="Q71" s="40">
        <v>58.062920591752182</v>
      </c>
      <c r="R71" s="48">
        <v>2</v>
      </c>
      <c r="T71" s="57" t="s">
        <v>136</v>
      </c>
      <c r="U71" s="59" t="s">
        <v>136</v>
      </c>
      <c r="V71" s="38">
        <v>3</v>
      </c>
      <c r="W71" s="48"/>
      <c r="AC71" s="38" t="s">
        <v>32</v>
      </c>
      <c r="AD71" s="38">
        <v>1</v>
      </c>
      <c r="AE71" s="40">
        <v>74.657582809433819</v>
      </c>
      <c r="AF71" s="40">
        <v>46.25</v>
      </c>
      <c r="AG71" s="39">
        <v>91.25</v>
      </c>
      <c r="AH71" s="40">
        <v>44.113101560768882</v>
      </c>
      <c r="AI71" s="40">
        <v>50</v>
      </c>
      <c r="AJ71" s="40">
        <v>55.951757186194321</v>
      </c>
      <c r="AK71" s="38">
        <v>68</v>
      </c>
      <c r="AM71" s="41"/>
      <c r="AN71" s="48"/>
      <c r="AV71" s="69"/>
    </row>
    <row r="72" spans="1:48" x14ac:dyDescent="0.25">
      <c r="A72" s="38" t="s">
        <v>292</v>
      </c>
      <c r="B72" s="38">
        <v>4</v>
      </c>
      <c r="C72" s="39">
        <v>93.75</v>
      </c>
      <c r="D72" s="40">
        <v>98.902914122678993</v>
      </c>
      <c r="E72" s="40">
        <v>41.25</v>
      </c>
      <c r="F72" s="39">
        <v>51.25</v>
      </c>
      <c r="G72" s="40">
        <v>53.969550058573859</v>
      </c>
      <c r="H72" s="40">
        <v>56.935954929949389</v>
      </c>
      <c r="I72" s="40">
        <v>0</v>
      </c>
      <c r="J72" s="40">
        <v>55.929964796515556</v>
      </c>
      <c r="K72" s="38">
        <v>69</v>
      </c>
      <c r="M72" s="41"/>
      <c r="N72" s="41"/>
      <c r="O72" s="59" t="s">
        <v>193</v>
      </c>
      <c r="P72" s="38">
        <v>3</v>
      </c>
      <c r="Q72" s="40">
        <v>57.81644097005713</v>
      </c>
      <c r="R72" s="48">
        <v>2</v>
      </c>
      <c r="T72" s="57" t="s">
        <v>88</v>
      </c>
      <c r="U72" s="59" t="s">
        <v>88</v>
      </c>
      <c r="V72" s="38">
        <v>3</v>
      </c>
      <c r="W72" s="48"/>
      <c r="AC72" s="38" t="s">
        <v>292</v>
      </c>
      <c r="AD72" s="38">
        <v>4</v>
      </c>
      <c r="AE72" s="40">
        <v>98.902914122678993</v>
      </c>
      <c r="AF72" s="40">
        <v>41.25</v>
      </c>
      <c r="AG72" s="39">
        <v>51.25</v>
      </c>
      <c r="AH72" s="40">
        <v>56.935954929949389</v>
      </c>
      <c r="AI72" s="40">
        <v>0</v>
      </c>
      <c r="AJ72" s="40">
        <v>55.929964796515556</v>
      </c>
      <c r="AK72" s="38">
        <v>69</v>
      </c>
      <c r="AM72" s="41"/>
      <c r="AN72" s="48"/>
      <c r="AV72" s="69"/>
    </row>
    <row r="73" spans="1:48" x14ac:dyDescent="0.25">
      <c r="A73" s="38" t="s">
        <v>30</v>
      </c>
      <c r="B73" s="38">
        <v>1</v>
      </c>
      <c r="C73" s="39">
        <v>71.25</v>
      </c>
      <c r="D73" s="40">
        <v>68.851069582322623</v>
      </c>
      <c r="E73" s="40">
        <v>46.25</v>
      </c>
      <c r="F73" s="39">
        <v>58.75</v>
      </c>
      <c r="G73" s="40">
        <v>53.762588061166085</v>
      </c>
      <c r="H73" s="40">
        <v>51.952444793334649</v>
      </c>
      <c r="I73" s="40">
        <v>62.5</v>
      </c>
      <c r="J73" s="40">
        <v>55.926191833798384</v>
      </c>
      <c r="K73" s="38">
        <v>70</v>
      </c>
      <c r="M73" s="41"/>
      <c r="N73" s="41"/>
      <c r="O73" s="59" t="s">
        <v>254</v>
      </c>
      <c r="P73" s="38">
        <v>3</v>
      </c>
      <c r="Q73" s="40">
        <v>57.626386436008076</v>
      </c>
      <c r="R73" s="48">
        <v>2</v>
      </c>
      <c r="T73" s="57" t="s">
        <v>269</v>
      </c>
      <c r="U73" s="59" t="s">
        <v>269</v>
      </c>
      <c r="V73" s="38">
        <v>3</v>
      </c>
      <c r="W73" s="48"/>
      <c r="AC73" s="38" t="s">
        <v>30</v>
      </c>
      <c r="AD73" s="38">
        <v>1</v>
      </c>
      <c r="AE73" s="40">
        <v>68.851069582322623</v>
      </c>
      <c r="AF73" s="40">
        <v>46.25</v>
      </c>
      <c r="AG73" s="39">
        <v>58.75</v>
      </c>
      <c r="AH73" s="40">
        <v>51.952444793334649</v>
      </c>
      <c r="AI73" s="40">
        <v>62.5</v>
      </c>
      <c r="AJ73" s="40">
        <v>55.926191833798384</v>
      </c>
      <c r="AK73" s="38">
        <v>70</v>
      </c>
      <c r="AM73" s="41"/>
      <c r="AN73" s="48"/>
      <c r="AV73" s="69"/>
    </row>
    <row r="74" spans="1:48" x14ac:dyDescent="0.25">
      <c r="A74" s="38" t="s">
        <v>146</v>
      </c>
      <c r="B74" s="38">
        <v>3</v>
      </c>
      <c r="C74" s="39">
        <v>81.25</v>
      </c>
      <c r="D74" s="40">
        <v>85.715858906321799</v>
      </c>
      <c r="E74" s="40">
        <v>45</v>
      </c>
      <c r="F74" s="39">
        <v>73.75</v>
      </c>
      <c r="G74" s="40">
        <v>47.130493879573976</v>
      </c>
      <c r="H74" s="40">
        <v>49.720994013130166</v>
      </c>
      <c r="I74" s="40">
        <v>25</v>
      </c>
      <c r="J74" s="40">
        <v>55.906569386516423</v>
      </c>
      <c r="K74" s="38">
        <v>71</v>
      </c>
      <c r="M74" s="41"/>
      <c r="N74" s="41"/>
      <c r="O74" s="59" t="s">
        <v>107</v>
      </c>
      <c r="P74" s="38">
        <v>3</v>
      </c>
      <c r="Q74" s="40">
        <v>57.39941323490423</v>
      </c>
      <c r="R74" s="48">
        <v>2</v>
      </c>
      <c r="T74" s="57" t="s">
        <v>161</v>
      </c>
      <c r="U74" s="59" t="s">
        <v>161</v>
      </c>
      <c r="V74" s="38">
        <v>3</v>
      </c>
      <c r="W74" s="48"/>
      <c r="AC74" s="38" t="s">
        <v>146</v>
      </c>
      <c r="AD74" s="38">
        <v>3</v>
      </c>
      <c r="AE74" s="40">
        <v>85.715858906321799</v>
      </c>
      <c r="AF74" s="40">
        <v>45</v>
      </c>
      <c r="AG74" s="39">
        <v>73.75</v>
      </c>
      <c r="AH74" s="40">
        <v>49.720994013130166</v>
      </c>
      <c r="AI74" s="40">
        <v>25</v>
      </c>
      <c r="AJ74" s="40">
        <v>55.906569386516423</v>
      </c>
      <c r="AK74" s="38">
        <v>71</v>
      </c>
      <c r="AM74" s="41"/>
      <c r="AN74" s="48"/>
      <c r="AV74" s="69"/>
    </row>
    <row r="75" spans="1:48" x14ac:dyDescent="0.25">
      <c r="A75" s="38" t="s">
        <v>195</v>
      </c>
      <c r="B75" s="38">
        <v>4</v>
      </c>
      <c r="C75" s="39">
        <v>81.25</v>
      </c>
      <c r="D75" s="40">
        <v>85.715858906321799</v>
      </c>
      <c r="E75" s="40">
        <v>52.5</v>
      </c>
      <c r="F75" s="39">
        <v>66.25</v>
      </c>
      <c r="G75" s="40">
        <v>45.270651798857699</v>
      </c>
      <c r="H75" s="40">
        <v>47.758926796161347</v>
      </c>
      <c r="I75" s="40">
        <v>25</v>
      </c>
      <c r="J75" s="40">
        <v>55.871742499728896</v>
      </c>
      <c r="K75" s="38">
        <v>72</v>
      </c>
      <c r="M75" s="41"/>
      <c r="N75" s="41"/>
      <c r="O75" s="59" t="s">
        <v>184</v>
      </c>
      <c r="P75" s="38">
        <v>3</v>
      </c>
      <c r="Q75" s="40">
        <v>57.201221944802299</v>
      </c>
      <c r="R75" s="48">
        <v>2</v>
      </c>
      <c r="T75" s="57" t="s">
        <v>185</v>
      </c>
      <c r="U75" s="59" t="s">
        <v>185</v>
      </c>
      <c r="V75" s="38">
        <v>3</v>
      </c>
      <c r="W75" s="48"/>
      <c r="AC75" s="38" t="s">
        <v>195</v>
      </c>
      <c r="AD75" s="38">
        <v>4</v>
      </c>
      <c r="AE75" s="40">
        <v>85.715858906321799</v>
      </c>
      <c r="AF75" s="40">
        <v>52.5</v>
      </c>
      <c r="AG75" s="39">
        <v>66.25</v>
      </c>
      <c r="AH75" s="40">
        <v>47.758926796161347</v>
      </c>
      <c r="AI75" s="40">
        <v>25</v>
      </c>
      <c r="AJ75" s="40">
        <v>55.871742499728896</v>
      </c>
      <c r="AK75" s="38">
        <v>72</v>
      </c>
      <c r="AM75" s="41"/>
      <c r="AN75" s="48"/>
      <c r="AV75" s="69"/>
    </row>
    <row r="76" spans="1:48" x14ac:dyDescent="0.25">
      <c r="A76" s="38" t="s">
        <v>117</v>
      </c>
      <c r="B76" s="38">
        <v>2</v>
      </c>
      <c r="C76" s="39">
        <v>100</v>
      </c>
      <c r="D76" s="40">
        <v>105.4964417308576</v>
      </c>
      <c r="E76" s="40">
        <v>40</v>
      </c>
      <c r="F76" s="39">
        <v>58.75</v>
      </c>
      <c r="G76" s="40">
        <v>45.679937984844408</v>
      </c>
      <c r="H76" s="40">
        <v>48.190709158873261</v>
      </c>
      <c r="I76" s="40">
        <v>12.5</v>
      </c>
      <c r="J76" s="40">
        <v>55.500572009720827</v>
      </c>
      <c r="K76" s="38">
        <v>73</v>
      </c>
      <c r="M76" s="41"/>
      <c r="N76" s="41"/>
      <c r="O76" s="59" t="s">
        <v>92</v>
      </c>
      <c r="P76" s="38">
        <v>3</v>
      </c>
      <c r="Q76" s="40">
        <v>57.180924989391897</v>
      </c>
      <c r="R76" s="48">
        <v>2</v>
      </c>
      <c r="T76" s="57" t="s">
        <v>53</v>
      </c>
      <c r="U76" s="59" t="s">
        <v>53</v>
      </c>
      <c r="V76" s="38">
        <v>3</v>
      </c>
      <c r="W76" s="48"/>
      <c r="AC76" s="38" t="s">
        <v>117</v>
      </c>
      <c r="AD76" s="38">
        <v>2</v>
      </c>
      <c r="AE76" s="40">
        <v>105.4964417308576</v>
      </c>
      <c r="AF76" s="40">
        <v>40</v>
      </c>
      <c r="AG76" s="39">
        <v>58.75</v>
      </c>
      <c r="AH76" s="40">
        <v>48.190709158873261</v>
      </c>
      <c r="AI76" s="40">
        <v>12.5</v>
      </c>
      <c r="AJ76" s="40">
        <v>55.500572009720827</v>
      </c>
      <c r="AK76" s="38">
        <v>73</v>
      </c>
      <c r="AM76" s="41"/>
      <c r="AN76" s="48"/>
      <c r="AV76" s="69"/>
    </row>
    <row r="77" spans="1:48" x14ac:dyDescent="0.25">
      <c r="A77" s="38" t="s">
        <v>236</v>
      </c>
      <c r="B77" s="38">
        <v>3</v>
      </c>
      <c r="C77" s="39">
        <v>77.5</v>
      </c>
      <c r="D77" s="40">
        <v>81.759742341414636</v>
      </c>
      <c r="E77" s="40">
        <v>46.25</v>
      </c>
      <c r="F77" s="39">
        <v>91.25</v>
      </c>
      <c r="G77" s="40">
        <v>42.938357723746506</v>
      </c>
      <c r="H77" s="40">
        <v>45.298439536219426</v>
      </c>
      <c r="I77" s="40">
        <v>25</v>
      </c>
      <c r="J77" s="40">
        <v>55.346324282770695</v>
      </c>
      <c r="K77" s="38">
        <v>74</v>
      </c>
      <c r="M77" s="41"/>
      <c r="N77" s="41"/>
      <c r="O77" s="59" t="s">
        <v>95</v>
      </c>
      <c r="P77" s="38">
        <v>3</v>
      </c>
      <c r="Q77" s="40">
        <v>56.905588681846176</v>
      </c>
      <c r="R77" s="48">
        <v>2</v>
      </c>
      <c r="T77" s="57" t="s">
        <v>62</v>
      </c>
      <c r="U77" s="59" t="s">
        <v>62</v>
      </c>
      <c r="V77" s="38">
        <v>3</v>
      </c>
      <c r="W77" s="48"/>
      <c r="AC77" s="38" t="s">
        <v>236</v>
      </c>
      <c r="AD77" s="38">
        <v>3</v>
      </c>
      <c r="AE77" s="40">
        <v>81.759742341414636</v>
      </c>
      <c r="AF77" s="40">
        <v>46.25</v>
      </c>
      <c r="AG77" s="39">
        <v>91.25</v>
      </c>
      <c r="AH77" s="40">
        <v>45.298439536219426</v>
      </c>
      <c r="AI77" s="40">
        <v>25</v>
      </c>
      <c r="AJ77" s="40">
        <v>55.346324282770695</v>
      </c>
      <c r="AK77" s="38">
        <v>74</v>
      </c>
      <c r="AM77" s="41"/>
      <c r="AN77" s="48"/>
      <c r="AV77" s="69"/>
    </row>
    <row r="78" spans="1:48" x14ac:dyDescent="0.25">
      <c r="A78" s="38" t="s">
        <v>151</v>
      </c>
      <c r="B78" s="38">
        <v>2</v>
      </c>
      <c r="C78" s="39">
        <v>51.25</v>
      </c>
      <c r="D78" s="40">
        <v>54.06692638706452</v>
      </c>
      <c r="E78" s="40">
        <v>58.75</v>
      </c>
      <c r="F78" s="39">
        <v>82.5</v>
      </c>
      <c r="G78" s="40">
        <v>45.970185120532875</v>
      </c>
      <c r="H78" s="40">
        <v>48.496909559250334</v>
      </c>
      <c r="I78" s="40">
        <v>50</v>
      </c>
      <c r="J78" s="40">
        <v>55.212149101113042</v>
      </c>
      <c r="K78" s="38">
        <v>75</v>
      </c>
      <c r="M78" s="41"/>
      <c r="N78" s="41"/>
      <c r="O78" s="59" t="s">
        <v>104</v>
      </c>
      <c r="P78" s="38">
        <v>3</v>
      </c>
      <c r="Q78" s="40">
        <v>56.504622214250801</v>
      </c>
      <c r="R78" s="48">
        <v>2</v>
      </c>
      <c r="T78" s="57" t="s">
        <v>228</v>
      </c>
      <c r="U78" s="59" t="s">
        <v>228</v>
      </c>
      <c r="V78" s="38">
        <v>3</v>
      </c>
      <c r="W78" s="48"/>
      <c r="AC78" s="38" t="s">
        <v>151</v>
      </c>
      <c r="AD78" s="38">
        <v>2</v>
      </c>
      <c r="AE78" s="40">
        <v>54.06692638706452</v>
      </c>
      <c r="AF78" s="40">
        <v>58.75</v>
      </c>
      <c r="AG78" s="39">
        <v>82.5</v>
      </c>
      <c r="AH78" s="40">
        <v>48.496909559250334</v>
      </c>
      <c r="AI78" s="40">
        <v>50</v>
      </c>
      <c r="AJ78" s="40">
        <v>55.212149101113042</v>
      </c>
      <c r="AK78" s="38">
        <v>75</v>
      </c>
      <c r="AM78" s="41"/>
      <c r="AN78" s="48"/>
      <c r="AV78" s="69"/>
    </row>
    <row r="79" spans="1:48" x14ac:dyDescent="0.25">
      <c r="A79" s="38" t="s">
        <v>39</v>
      </c>
      <c r="B79" s="38">
        <v>1</v>
      </c>
      <c r="C79" s="39">
        <v>80</v>
      </c>
      <c r="D79" s="40">
        <v>77.568493604058716</v>
      </c>
      <c r="E79" s="40">
        <v>62.5</v>
      </c>
      <c r="F79" s="39">
        <v>33.75</v>
      </c>
      <c r="G79" s="40">
        <v>45.05087985101531</v>
      </c>
      <c r="H79" s="40">
        <v>43.681611069758738</v>
      </c>
      <c r="I79" s="40">
        <v>62.5</v>
      </c>
      <c r="J79" s="40">
        <v>55.111343148715243</v>
      </c>
      <c r="K79" s="38">
        <v>76</v>
      </c>
      <c r="M79" s="41"/>
      <c r="N79" s="41"/>
      <c r="O79" s="59" t="s">
        <v>110</v>
      </c>
      <c r="P79" s="38">
        <v>3</v>
      </c>
      <c r="Q79" s="40">
        <v>56.491238885872896</v>
      </c>
      <c r="R79" s="48">
        <v>2</v>
      </c>
      <c r="T79" s="57" t="s">
        <v>230</v>
      </c>
      <c r="U79" s="59" t="s">
        <v>230</v>
      </c>
      <c r="V79" s="38">
        <v>3</v>
      </c>
      <c r="W79" s="48"/>
      <c r="AC79" s="38" t="s">
        <v>39</v>
      </c>
      <c r="AD79" s="38">
        <v>1</v>
      </c>
      <c r="AE79" s="40">
        <v>77.568493604058716</v>
      </c>
      <c r="AF79" s="40">
        <v>62.5</v>
      </c>
      <c r="AG79" s="39">
        <v>33.75</v>
      </c>
      <c r="AH79" s="40">
        <v>43.681611069758738</v>
      </c>
      <c r="AI79" s="40">
        <v>62.5</v>
      </c>
      <c r="AJ79" s="40">
        <v>55.111343148715243</v>
      </c>
      <c r="AK79" s="38">
        <v>76</v>
      </c>
      <c r="AM79" s="41"/>
      <c r="AN79" s="48"/>
      <c r="AV79" s="69"/>
    </row>
    <row r="80" spans="1:48" x14ac:dyDescent="0.25">
      <c r="A80" s="38" t="s">
        <v>116</v>
      </c>
      <c r="B80" s="38">
        <v>3</v>
      </c>
      <c r="C80" s="39">
        <v>78.75</v>
      </c>
      <c r="D80" s="40">
        <v>83.078447863050357</v>
      </c>
      <c r="E80" s="40">
        <v>41.25</v>
      </c>
      <c r="F80" s="39">
        <v>50</v>
      </c>
      <c r="G80" s="40">
        <v>53.455800660819946</v>
      </c>
      <c r="H80" s="40">
        <v>56.393967595905302</v>
      </c>
      <c r="I80" s="40">
        <v>25</v>
      </c>
      <c r="J80" s="40">
        <v>54.923276610972195</v>
      </c>
      <c r="K80" s="38">
        <v>77</v>
      </c>
      <c r="M80" s="41"/>
      <c r="N80" s="41"/>
      <c r="O80" s="59" t="s">
        <v>205</v>
      </c>
      <c r="P80" s="38">
        <v>3</v>
      </c>
      <c r="Q80" s="40">
        <v>56.015495669560465</v>
      </c>
      <c r="R80" s="48">
        <v>2</v>
      </c>
      <c r="T80" s="57" t="s">
        <v>193</v>
      </c>
      <c r="U80" s="59" t="s">
        <v>193</v>
      </c>
      <c r="V80" s="38">
        <v>3</v>
      </c>
      <c r="W80" s="48"/>
      <c r="AC80" s="38" t="s">
        <v>116</v>
      </c>
      <c r="AD80" s="38">
        <v>3</v>
      </c>
      <c r="AE80" s="40">
        <v>83.078447863050357</v>
      </c>
      <c r="AF80" s="40">
        <v>41.25</v>
      </c>
      <c r="AG80" s="39">
        <v>50</v>
      </c>
      <c r="AH80" s="40">
        <v>56.393967595905302</v>
      </c>
      <c r="AI80" s="40">
        <v>25</v>
      </c>
      <c r="AJ80" s="40">
        <v>54.923276610972195</v>
      </c>
      <c r="AK80" s="38">
        <v>77</v>
      </c>
      <c r="AM80" s="41"/>
      <c r="AN80" s="48"/>
      <c r="AV80" s="69"/>
    </row>
    <row r="81" spans="1:48" x14ac:dyDescent="0.25">
      <c r="A81" s="38" t="s">
        <v>113</v>
      </c>
      <c r="B81" s="38">
        <v>2</v>
      </c>
      <c r="C81" s="39">
        <v>80</v>
      </c>
      <c r="D81" s="40">
        <v>84.397153384686078</v>
      </c>
      <c r="E81" s="40">
        <v>46.25</v>
      </c>
      <c r="F81" s="39">
        <v>82.5</v>
      </c>
      <c r="G81" s="40">
        <v>42.218324749613963</v>
      </c>
      <c r="H81" s="40">
        <v>44.538830369220726</v>
      </c>
      <c r="I81" s="40">
        <v>25</v>
      </c>
      <c r="J81" s="40">
        <v>54.694962824625506</v>
      </c>
      <c r="K81" s="38">
        <v>78</v>
      </c>
      <c r="M81" s="41"/>
      <c r="N81" s="41"/>
      <c r="O81" s="59" t="s">
        <v>146</v>
      </c>
      <c r="P81" s="38">
        <v>3</v>
      </c>
      <c r="Q81" s="40">
        <v>55.906569386516423</v>
      </c>
      <c r="R81" s="48">
        <v>2</v>
      </c>
      <c r="T81" s="57" t="s">
        <v>254</v>
      </c>
      <c r="U81" s="59" t="s">
        <v>254</v>
      </c>
      <c r="V81" s="38">
        <v>3</v>
      </c>
      <c r="W81" s="48"/>
      <c r="AC81" s="38" t="s">
        <v>113</v>
      </c>
      <c r="AD81" s="38">
        <v>2</v>
      </c>
      <c r="AE81" s="40">
        <v>84.397153384686078</v>
      </c>
      <c r="AF81" s="40">
        <v>46.25</v>
      </c>
      <c r="AG81" s="39">
        <v>82.5</v>
      </c>
      <c r="AH81" s="40">
        <v>44.538830369220726</v>
      </c>
      <c r="AI81" s="40">
        <v>25</v>
      </c>
      <c r="AJ81" s="40">
        <v>54.694962824625506</v>
      </c>
      <c r="AK81" s="38">
        <v>78</v>
      </c>
      <c r="AM81" s="41"/>
      <c r="AN81" s="48"/>
      <c r="AV81" s="69"/>
    </row>
    <row r="82" spans="1:48" x14ac:dyDescent="0.25">
      <c r="A82" s="38" t="s">
        <v>37</v>
      </c>
      <c r="B82" s="38">
        <v>1</v>
      </c>
      <c r="C82" s="39">
        <v>85</v>
      </c>
      <c r="D82" s="40">
        <v>85.633560520245382</v>
      </c>
      <c r="E82" s="40">
        <v>33.75</v>
      </c>
      <c r="F82" s="39">
        <v>51.25</v>
      </c>
      <c r="G82" s="40">
        <v>50.809723366159616</v>
      </c>
      <c r="H82" s="40">
        <v>51.18844142227006</v>
      </c>
      <c r="I82" s="40">
        <v>50</v>
      </c>
      <c r="J82" s="40">
        <v>54.477088672957102</v>
      </c>
      <c r="K82" s="38">
        <v>79</v>
      </c>
      <c r="M82" s="41"/>
      <c r="N82" s="41"/>
      <c r="O82" s="59" t="s">
        <v>236</v>
      </c>
      <c r="P82" s="38">
        <v>3</v>
      </c>
      <c r="Q82" s="40">
        <v>55.346324282770695</v>
      </c>
      <c r="R82" s="48">
        <v>2</v>
      </c>
      <c r="T82" s="57" t="s">
        <v>107</v>
      </c>
      <c r="U82" s="59" t="s">
        <v>107</v>
      </c>
      <c r="V82" s="38">
        <v>3</v>
      </c>
      <c r="W82" s="48"/>
      <c r="AC82" s="38" t="s">
        <v>37</v>
      </c>
      <c r="AD82" s="38">
        <v>1</v>
      </c>
      <c r="AE82" s="40">
        <v>85.633560520245382</v>
      </c>
      <c r="AF82" s="40">
        <v>33.75</v>
      </c>
      <c r="AG82" s="39">
        <v>51.25</v>
      </c>
      <c r="AH82" s="40">
        <v>51.18844142227006</v>
      </c>
      <c r="AI82" s="40">
        <v>50</v>
      </c>
      <c r="AJ82" s="40">
        <v>54.477088672957102</v>
      </c>
      <c r="AK82" s="38">
        <v>79</v>
      </c>
      <c r="AM82" s="41"/>
      <c r="AN82" s="48"/>
      <c r="AV82" s="69"/>
    </row>
    <row r="83" spans="1:48" x14ac:dyDescent="0.25">
      <c r="A83" s="38" t="s">
        <v>78</v>
      </c>
      <c r="B83" s="38">
        <v>2</v>
      </c>
      <c r="C83" s="39">
        <v>75</v>
      </c>
      <c r="D83" s="40">
        <v>79.122331298143195</v>
      </c>
      <c r="E83" s="40">
        <v>40</v>
      </c>
      <c r="F83" s="39">
        <v>67.5</v>
      </c>
      <c r="G83" s="40">
        <v>44.775207531769937</v>
      </c>
      <c r="H83" s="40">
        <v>47.236250723624231</v>
      </c>
      <c r="I83" s="40">
        <v>50</v>
      </c>
      <c r="J83" s="40">
        <v>54.468966549078331</v>
      </c>
      <c r="K83" s="38">
        <v>80</v>
      </c>
      <c r="M83" s="41"/>
      <c r="N83" s="41"/>
      <c r="O83" s="59" t="s">
        <v>116</v>
      </c>
      <c r="P83" s="38">
        <v>3</v>
      </c>
      <c r="Q83" s="40">
        <v>54.923276610972195</v>
      </c>
      <c r="R83" s="48">
        <v>2</v>
      </c>
      <c r="T83" s="57" t="s">
        <v>184</v>
      </c>
      <c r="U83" s="59" t="s">
        <v>184</v>
      </c>
      <c r="V83" s="38">
        <v>3</v>
      </c>
      <c r="W83" s="48"/>
      <c r="AC83" s="38" t="s">
        <v>78</v>
      </c>
      <c r="AD83" s="38">
        <v>2</v>
      </c>
      <c r="AE83" s="40">
        <v>79.122331298143195</v>
      </c>
      <c r="AF83" s="40">
        <v>40</v>
      </c>
      <c r="AG83" s="39">
        <v>67.5</v>
      </c>
      <c r="AH83" s="40">
        <v>47.236250723624231</v>
      </c>
      <c r="AI83" s="40">
        <v>50</v>
      </c>
      <c r="AJ83" s="40">
        <v>54.468966549078331</v>
      </c>
      <c r="AK83" s="38">
        <v>80</v>
      </c>
      <c r="AM83" s="41"/>
      <c r="AN83" s="48"/>
      <c r="AV83" s="69"/>
    </row>
    <row r="84" spans="1:48" x14ac:dyDescent="0.25">
      <c r="A84" s="38" t="s">
        <v>64</v>
      </c>
      <c r="B84" s="38">
        <v>2</v>
      </c>
      <c r="C84" s="39">
        <v>83.75</v>
      </c>
      <c r="D84" s="40">
        <v>88.353269949593241</v>
      </c>
      <c r="E84" s="40">
        <v>35</v>
      </c>
      <c r="F84" s="39">
        <v>66.25</v>
      </c>
      <c r="G84" s="40">
        <v>43.019066475795796</v>
      </c>
      <c r="H84" s="40">
        <v>45.383584397796803</v>
      </c>
      <c r="I84" s="40">
        <v>50</v>
      </c>
      <c r="J84" s="40">
        <v>54.449087749037375</v>
      </c>
      <c r="K84" s="38">
        <v>81</v>
      </c>
      <c r="M84" s="41"/>
      <c r="N84" s="41"/>
      <c r="O84" s="59" t="s">
        <v>170</v>
      </c>
      <c r="P84" s="38">
        <v>3</v>
      </c>
      <c r="Q84" s="40">
        <v>54.285358746251305</v>
      </c>
      <c r="R84" s="48">
        <v>2</v>
      </c>
      <c r="T84" s="57" t="s">
        <v>92</v>
      </c>
      <c r="U84" s="59" t="s">
        <v>92</v>
      </c>
      <c r="V84" s="38">
        <v>3</v>
      </c>
      <c r="W84" s="48"/>
      <c r="AC84" s="38" t="s">
        <v>64</v>
      </c>
      <c r="AD84" s="38">
        <v>2</v>
      </c>
      <c r="AE84" s="40">
        <v>88.353269949593241</v>
      </c>
      <c r="AF84" s="40">
        <v>35</v>
      </c>
      <c r="AG84" s="39">
        <v>66.25</v>
      </c>
      <c r="AH84" s="40">
        <v>45.383584397796803</v>
      </c>
      <c r="AI84" s="40">
        <v>50</v>
      </c>
      <c r="AJ84" s="40">
        <v>54.449087749037375</v>
      </c>
      <c r="AK84" s="38">
        <v>81</v>
      </c>
      <c r="AM84" s="41"/>
      <c r="AN84" s="48"/>
      <c r="AV84" s="69"/>
    </row>
    <row r="85" spans="1:48" x14ac:dyDescent="0.25">
      <c r="A85" s="38" t="s">
        <v>171</v>
      </c>
      <c r="B85" s="38">
        <v>2</v>
      </c>
      <c r="C85" s="39">
        <v>81.25</v>
      </c>
      <c r="D85" s="40">
        <v>85.715858906321799</v>
      </c>
      <c r="E85" s="40">
        <v>28.75</v>
      </c>
      <c r="F85" s="39">
        <v>50</v>
      </c>
      <c r="G85" s="40">
        <v>51.008114642798922</v>
      </c>
      <c r="H85" s="40">
        <v>53.811745942149408</v>
      </c>
      <c r="I85" s="40">
        <v>50</v>
      </c>
      <c r="J85" s="40">
        <v>54.417870158124124</v>
      </c>
      <c r="K85" s="38">
        <v>82</v>
      </c>
      <c r="M85" s="41"/>
      <c r="N85" s="41"/>
      <c r="O85" s="59" t="s">
        <v>182</v>
      </c>
      <c r="P85" s="38">
        <v>3</v>
      </c>
      <c r="Q85" s="40">
        <v>54.263493367988644</v>
      </c>
      <c r="R85" s="48">
        <v>2</v>
      </c>
      <c r="T85" s="57" t="s">
        <v>95</v>
      </c>
      <c r="U85" s="59" t="s">
        <v>95</v>
      </c>
      <c r="V85" s="38">
        <v>3</v>
      </c>
      <c r="W85" s="48"/>
      <c r="AC85" s="38" t="s">
        <v>171</v>
      </c>
      <c r="AD85" s="38">
        <v>2</v>
      </c>
      <c r="AE85" s="40">
        <v>85.715858906321799</v>
      </c>
      <c r="AF85" s="40">
        <v>28.75</v>
      </c>
      <c r="AG85" s="39">
        <v>50</v>
      </c>
      <c r="AH85" s="40">
        <v>53.811745942149408</v>
      </c>
      <c r="AI85" s="40">
        <v>50</v>
      </c>
      <c r="AJ85" s="40">
        <v>54.417870158124124</v>
      </c>
      <c r="AK85" s="38">
        <v>82</v>
      </c>
      <c r="AM85" s="41"/>
      <c r="AN85" s="48"/>
      <c r="AV85" s="69"/>
    </row>
    <row r="86" spans="1:48" x14ac:dyDescent="0.25">
      <c r="A86" s="38" t="s">
        <v>83</v>
      </c>
      <c r="B86" s="38">
        <v>2</v>
      </c>
      <c r="C86" s="39">
        <v>91.25</v>
      </c>
      <c r="D86" s="40">
        <v>96.265503079407551</v>
      </c>
      <c r="E86" s="40">
        <v>40</v>
      </c>
      <c r="F86" s="39">
        <v>50</v>
      </c>
      <c r="G86" s="40">
        <v>40.403695929817218</v>
      </c>
      <c r="H86" s="40">
        <v>42.624461533712505</v>
      </c>
      <c r="I86" s="40">
        <v>50</v>
      </c>
      <c r="J86" s="40">
        <v>54.30288522936651</v>
      </c>
      <c r="K86" s="38">
        <v>83</v>
      </c>
      <c r="M86" s="41"/>
      <c r="N86" s="41"/>
      <c r="O86" s="59" t="s">
        <v>129</v>
      </c>
      <c r="P86" s="38">
        <v>3</v>
      </c>
      <c r="Q86" s="40">
        <v>54.263414093691537</v>
      </c>
      <c r="R86" s="48">
        <v>2</v>
      </c>
      <c r="T86" s="57" t="s">
        <v>104</v>
      </c>
      <c r="U86" s="59" t="s">
        <v>104</v>
      </c>
      <c r="V86" s="38">
        <v>3</v>
      </c>
      <c r="W86" s="48"/>
      <c r="AC86" s="38" t="s">
        <v>83</v>
      </c>
      <c r="AD86" s="38">
        <v>2</v>
      </c>
      <c r="AE86" s="40">
        <v>96.265503079407551</v>
      </c>
      <c r="AF86" s="40">
        <v>40</v>
      </c>
      <c r="AG86" s="39">
        <v>50</v>
      </c>
      <c r="AH86" s="40">
        <v>42.624461533712505</v>
      </c>
      <c r="AI86" s="40">
        <v>50</v>
      </c>
      <c r="AJ86" s="40">
        <v>54.30288522936651</v>
      </c>
      <c r="AK86" s="38">
        <v>83</v>
      </c>
      <c r="AM86" s="41"/>
      <c r="AN86" s="48"/>
      <c r="AV86" s="69"/>
    </row>
    <row r="87" spans="1:48" x14ac:dyDescent="0.25">
      <c r="A87" s="38" t="s">
        <v>170</v>
      </c>
      <c r="B87" s="38">
        <v>3</v>
      </c>
      <c r="C87" s="39">
        <v>58.75</v>
      </c>
      <c r="D87" s="40">
        <v>61.979159516878838</v>
      </c>
      <c r="E87" s="40">
        <v>53.75</v>
      </c>
      <c r="F87" s="39">
        <v>66.25</v>
      </c>
      <c r="G87" s="40">
        <v>49.206699539331332</v>
      </c>
      <c r="H87" s="40">
        <v>51.91131710718885</v>
      </c>
      <c r="I87" s="40">
        <v>37.5</v>
      </c>
      <c r="J87" s="40">
        <v>54.285358746251305</v>
      </c>
      <c r="K87" s="38">
        <v>84</v>
      </c>
      <c r="M87" s="41"/>
      <c r="N87" s="41"/>
      <c r="O87" s="59" t="s">
        <v>139</v>
      </c>
      <c r="P87" s="38">
        <v>3</v>
      </c>
      <c r="Q87" s="40">
        <v>54.084469044885594</v>
      </c>
      <c r="R87" s="48">
        <v>2</v>
      </c>
      <c r="T87" s="57" t="s">
        <v>110</v>
      </c>
      <c r="U87" s="59" t="s">
        <v>110</v>
      </c>
      <c r="V87" s="38">
        <v>3</v>
      </c>
      <c r="W87" s="48"/>
      <c r="AC87" s="38" t="s">
        <v>170</v>
      </c>
      <c r="AD87" s="38">
        <v>3</v>
      </c>
      <c r="AE87" s="40">
        <v>61.979159516878838</v>
      </c>
      <c r="AF87" s="40">
        <v>53.75</v>
      </c>
      <c r="AG87" s="39">
        <v>66.25</v>
      </c>
      <c r="AH87" s="40">
        <v>51.91131710718885</v>
      </c>
      <c r="AI87" s="40">
        <v>37.5</v>
      </c>
      <c r="AJ87" s="40">
        <v>54.285358746251305</v>
      </c>
      <c r="AK87" s="38">
        <v>84</v>
      </c>
      <c r="AM87" s="41"/>
      <c r="AN87" s="48"/>
      <c r="AV87" s="69"/>
    </row>
    <row r="88" spans="1:48" x14ac:dyDescent="0.25">
      <c r="A88" s="38" t="s">
        <v>182</v>
      </c>
      <c r="B88" s="38">
        <v>3</v>
      </c>
      <c r="C88" s="39">
        <v>76.25</v>
      </c>
      <c r="D88" s="40">
        <v>80.441036819778915</v>
      </c>
      <c r="E88" s="40">
        <v>40</v>
      </c>
      <c r="F88" s="39">
        <v>57.5</v>
      </c>
      <c r="G88" s="40">
        <v>51.957406440230045</v>
      </c>
      <c r="H88" s="40">
        <v>54.813215010082139</v>
      </c>
      <c r="I88" s="40">
        <v>25</v>
      </c>
      <c r="J88" s="40">
        <v>54.263493367988644</v>
      </c>
      <c r="K88" s="38">
        <v>85</v>
      </c>
      <c r="M88" s="41"/>
      <c r="N88" s="41"/>
      <c r="O88" s="59" t="s">
        <v>172</v>
      </c>
      <c r="P88" s="38">
        <v>3</v>
      </c>
      <c r="Q88" s="40">
        <v>53.877663169678286</v>
      </c>
      <c r="R88" s="48">
        <v>2</v>
      </c>
      <c r="T88" s="57" t="s">
        <v>205</v>
      </c>
      <c r="U88" s="59" t="s">
        <v>205</v>
      </c>
      <c r="V88" s="38">
        <v>3</v>
      </c>
      <c r="W88" s="48"/>
      <c r="AC88" s="38" t="s">
        <v>182</v>
      </c>
      <c r="AD88" s="38">
        <v>3</v>
      </c>
      <c r="AE88" s="40">
        <v>80.441036819778915</v>
      </c>
      <c r="AF88" s="40">
        <v>40</v>
      </c>
      <c r="AG88" s="39">
        <v>57.5</v>
      </c>
      <c r="AH88" s="40">
        <v>54.813215010082139</v>
      </c>
      <c r="AI88" s="40">
        <v>25</v>
      </c>
      <c r="AJ88" s="40">
        <v>54.263493367988644</v>
      </c>
      <c r="AK88" s="38">
        <v>85</v>
      </c>
      <c r="AM88" s="41"/>
      <c r="AN88" s="48"/>
      <c r="AV88" s="69"/>
    </row>
    <row r="89" spans="1:48" x14ac:dyDescent="0.25">
      <c r="A89" s="38" t="s">
        <v>129</v>
      </c>
      <c r="B89" s="38">
        <v>3</v>
      </c>
      <c r="C89" s="39">
        <v>71.25</v>
      </c>
      <c r="D89" s="40">
        <v>75.166214733236032</v>
      </c>
      <c r="E89" s="40">
        <v>47.5</v>
      </c>
      <c r="F89" s="39">
        <v>73.75</v>
      </c>
      <c r="G89" s="40">
        <v>50.013940756617707</v>
      </c>
      <c r="H89" s="40">
        <v>52.762927867610834</v>
      </c>
      <c r="I89" s="40">
        <v>12.5</v>
      </c>
      <c r="J89" s="40">
        <v>54.263414093691537</v>
      </c>
      <c r="K89" s="38">
        <v>86</v>
      </c>
      <c r="M89" s="41"/>
      <c r="N89" s="41"/>
      <c r="O89" s="59" t="s">
        <v>97</v>
      </c>
      <c r="P89" s="38">
        <v>3</v>
      </c>
      <c r="Q89" s="40">
        <v>53.62107106132143</v>
      </c>
      <c r="R89" s="48">
        <v>2</v>
      </c>
      <c r="T89" s="57" t="s">
        <v>146</v>
      </c>
      <c r="U89" s="59" t="s">
        <v>146</v>
      </c>
      <c r="V89" s="38">
        <v>3</v>
      </c>
      <c r="W89" s="48"/>
      <c r="AC89" s="38" t="s">
        <v>129</v>
      </c>
      <c r="AD89" s="38">
        <v>3</v>
      </c>
      <c r="AE89" s="40">
        <v>75.166214733236032</v>
      </c>
      <c r="AF89" s="40">
        <v>47.5</v>
      </c>
      <c r="AG89" s="39">
        <v>73.75</v>
      </c>
      <c r="AH89" s="40">
        <v>52.762927867610834</v>
      </c>
      <c r="AI89" s="40">
        <v>12.5</v>
      </c>
      <c r="AJ89" s="40">
        <v>54.263414093691537</v>
      </c>
      <c r="AK89" s="38">
        <v>86</v>
      </c>
      <c r="AM89" s="41"/>
      <c r="AN89" s="48"/>
      <c r="AV89" s="69"/>
    </row>
    <row r="90" spans="1:48" x14ac:dyDescent="0.25">
      <c r="A90" s="38" t="s">
        <v>180</v>
      </c>
      <c r="B90" s="38">
        <v>2</v>
      </c>
      <c r="C90" s="39">
        <v>81.25</v>
      </c>
      <c r="D90" s="40">
        <v>85.715858906321799</v>
      </c>
      <c r="E90" s="40">
        <v>40</v>
      </c>
      <c r="F90" s="39">
        <v>66.25</v>
      </c>
      <c r="G90" s="40">
        <v>47.219224895170896</v>
      </c>
      <c r="H90" s="40">
        <v>49.81460207729657</v>
      </c>
      <c r="I90" s="40">
        <v>25</v>
      </c>
      <c r="J90" s="40">
        <v>54.194012612182988</v>
      </c>
      <c r="K90" s="38">
        <v>87</v>
      </c>
      <c r="M90" s="41"/>
      <c r="N90" s="41"/>
      <c r="O90" s="59" t="s">
        <v>156</v>
      </c>
      <c r="P90" s="38">
        <v>3</v>
      </c>
      <c r="Q90" s="40">
        <v>53.469921703522047</v>
      </c>
      <c r="R90" s="48">
        <v>2</v>
      </c>
      <c r="T90" s="57" t="s">
        <v>236</v>
      </c>
      <c r="U90" s="59" t="s">
        <v>236</v>
      </c>
      <c r="V90" s="38">
        <v>3</v>
      </c>
      <c r="W90" s="48"/>
      <c r="AC90" s="38" t="s">
        <v>180</v>
      </c>
      <c r="AD90" s="38">
        <v>2</v>
      </c>
      <c r="AE90" s="40">
        <v>85.715858906321799</v>
      </c>
      <c r="AF90" s="40">
        <v>40</v>
      </c>
      <c r="AG90" s="39">
        <v>66.25</v>
      </c>
      <c r="AH90" s="40">
        <v>49.81460207729657</v>
      </c>
      <c r="AI90" s="40">
        <v>25</v>
      </c>
      <c r="AJ90" s="40">
        <v>54.194012612182988</v>
      </c>
      <c r="AK90" s="38">
        <v>87</v>
      </c>
      <c r="AM90" s="41"/>
      <c r="AN90" s="48"/>
      <c r="AV90" s="69"/>
    </row>
    <row r="91" spans="1:48" x14ac:dyDescent="0.25">
      <c r="A91" s="38" t="s">
        <v>66</v>
      </c>
      <c r="B91" s="38">
        <v>2</v>
      </c>
      <c r="C91" s="39">
        <v>85</v>
      </c>
      <c r="D91" s="40">
        <v>89.671975471228947</v>
      </c>
      <c r="E91" s="40">
        <v>22.5</v>
      </c>
      <c r="F91" s="39">
        <v>50</v>
      </c>
      <c r="G91" s="40">
        <v>51.393384504215902</v>
      </c>
      <c r="H91" s="40">
        <v>54.218191937005727</v>
      </c>
      <c r="I91" s="40">
        <v>50</v>
      </c>
      <c r="J91" s="40">
        <v>54.121671869048086</v>
      </c>
      <c r="K91" s="38">
        <v>88</v>
      </c>
      <c r="M91" s="41"/>
      <c r="N91" s="41"/>
      <c r="O91" s="59" t="s">
        <v>232</v>
      </c>
      <c r="P91" s="38">
        <v>3</v>
      </c>
      <c r="Q91" s="40">
        <v>52.92984267858057</v>
      </c>
      <c r="R91" s="48">
        <v>2</v>
      </c>
      <c r="T91" s="57" t="s">
        <v>116</v>
      </c>
      <c r="U91" s="59" t="s">
        <v>116</v>
      </c>
      <c r="V91" s="38">
        <v>3</v>
      </c>
      <c r="W91" s="48"/>
      <c r="AC91" s="38" t="s">
        <v>66</v>
      </c>
      <c r="AD91" s="38">
        <v>2</v>
      </c>
      <c r="AE91" s="40">
        <v>89.671975471228947</v>
      </c>
      <c r="AF91" s="40">
        <v>22.5</v>
      </c>
      <c r="AG91" s="39">
        <v>50</v>
      </c>
      <c r="AH91" s="40">
        <v>54.218191937005727</v>
      </c>
      <c r="AI91" s="40">
        <v>50</v>
      </c>
      <c r="AJ91" s="40">
        <v>54.121671869048086</v>
      </c>
      <c r="AK91" s="38">
        <v>88</v>
      </c>
      <c r="AM91" s="41"/>
      <c r="AN91" s="48"/>
      <c r="AV91" s="69"/>
    </row>
    <row r="92" spans="1:48" x14ac:dyDescent="0.25">
      <c r="A92" s="38" t="s">
        <v>139</v>
      </c>
      <c r="B92" s="38">
        <v>3</v>
      </c>
      <c r="C92" s="39">
        <v>65</v>
      </c>
      <c r="D92" s="40">
        <v>68.572687125057442</v>
      </c>
      <c r="E92" s="40">
        <v>53.75</v>
      </c>
      <c r="F92" s="39">
        <v>50</v>
      </c>
      <c r="G92" s="40">
        <v>46.494297101338397</v>
      </c>
      <c r="H92" s="40">
        <v>49.049829049685272</v>
      </c>
      <c r="I92" s="40">
        <v>50</v>
      </c>
      <c r="J92" s="40">
        <v>54.084469044885594</v>
      </c>
      <c r="K92" s="38">
        <v>89</v>
      </c>
      <c r="M92" s="41"/>
      <c r="N92" s="41"/>
      <c r="O92" s="59" t="s">
        <v>163</v>
      </c>
      <c r="P92" s="38">
        <v>3</v>
      </c>
      <c r="Q92" s="40">
        <v>52.924809970214028</v>
      </c>
      <c r="R92" s="48">
        <v>2</v>
      </c>
      <c r="T92" s="57" t="s">
        <v>170</v>
      </c>
      <c r="U92" s="59" t="s">
        <v>170</v>
      </c>
      <c r="V92" s="38">
        <v>3</v>
      </c>
      <c r="W92" s="48"/>
      <c r="AC92" s="38" t="s">
        <v>139</v>
      </c>
      <c r="AD92" s="38">
        <v>3</v>
      </c>
      <c r="AE92" s="40">
        <v>68.572687125057442</v>
      </c>
      <c r="AF92" s="40">
        <v>53.75</v>
      </c>
      <c r="AG92" s="39">
        <v>50</v>
      </c>
      <c r="AH92" s="40">
        <v>49.049829049685272</v>
      </c>
      <c r="AI92" s="40">
        <v>50</v>
      </c>
      <c r="AJ92" s="40">
        <v>54.084469044885594</v>
      </c>
      <c r="AK92" s="38">
        <v>89</v>
      </c>
      <c r="AM92" s="41"/>
      <c r="AN92" s="48"/>
      <c r="AV92" s="69"/>
    </row>
    <row r="93" spans="1:48" x14ac:dyDescent="0.25">
      <c r="A93" s="38" t="s">
        <v>114</v>
      </c>
      <c r="B93" s="38">
        <v>2</v>
      </c>
      <c r="C93" s="39">
        <v>85</v>
      </c>
      <c r="D93" s="40">
        <v>89.671975471228947</v>
      </c>
      <c r="E93" s="40">
        <v>33.75</v>
      </c>
      <c r="F93" s="39">
        <v>57.5</v>
      </c>
      <c r="G93" s="40">
        <v>49.765563498291705</v>
      </c>
      <c r="H93" s="40">
        <v>52.500898698008243</v>
      </c>
      <c r="I93" s="40">
        <v>25</v>
      </c>
      <c r="J93" s="40">
        <v>53.934754573449084</v>
      </c>
      <c r="K93" s="38">
        <v>90</v>
      </c>
      <c r="M93" s="41"/>
      <c r="N93" s="41"/>
      <c r="O93" s="59" t="s">
        <v>238</v>
      </c>
      <c r="P93" s="38">
        <v>3</v>
      </c>
      <c r="Q93" s="40">
        <v>52.659382773732418</v>
      </c>
      <c r="R93" s="48">
        <v>2</v>
      </c>
      <c r="T93" s="57" t="s">
        <v>182</v>
      </c>
      <c r="U93" s="59" t="s">
        <v>182</v>
      </c>
      <c r="V93" s="38">
        <v>3</v>
      </c>
      <c r="W93" s="48"/>
      <c r="AC93" s="38" t="s">
        <v>114</v>
      </c>
      <c r="AD93" s="38">
        <v>2</v>
      </c>
      <c r="AE93" s="40">
        <v>89.671975471228947</v>
      </c>
      <c r="AF93" s="40">
        <v>33.75</v>
      </c>
      <c r="AG93" s="39">
        <v>57.5</v>
      </c>
      <c r="AH93" s="40">
        <v>52.500898698008243</v>
      </c>
      <c r="AI93" s="40">
        <v>25</v>
      </c>
      <c r="AJ93" s="40">
        <v>53.934754573449084</v>
      </c>
      <c r="AK93" s="38">
        <v>90</v>
      </c>
      <c r="AM93" s="41"/>
      <c r="AN93" s="48"/>
      <c r="AV93" s="69"/>
    </row>
    <row r="94" spans="1:48" x14ac:dyDescent="0.25">
      <c r="A94" s="38" t="s">
        <v>172</v>
      </c>
      <c r="B94" s="38">
        <v>3</v>
      </c>
      <c r="C94" s="39">
        <v>51.25</v>
      </c>
      <c r="D94" s="40">
        <v>54.06692638706452</v>
      </c>
      <c r="E94" s="40">
        <v>57.5</v>
      </c>
      <c r="F94" s="39">
        <v>91.25</v>
      </c>
      <c r="G94" s="40">
        <v>41.326696915419298</v>
      </c>
      <c r="H94" s="40">
        <v>43.598194730663444</v>
      </c>
      <c r="I94" s="40">
        <v>50</v>
      </c>
      <c r="J94" s="40">
        <v>53.877663169678286</v>
      </c>
      <c r="K94" s="38">
        <v>91</v>
      </c>
      <c r="M94" s="41"/>
      <c r="N94" s="41"/>
      <c r="O94" s="59" t="s">
        <v>108</v>
      </c>
      <c r="P94" s="38">
        <v>3</v>
      </c>
      <c r="Q94" s="40">
        <v>52.323625519592497</v>
      </c>
      <c r="R94" s="48">
        <v>2</v>
      </c>
      <c r="T94" s="57" t="s">
        <v>129</v>
      </c>
      <c r="U94" s="59" t="s">
        <v>129</v>
      </c>
      <c r="V94" s="38">
        <v>3</v>
      </c>
      <c r="W94" s="48"/>
      <c r="AC94" s="38" t="s">
        <v>172</v>
      </c>
      <c r="AD94" s="38">
        <v>3</v>
      </c>
      <c r="AE94" s="40">
        <v>54.06692638706452</v>
      </c>
      <c r="AF94" s="40">
        <v>57.5</v>
      </c>
      <c r="AG94" s="39">
        <v>91.25</v>
      </c>
      <c r="AH94" s="40">
        <v>43.598194730663444</v>
      </c>
      <c r="AI94" s="40">
        <v>50</v>
      </c>
      <c r="AJ94" s="40">
        <v>53.877663169678286</v>
      </c>
      <c r="AK94" s="38">
        <v>91</v>
      </c>
      <c r="AM94" s="41"/>
      <c r="AN94" s="48"/>
      <c r="AV94" s="69"/>
    </row>
    <row r="95" spans="1:48" x14ac:dyDescent="0.25">
      <c r="A95" s="38" t="s">
        <v>97</v>
      </c>
      <c r="B95" s="38">
        <v>3</v>
      </c>
      <c r="C95" s="39">
        <v>80</v>
      </c>
      <c r="D95" s="40">
        <v>84.397153384686078</v>
      </c>
      <c r="E95" s="40">
        <v>35</v>
      </c>
      <c r="F95" s="39">
        <v>58.75</v>
      </c>
      <c r="G95" s="40">
        <v>50.633557003976414</v>
      </c>
      <c r="H95" s="40">
        <v>53.416600960960544</v>
      </c>
      <c r="I95" s="40">
        <v>25</v>
      </c>
      <c r="J95" s="40">
        <v>53.62107106132143</v>
      </c>
      <c r="K95" s="38">
        <v>92</v>
      </c>
      <c r="M95" s="41"/>
      <c r="N95" s="41"/>
      <c r="O95" s="59" t="s">
        <v>233</v>
      </c>
      <c r="P95" s="38">
        <v>3</v>
      </c>
      <c r="Q95" s="40">
        <v>52.201453453574068</v>
      </c>
      <c r="R95" s="48">
        <v>2</v>
      </c>
      <c r="T95" s="57" t="s">
        <v>139</v>
      </c>
      <c r="U95" s="59" t="s">
        <v>139</v>
      </c>
      <c r="V95" s="38">
        <v>3</v>
      </c>
      <c r="W95" s="48"/>
      <c r="AC95" s="38" t="s">
        <v>97</v>
      </c>
      <c r="AD95" s="38">
        <v>3</v>
      </c>
      <c r="AE95" s="40">
        <v>84.397153384686078</v>
      </c>
      <c r="AF95" s="40">
        <v>35</v>
      </c>
      <c r="AG95" s="39">
        <v>58.75</v>
      </c>
      <c r="AH95" s="40">
        <v>53.416600960960544</v>
      </c>
      <c r="AI95" s="40">
        <v>25</v>
      </c>
      <c r="AJ95" s="40">
        <v>53.62107106132143</v>
      </c>
      <c r="AK95" s="38">
        <v>92</v>
      </c>
      <c r="AM95" s="41"/>
      <c r="AN95" s="48"/>
      <c r="AV95" s="69"/>
    </row>
    <row r="96" spans="1:48" x14ac:dyDescent="0.25">
      <c r="A96" s="38" t="s">
        <v>199</v>
      </c>
      <c r="B96" s="38">
        <v>2</v>
      </c>
      <c r="C96" s="39">
        <v>63.75</v>
      </c>
      <c r="D96" s="40">
        <v>67.253981603421721</v>
      </c>
      <c r="E96" s="40">
        <v>46.25</v>
      </c>
      <c r="F96" s="39">
        <v>75</v>
      </c>
      <c r="G96" s="40">
        <v>49.352865739719476</v>
      </c>
      <c r="H96" s="40">
        <v>52.065517247611538</v>
      </c>
      <c r="I96" s="40">
        <v>25</v>
      </c>
      <c r="J96" s="40">
        <v>53.527003219728968</v>
      </c>
      <c r="K96" s="38">
        <v>93</v>
      </c>
      <c r="M96" s="41"/>
      <c r="N96" s="41"/>
      <c r="O96" s="59" t="s">
        <v>169</v>
      </c>
      <c r="P96" s="38">
        <v>4</v>
      </c>
      <c r="Q96" s="40">
        <v>62.61032931313833</v>
      </c>
      <c r="R96" s="48">
        <v>2</v>
      </c>
      <c r="T96" s="57" t="s">
        <v>172</v>
      </c>
      <c r="U96" s="59" t="s">
        <v>172</v>
      </c>
      <c r="V96" s="38">
        <v>3</v>
      </c>
      <c r="W96" s="48"/>
      <c r="AC96" s="38" t="s">
        <v>199</v>
      </c>
      <c r="AD96" s="38">
        <v>2</v>
      </c>
      <c r="AE96" s="40">
        <v>67.253981603421721</v>
      </c>
      <c r="AF96" s="40">
        <v>46.25</v>
      </c>
      <c r="AG96" s="39">
        <v>75</v>
      </c>
      <c r="AH96" s="40">
        <v>52.065517247611538</v>
      </c>
      <c r="AI96" s="40">
        <v>25</v>
      </c>
      <c r="AJ96" s="40">
        <v>53.527003219728968</v>
      </c>
      <c r="AK96" s="38">
        <v>93</v>
      </c>
      <c r="AM96" s="41"/>
      <c r="AN96" s="48"/>
      <c r="AV96" s="69"/>
    </row>
    <row r="97" spans="1:48" x14ac:dyDescent="0.25">
      <c r="A97" s="38" t="s">
        <v>156</v>
      </c>
      <c r="B97" s="38">
        <v>3</v>
      </c>
      <c r="C97" s="39">
        <v>78.75</v>
      </c>
      <c r="D97" s="40">
        <v>83.078447863050357</v>
      </c>
      <c r="E97" s="40">
        <v>35</v>
      </c>
      <c r="F97" s="39">
        <v>75</v>
      </c>
      <c r="G97" s="40">
        <v>50.011715524854061</v>
      </c>
      <c r="H97" s="40">
        <v>52.760580327279925</v>
      </c>
      <c r="I97" s="40">
        <v>12.5</v>
      </c>
      <c r="J97" s="40">
        <v>53.469921703522047</v>
      </c>
      <c r="K97" s="38">
        <v>94</v>
      </c>
      <c r="M97" s="41"/>
      <c r="N97" s="41"/>
      <c r="O97" s="59" t="s">
        <v>260</v>
      </c>
      <c r="P97" s="38">
        <v>4</v>
      </c>
      <c r="Q97" s="40">
        <v>61.754585022177579</v>
      </c>
      <c r="R97" s="48">
        <v>2</v>
      </c>
      <c r="T97" s="57" t="s">
        <v>97</v>
      </c>
      <c r="U97" s="59" t="s">
        <v>97</v>
      </c>
      <c r="V97" s="38">
        <v>3</v>
      </c>
      <c r="W97" s="48"/>
      <c r="AC97" s="38" t="s">
        <v>156</v>
      </c>
      <c r="AD97" s="38">
        <v>3</v>
      </c>
      <c r="AE97" s="40">
        <v>83.078447863050357</v>
      </c>
      <c r="AF97" s="40">
        <v>35</v>
      </c>
      <c r="AG97" s="39">
        <v>75</v>
      </c>
      <c r="AH97" s="40">
        <v>52.760580327279925</v>
      </c>
      <c r="AI97" s="40">
        <v>12.5</v>
      </c>
      <c r="AJ97" s="40">
        <v>53.469921703522047</v>
      </c>
      <c r="AK97" s="38">
        <v>94</v>
      </c>
      <c r="AM97" s="41"/>
      <c r="AN97" s="48"/>
      <c r="AV97" s="69"/>
    </row>
    <row r="98" spans="1:48" x14ac:dyDescent="0.25">
      <c r="A98" s="38" t="s">
        <v>73</v>
      </c>
      <c r="B98" s="38">
        <v>2</v>
      </c>
      <c r="C98" s="39">
        <v>86.25</v>
      </c>
      <c r="D98" s="40">
        <v>90.990680992864668</v>
      </c>
      <c r="E98" s="40">
        <v>33.75</v>
      </c>
      <c r="F98" s="39">
        <v>67.5</v>
      </c>
      <c r="G98" s="40">
        <v>42.513866550566092</v>
      </c>
      <c r="H98" s="40">
        <v>44.850616453052517</v>
      </c>
      <c r="I98" s="40">
        <v>37.5</v>
      </c>
      <c r="J98" s="40">
        <v>53.388382779793943</v>
      </c>
      <c r="K98" s="38">
        <v>95</v>
      </c>
      <c r="M98" s="41"/>
      <c r="N98" s="41"/>
      <c r="O98" s="59" t="s">
        <v>275</v>
      </c>
      <c r="P98" s="38">
        <v>4</v>
      </c>
      <c r="Q98" s="40">
        <v>61.264068965229953</v>
      </c>
      <c r="R98" s="48">
        <v>2</v>
      </c>
      <c r="T98" s="57" t="s">
        <v>156</v>
      </c>
      <c r="U98" s="59" t="s">
        <v>156</v>
      </c>
      <c r="V98" s="38">
        <v>3</v>
      </c>
      <c r="W98" s="48"/>
      <c r="AC98" s="38" t="s">
        <v>73</v>
      </c>
      <c r="AD98" s="38">
        <v>2</v>
      </c>
      <c r="AE98" s="40">
        <v>90.990680992864668</v>
      </c>
      <c r="AF98" s="40">
        <v>33.75</v>
      </c>
      <c r="AG98" s="39">
        <v>67.5</v>
      </c>
      <c r="AH98" s="40">
        <v>44.850616453052517</v>
      </c>
      <c r="AI98" s="40">
        <v>37.5</v>
      </c>
      <c r="AJ98" s="40">
        <v>53.388382779793943</v>
      </c>
      <c r="AK98" s="38">
        <v>95</v>
      </c>
      <c r="AM98" s="41"/>
      <c r="AN98" s="48"/>
      <c r="AV98" s="69"/>
    </row>
    <row r="99" spans="1:48" x14ac:dyDescent="0.25">
      <c r="A99" s="38" t="s">
        <v>84</v>
      </c>
      <c r="B99" s="38">
        <v>2</v>
      </c>
      <c r="C99" s="39">
        <v>80</v>
      </c>
      <c r="D99" s="40">
        <v>84.397153384686078</v>
      </c>
      <c r="E99" s="40">
        <v>46.25</v>
      </c>
      <c r="F99" s="39">
        <v>73.75</v>
      </c>
      <c r="G99" s="40">
        <v>32.277293577712626</v>
      </c>
      <c r="H99" s="40">
        <v>34.051396211509442</v>
      </c>
      <c r="I99" s="40">
        <v>62.5</v>
      </c>
      <c r="J99" s="40">
        <v>53.374989161540995</v>
      </c>
      <c r="K99" s="38">
        <v>96</v>
      </c>
      <c r="M99" s="41"/>
      <c r="N99" s="41"/>
      <c r="O99" s="59" t="s">
        <v>208</v>
      </c>
      <c r="P99" s="38">
        <v>4</v>
      </c>
      <c r="Q99" s="40">
        <v>60.628248584513827</v>
      </c>
      <c r="R99" s="48">
        <v>2</v>
      </c>
      <c r="T99" s="57" t="s">
        <v>232</v>
      </c>
      <c r="U99" s="59" t="s">
        <v>232</v>
      </c>
      <c r="V99" s="38">
        <v>3</v>
      </c>
      <c r="W99" s="48"/>
      <c r="AC99" s="38" t="s">
        <v>84</v>
      </c>
      <c r="AD99" s="38">
        <v>2</v>
      </c>
      <c r="AE99" s="40">
        <v>84.397153384686078</v>
      </c>
      <c r="AF99" s="40">
        <v>46.25</v>
      </c>
      <c r="AG99" s="39">
        <v>73.75</v>
      </c>
      <c r="AH99" s="40">
        <v>34.051396211509442</v>
      </c>
      <c r="AI99" s="40">
        <v>62.5</v>
      </c>
      <c r="AJ99" s="40">
        <v>53.374989161540995</v>
      </c>
      <c r="AK99" s="38">
        <v>96</v>
      </c>
      <c r="AM99" s="41"/>
      <c r="AN99" s="48"/>
      <c r="AV99" s="69"/>
    </row>
    <row r="100" spans="1:48" x14ac:dyDescent="0.25">
      <c r="A100" s="38" t="s">
        <v>201</v>
      </c>
      <c r="B100" s="38">
        <v>4</v>
      </c>
      <c r="C100" s="39">
        <v>81.25</v>
      </c>
      <c r="D100" s="40">
        <v>85.715858906321799</v>
      </c>
      <c r="E100" s="40">
        <v>27.5</v>
      </c>
      <c r="F100" s="39">
        <v>66.25</v>
      </c>
      <c r="G100" s="40">
        <v>47.407456577200193</v>
      </c>
      <c r="H100" s="40">
        <v>50.013179804047617</v>
      </c>
      <c r="I100" s="40">
        <v>37.5</v>
      </c>
      <c r="J100" s="40">
        <v>53.023443702883412</v>
      </c>
      <c r="K100" s="38">
        <v>97</v>
      </c>
      <c r="M100" s="41"/>
      <c r="N100" s="41"/>
      <c r="O100" s="59" t="s">
        <v>210</v>
      </c>
      <c r="P100" s="38">
        <v>4</v>
      </c>
      <c r="Q100" s="40">
        <v>58.799291858629715</v>
      </c>
      <c r="R100" s="48">
        <v>2</v>
      </c>
      <c r="T100" s="57" t="s">
        <v>163</v>
      </c>
      <c r="U100" s="59" t="s">
        <v>163</v>
      </c>
      <c r="V100" s="38">
        <v>3</v>
      </c>
      <c r="W100" s="48"/>
      <c r="AC100" s="38" t="s">
        <v>201</v>
      </c>
      <c r="AD100" s="38">
        <v>4</v>
      </c>
      <c r="AE100" s="40">
        <v>85.715858906321799</v>
      </c>
      <c r="AF100" s="40">
        <v>27.5</v>
      </c>
      <c r="AG100" s="39">
        <v>66.25</v>
      </c>
      <c r="AH100" s="40">
        <v>50.013179804047617</v>
      </c>
      <c r="AI100" s="40">
        <v>37.5</v>
      </c>
      <c r="AJ100" s="40">
        <v>53.023443702883412</v>
      </c>
      <c r="AK100" s="38">
        <v>97</v>
      </c>
      <c r="AM100" s="41"/>
      <c r="AN100" s="48"/>
      <c r="AV100" s="69"/>
    </row>
    <row r="101" spans="1:48" x14ac:dyDescent="0.25">
      <c r="A101" s="38" t="s">
        <v>232</v>
      </c>
      <c r="B101" s="38">
        <v>3</v>
      </c>
      <c r="C101" s="39">
        <v>63.75</v>
      </c>
      <c r="D101" s="40">
        <v>67.253981603421721</v>
      </c>
      <c r="E101" s="40">
        <v>47.5</v>
      </c>
      <c r="F101" s="39">
        <v>41.25</v>
      </c>
      <c r="G101" s="40">
        <v>52.381023462118364</v>
      </c>
      <c r="H101" s="40">
        <v>55.260115894740544</v>
      </c>
      <c r="I101" s="40">
        <v>37.5</v>
      </c>
      <c r="J101" s="40">
        <v>52.92984267858057</v>
      </c>
      <c r="K101" s="38">
        <v>98</v>
      </c>
      <c r="M101" s="41"/>
      <c r="N101" s="41"/>
      <c r="O101" s="59" t="s">
        <v>127</v>
      </c>
      <c r="P101" s="38">
        <v>4</v>
      </c>
      <c r="Q101" s="40">
        <v>57.979249325253846</v>
      </c>
      <c r="R101" s="48">
        <v>2</v>
      </c>
      <c r="T101" s="57" t="s">
        <v>238</v>
      </c>
      <c r="U101" s="59" t="s">
        <v>238</v>
      </c>
      <c r="V101" s="38">
        <v>3</v>
      </c>
      <c r="W101" s="48"/>
      <c r="AC101" s="38" t="s">
        <v>232</v>
      </c>
      <c r="AD101" s="38">
        <v>3</v>
      </c>
      <c r="AE101" s="40">
        <v>67.253981603421721</v>
      </c>
      <c r="AF101" s="40">
        <v>47.5</v>
      </c>
      <c r="AG101" s="39">
        <v>41.25</v>
      </c>
      <c r="AH101" s="40">
        <v>55.260115894740544</v>
      </c>
      <c r="AI101" s="40">
        <v>37.5</v>
      </c>
      <c r="AJ101" s="40">
        <v>52.92984267858057</v>
      </c>
      <c r="AK101" s="38">
        <v>98</v>
      </c>
      <c r="AM101" s="41"/>
      <c r="AN101" s="48"/>
      <c r="AV101" s="69"/>
    </row>
    <row r="102" spans="1:48" x14ac:dyDescent="0.25">
      <c r="A102" s="38" t="s">
        <v>163</v>
      </c>
      <c r="B102" s="38">
        <v>3</v>
      </c>
      <c r="C102" s="39">
        <v>67.5</v>
      </c>
      <c r="D102" s="40">
        <v>71.210098168328869</v>
      </c>
      <c r="E102" s="40">
        <v>58.75</v>
      </c>
      <c r="F102" s="39">
        <v>50</v>
      </c>
      <c r="G102" s="40">
        <v>49.013004602833341</v>
      </c>
      <c r="H102" s="40">
        <v>51.706975841370628</v>
      </c>
      <c r="I102" s="40">
        <v>12.5</v>
      </c>
      <c r="J102" s="40">
        <v>52.924809970214028</v>
      </c>
      <c r="K102" s="38">
        <v>99</v>
      </c>
      <c r="M102" s="41"/>
      <c r="N102" s="41"/>
      <c r="O102" s="59" t="s">
        <v>240</v>
      </c>
      <c r="P102" s="38">
        <v>4</v>
      </c>
      <c r="Q102" s="40">
        <v>57.430869896033485</v>
      </c>
      <c r="R102" s="48">
        <v>2</v>
      </c>
      <c r="T102" s="57" t="s">
        <v>108</v>
      </c>
      <c r="U102" s="59" t="s">
        <v>108</v>
      </c>
      <c r="V102" s="38">
        <v>3</v>
      </c>
      <c r="W102" s="48"/>
      <c r="AC102" s="38" t="s">
        <v>163</v>
      </c>
      <c r="AD102" s="38">
        <v>3</v>
      </c>
      <c r="AE102" s="40">
        <v>71.210098168328869</v>
      </c>
      <c r="AF102" s="40">
        <v>58.75</v>
      </c>
      <c r="AG102" s="39">
        <v>50</v>
      </c>
      <c r="AH102" s="40">
        <v>51.706975841370628</v>
      </c>
      <c r="AI102" s="40">
        <v>12.5</v>
      </c>
      <c r="AJ102" s="40">
        <v>52.924809970214028</v>
      </c>
      <c r="AK102" s="38">
        <v>99</v>
      </c>
      <c r="AM102" s="41"/>
      <c r="AN102" s="48"/>
      <c r="AV102" s="69"/>
    </row>
    <row r="103" spans="1:48" x14ac:dyDescent="0.25">
      <c r="A103" s="38" t="s">
        <v>71</v>
      </c>
      <c r="B103" s="38">
        <v>2</v>
      </c>
      <c r="C103" s="39">
        <v>77.5</v>
      </c>
      <c r="D103" s="40">
        <v>81.759742341414636</v>
      </c>
      <c r="E103" s="40">
        <v>32.5</v>
      </c>
      <c r="F103" s="39">
        <v>42.5</v>
      </c>
      <c r="G103" s="40">
        <v>49.204158024798268</v>
      </c>
      <c r="H103" s="40">
        <v>51.908635899790397</v>
      </c>
      <c r="I103" s="40">
        <v>50</v>
      </c>
      <c r="J103" s="40">
        <v>52.865402828199088</v>
      </c>
      <c r="K103" s="38">
        <v>100</v>
      </c>
      <c r="N103" s="60"/>
      <c r="O103" s="59" t="s">
        <v>277</v>
      </c>
      <c r="P103" s="38">
        <v>4</v>
      </c>
      <c r="Q103" s="40">
        <v>56.057846785034222</v>
      </c>
      <c r="R103" s="48">
        <v>2</v>
      </c>
      <c r="T103" s="57" t="s">
        <v>233</v>
      </c>
      <c r="U103" s="59" t="s">
        <v>233</v>
      </c>
      <c r="V103" s="38">
        <v>3</v>
      </c>
      <c r="W103" s="48"/>
      <c r="AC103" s="38" t="s">
        <v>71</v>
      </c>
      <c r="AD103" s="38">
        <v>2</v>
      </c>
      <c r="AE103" s="40">
        <v>81.759742341414636</v>
      </c>
      <c r="AF103" s="40">
        <v>32.5</v>
      </c>
      <c r="AG103" s="39">
        <v>42.5</v>
      </c>
      <c r="AH103" s="40">
        <v>51.908635899790397</v>
      </c>
      <c r="AI103" s="40">
        <v>50</v>
      </c>
      <c r="AJ103" s="40">
        <v>52.865402828199088</v>
      </c>
      <c r="AK103" s="38">
        <v>100</v>
      </c>
      <c r="AM103" s="41"/>
      <c r="AN103" s="48"/>
      <c r="AV103" s="69"/>
    </row>
    <row r="104" spans="1:48" x14ac:dyDescent="0.25">
      <c r="A104" s="38" t="s">
        <v>160</v>
      </c>
      <c r="B104" s="38">
        <v>4</v>
      </c>
      <c r="C104" s="39">
        <v>77.5</v>
      </c>
      <c r="D104" s="40">
        <v>81.759742341414636</v>
      </c>
      <c r="E104" s="40">
        <v>52.5</v>
      </c>
      <c r="F104" s="39">
        <v>58.75</v>
      </c>
      <c r="G104" s="40">
        <v>44.720353224509005</v>
      </c>
      <c r="H104" s="40">
        <v>47.178381381327839</v>
      </c>
      <c r="I104" s="40">
        <v>12.5</v>
      </c>
      <c r="J104" s="40">
        <v>52.848301020814063</v>
      </c>
      <c r="K104" s="38">
        <v>101</v>
      </c>
      <c r="N104" s="60"/>
      <c r="O104" s="59" t="s">
        <v>292</v>
      </c>
      <c r="P104" s="38">
        <v>4</v>
      </c>
      <c r="Q104" s="40">
        <v>55.929964796515556</v>
      </c>
      <c r="R104" s="48">
        <v>2</v>
      </c>
      <c r="T104" s="57" t="s">
        <v>359</v>
      </c>
      <c r="U104" s="59" t="s">
        <v>359</v>
      </c>
      <c r="V104" s="38">
        <v>3</v>
      </c>
      <c r="W104" s="48"/>
      <c r="AC104" s="38" t="s">
        <v>160</v>
      </c>
      <c r="AD104" s="38">
        <v>4</v>
      </c>
      <c r="AE104" s="40">
        <v>81.759742341414636</v>
      </c>
      <c r="AF104" s="40">
        <v>52.5</v>
      </c>
      <c r="AG104" s="39">
        <v>58.75</v>
      </c>
      <c r="AH104" s="40">
        <v>47.178381381327839</v>
      </c>
      <c r="AI104" s="40">
        <v>12.5</v>
      </c>
      <c r="AJ104" s="40">
        <v>52.848301020814063</v>
      </c>
      <c r="AK104" s="38">
        <v>101</v>
      </c>
      <c r="AM104" s="41"/>
      <c r="AN104" s="48"/>
      <c r="AV104" s="69"/>
    </row>
    <row r="105" spans="1:48" x14ac:dyDescent="0.25">
      <c r="A105" s="38" t="s">
        <v>258</v>
      </c>
      <c r="B105" s="38">
        <v>4</v>
      </c>
      <c r="C105" s="39">
        <v>85</v>
      </c>
      <c r="D105" s="40">
        <v>89.671975471228947</v>
      </c>
      <c r="E105" s="40">
        <v>37.5</v>
      </c>
      <c r="F105" s="39">
        <v>57.5</v>
      </c>
      <c r="G105" s="40">
        <v>45.066371277919927</v>
      </c>
      <c r="H105" s="40">
        <v>47.543418115422739</v>
      </c>
      <c r="I105" s="40">
        <v>25</v>
      </c>
      <c r="J105" s="40">
        <v>52.701762340414888</v>
      </c>
      <c r="K105" s="38">
        <v>102</v>
      </c>
      <c r="N105" s="60"/>
      <c r="O105" s="59" t="s">
        <v>195</v>
      </c>
      <c r="P105" s="38">
        <v>4</v>
      </c>
      <c r="Q105" s="40">
        <v>55.871742499728896</v>
      </c>
      <c r="R105" s="48">
        <v>2</v>
      </c>
      <c r="T105" s="57" t="s">
        <v>183</v>
      </c>
      <c r="U105" s="59" t="s">
        <v>183</v>
      </c>
      <c r="V105" s="38">
        <v>3</v>
      </c>
      <c r="W105" s="48"/>
      <c r="AC105" s="38" t="s">
        <v>258</v>
      </c>
      <c r="AD105" s="38">
        <v>4</v>
      </c>
      <c r="AE105" s="40">
        <v>89.671975471228947</v>
      </c>
      <c r="AF105" s="40">
        <v>37.5</v>
      </c>
      <c r="AG105" s="39">
        <v>57.5</v>
      </c>
      <c r="AH105" s="40">
        <v>47.543418115422739</v>
      </c>
      <c r="AI105" s="40">
        <v>25</v>
      </c>
      <c r="AJ105" s="40">
        <v>52.701762340414888</v>
      </c>
      <c r="AK105" s="38">
        <v>102</v>
      </c>
      <c r="AM105" s="41"/>
      <c r="AN105" s="48"/>
      <c r="AV105" s="69"/>
    </row>
    <row r="106" spans="1:48" x14ac:dyDescent="0.25">
      <c r="A106" s="38" t="s">
        <v>238</v>
      </c>
      <c r="B106" s="38">
        <v>3</v>
      </c>
      <c r="C106" s="39">
        <v>81.25</v>
      </c>
      <c r="D106" s="40">
        <v>85.715858906321799</v>
      </c>
      <c r="E106" s="40">
        <v>28.75</v>
      </c>
      <c r="F106" s="39">
        <v>58.75</v>
      </c>
      <c r="G106" s="40">
        <v>47.729597941919913</v>
      </c>
      <c r="H106" s="40">
        <v>50.353027481170145</v>
      </c>
      <c r="I106" s="40">
        <v>37.5</v>
      </c>
      <c r="J106" s="40">
        <v>52.659382773732418</v>
      </c>
      <c r="K106" s="38">
        <v>103</v>
      </c>
      <c r="N106" s="60"/>
      <c r="O106" s="59" t="s">
        <v>201</v>
      </c>
      <c r="P106" s="38">
        <v>4</v>
      </c>
      <c r="Q106" s="40">
        <v>53.023443702883412</v>
      </c>
      <c r="R106" s="48">
        <v>2</v>
      </c>
      <c r="T106" s="57" t="s">
        <v>135</v>
      </c>
      <c r="U106" s="59" t="s">
        <v>135</v>
      </c>
      <c r="V106" s="38">
        <v>3</v>
      </c>
      <c r="W106" s="48"/>
      <c r="AC106" s="38" t="s">
        <v>238</v>
      </c>
      <c r="AD106" s="38">
        <v>3</v>
      </c>
      <c r="AE106" s="40">
        <v>85.715858906321799</v>
      </c>
      <c r="AF106" s="40">
        <v>28.75</v>
      </c>
      <c r="AG106" s="39">
        <v>58.75</v>
      </c>
      <c r="AH106" s="40">
        <v>50.353027481170145</v>
      </c>
      <c r="AI106" s="40">
        <v>37.5</v>
      </c>
      <c r="AJ106" s="40">
        <v>52.659382773732418</v>
      </c>
      <c r="AK106" s="38">
        <v>103</v>
      </c>
      <c r="AM106" s="41"/>
      <c r="AN106" s="48"/>
      <c r="AV106" s="69"/>
    </row>
    <row r="107" spans="1:48" x14ac:dyDescent="0.25">
      <c r="A107" s="38" t="s">
        <v>174</v>
      </c>
      <c r="B107" s="38">
        <v>2</v>
      </c>
      <c r="C107" s="39">
        <v>70</v>
      </c>
      <c r="D107" s="40">
        <v>73.847509211600311</v>
      </c>
      <c r="E107" s="40">
        <v>52.5</v>
      </c>
      <c r="F107" s="39">
        <v>41.25</v>
      </c>
      <c r="G107" s="40">
        <v>45.681679849934014</v>
      </c>
      <c r="H107" s="40">
        <v>48.19254676456255</v>
      </c>
      <c r="I107" s="40">
        <v>37.5</v>
      </c>
      <c r="J107" s="40">
        <v>52.421520548145082</v>
      </c>
      <c r="K107" s="38">
        <v>104</v>
      </c>
      <c r="N107" s="60"/>
      <c r="O107" s="59" t="s">
        <v>160</v>
      </c>
      <c r="P107" s="38">
        <v>4</v>
      </c>
      <c r="Q107" s="40">
        <v>52.848301020814063</v>
      </c>
      <c r="R107" s="48">
        <v>2</v>
      </c>
      <c r="T107" s="57" t="s">
        <v>177</v>
      </c>
      <c r="U107" s="59" t="s">
        <v>177</v>
      </c>
      <c r="V107" s="38">
        <v>3</v>
      </c>
      <c r="W107" s="48"/>
      <c r="AC107" s="38" t="s">
        <v>174</v>
      </c>
      <c r="AD107" s="38">
        <v>2</v>
      </c>
      <c r="AE107" s="40">
        <v>73.847509211600311</v>
      </c>
      <c r="AF107" s="40">
        <v>52.5</v>
      </c>
      <c r="AG107" s="39">
        <v>41.25</v>
      </c>
      <c r="AH107" s="40">
        <v>48.19254676456255</v>
      </c>
      <c r="AI107" s="40">
        <v>37.5</v>
      </c>
      <c r="AJ107" s="40">
        <v>52.421520548145082</v>
      </c>
      <c r="AK107" s="38">
        <v>104</v>
      </c>
      <c r="AM107" s="41"/>
      <c r="AN107" s="48"/>
      <c r="AV107" s="69"/>
    </row>
    <row r="108" spans="1:48" x14ac:dyDescent="0.25">
      <c r="A108" s="38" t="s">
        <v>141</v>
      </c>
      <c r="B108" s="38">
        <v>4</v>
      </c>
      <c r="C108" s="39">
        <v>71.25</v>
      </c>
      <c r="D108" s="40">
        <v>75.166214733236032</v>
      </c>
      <c r="E108" s="40">
        <v>41.25</v>
      </c>
      <c r="F108" s="39">
        <v>58.75</v>
      </c>
      <c r="G108" s="40">
        <v>49.004528021166031</v>
      </c>
      <c r="H108" s="40">
        <v>51.698033349331205</v>
      </c>
      <c r="I108" s="40">
        <v>25</v>
      </c>
      <c r="J108" s="40">
        <v>52.337456286379691</v>
      </c>
      <c r="K108" s="38">
        <v>105</v>
      </c>
      <c r="N108" s="60"/>
      <c r="O108" s="59" t="s">
        <v>258</v>
      </c>
      <c r="P108" s="38">
        <v>4</v>
      </c>
      <c r="Q108" s="40">
        <v>52.701762340414888</v>
      </c>
      <c r="R108" s="48">
        <v>2</v>
      </c>
      <c r="T108" s="57" t="s">
        <v>81</v>
      </c>
      <c r="U108" s="59" t="s">
        <v>81</v>
      </c>
      <c r="V108" s="38">
        <v>3</v>
      </c>
      <c r="W108" s="48"/>
      <c r="AC108" s="38" t="s">
        <v>141</v>
      </c>
      <c r="AD108" s="38">
        <v>4</v>
      </c>
      <c r="AE108" s="40">
        <v>75.166214733236032</v>
      </c>
      <c r="AF108" s="40">
        <v>41.25</v>
      </c>
      <c r="AG108" s="39">
        <v>58.75</v>
      </c>
      <c r="AH108" s="40">
        <v>51.698033349331205</v>
      </c>
      <c r="AI108" s="40">
        <v>25</v>
      </c>
      <c r="AJ108" s="40">
        <v>52.337456286379691</v>
      </c>
      <c r="AK108" s="38">
        <v>105</v>
      </c>
      <c r="AM108" s="41"/>
      <c r="AN108" s="48"/>
      <c r="AU108" s="70"/>
      <c r="AV108" s="69"/>
    </row>
    <row r="109" spans="1:48" x14ac:dyDescent="0.25">
      <c r="A109" s="38" t="s">
        <v>108</v>
      </c>
      <c r="B109" s="38">
        <v>3</v>
      </c>
      <c r="C109" s="39">
        <v>60</v>
      </c>
      <c r="D109" s="40">
        <v>63.297865038514558</v>
      </c>
      <c r="E109" s="40">
        <v>47.5</v>
      </c>
      <c r="F109" s="39">
        <v>66.25</v>
      </c>
      <c r="G109" s="40">
        <v>52.819441457450736</v>
      </c>
      <c r="H109" s="40">
        <v>55.722631279723956</v>
      </c>
      <c r="I109" s="40">
        <v>12.5</v>
      </c>
      <c r="J109" s="40">
        <v>52.323625519592497</v>
      </c>
      <c r="K109" s="38">
        <v>106</v>
      </c>
      <c r="N109" s="60"/>
      <c r="O109" s="59" t="s">
        <v>141</v>
      </c>
      <c r="P109" s="38">
        <v>4</v>
      </c>
      <c r="Q109" s="40">
        <v>52.337456286379691</v>
      </c>
      <c r="R109" s="48">
        <v>2</v>
      </c>
      <c r="T109" s="57" t="s">
        <v>168</v>
      </c>
      <c r="U109" s="59" t="s">
        <v>168</v>
      </c>
      <c r="V109" s="38">
        <v>3</v>
      </c>
      <c r="W109" s="48"/>
      <c r="AC109" s="38" t="s">
        <v>108</v>
      </c>
      <c r="AD109" s="38">
        <v>3</v>
      </c>
      <c r="AE109" s="40">
        <v>63.297865038514558</v>
      </c>
      <c r="AF109" s="40">
        <v>47.5</v>
      </c>
      <c r="AG109" s="39">
        <v>66.25</v>
      </c>
      <c r="AH109" s="40">
        <v>55.722631279723956</v>
      </c>
      <c r="AI109" s="40">
        <v>12.5</v>
      </c>
      <c r="AJ109" s="40">
        <v>52.323625519592497</v>
      </c>
      <c r="AK109" s="38">
        <v>106</v>
      </c>
      <c r="AM109" s="41"/>
      <c r="AN109" s="48"/>
      <c r="AV109" s="69"/>
    </row>
    <row r="110" spans="1:48" x14ac:dyDescent="0.25">
      <c r="A110" s="38" t="s">
        <v>233</v>
      </c>
      <c r="B110" s="38">
        <v>3</v>
      </c>
      <c r="C110" s="39">
        <v>85</v>
      </c>
      <c r="D110" s="40">
        <v>89.671975471228947</v>
      </c>
      <c r="E110" s="40">
        <v>41.25</v>
      </c>
      <c r="F110" s="39">
        <v>91.25</v>
      </c>
      <c r="G110" s="40">
        <v>37.067739211608391</v>
      </c>
      <c r="H110" s="40">
        <v>39.1051458983207</v>
      </c>
      <c r="I110" s="40">
        <v>12.5</v>
      </c>
      <c r="J110" s="40">
        <v>52.201453453574068</v>
      </c>
      <c r="K110" s="38">
        <v>107</v>
      </c>
      <c r="N110" s="60"/>
      <c r="O110" s="59"/>
      <c r="P110" s="38"/>
      <c r="Q110" s="40"/>
      <c r="R110" s="48"/>
      <c r="T110" s="57" t="s">
        <v>356</v>
      </c>
      <c r="U110" s="59" t="s">
        <v>356</v>
      </c>
      <c r="V110" s="38">
        <v>3</v>
      </c>
      <c r="W110" s="48"/>
      <c r="AC110" s="38" t="s">
        <v>233</v>
      </c>
      <c r="AD110" s="38">
        <v>3</v>
      </c>
      <c r="AE110" s="40">
        <v>89.671975471228947</v>
      </c>
      <c r="AF110" s="40">
        <v>41.25</v>
      </c>
      <c r="AG110" s="39">
        <v>91.25</v>
      </c>
      <c r="AH110" s="40">
        <v>39.1051458983207</v>
      </c>
      <c r="AI110" s="40">
        <v>12.5</v>
      </c>
      <c r="AJ110" s="40">
        <v>52.201453453574068</v>
      </c>
      <c r="AK110" s="38">
        <v>107</v>
      </c>
      <c r="AM110" s="41"/>
      <c r="AN110" s="48"/>
      <c r="AV110" s="71"/>
    </row>
    <row r="111" spans="1:48" x14ac:dyDescent="0.25">
      <c r="A111" s="38" t="s">
        <v>359</v>
      </c>
      <c r="B111" s="38">
        <v>3</v>
      </c>
      <c r="C111" s="39">
        <v>75</v>
      </c>
      <c r="D111" s="40">
        <v>79.122331298143195</v>
      </c>
      <c r="E111" s="40">
        <v>40</v>
      </c>
      <c r="F111" s="39">
        <v>25</v>
      </c>
      <c r="G111" s="40">
        <v>54.266838445030871</v>
      </c>
      <c r="H111" s="40">
        <v>57.249583599340617</v>
      </c>
      <c r="I111" s="40">
        <v>25</v>
      </c>
      <c r="J111" s="40">
        <v>51.724299699364892</v>
      </c>
      <c r="K111" s="38">
        <v>108</v>
      </c>
      <c r="N111" s="60"/>
      <c r="O111" s="59" t="s">
        <v>49</v>
      </c>
      <c r="P111" s="38">
        <v>1</v>
      </c>
      <c r="Q111" s="40">
        <v>51.390197944090666</v>
      </c>
      <c r="R111" s="48">
        <v>3</v>
      </c>
      <c r="T111" s="57" t="s">
        <v>96</v>
      </c>
      <c r="U111" s="59" t="s">
        <v>96</v>
      </c>
      <c r="V111" s="38">
        <v>3</v>
      </c>
      <c r="W111" s="48"/>
      <c r="AC111" s="38" t="s">
        <v>359</v>
      </c>
      <c r="AD111" s="38">
        <v>3</v>
      </c>
      <c r="AE111" s="40">
        <v>79.122331298143195</v>
      </c>
      <c r="AF111" s="40">
        <v>40</v>
      </c>
      <c r="AG111" s="39">
        <v>25</v>
      </c>
      <c r="AH111" s="40">
        <v>57.249583599340617</v>
      </c>
      <c r="AI111" s="40">
        <v>25</v>
      </c>
      <c r="AJ111" s="40">
        <v>51.724299699364892</v>
      </c>
      <c r="AK111" s="38">
        <v>108</v>
      </c>
      <c r="AM111" s="41"/>
      <c r="AN111" s="48"/>
      <c r="AV111" s="69"/>
    </row>
    <row r="112" spans="1:48" x14ac:dyDescent="0.25">
      <c r="A112" s="38" t="s">
        <v>298</v>
      </c>
      <c r="B112" s="38">
        <v>4</v>
      </c>
      <c r="C112" s="39">
        <v>71.25</v>
      </c>
      <c r="D112" s="40">
        <v>75.166214733236032</v>
      </c>
      <c r="E112" s="40">
        <v>46.25</v>
      </c>
      <c r="F112" s="39">
        <v>75</v>
      </c>
      <c r="G112" s="40">
        <v>41.230914998769236</v>
      </c>
      <c r="H112" s="40">
        <v>43.497148216776012</v>
      </c>
      <c r="I112" s="40">
        <v>25</v>
      </c>
      <c r="J112" s="40">
        <v>51.682102233357611</v>
      </c>
      <c r="K112" s="38">
        <v>109</v>
      </c>
      <c r="N112" s="60"/>
      <c r="O112" s="59" t="s">
        <v>51</v>
      </c>
      <c r="P112" s="38">
        <v>1</v>
      </c>
      <c r="Q112" s="40">
        <v>50.943069517265585</v>
      </c>
      <c r="R112" s="48">
        <v>3</v>
      </c>
      <c r="T112" s="57" t="s">
        <v>282</v>
      </c>
      <c r="U112" s="59" t="s">
        <v>282</v>
      </c>
      <c r="V112" s="38">
        <v>3</v>
      </c>
      <c r="W112" s="48"/>
      <c r="AC112" s="38" t="s">
        <v>298</v>
      </c>
      <c r="AD112" s="38">
        <v>4</v>
      </c>
      <c r="AE112" s="40">
        <v>75.166214733236032</v>
      </c>
      <c r="AF112" s="40">
        <v>46.25</v>
      </c>
      <c r="AG112" s="39">
        <v>75</v>
      </c>
      <c r="AH112" s="40">
        <v>43.497148216776012</v>
      </c>
      <c r="AI112" s="40">
        <v>25</v>
      </c>
      <c r="AJ112" s="40">
        <v>51.682102233357611</v>
      </c>
      <c r="AK112" s="38">
        <v>109</v>
      </c>
      <c r="AM112" s="41"/>
      <c r="AN112" s="48"/>
      <c r="AV112" s="69"/>
    </row>
    <row r="113" spans="1:48" x14ac:dyDescent="0.25">
      <c r="A113" s="38" t="s">
        <v>183</v>
      </c>
      <c r="B113" s="38">
        <v>3</v>
      </c>
      <c r="C113" s="39">
        <v>85</v>
      </c>
      <c r="D113" s="40">
        <v>89.671975471228947</v>
      </c>
      <c r="E113" s="40">
        <v>33.75</v>
      </c>
      <c r="F113" s="39">
        <v>33.75</v>
      </c>
      <c r="G113" s="40">
        <v>46.988116283118579</v>
      </c>
      <c r="H113" s="40">
        <v>49.570790715047799</v>
      </c>
      <c r="I113" s="40">
        <v>37.5</v>
      </c>
      <c r="J113" s="40">
        <v>51.637711380264911</v>
      </c>
      <c r="K113" s="38">
        <v>110</v>
      </c>
      <c r="N113" s="60"/>
      <c r="O113" s="59" t="s">
        <v>65</v>
      </c>
      <c r="P113" s="38">
        <v>1</v>
      </c>
      <c r="Q113" s="40">
        <v>48.643500429380978</v>
      </c>
      <c r="R113" s="48">
        <v>3</v>
      </c>
      <c r="T113" s="57" t="s">
        <v>354</v>
      </c>
      <c r="U113" s="59" t="s">
        <v>354</v>
      </c>
      <c r="V113" s="38">
        <v>3</v>
      </c>
      <c r="W113" s="48"/>
      <c r="AC113" s="38" t="s">
        <v>183</v>
      </c>
      <c r="AD113" s="38">
        <v>3</v>
      </c>
      <c r="AE113" s="40">
        <v>89.671975471228947</v>
      </c>
      <c r="AF113" s="40">
        <v>33.75</v>
      </c>
      <c r="AG113" s="39">
        <v>33.75</v>
      </c>
      <c r="AH113" s="40">
        <v>49.570790715047799</v>
      </c>
      <c r="AI113" s="40">
        <v>37.5</v>
      </c>
      <c r="AJ113" s="40">
        <v>51.637711380264911</v>
      </c>
      <c r="AK113" s="38">
        <v>110</v>
      </c>
      <c r="AM113" s="41"/>
      <c r="AN113" s="48"/>
      <c r="AV113" s="69"/>
    </row>
    <row r="114" spans="1:48" x14ac:dyDescent="0.25">
      <c r="A114" s="38" t="s">
        <v>49</v>
      </c>
      <c r="B114" s="38">
        <v>1</v>
      </c>
      <c r="C114" s="39">
        <v>72.5</v>
      </c>
      <c r="D114" s="40">
        <v>71.625689072917766</v>
      </c>
      <c r="E114" s="40">
        <v>46.25</v>
      </c>
      <c r="F114" s="39">
        <v>75</v>
      </c>
      <c r="G114" s="40">
        <v>41.918160751187813</v>
      </c>
      <c r="H114" s="40">
        <v>41.412650323767771</v>
      </c>
      <c r="I114" s="40">
        <v>37.5</v>
      </c>
      <c r="J114" s="40">
        <v>51.390197944090666</v>
      </c>
      <c r="K114" s="38">
        <v>111</v>
      </c>
      <c r="N114" s="60"/>
      <c r="O114" s="59" t="s">
        <v>40</v>
      </c>
      <c r="P114" s="38">
        <v>1</v>
      </c>
      <c r="Q114" s="40">
        <v>48.264183410641586</v>
      </c>
      <c r="R114" s="48">
        <v>3</v>
      </c>
      <c r="T114" s="57" t="s">
        <v>154</v>
      </c>
      <c r="U114" s="59" t="s">
        <v>154</v>
      </c>
      <c r="V114" s="38">
        <v>3</v>
      </c>
      <c r="W114" s="48"/>
      <c r="AC114" s="38" t="s">
        <v>49</v>
      </c>
      <c r="AD114" s="38">
        <v>1</v>
      </c>
      <c r="AE114" s="40">
        <v>71.625689072917766</v>
      </c>
      <c r="AF114" s="40">
        <v>46.25</v>
      </c>
      <c r="AG114" s="39">
        <v>75</v>
      </c>
      <c r="AH114" s="40">
        <v>41.412650323767771</v>
      </c>
      <c r="AI114" s="40">
        <v>37.5</v>
      </c>
      <c r="AJ114" s="40">
        <v>51.390197944090666</v>
      </c>
      <c r="AK114" s="38">
        <v>111</v>
      </c>
      <c r="AM114" s="41"/>
      <c r="AN114" s="48"/>
      <c r="AV114" s="69"/>
    </row>
    <row r="115" spans="1:48" x14ac:dyDescent="0.25">
      <c r="A115" s="38" t="s">
        <v>135</v>
      </c>
      <c r="B115" s="38">
        <v>3</v>
      </c>
      <c r="C115" s="39">
        <v>83.75</v>
      </c>
      <c r="D115" s="40">
        <v>88.353269949593241</v>
      </c>
      <c r="E115" s="40">
        <v>21.25</v>
      </c>
      <c r="F115" s="39">
        <v>42.5</v>
      </c>
      <c r="G115" s="40">
        <v>53.785726782615328</v>
      </c>
      <c r="H115" s="40">
        <v>56.742027914740042</v>
      </c>
      <c r="I115" s="40">
        <v>25</v>
      </c>
      <c r="J115" s="40">
        <v>51.367465155814671</v>
      </c>
      <c r="K115" s="38">
        <v>112</v>
      </c>
      <c r="N115" s="60"/>
      <c r="O115" s="59" t="s">
        <v>43</v>
      </c>
      <c r="P115" s="38">
        <v>1</v>
      </c>
      <c r="Q115" s="40">
        <v>39.388063154686591</v>
      </c>
      <c r="R115" s="48">
        <v>3</v>
      </c>
      <c r="T115" s="57" t="s">
        <v>274</v>
      </c>
      <c r="U115" s="59" t="s">
        <v>274</v>
      </c>
      <c r="V115" s="38">
        <v>3</v>
      </c>
      <c r="W115" s="48"/>
      <c r="AC115" s="38" t="s">
        <v>135</v>
      </c>
      <c r="AD115" s="38">
        <v>3</v>
      </c>
      <c r="AE115" s="40">
        <v>88.353269949593241</v>
      </c>
      <c r="AF115" s="40">
        <v>21.25</v>
      </c>
      <c r="AG115" s="39">
        <v>42.5</v>
      </c>
      <c r="AH115" s="40">
        <v>56.742027914740042</v>
      </c>
      <c r="AI115" s="40">
        <v>25</v>
      </c>
      <c r="AJ115" s="40">
        <v>51.367465155814671</v>
      </c>
      <c r="AK115" s="38">
        <v>112</v>
      </c>
      <c r="AM115" s="41"/>
      <c r="AN115" s="48"/>
      <c r="AV115" s="69"/>
    </row>
    <row r="116" spans="1:48" x14ac:dyDescent="0.25">
      <c r="A116" s="38" t="s">
        <v>177</v>
      </c>
      <c r="B116" s="38">
        <v>3</v>
      </c>
      <c r="C116" s="39">
        <v>68.75</v>
      </c>
      <c r="D116" s="40">
        <v>72.52880368996459</v>
      </c>
      <c r="E116" s="40">
        <v>26.25</v>
      </c>
      <c r="F116" s="39">
        <v>50</v>
      </c>
      <c r="G116" s="40">
        <v>48.183132371857674</v>
      </c>
      <c r="H116" s="40">
        <v>50.831490166778813</v>
      </c>
      <c r="I116" s="40">
        <v>62.5</v>
      </c>
      <c r="J116" s="40">
        <v>51.338356804704446</v>
      </c>
      <c r="K116" s="38">
        <v>113</v>
      </c>
      <c r="N116" s="60"/>
      <c r="O116" s="59" t="s">
        <v>111</v>
      </c>
      <c r="P116" s="38">
        <v>2</v>
      </c>
      <c r="Q116" s="40">
        <v>50.957267710166732</v>
      </c>
      <c r="R116" s="48">
        <v>3</v>
      </c>
      <c r="T116" s="57" t="s">
        <v>142</v>
      </c>
      <c r="U116" s="59" t="s">
        <v>142</v>
      </c>
      <c r="V116" s="38">
        <v>3</v>
      </c>
      <c r="W116" s="48"/>
      <c r="AC116" s="38" t="s">
        <v>177</v>
      </c>
      <c r="AD116" s="38">
        <v>3</v>
      </c>
      <c r="AE116" s="40">
        <v>72.52880368996459</v>
      </c>
      <c r="AF116" s="40">
        <v>26.25</v>
      </c>
      <c r="AG116" s="39">
        <v>50</v>
      </c>
      <c r="AH116" s="40">
        <v>50.831490166778813</v>
      </c>
      <c r="AI116" s="40">
        <v>62.5</v>
      </c>
      <c r="AJ116" s="40">
        <v>51.338356804704446</v>
      </c>
      <c r="AK116" s="38">
        <v>113</v>
      </c>
      <c r="AM116" s="41"/>
      <c r="AN116" s="48"/>
      <c r="AV116" s="69"/>
    </row>
    <row r="117" spans="1:48" x14ac:dyDescent="0.25">
      <c r="A117" s="38" t="s">
        <v>246</v>
      </c>
      <c r="B117" s="38">
        <v>4</v>
      </c>
      <c r="C117" s="39">
        <v>81.25</v>
      </c>
      <c r="D117" s="40">
        <v>85.715858906321799</v>
      </c>
      <c r="E117" s="40">
        <v>35</v>
      </c>
      <c r="F117" s="39">
        <v>41.25</v>
      </c>
      <c r="G117" s="40">
        <v>48.296550161351007</v>
      </c>
      <c r="H117" s="40">
        <v>50.951141898984076</v>
      </c>
      <c r="I117" s="40">
        <v>25</v>
      </c>
      <c r="J117" s="40">
        <v>51.148628540857992</v>
      </c>
      <c r="K117" s="38">
        <v>114</v>
      </c>
      <c r="N117" s="60"/>
      <c r="O117" s="59" t="s">
        <v>137</v>
      </c>
      <c r="P117" s="38">
        <v>2</v>
      </c>
      <c r="Q117" s="40">
        <v>50.863192444217951</v>
      </c>
      <c r="R117" s="48">
        <v>3</v>
      </c>
      <c r="T117" s="57" t="s">
        <v>206</v>
      </c>
      <c r="U117" s="59" t="s">
        <v>206</v>
      </c>
      <c r="V117" s="38">
        <v>3</v>
      </c>
      <c r="W117" s="48"/>
      <c r="AC117" s="38" t="s">
        <v>246</v>
      </c>
      <c r="AD117" s="38">
        <v>4</v>
      </c>
      <c r="AE117" s="40">
        <v>85.715858906321799</v>
      </c>
      <c r="AF117" s="40">
        <v>35</v>
      </c>
      <c r="AG117" s="39">
        <v>41.25</v>
      </c>
      <c r="AH117" s="40">
        <v>50.951141898984076</v>
      </c>
      <c r="AI117" s="40">
        <v>25</v>
      </c>
      <c r="AJ117" s="40">
        <v>51.148628540857992</v>
      </c>
      <c r="AK117" s="38">
        <v>114</v>
      </c>
      <c r="AM117" s="41"/>
      <c r="AN117" s="48"/>
      <c r="AV117" s="69"/>
    </row>
    <row r="118" spans="1:48" x14ac:dyDescent="0.25">
      <c r="A118" s="38" t="s">
        <v>81</v>
      </c>
      <c r="B118" s="38">
        <v>3</v>
      </c>
      <c r="C118" s="39">
        <v>90</v>
      </c>
      <c r="D118" s="40">
        <v>94.946797557771831</v>
      </c>
      <c r="E118" s="40">
        <v>28.75</v>
      </c>
      <c r="F118" s="39">
        <v>42.5</v>
      </c>
      <c r="G118" s="40">
        <v>49.375055502568614</v>
      </c>
      <c r="H118" s="40">
        <v>52.088926657845896</v>
      </c>
      <c r="I118" s="40">
        <v>12.5</v>
      </c>
      <c r="J118" s="40">
        <v>51.074930174692724</v>
      </c>
      <c r="K118" s="38">
        <v>115</v>
      </c>
      <c r="N118" s="60"/>
      <c r="O118" s="59" t="s">
        <v>352</v>
      </c>
      <c r="P118" s="38">
        <v>2</v>
      </c>
      <c r="Q118" s="40">
        <v>50.837380875582255</v>
      </c>
      <c r="R118" s="48">
        <v>3</v>
      </c>
      <c r="T118" s="57" t="s">
        <v>120</v>
      </c>
      <c r="U118" s="59" t="s">
        <v>120</v>
      </c>
      <c r="V118" s="38">
        <v>3</v>
      </c>
      <c r="W118" s="48"/>
      <c r="AC118" s="38" t="s">
        <v>81</v>
      </c>
      <c r="AD118" s="38">
        <v>3</v>
      </c>
      <c r="AE118" s="40">
        <v>94.946797557771831</v>
      </c>
      <c r="AF118" s="40">
        <v>28.75</v>
      </c>
      <c r="AG118" s="39">
        <v>42.5</v>
      </c>
      <c r="AH118" s="40">
        <v>52.088926657845896</v>
      </c>
      <c r="AI118" s="40">
        <v>12.5</v>
      </c>
      <c r="AJ118" s="40">
        <v>51.074930174692724</v>
      </c>
      <c r="AK118" s="38">
        <v>115</v>
      </c>
      <c r="AM118" s="41"/>
      <c r="AN118" s="48"/>
      <c r="AV118" s="69"/>
    </row>
    <row r="119" spans="1:48" x14ac:dyDescent="0.25">
      <c r="A119" s="38" t="s">
        <v>111</v>
      </c>
      <c r="B119" s="38">
        <v>2</v>
      </c>
      <c r="C119" s="39">
        <v>75</v>
      </c>
      <c r="D119" s="40">
        <v>79.122331298143195</v>
      </c>
      <c r="E119" s="40">
        <v>52.5</v>
      </c>
      <c r="F119" s="39">
        <v>57.5</v>
      </c>
      <c r="G119" s="40">
        <v>38.823113798316243</v>
      </c>
      <c r="H119" s="40">
        <v>40.957003626345227</v>
      </c>
      <c r="I119" s="40">
        <v>25</v>
      </c>
      <c r="J119" s="40">
        <v>50.957267710166732</v>
      </c>
      <c r="K119" s="38">
        <v>116</v>
      </c>
      <c r="N119" s="60"/>
      <c r="O119" s="59" t="s">
        <v>52</v>
      </c>
      <c r="P119" s="38">
        <v>2</v>
      </c>
      <c r="Q119" s="40">
        <v>50.710592263876975</v>
      </c>
      <c r="R119" s="48">
        <v>3</v>
      </c>
      <c r="T119" s="57" t="s">
        <v>217</v>
      </c>
      <c r="U119" s="59" t="s">
        <v>217</v>
      </c>
      <c r="V119" s="38">
        <v>3</v>
      </c>
      <c r="W119" s="48"/>
      <c r="AC119" s="38" t="s">
        <v>111</v>
      </c>
      <c r="AD119" s="38">
        <v>2</v>
      </c>
      <c r="AE119" s="40">
        <v>79.122331298143195</v>
      </c>
      <c r="AF119" s="40">
        <v>52.5</v>
      </c>
      <c r="AG119" s="39">
        <v>57.5</v>
      </c>
      <c r="AH119" s="40">
        <v>40.957003626345227</v>
      </c>
      <c r="AI119" s="40">
        <v>25</v>
      </c>
      <c r="AJ119" s="40">
        <v>50.957267710166732</v>
      </c>
      <c r="AK119" s="38">
        <v>116</v>
      </c>
      <c r="AM119" s="41"/>
      <c r="AN119" s="48"/>
      <c r="AV119" s="69"/>
    </row>
    <row r="120" spans="1:48" x14ac:dyDescent="0.25">
      <c r="A120" s="38" t="s">
        <v>51</v>
      </c>
      <c r="B120" s="38">
        <v>1</v>
      </c>
      <c r="C120" s="39">
        <v>60</v>
      </c>
      <c r="D120" s="40">
        <v>58.132444967034452</v>
      </c>
      <c r="E120" s="40">
        <v>50</v>
      </c>
      <c r="F120" s="39">
        <v>57.5</v>
      </c>
      <c r="G120" s="40">
        <v>51.133013246981648</v>
      </c>
      <c r="H120" s="40">
        <v>49.541451309646739</v>
      </c>
      <c r="I120" s="40">
        <v>37.5</v>
      </c>
      <c r="J120" s="40">
        <v>50.943069517265585</v>
      </c>
      <c r="K120" s="38">
        <v>117</v>
      </c>
      <c r="N120" s="60"/>
      <c r="O120" s="59" t="s">
        <v>358</v>
      </c>
      <c r="P120" s="38">
        <v>2</v>
      </c>
      <c r="Q120" s="40">
        <v>50.539649861965842</v>
      </c>
      <c r="R120" s="48">
        <v>3</v>
      </c>
      <c r="T120" s="57" t="s">
        <v>214</v>
      </c>
      <c r="U120" s="59" t="s">
        <v>214</v>
      </c>
      <c r="V120" s="38">
        <v>3</v>
      </c>
      <c r="W120" s="48"/>
      <c r="AC120" s="38" t="s">
        <v>51</v>
      </c>
      <c r="AD120" s="38">
        <v>1</v>
      </c>
      <c r="AE120" s="40">
        <v>58.132444967034452</v>
      </c>
      <c r="AF120" s="40">
        <v>50</v>
      </c>
      <c r="AG120" s="39">
        <v>57.5</v>
      </c>
      <c r="AH120" s="40">
        <v>49.541451309646739</v>
      </c>
      <c r="AI120" s="40">
        <v>37.5</v>
      </c>
      <c r="AJ120" s="40">
        <v>50.943069517265585</v>
      </c>
      <c r="AK120" s="38">
        <v>117</v>
      </c>
      <c r="AM120" s="41"/>
      <c r="AN120" s="48"/>
      <c r="AV120" s="69"/>
    </row>
    <row r="121" spans="1:48" x14ac:dyDescent="0.25">
      <c r="A121" s="38" t="s">
        <v>137</v>
      </c>
      <c r="B121" s="38">
        <v>2</v>
      </c>
      <c r="C121" s="39">
        <v>100</v>
      </c>
      <c r="D121" s="40">
        <v>105.4964417308576</v>
      </c>
      <c r="E121" s="40">
        <v>33.75</v>
      </c>
      <c r="F121" s="39">
        <v>33.75</v>
      </c>
      <c r="G121" s="40">
        <v>37.652701449832279</v>
      </c>
      <c r="H121" s="40">
        <v>39.722260245116082</v>
      </c>
      <c r="I121" s="40">
        <v>37.5</v>
      </c>
      <c r="J121" s="40">
        <v>50.863192444217951</v>
      </c>
      <c r="K121" s="38">
        <v>118</v>
      </c>
      <c r="N121" s="60"/>
      <c r="O121" s="59" t="s">
        <v>68</v>
      </c>
      <c r="P121" s="38">
        <v>2</v>
      </c>
      <c r="Q121" s="40">
        <v>49.987287650115505</v>
      </c>
      <c r="R121" s="48">
        <v>3</v>
      </c>
      <c r="T121" s="57" t="s">
        <v>365</v>
      </c>
      <c r="U121" s="59" t="s">
        <v>365</v>
      </c>
      <c r="V121" s="38">
        <v>3</v>
      </c>
      <c r="AC121" s="38" t="s">
        <v>137</v>
      </c>
      <c r="AD121" s="38">
        <v>2</v>
      </c>
      <c r="AE121" s="40">
        <v>105.4964417308576</v>
      </c>
      <c r="AF121" s="40">
        <v>33.75</v>
      </c>
      <c r="AG121" s="39">
        <v>33.75</v>
      </c>
      <c r="AH121" s="40">
        <v>39.722260245116082</v>
      </c>
      <c r="AI121" s="40">
        <v>37.5</v>
      </c>
      <c r="AJ121" s="40">
        <v>50.863192444217951</v>
      </c>
      <c r="AK121" s="38">
        <v>118</v>
      </c>
      <c r="AM121" s="41"/>
      <c r="AN121" s="48"/>
      <c r="AV121" s="69"/>
    </row>
    <row r="122" spans="1:48" x14ac:dyDescent="0.25">
      <c r="A122" s="38" t="s">
        <v>352</v>
      </c>
      <c r="B122" s="38">
        <v>2</v>
      </c>
      <c r="C122" s="39">
        <v>71.25</v>
      </c>
      <c r="D122" s="40">
        <v>75.166214733236032</v>
      </c>
      <c r="E122" s="40">
        <v>33.75</v>
      </c>
      <c r="F122" s="39">
        <v>65</v>
      </c>
      <c r="G122" s="40">
        <v>47.523256708736056</v>
      </c>
      <c r="H122" s="40">
        <v>50.135344822337608</v>
      </c>
      <c r="I122" s="40">
        <v>25</v>
      </c>
      <c r="J122" s="40">
        <v>50.837380875582255</v>
      </c>
      <c r="K122" s="38">
        <v>119</v>
      </c>
      <c r="N122" s="60"/>
      <c r="O122" s="59" t="s">
        <v>29</v>
      </c>
      <c r="P122" s="38">
        <v>2</v>
      </c>
      <c r="Q122" s="40">
        <v>48.742302039236094</v>
      </c>
      <c r="R122" s="48">
        <v>3</v>
      </c>
      <c r="T122" s="57" t="s">
        <v>148</v>
      </c>
      <c r="U122" s="59" t="s">
        <v>148</v>
      </c>
      <c r="V122" s="38">
        <v>3</v>
      </c>
      <c r="AC122" s="38" t="s">
        <v>352</v>
      </c>
      <c r="AD122" s="38">
        <v>2</v>
      </c>
      <c r="AE122" s="40">
        <v>75.166214733236032</v>
      </c>
      <c r="AF122" s="40">
        <v>33.75</v>
      </c>
      <c r="AG122" s="39">
        <v>65</v>
      </c>
      <c r="AH122" s="40">
        <v>50.135344822337608</v>
      </c>
      <c r="AI122" s="40">
        <v>25</v>
      </c>
      <c r="AJ122" s="40">
        <v>50.837380875582255</v>
      </c>
      <c r="AK122" s="38">
        <v>119</v>
      </c>
      <c r="AM122" s="41"/>
      <c r="AN122" s="48"/>
      <c r="AV122" s="69"/>
    </row>
    <row r="123" spans="1:48" x14ac:dyDescent="0.25">
      <c r="A123" s="38" t="s">
        <v>52</v>
      </c>
      <c r="B123" s="38">
        <v>2</v>
      </c>
      <c r="C123" s="39">
        <v>83.75</v>
      </c>
      <c r="D123" s="40">
        <v>83.384065632097474</v>
      </c>
      <c r="E123" s="40">
        <v>35</v>
      </c>
      <c r="F123" s="39">
        <v>58.75</v>
      </c>
      <c r="G123" s="40">
        <v>46.851659873986044</v>
      </c>
      <c r="H123" s="40">
        <v>46.646947843643702</v>
      </c>
      <c r="I123" s="40">
        <v>25</v>
      </c>
      <c r="J123" s="40">
        <v>50.710592263876975</v>
      </c>
      <c r="K123" s="38">
        <v>120</v>
      </c>
      <c r="N123" s="60"/>
      <c r="O123" s="59" t="s">
        <v>47</v>
      </c>
      <c r="P123" s="38">
        <v>2</v>
      </c>
      <c r="Q123" s="40">
        <v>48.615962337150364</v>
      </c>
      <c r="R123" s="48">
        <v>3</v>
      </c>
      <c r="T123" s="57" t="s">
        <v>143</v>
      </c>
      <c r="U123" s="59" t="s">
        <v>143</v>
      </c>
      <c r="V123" s="38">
        <v>3</v>
      </c>
      <c r="AC123" s="38" t="s">
        <v>52</v>
      </c>
      <c r="AD123" s="38">
        <v>2</v>
      </c>
      <c r="AE123" s="40">
        <v>83.384065632097474</v>
      </c>
      <c r="AF123" s="40">
        <v>35</v>
      </c>
      <c r="AG123" s="39">
        <v>58.75</v>
      </c>
      <c r="AH123" s="40">
        <v>46.646947843643702</v>
      </c>
      <c r="AI123" s="40">
        <v>25</v>
      </c>
      <c r="AJ123" s="40">
        <v>50.710592263876975</v>
      </c>
      <c r="AK123" s="38">
        <v>120</v>
      </c>
      <c r="AM123" s="41"/>
      <c r="AN123" s="48"/>
      <c r="AV123" s="69"/>
    </row>
    <row r="124" spans="1:48" x14ac:dyDescent="0.25">
      <c r="A124" s="38" t="s">
        <v>168</v>
      </c>
      <c r="B124" s="38">
        <v>3</v>
      </c>
      <c r="C124" s="39">
        <v>56.25</v>
      </c>
      <c r="D124" s="40">
        <v>59.341748473607396</v>
      </c>
      <c r="E124" s="40">
        <v>46.25</v>
      </c>
      <c r="F124" s="39">
        <v>75</v>
      </c>
      <c r="G124" s="40">
        <v>46.103814407511429</v>
      </c>
      <c r="H124" s="40">
        <v>48.63788370212302</v>
      </c>
      <c r="I124" s="40">
        <v>25</v>
      </c>
      <c r="J124" s="40">
        <v>50.573503175570693</v>
      </c>
      <c r="K124" s="38">
        <v>121</v>
      </c>
      <c r="N124" s="60"/>
      <c r="O124" s="59" t="s">
        <v>178</v>
      </c>
      <c r="P124" s="38">
        <v>2</v>
      </c>
      <c r="Q124" s="40">
        <v>48.473456558074098</v>
      </c>
      <c r="R124" s="48">
        <v>3</v>
      </c>
      <c r="T124" s="57" t="s">
        <v>272</v>
      </c>
      <c r="U124" s="59" t="s">
        <v>272</v>
      </c>
      <c r="V124" s="38">
        <v>3</v>
      </c>
      <c r="AC124" s="38" t="s">
        <v>168</v>
      </c>
      <c r="AD124" s="38">
        <v>3</v>
      </c>
      <c r="AE124" s="40">
        <v>59.341748473607396</v>
      </c>
      <c r="AF124" s="40">
        <v>46.25</v>
      </c>
      <c r="AG124" s="39">
        <v>75</v>
      </c>
      <c r="AH124" s="40">
        <v>48.63788370212302</v>
      </c>
      <c r="AI124" s="40">
        <v>25</v>
      </c>
      <c r="AJ124" s="40">
        <v>50.573503175570693</v>
      </c>
      <c r="AK124" s="38">
        <v>121</v>
      </c>
      <c r="AM124" s="41"/>
      <c r="AN124" s="48"/>
      <c r="AV124" s="69"/>
    </row>
    <row r="125" spans="1:48" x14ac:dyDescent="0.25">
      <c r="A125" s="38" t="s">
        <v>356</v>
      </c>
      <c r="B125" s="38">
        <v>3</v>
      </c>
      <c r="C125" s="39">
        <v>91.25</v>
      </c>
      <c r="D125" s="40">
        <v>96.265503079407551</v>
      </c>
      <c r="E125" s="40">
        <v>27.5</v>
      </c>
      <c r="F125" s="39">
        <v>50</v>
      </c>
      <c r="G125" s="40">
        <v>43.345224970886342</v>
      </c>
      <c r="H125" s="40">
        <v>45.727670004520242</v>
      </c>
      <c r="I125" s="40">
        <v>25</v>
      </c>
      <c r="J125" s="40">
        <v>50.544168617689607</v>
      </c>
      <c r="K125" s="38">
        <v>122</v>
      </c>
      <c r="N125" s="60"/>
      <c r="O125" s="59" t="s">
        <v>75</v>
      </c>
      <c r="P125" s="38">
        <v>2</v>
      </c>
      <c r="Q125" s="40">
        <v>47.702690199681811</v>
      </c>
      <c r="R125" s="48">
        <v>3</v>
      </c>
      <c r="T125" s="57" t="s">
        <v>175</v>
      </c>
      <c r="U125" s="59" t="s">
        <v>175</v>
      </c>
      <c r="V125" s="38">
        <v>3</v>
      </c>
      <c r="AC125" s="38" t="s">
        <v>356</v>
      </c>
      <c r="AD125" s="38">
        <v>3</v>
      </c>
      <c r="AE125" s="40">
        <v>96.265503079407551</v>
      </c>
      <c r="AF125" s="40">
        <v>27.5</v>
      </c>
      <c r="AG125" s="39">
        <v>50</v>
      </c>
      <c r="AH125" s="40">
        <v>45.727670004520242</v>
      </c>
      <c r="AI125" s="40">
        <v>25</v>
      </c>
      <c r="AJ125" s="40">
        <v>50.544168617689607</v>
      </c>
      <c r="AK125" s="38">
        <v>122</v>
      </c>
      <c r="AM125" s="41"/>
      <c r="AN125" s="48"/>
      <c r="AV125" s="69"/>
    </row>
    <row r="126" spans="1:48" x14ac:dyDescent="0.25">
      <c r="A126" s="38" t="s">
        <v>358</v>
      </c>
      <c r="B126" s="38">
        <v>2</v>
      </c>
      <c r="C126" s="39">
        <v>63.75</v>
      </c>
      <c r="D126" s="40">
        <v>67.253981603421721</v>
      </c>
      <c r="E126" s="40">
        <v>27.5</v>
      </c>
      <c r="F126" s="39">
        <v>42.5</v>
      </c>
      <c r="G126" s="40">
        <v>49.975272140181154</v>
      </c>
      <c r="H126" s="40">
        <v>52.722133853203722</v>
      </c>
      <c r="I126" s="40">
        <v>62.5</v>
      </c>
      <c r="J126" s="40">
        <v>50.539649861965842</v>
      </c>
      <c r="K126" s="38">
        <v>123</v>
      </c>
      <c r="N126" s="60"/>
      <c r="O126" s="59" t="s">
        <v>112</v>
      </c>
      <c r="P126" s="38">
        <v>2</v>
      </c>
      <c r="Q126" s="40">
        <v>46.652170964458058</v>
      </c>
      <c r="R126" s="48">
        <v>3</v>
      </c>
      <c r="T126" s="57" t="s">
        <v>99</v>
      </c>
      <c r="U126" s="59" t="s">
        <v>99</v>
      </c>
      <c r="V126" s="38">
        <v>3</v>
      </c>
      <c r="AC126" s="38" t="s">
        <v>358</v>
      </c>
      <c r="AD126" s="38">
        <v>2</v>
      </c>
      <c r="AE126" s="40">
        <v>67.253981603421721</v>
      </c>
      <c r="AF126" s="40">
        <v>27.5</v>
      </c>
      <c r="AG126" s="39">
        <v>42.5</v>
      </c>
      <c r="AH126" s="40">
        <v>52.722133853203722</v>
      </c>
      <c r="AI126" s="40">
        <v>62.5</v>
      </c>
      <c r="AJ126" s="40">
        <v>50.539649861965842</v>
      </c>
      <c r="AK126" s="38">
        <v>123</v>
      </c>
      <c r="AM126" s="41"/>
      <c r="AN126" s="48"/>
      <c r="AV126" s="69"/>
    </row>
    <row r="127" spans="1:48" x14ac:dyDescent="0.25">
      <c r="A127" s="38" t="s">
        <v>96</v>
      </c>
      <c r="B127" s="38">
        <v>3</v>
      </c>
      <c r="C127" s="39">
        <v>71.25</v>
      </c>
      <c r="D127" s="40">
        <v>75.166214733236032</v>
      </c>
      <c r="E127" s="40">
        <v>35</v>
      </c>
      <c r="F127" s="39">
        <v>17.5</v>
      </c>
      <c r="G127" s="40">
        <v>54.24920182079034</v>
      </c>
      <c r="H127" s="40">
        <v>57.230977588325416</v>
      </c>
      <c r="I127" s="40">
        <v>37.5</v>
      </c>
      <c r="J127" s="40">
        <v>50.42563398197737</v>
      </c>
      <c r="K127" s="38">
        <v>124</v>
      </c>
      <c r="N127" s="60"/>
      <c r="O127" s="59" t="s">
        <v>89</v>
      </c>
      <c r="P127" s="38">
        <v>2</v>
      </c>
      <c r="Q127" s="40">
        <v>46.564890931813608</v>
      </c>
      <c r="R127" s="48">
        <v>3</v>
      </c>
      <c r="T127" s="57" t="s">
        <v>197</v>
      </c>
      <c r="U127" s="59" t="s">
        <v>197</v>
      </c>
      <c r="V127" s="38">
        <v>3</v>
      </c>
      <c r="AC127" s="38" t="s">
        <v>96</v>
      </c>
      <c r="AD127" s="38">
        <v>3</v>
      </c>
      <c r="AE127" s="40">
        <v>75.166214733236032</v>
      </c>
      <c r="AF127" s="40">
        <v>35</v>
      </c>
      <c r="AG127" s="39">
        <v>17.5</v>
      </c>
      <c r="AH127" s="40">
        <v>57.230977588325416</v>
      </c>
      <c r="AI127" s="40">
        <v>37.5</v>
      </c>
      <c r="AJ127" s="40">
        <v>50.42563398197737</v>
      </c>
      <c r="AK127" s="38">
        <v>124</v>
      </c>
      <c r="AM127" s="41"/>
      <c r="AN127" s="48"/>
      <c r="AV127" s="69"/>
    </row>
    <row r="128" spans="1:48" x14ac:dyDescent="0.25">
      <c r="A128" s="38" t="s">
        <v>282</v>
      </c>
      <c r="B128" s="38">
        <v>3</v>
      </c>
      <c r="C128" s="39">
        <v>85</v>
      </c>
      <c r="D128" s="40">
        <v>89.671975471228947</v>
      </c>
      <c r="E128" s="40">
        <v>40</v>
      </c>
      <c r="F128" s="39">
        <v>26.25</v>
      </c>
      <c r="G128" s="40">
        <v>39.882028693450415</v>
      </c>
      <c r="H128" s="40">
        <v>42.074121161669822</v>
      </c>
      <c r="I128" s="40">
        <v>50</v>
      </c>
      <c r="J128" s="40">
        <v>50.38904355891372</v>
      </c>
      <c r="K128" s="38">
        <v>125</v>
      </c>
      <c r="N128" s="60"/>
      <c r="O128" s="59" t="s">
        <v>355</v>
      </c>
      <c r="P128" s="38">
        <v>2</v>
      </c>
      <c r="Q128" s="40">
        <v>46.30773716143851</v>
      </c>
      <c r="R128" s="48">
        <v>3</v>
      </c>
      <c r="T128" s="57" t="s">
        <v>126</v>
      </c>
      <c r="U128" s="59" t="s">
        <v>126</v>
      </c>
      <c r="V128" s="38">
        <v>3</v>
      </c>
      <c r="AC128" s="38" t="s">
        <v>282</v>
      </c>
      <c r="AD128" s="38">
        <v>3</v>
      </c>
      <c r="AE128" s="40">
        <v>89.671975471228947</v>
      </c>
      <c r="AF128" s="40">
        <v>40</v>
      </c>
      <c r="AG128" s="39">
        <v>26.25</v>
      </c>
      <c r="AH128" s="40">
        <v>42.074121161669822</v>
      </c>
      <c r="AI128" s="40">
        <v>50</v>
      </c>
      <c r="AJ128" s="40">
        <v>50.38904355891372</v>
      </c>
      <c r="AK128" s="38">
        <v>125</v>
      </c>
      <c r="AM128" s="41"/>
      <c r="AN128" s="48"/>
      <c r="AV128" s="69"/>
    </row>
    <row r="129" spans="1:48" x14ac:dyDescent="0.25">
      <c r="A129" s="38" t="s">
        <v>68</v>
      </c>
      <c r="B129" s="38">
        <v>2</v>
      </c>
      <c r="C129" s="39">
        <v>81.25</v>
      </c>
      <c r="D129" s="40">
        <v>85.715858906321799</v>
      </c>
      <c r="E129" s="40">
        <v>41.25</v>
      </c>
      <c r="F129" s="39">
        <v>50</v>
      </c>
      <c r="G129" s="40">
        <v>43.470935056868143</v>
      </c>
      <c r="H129" s="40">
        <v>45.860289672127848</v>
      </c>
      <c r="I129" s="40">
        <v>12.5</v>
      </c>
      <c r="J129" s="40">
        <v>49.987287650115505</v>
      </c>
      <c r="K129" s="38">
        <v>126</v>
      </c>
      <c r="N129" s="60"/>
      <c r="O129" s="59" t="s">
        <v>106</v>
      </c>
      <c r="P129" s="38">
        <v>2</v>
      </c>
      <c r="Q129" s="40">
        <v>46.283551551584665</v>
      </c>
      <c r="R129" s="48">
        <v>3</v>
      </c>
      <c r="T129" s="57" t="s">
        <v>165</v>
      </c>
      <c r="U129" s="59" t="s">
        <v>165</v>
      </c>
      <c r="V129" s="38">
        <v>3</v>
      </c>
      <c r="AC129" s="38" t="s">
        <v>68</v>
      </c>
      <c r="AD129" s="38">
        <v>2</v>
      </c>
      <c r="AE129" s="40">
        <v>85.715858906321799</v>
      </c>
      <c r="AF129" s="40">
        <v>41.25</v>
      </c>
      <c r="AG129" s="39">
        <v>50</v>
      </c>
      <c r="AH129" s="40">
        <v>45.860289672127848</v>
      </c>
      <c r="AI129" s="40">
        <v>12.5</v>
      </c>
      <c r="AJ129" s="40">
        <v>49.987287650115505</v>
      </c>
      <c r="AK129" s="38">
        <v>126</v>
      </c>
      <c r="AM129" s="41"/>
      <c r="AN129" s="48"/>
      <c r="AV129" s="69"/>
    </row>
    <row r="130" spans="1:48" x14ac:dyDescent="0.25">
      <c r="A130" s="38" t="s">
        <v>354</v>
      </c>
      <c r="B130" s="38">
        <v>3</v>
      </c>
      <c r="C130" s="39">
        <v>81.25</v>
      </c>
      <c r="D130" s="40">
        <v>85.715858906321799</v>
      </c>
      <c r="E130" s="40">
        <v>21.25</v>
      </c>
      <c r="F130" s="39">
        <v>75</v>
      </c>
      <c r="G130" s="40">
        <v>49.152110504271015</v>
      </c>
      <c r="H130" s="40">
        <v>51.853727617625005</v>
      </c>
      <c r="I130" s="40">
        <v>0</v>
      </c>
      <c r="J130" s="40">
        <v>49.634662828314362</v>
      </c>
      <c r="K130" s="38">
        <v>127</v>
      </c>
      <c r="N130" s="60"/>
      <c r="O130" s="59" t="s">
        <v>138</v>
      </c>
      <c r="P130" s="38">
        <v>2</v>
      </c>
      <c r="Q130" s="40">
        <v>46.23591388738528</v>
      </c>
      <c r="R130" s="48">
        <v>3</v>
      </c>
      <c r="T130" s="57" t="s">
        <v>149</v>
      </c>
      <c r="U130" s="59" t="s">
        <v>149</v>
      </c>
      <c r="V130" s="38">
        <v>3</v>
      </c>
      <c r="AC130" s="38" t="s">
        <v>354</v>
      </c>
      <c r="AD130" s="38">
        <v>3</v>
      </c>
      <c r="AE130" s="40">
        <v>85.715858906321799</v>
      </c>
      <c r="AF130" s="40">
        <v>21.25</v>
      </c>
      <c r="AG130" s="39">
        <v>75</v>
      </c>
      <c r="AH130" s="40">
        <v>51.853727617625005</v>
      </c>
      <c r="AI130" s="40">
        <v>0</v>
      </c>
      <c r="AJ130" s="40">
        <v>49.634662828314362</v>
      </c>
      <c r="AK130" s="38">
        <v>127</v>
      </c>
      <c r="AM130" s="41"/>
      <c r="AN130" s="48"/>
      <c r="AV130" s="69"/>
    </row>
    <row r="131" spans="1:48" x14ac:dyDescent="0.25">
      <c r="A131" s="38" t="s">
        <v>209</v>
      </c>
      <c r="B131" s="38">
        <v>4</v>
      </c>
      <c r="C131" s="39">
        <v>85</v>
      </c>
      <c r="D131" s="40">
        <v>89.671975471228947</v>
      </c>
      <c r="E131" s="40">
        <v>28.75</v>
      </c>
      <c r="F131" s="39">
        <v>50</v>
      </c>
      <c r="G131" s="40">
        <v>46.654767263492154</v>
      </c>
      <c r="H131" s="40">
        <v>49.219119360797222</v>
      </c>
      <c r="I131" s="40">
        <v>12.5</v>
      </c>
      <c r="J131" s="40">
        <v>49.622042838564681</v>
      </c>
      <c r="K131" s="38">
        <v>128</v>
      </c>
      <c r="N131" s="60"/>
      <c r="O131" s="59" t="s">
        <v>93</v>
      </c>
      <c r="P131" s="38">
        <v>2</v>
      </c>
      <c r="Q131" s="40">
        <v>46.227020130463757</v>
      </c>
      <c r="R131" s="48">
        <v>3</v>
      </c>
      <c r="T131" s="57" t="s">
        <v>72</v>
      </c>
      <c r="U131" s="59" t="s">
        <v>72</v>
      </c>
      <c r="V131" s="38">
        <v>3</v>
      </c>
      <c r="AC131" s="38" t="s">
        <v>209</v>
      </c>
      <c r="AD131" s="38">
        <v>4</v>
      </c>
      <c r="AE131" s="40">
        <v>89.671975471228947</v>
      </c>
      <c r="AF131" s="40">
        <v>28.75</v>
      </c>
      <c r="AG131" s="39">
        <v>50</v>
      </c>
      <c r="AH131" s="40">
        <v>49.219119360797222</v>
      </c>
      <c r="AI131" s="40">
        <v>12.5</v>
      </c>
      <c r="AJ131" s="40">
        <v>49.622042838564681</v>
      </c>
      <c r="AK131" s="38">
        <v>128</v>
      </c>
      <c r="AM131" s="41"/>
      <c r="AN131" s="48"/>
      <c r="AV131" s="69"/>
    </row>
    <row r="132" spans="1:48" x14ac:dyDescent="0.25">
      <c r="A132" s="38" t="s">
        <v>154</v>
      </c>
      <c r="B132" s="38">
        <v>3</v>
      </c>
      <c r="C132" s="39">
        <v>51.25</v>
      </c>
      <c r="D132" s="40">
        <v>54.06692638706452</v>
      </c>
      <c r="E132" s="40">
        <v>40</v>
      </c>
      <c r="F132" s="39">
        <v>57.5</v>
      </c>
      <c r="G132" s="40">
        <v>47.475542259374052</v>
      </c>
      <c r="H132" s="40">
        <v>50.085007776069219</v>
      </c>
      <c r="I132" s="40">
        <v>50</v>
      </c>
      <c r="J132" s="40">
        <v>49.597388387840596</v>
      </c>
      <c r="K132" s="38">
        <v>129</v>
      </c>
      <c r="N132" s="60"/>
      <c r="O132" s="59" t="s">
        <v>50</v>
      </c>
      <c r="P132" s="38">
        <v>2</v>
      </c>
      <c r="Q132" s="40">
        <v>46.115676822296081</v>
      </c>
      <c r="R132" s="48">
        <v>3</v>
      </c>
      <c r="T132" s="57" t="s">
        <v>268</v>
      </c>
      <c r="U132" s="59" t="s">
        <v>268</v>
      </c>
      <c r="V132" s="38">
        <v>3</v>
      </c>
      <c r="AC132" s="38" t="s">
        <v>154</v>
      </c>
      <c r="AD132" s="38">
        <v>3</v>
      </c>
      <c r="AE132" s="40">
        <v>54.06692638706452</v>
      </c>
      <c r="AF132" s="40">
        <v>40</v>
      </c>
      <c r="AG132" s="39">
        <v>57.5</v>
      </c>
      <c r="AH132" s="40">
        <v>50.085007776069219</v>
      </c>
      <c r="AI132" s="40">
        <v>50</v>
      </c>
      <c r="AJ132" s="40">
        <v>49.597388387840596</v>
      </c>
      <c r="AK132" s="38">
        <v>129</v>
      </c>
      <c r="AM132" s="41"/>
      <c r="AN132" s="48"/>
      <c r="AV132" s="69"/>
    </row>
    <row r="133" spans="1:48" x14ac:dyDescent="0.25">
      <c r="A133" s="38" t="s">
        <v>274</v>
      </c>
      <c r="B133" s="38">
        <v>3</v>
      </c>
      <c r="C133" s="39">
        <v>75</v>
      </c>
      <c r="D133" s="40">
        <v>79.122331298143195</v>
      </c>
      <c r="E133" s="40">
        <v>47.5</v>
      </c>
      <c r="F133" s="39">
        <v>67.5</v>
      </c>
      <c r="G133" s="40">
        <v>38.304649706485691</v>
      </c>
      <c r="H133" s="40">
        <v>40.410042457811791</v>
      </c>
      <c r="I133" s="40">
        <v>12.5</v>
      </c>
      <c r="J133" s="40">
        <v>49.488483242753354</v>
      </c>
      <c r="K133" s="38">
        <v>130</v>
      </c>
      <c r="N133" s="60"/>
      <c r="O133" s="59" t="s">
        <v>131</v>
      </c>
      <c r="P133" s="38">
        <v>2</v>
      </c>
      <c r="Q133" s="40">
        <v>45.56537649600503</v>
      </c>
      <c r="R133" s="48">
        <v>3</v>
      </c>
      <c r="T133" s="57" t="s">
        <v>181</v>
      </c>
      <c r="U133" s="59" t="s">
        <v>181</v>
      </c>
      <c r="V133" s="38">
        <v>3</v>
      </c>
      <c r="AC133" s="38" t="s">
        <v>274</v>
      </c>
      <c r="AD133" s="38">
        <v>3</v>
      </c>
      <c r="AE133" s="40">
        <v>79.122331298143195</v>
      </c>
      <c r="AF133" s="40">
        <v>47.5</v>
      </c>
      <c r="AG133" s="39">
        <v>67.5</v>
      </c>
      <c r="AH133" s="40">
        <v>40.410042457811791</v>
      </c>
      <c r="AI133" s="40">
        <v>12.5</v>
      </c>
      <c r="AJ133" s="40">
        <v>49.488483242753354</v>
      </c>
      <c r="AK133" s="38">
        <v>130</v>
      </c>
      <c r="AM133" s="41"/>
      <c r="AN133" s="48"/>
      <c r="AV133" s="69"/>
    </row>
    <row r="134" spans="1:48" x14ac:dyDescent="0.25">
      <c r="A134" s="38" t="s">
        <v>297</v>
      </c>
      <c r="B134" s="38">
        <v>4</v>
      </c>
      <c r="C134" s="39">
        <v>93.75</v>
      </c>
      <c r="D134" s="40">
        <v>98.902914122678993</v>
      </c>
      <c r="E134" s="40">
        <v>22.5</v>
      </c>
      <c r="F134" s="39">
        <v>33.75</v>
      </c>
      <c r="G134" s="40">
        <v>39.366752530085641</v>
      </c>
      <c r="H134" s="40">
        <v>41.530523144232703</v>
      </c>
      <c r="I134" s="40">
        <v>50</v>
      </c>
      <c r="J134" s="40">
        <v>49.26779208222888</v>
      </c>
      <c r="K134" s="38">
        <v>131</v>
      </c>
      <c r="N134" s="60"/>
      <c r="O134" s="59" t="s">
        <v>357</v>
      </c>
      <c r="P134" s="38">
        <v>2</v>
      </c>
      <c r="Q134" s="40">
        <v>45.120944676791986</v>
      </c>
      <c r="R134" s="48">
        <v>3</v>
      </c>
      <c r="T134" s="57" t="s">
        <v>134</v>
      </c>
      <c r="U134" s="59" t="s">
        <v>134</v>
      </c>
      <c r="V134" s="38">
        <v>3</v>
      </c>
      <c r="AC134" s="38" t="s">
        <v>297</v>
      </c>
      <c r="AD134" s="38">
        <v>4</v>
      </c>
      <c r="AE134" s="40">
        <v>98.902914122678993</v>
      </c>
      <c r="AF134" s="40">
        <v>22.5</v>
      </c>
      <c r="AG134" s="39">
        <v>33.75</v>
      </c>
      <c r="AH134" s="40">
        <v>41.530523144232703</v>
      </c>
      <c r="AI134" s="40">
        <v>50</v>
      </c>
      <c r="AJ134" s="40">
        <v>49.26779208222888</v>
      </c>
      <c r="AK134" s="38">
        <v>131</v>
      </c>
      <c r="AM134" s="41"/>
      <c r="AN134" s="48"/>
      <c r="AV134" s="69"/>
    </row>
    <row r="135" spans="1:48" x14ac:dyDescent="0.25">
      <c r="A135" s="38" t="s">
        <v>247</v>
      </c>
      <c r="B135" s="38">
        <v>4</v>
      </c>
      <c r="C135" s="39">
        <v>71.25</v>
      </c>
      <c r="D135" s="40">
        <v>75.166214733236032</v>
      </c>
      <c r="E135" s="40">
        <v>41.25</v>
      </c>
      <c r="F135" s="39">
        <v>67.5</v>
      </c>
      <c r="G135" s="40">
        <v>45.508894540590589</v>
      </c>
      <c r="H135" s="40">
        <v>48.01026441137158</v>
      </c>
      <c r="I135" s="40">
        <v>0</v>
      </c>
      <c r="J135" s="40">
        <v>49.237348711195835</v>
      </c>
      <c r="K135" s="38">
        <v>132</v>
      </c>
      <c r="N135" s="60"/>
      <c r="O135" s="59" t="s">
        <v>245</v>
      </c>
      <c r="P135" s="38">
        <v>2</v>
      </c>
      <c r="Q135" s="40">
        <v>44.911041497331667</v>
      </c>
      <c r="R135" s="48">
        <v>3</v>
      </c>
      <c r="T135" s="57" t="s">
        <v>188</v>
      </c>
      <c r="U135" s="59" t="s">
        <v>188</v>
      </c>
      <c r="V135" s="38">
        <v>3</v>
      </c>
      <c r="AC135" s="38" t="s">
        <v>247</v>
      </c>
      <c r="AD135" s="38">
        <v>4</v>
      </c>
      <c r="AE135" s="40">
        <v>75.166214733236032</v>
      </c>
      <c r="AF135" s="40">
        <v>41.25</v>
      </c>
      <c r="AG135" s="39">
        <v>67.5</v>
      </c>
      <c r="AH135" s="40">
        <v>48.01026441137158</v>
      </c>
      <c r="AI135" s="40">
        <v>0</v>
      </c>
      <c r="AJ135" s="40">
        <v>49.237348711195835</v>
      </c>
      <c r="AK135" s="38">
        <v>132</v>
      </c>
      <c r="AM135" s="41"/>
      <c r="AN135" s="48"/>
      <c r="AV135" s="69"/>
    </row>
    <row r="136" spans="1:48" x14ac:dyDescent="0.25">
      <c r="A136" s="38" t="s">
        <v>283</v>
      </c>
      <c r="B136" s="38">
        <v>4</v>
      </c>
      <c r="C136" s="39">
        <v>85</v>
      </c>
      <c r="D136" s="40">
        <v>89.671975471228947</v>
      </c>
      <c r="E136" s="40">
        <v>33.75</v>
      </c>
      <c r="F136" s="39">
        <v>57.5</v>
      </c>
      <c r="G136" s="40">
        <v>44.434866581845164</v>
      </c>
      <c r="H136" s="40">
        <v>46.877203131700597</v>
      </c>
      <c r="I136" s="40">
        <v>0</v>
      </c>
      <c r="J136" s="40">
        <v>49.185276346926031</v>
      </c>
      <c r="K136" s="38">
        <v>133</v>
      </c>
      <c r="N136" s="60"/>
      <c r="O136" s="59" t="s">
        <v>125</v>
      </c>
      <c r="P136" s="38">
        <v>2</v>
      </c>
      <c r="Q136" s="40">
        <v>44.869336626346318</v>
      </c>
      <c r="R136" s="48">
        <v>3</v>
      </c>
      <c r="T136" s="57" t="s">
        <v>190</v>
      </c>
      <c r="U136" s="59" t="s">
        <v>190</v>
      </c>
      <c r="V136" s="38">
        <v>3</v>
      </c>
      <c r="AC136" s="38" t="s">
        <v>283</v>
      </c>
      <c r="AD136" s="38">
        <v>4</v>
      </c>
      <c r="AE136" s="40">
        <v>89.671975471228947</v>
      </c>
      <c r="AF136" s="40">
        <v>33.75</v>
      </c>
      <c r="AG136" s="39">
        <v>57.5</v>
      </c>
      <c r="AH136" s="40">
        <v>46.877203131700597</v>
      </c>
      <c r="AI136" s="40">
        <v>0</v>
      </c>
      <c r="AJ136" s="40">
        <v>49.185276346926031</v>
      </c>
      <c r="AK136" s="38">
        <v>133</v>
      </c>
      <c r="AM136" s="41"/>
      <c r="AN136" s="48"/>
      <c r="AV136" s="69"/>
    </row>
    <row r="137" spans="1:48" x14ac:dyDescent="0.25">
      <c r="A137" s="38" t="s">
        <v>261</v>
      </c>
      <c r="B137" s="38">
        <v>4</v>
      </c>
      <c r="C137" s="39">
        <v>85</v>
      </c>
      <c r="D137" s="40">
        <v>89.671975471228947</v>
      </c>
      <c r="E137" s="40">
        <v>28.75</v>
      </c>
      <c r="F137" s="39">
        <v>58.75</v>
      </c>
      <c r="G137" s="40">
        <v>34.433089769525523</v>
      </c>
      <c r="H137" s="40">
        <v>36.325684484841382</v>
      </c>
      <c r="I137" s="40">
        <v>50</v>
      </c>
      <c r="J137" s="40">
        <v>49.089668888182345</v>
      </c>
      <c r="K137" s="38">
        <v>134</v>
      </c>
      <c r="N137" s="60"/>
      <c r="O137" s="59" t="s">
        <v>56</v>
      </c>
      <c r="P137" s="38">
        <v>2</v>
      </c>
      <c r="Q137" s="40">
        <v>44.632828316835116</v>
      </c>
      <c r="R137" s="48">
        <v>3</v>
      </c>
      <c r="T137" s="57" t="s">
        <v>251</v>
      </c>
      <c r="U137" s="59" t="s">
        <v>251</v>
      </c>
      <c r="V137" s="38">
        <v>3</v>
      </c>
      <c r="AC137" s="38" t="s">
        <v>261</v>
      </c>
      <c r="AD137" s="38">
        <v>4</v>
      </c>
      <c r="AE137" s="40">
        <v>89.671975471228947</v>
      </c>
      <c r="AF137" s="40">
        <v>28.75</v>
      </c>
      <c r="AG137" s="39">
        <v>58.75</v>
      </c>
      <c r="AH137" s="40">
        <v>36.325684484841382</v>
      </c>
      <c r="AI137" s="40">
        <v>50</v>
      </c>
      <c r="AJ137" s="40">
        <v>49.089668888182345</v>
      </c>
      <c r="AK137" s="38">
        <v>134</v>
      </c>
      <c r="AM137" s="41"/>
      <c r="AN137" s="48"/>
      <c r="AV137" s="69"/>
    </row>
    <row r="138" spans="1:48" x14ac:dyDescent="0.25">
      <c r="A138" s="38" t="s">
        <v>142</v>
      </c>
      <c r="B138" s="38">
        <v>3</v>
      </c>
      <c r="C138" s="39">
        <v>85</v>
      </c>
      <c r="D138" s="40">
        <v>89.671975471228947</v>
      </c>
      <c r="E138" s="40">
        <v>31.25</v>
      </c>
      <c r="F138" s="39">
        <v>8.75</v>
      </c>
      <c r="G138" s="40">
        <v>47.995859772012096</v>
      </c>
      <c r="H138" s="40">
        <v>50.633924237604859</v>
      </c>
      <c r="I138" s="40">
        <v>37.5</v>
      </c>
      <c r="J138" s="40">
        <v>49.062964789287733</v>
      </c>
      <c r="K138" s="38">
        <v>135</v>
      </c>
      <c r="N138" s="60"/>
      <c r="O138" s="59" t="s">
        <v>115</v>
      </c>
      <c r="P138" s="38">
        <v>2</v>
      </c>
      <c r="Q138" s="40">
        <v>44.368811798959747</v>
      </c>
      <c r="R138" s="48">
        <v>3</v>
      </c>
      <c r="T138" s="57" t="s">
        <v>211</v>
      </c>
      <c r="U138" s="59" t="s">
        <v>211</v>
      </c>
      <c r="V138" s="38">
        <v>3</v>
      </c>
      <c r="AC138" s="38" t="s">
        <v>142</v>
      </c>
      <c r="AD138" s="38">
        <v>3</v>
      </c>
      <c r="AE138" s="40">
        <v>89.671975471228947</v>
      </c>
      <c r="AF138" s="40">
        <v>31.25</v>
      </c>
      <c r="AG138" s="39">
        <v>8.75</v>
      </c>
      <c r="AH138" s="40">
        <v>50.633924237604859</v>
      </c>
      <c r="AI138" s="40">
        <v>37.5</v>
      </c>
      <c r="AJ138" s="40">
        <v>49.062964789287733</v>
      </c>
      <c r="AK138" s="38">
        <v>135</v>
      </c>
      <c r="AM138" s="41"/>
      <c r="AN138" s="48"/>
      <c r="AV138" s="69"/>
    </row>
    <row r="139" spans="1:48" x14ac:dyDescent="0.25">
      <c r="A139" s="38" t="s">
        <v>278</v>
      </c>
      <c r="B139" s="38">
        <v>4</v>
      </c>
      <c r="C139" s="39">
        <v>85</v>
      </c>
      <c r="D139" s="40">
        <v>89.671975471228947</v>
      </c>
      <c r="E139" s="40">
        <v>21.25</v>
      </c>
      <c r="F139" s="39">
        <v>66.25</v>
      </c>
      <c r="G139" s="40">
        <v>38.871324055617023</v>
      </c>
      <c r="H139" s="40">
        <v>41.007863732346841</v>
      </c>
      <c r="I139" s="40">
        <v>37.5</v>
      </c>
      <c r="J139" s="40">
        <v>48.962540587184527</v>
      </c>
      <c r="K139" s="38">
        <v>136</v>
      </c>
      <c r="N139" s="60"/>
      <c r="O139" s="59" t="s">
        <v>34</v>
      </c>
      <c r="P139" s="38">
        <v>2</v>
      </c>
      <c r="Q139" s="40">
        <v>43.608516674720498</v>
      </c>
      <c r="R139" s="48">
        <v>3</v>
      </c>
      <c r="T139" s="57" t="s">
        <v>87</v>
      </c>
      <c r="U139" s="59" t="s">
        <v>87</v>
      </c>
      <c r="V139" s="38">
        <v>3</v>
      </c>
      <c r="AC139" s="38" t="s">
        <v>278</v>
      </c>
      <c r="AD139" s="38">
        <v>4</v>
      </c>
      <c r="AE139" s="40">
        <v>89.671975471228947</v>
      </c>
      <c r="AF139" s="40">
        <v>21.25</v>
      </c>
      <c r="AG139" s="39">
        <v>66.25</v>
      </c>
      <c r="AH139" s="40">
        <v>41.007863732346841</v>
      </c>
      <c r="AI139" s="40">
        <v>37.5</v>
      </c>
      <c r="AJ139" s="40">
        <v>48.962540587184527</v>
      </c>
      <c r="AK139" s="38">
        <v>136</v>
      </c>
      <c r="AM139" s="41"/>
      <c r="AN139" s="48"/>
      <c r="AV139" s="69"/>
    </row>
    <row r="140" spans="1:48" x14ac:dyDescent="0.25">
      <c r="A140" s="38" t="s">
        <v>206</v>
      </c>
      <c r="B140" s="38">
        <v>3</v>
      </c>
      <c r="C140" s="39">
        <v>85</v>
      </c>
      <c r="D140" s="40">
        <v>89.671975471228947</v>
      </c>
      <c r="E140" s="40">
        <v>16.25</v>
      </c>
      <c r="F140" s="39">
        <v>42.5</v>
      </c>
      <c r="G140" s="40">
        <v>49.703361560411231</v>
      </c>
      <c r="H140" s="40">
        <v>52.435277866856708</v>
      </c>
      <c r="I140" s="40">
        <v>25</v>
      </c>
      <c r="J140" s="40">
        <v>48.908506240988473</v>
      </c>
      <c r="K140" s="38">
        <v>137</v>
      </c>
      <c r="N140" s="60"/>
      <c r="O140" s="59" t="s">
        <v>216</v>
      </c>
      <c r="P140" s="38">
        <v>2</v>
      </c>
      <c r="Q140" s="40">
        <v>43.24020539158353</v>
      </c>
      <c r="R140" s="48">
        <v>3</v>
      </c>
      <c r="T140" s="57" t="s">
        <v>287</v>
      </c>
      <c r="U140" s="59" t="s">
        <v>287</v>
      </c>
      <c r="V140" s="38">
        <v>3</v>
      </c>
      <c r="AC140" s="38" t="s">
        <v>206</v>
      </c>
      <c r="AD140" s="38">
        <v>3</v>
      </c>
      <c r="AE140" s="40">
        <v>89.671975471228947</v>
      </c>
      <c r="AF140" s="40">
        <v>16.25</v>
      </c>
      <c r="AG140" s="39">
        <v>42.5</v>
      </c>
      <c r="AH140" s="40">
        <v>52.435277866856708</v>
      </c>
      <c r="AI140" s="40">
        <v>25</v>
      </c>
      <c r="AJ140" s="40">
        <v>48.908506240988473</v>
      </c>
      <c r="AK140" s="38">
        <v>137</v>
      </c>
      <c r="AM140" s="41"/>
      <c r="AN140" s="48"/>
      <c r="AV140" s="69"/>
    </row>
    <row r="141" spans="1:48" x14ac:dyDescent="0.25">
      <c r="A141" s="38" t="s">
        <v>289</v>
      </c>
      <c r="B141" s="38">
        <v>4</v>
      </c>
      <c r="C141" s="39">
        <v>100</v>
      </c>
      <c r="D141" s="40">
        <v>105.4964417308576</v>
      </c>
      <c r="E141" s="40">
        <v>33.75</v>
      </c>
      <c r="F141" s="39">
        <v>51.25</v>
      </c>
      <c r="G141" s="40">
        <v>31.651025651959081</v>
      </c>
      <c r="H141" s="40">
        <v>33.390705834137805</v>
      </c>
      <c r="I141" s="40">
        <v>25</v>
      </c>
      <c r="J141" s="40">
        <v>48.830570679826643</v>
      </c>
      <c r="K141" s="38">
        <v>138</v>
      </c>
      <c r="N141" s="60"/>
      <c r="O141" s="59" t="s">
        <v>44</v>
      </c>
      <c r="P141" s="38">
        <v>2</v>
      </c>
      <c r="Q141" s="40">
        <v>43.04063398655105</v>
      </c>
      <c r="R141" s="48">
        <v>3</v>
      </c>
      <c r="T141" s="57" t="s">
        <v>157</v>
      </c>
      <c r="U141" s="59" t="s">
        <v>157</v>
      </c>
      <c r="V141" s="38">
        <v>3</v>
      </c>
      <c r="AC141" s="38" t="s">
        <v>289</v>
      </c>
      <c r="AD141" s="38">
        <v>4</v>
      </c>
      <c r="AE141" s="40">
        <v>105.4964417308576</v>
      </c>
      <c r="AF141" s="40">
        <v>33.75</v>
      </c>
      <c r="AG141" s="39">
        <v>51.25</v>
      </c>
      <c r="AH141" s="40">
        <v>33.390705834137805</v>
      </c>
      <c r="AI141" s="40">
        <v>25</v>
      </c>
      <c r="AJ141" s="40">
        <v>48.830570679826643</v>
      </c>
      <c r="AK141" s="38">
        <v>138</v>
      </c>
      <c r="AM141" s="41"/>
      <c r="AN141" s="48"/>
      <c r="AV141" s="69"/>
    </row>
    <row r="142" spans="1:48" x14ac:dyDescent="0.25">
      <c r="A142" s="38" t="s">
        <v>120</v>
      </c>
      <c r="B142" s="38">
        <v>3</v>
      </c>
      <c r="C142" s="39">
        <v>78.75</v>
      </c>
      <c r="D142" s="40">
        <v>83.078447863050357</v>
      </c>
      <c r="E142" s="40">
        <v>35</v>
      </c>
      <c r="F142" s="39">
        <v>32.5</v>
      </c>
      <c r="G142" s="40">
        <v>42.981342481496725</v>
      </c>
      <c r="H142" s="40">
        <v>45.34378692613253</v>
      </c>
      <c r="I142" s="40">
        <v>37.5</v>
      </c>
      <c r="J142" s="40">
        <v>48.753204343063089</v>
      </c>
      <c r="K142" s="38">
        <v>139</v>
      </c>
      <c r="N142" s="60"/>
      <c r="O142" s="59" t="s">
        <v>91</v>
      </c>
      <c r="P142" s="38">
        <v>2</v>
      </c>
      <c r="Q142" s="40">
        <v>42.874210714883219</v>
      </c>
      <c r="R142" s="48">
        <v>3</v>
      </c>
      <c r="T142" s="57" t="s">
        <v>109</v>
      </c>
      <c r="U142" s="59" t="s">
        <v>109</v>
      </c>
      <c r="V142" s="38">
        <v>3</v>
      </c>
      <c r="AC142" s="38" t="s">
        <v>120</v>
      </c>
      <c r="AD142" s="38">
        <v>3</v>
      </c>
      <c r="AE142" s="40">
        <v>83.078447863050357</v>
      </c>
      <c r="AF142" s="40">
        <v>35</v>
      </c>
      <c r="AG142" s="39">
        <v>32.5</v>
      </c>
      <c r="AH142" s="40">
        <v>45.34378692613253</v>
      </c>
      <c r="AI142" s="40">
        <v>37.5</v>
      </c>
      <c r="AJ142" s="40">
        <v>48.753204343063089</v>
      </c>
      <c r="AK142" s="38">
        <v>139</v>
      </c>
      <c r="AM142" s="41"/>
      <c r="AN142" s="48"/>
      <c r="AV142" s="69"/>
    </row>
    <row r="143" spans="1:48" x14ac:dyDescent="0.25">
      <c r="A143" s="38" t="s">
        <v>29</v>
      </c>
      <c r="B143" s="38">
        <v>2</v>
      </c>
      <c r="C143" s="39">
        <v>91.25</v>
      </c>
      <c r="D143" s="40">
        <v>91.039945287662377</v>
      </c>
      <c r="E143" s="40">
        <v>22.5</v>
      </c>
      <c r="F143" s="39">
        <v>42.5</v>
      </c>
      <c r="G143" s="40">
        <v>45.189808011765919</v>
      </c>
      <c r="H143" s="40">
        <v>45.085782454259032</v>
      </c>
      <c r="I143" s="40">
        <v>37.5</v>
      </c>
      <c r="J143" s="40">
        <v>48.742302039236094</v>
      </c>
      <c r="K143" s="38">
        <v>140</v>
      </c>
      <c r="N143" s="60"/>
      <c r="O143" s="59" t="s">
        <v>121</v>
      </c>
      <c r="P143" s="38">
        <v>2</v>
      </c>
      <c r="Q143" s="40">
        <v>42.810391869619323</v>
      </c>
      <c r="R143" s="48">
        <v>3</v>
      </c>
      <c r="T143" s="57" t="s">
        <v>119</v>
      </c>
      <c r="U143" s="59" t="s">
        <v>119</v>
      </c>
      <c r="V143" s="38">
        <v>3</v>
      </c>
      <c r="AC143" s="38" t="s">
        <v>29</v>
      </c>
      <c r="AD143" s="38">
        <v>2</v>
      </c>
      <c r="AE143" s="40">
        <v>91.039945287662377</v>
      </c>
      <c r="AF143" s="40">
        <v>22.5</v>
      </c>
      <c r="AG143" s="39">
        <v>42.5</v>
      </c>
      <c r="AH143" s="40">
        <v>45.085782454259032</v>
      </c>
      <c r="AI143" s="40">
        <v>37.5</v>
      </c>
      <c r="AJ143" s="40">
        <v>48.742302039236094</v>
      </c>
      <c r="AK143" s="38">
        <v>140</v>
      </c>
      <c r="AM143" s="41"/>
      <c r="AN143" s="48"/>
      <c r="AV143" s="69"/>
    </row>
    <row r="144" spans="1:48" x14ac:dyDescent="0.25">
      <c r="A144" s="38" t="s">
        <v>65</v>
      </c>
      <c r="B144" s="38">
        <v>1</v>
      </c>
      <c r="C144" s="39">
        <v>78.75</v>
      </c>
      <c r="D144" s="40">
        <v>83.078447863050357</v>
      </c>
      <c r="E144" s="40">
        <v>31.25</v>
      </c>
      <c r="F144" s="39">
        <v>25</v>
      </c>
      <c r="G144" s="40">
        <v>52.200364522644826</v>
      </c>
      <c r="H144" s="40">
        <v>55.06952714192726</v>
      </c>
      <c r="I144" s="40">
        <v>12.5</v>
      </c>
      <c r="J144" s="40">
        <v>48.643500429380978</v>
      </c>
      <c r="K144" s="38">
        <v>141</v>
      </c>
      <c r="N144" s="60"/>
      <c r="O144" s="59" t="s">
        <v>145</v>
      </c>
      <c r="P144" s="38">
        <v>2</v>
      </c>
      <c r="Q144" s="40">
        <v>42.563786134534965</v>
      </c>
      <c r="R144" s="48">
        <v>3</v>
      </c>
      <c r="T144" s="57" t="s">
        <v>55</v>
      </c>
      <c r="U144" s="59" t="s">
        <v>55</v>
      </c>
      <c r="V144" s="38">
        <v>3</v>
      </c>
      <c r="AC144" s="38" t="s">
        <v>65</v>
      </c>
      <c r="AD144" s="38">
        <v>1</v>
      </c>
      <c r="AE144" s="40">
        <v>83.078447863050357</v>
      </c>
      <c r="AF144" s="40">
        <v>31.25</v>
      </c>
      <c r="AG144" s="39">
        <v>25</v>
      </c>
      <c r="AH144" s="40">
        <v>55.06952714192726</v>
      </c>
      <c r="AI144" s="40">
        <v>12.5</v>
      </c>
      <c r="AJ144" s="40">
        <v>48.643500429380978</v>
      </c>
      <c r="AK144" s="38">
        <v>141</v>
      </c>
      <c r="AM144" s="41"/>
      <c r="AN144" s="48"/>
      <c r="AV144" s="69"/>
    </row>
    <row r="145" spans="1:48" x14ac:dyDescent="0.25">
      <c r="A145" s="38" t="s">
        <v>47</v>
      </c>
      <c r="B145" s="38">
        <v>2</v>
      </c>
      <c r="C145" s="39">
        <v>66.25</v>
      </c>
      <c r="D145" s="40">
        <v>65.851838558279042</v>
      </c>
      <c r="E145" s="40">
        <v>46.25</v>
      </c>
      <c r="F145" s="39">
        <v>50</v>
      </c>
      <c r="G145" s="40">
        <v>43.877690784447672</v>
      </c>
      <c r="H145" s="40">
        <v>43.613986563736397</v>
      </c>
      <c r="I145" s="40">
        <v>37.5</v>
      </c>
      <c r="J145" s="40">
        <v>48.615962337150364</v>
      </c>
      <c r="K145" s="38">
        <v>142</v>
      </c>
      <c r="N145" s="60"/>
      <c r="O145" s="59" t="s">
        <v>76</v>
      </c>
      <c r="P145" s="38">
        <v>2</v>
      </c>
      <c r="Q145" s="40">
        <v>42.242858114144411</v>
      </c>
      <c r="R145" s="48">
        <v>3</v>
      </c>
      <c r="T145" s="57" t="s">
        <v>166</v>
      </c>
      <c r="U145" s="59" t="s">
        <v>166</v>
      </c>
      <c r="V145" s="38">
        <v>3</v>
      </c>
      <c r="AC145" s="38" t="s">
        <v>47</v>
      </c>
      <c r="AD145" s="38">
        <v>2</v>
      </c>
      <c r="AE145" s="40">
        <v>65.851838558279042</v>
      </c>
      <c r="AF145" s="40">
        <v>46.25</v>
      </c>
      <c r="AG145" s="39">
        <v>50</v>
      </c>
      <c r="AH145" s="40">
        <v>43.613986563736397</v>
      </c>
      <c r="AI145" s="40">
        <v>37.5</v>
      </c>
      <c r="AJ145" s="40">
        <v>48.615962337150364</v>
      </c>
      <c r="AK145" s="38">
        <v>142</v>
      </c>
      <c r="AM145" s="41"/>
      <c r="AN145" s="48"/>
      <c r="AV145" s="69"/>
    </row>
    <row r="146" spans="1:48" x14ac:dyDescent="0.25">
      <c r="A146" s="38" t="s">
        <v>178</v>
      </c>
      <c r="B146" s="38">
        <v>2</v>
      </c>
      <c r="C146" s="39">
        <v>78.75</v>
      </c>
      <c r="D146" s="40">
        <v>83.078447863050357</v>
      </c>
      <c r="E146" s="40">
        <v>18.75</v>
      </c>
      <c r="F146" s="39">
        <v>51.25</v>
      </c>
      <c r="G146" s="40">
        <v>48.538999632138385</v>
      </c>
      <c r="H146" s="40">
        <v>51.206917463660055</v>
      </c>
      <c r="I146" s="40">
        <v>25</v>
      </c>
      <c r="J146" s="40">
        <v>48.473456558074098</v>
      </c>
      <c r="K146" s="38">
        <v>143</v>
      </c>
      <c r="N146" s="60"/>
      <c r="O146" s="59" t="s">
        <v>200</v>
      </c>
      <c r="P146" s="38">
        <v>2</v>
      </c>
      <c r="Q146" s="40">
        <v>41.8839510753334</v>
      </c>
      <c r="R146" s="48">
        <v>3</v>
      </c>
      <c r="T146" s="57" t="s">
        <v>267</v>
      </c>
      <c r="U146" s="59" t="s">
        <v>267</v>
      </c>
      <c r="V146" s="38">
        <v>3</v>
      </c>
      <c r="AC146" s="38" t="s">
        <v>178</v>
      </c>
      <c r="AD146" s="38">
        <v>2</v>
      </c>
      <c r="AE146" s="40">
        <v>83.078447863050357</v>
      </c>
      <c r="AF146" s="40">
        <v>18.75</v>
      </c>
      <c r="AG146" s="39">
        <v>51.25</v>
      </c>
      <c r="AH146" s="40">
        <v>51.206917463660055</v>
      </c>
      <c r="AI146" s="40">
        <v>25</v>
      </c>
      <c r="AJ146" s="40">
        <v>48.473456558074098</v>
      </c>
      <c r="AK146" s="38">
        <v>143</v>
      </c>
      <c r="AM146" s="41"/>
      <c r="AN146" s="48"/>
      <c r="AV146" s="69"/>
    </row>
    <row r="147" spans="1:48" x14ac:dyDescent="0.25">
      <c r="A147" s="38" t="s">
        <v>70</v>
      </c>
      <c r="B147" s="38">
        <v>4</v>
      </c>
      <c r="C147" s="39">
        <v>80</v>
      </c>
      <c r="D147" s="40">
        <v>84.397153384686078</v>
      </c>
      <c r="E147" s="40">
        <v>33.75</v>
      </c>
      <c r="F147" s="39">
        <v>33.75</v>
      </c>
      <c r="G147" s="40">
        <v>50.609902266970494</v>
      </c>
      <c r="H147" s="40">
        <v>53.3916460551185</v>
      </c>
      <c r="I147" s="40">
        <v>0</v>
      </c>
      <c r="J147" s="40">
        <v>48.361089098984621</v>
      </c>
      <c r="K147" s="38">
        <v>144</v>
      </c>
      <c r="N147" s="60"/>
      <c r="O147" s="59" t="s">
        <v>122</v>
      </c>
      <c r="P147" s="38">
        <v>2</v>
      </c>
      <c r="Q147" s="40">
        <v>41.553577805378865</v>
      </c>
      <c r="R147" s="48">
        <v>3</v>
      </c>
      <c r="T147" s="57" t="s">
        <v>90</v>
      </c>
      <c r="U147" s="59" t="s">
        <v>90</v>
      </c>
      <c r="V147" s="38">
        <v>3</v>
      </c>
      <c r="AC147" s="38" t="s">
        <v>70</v>
      </c>
      <c r="AD147" s="38">
        <v>4</v>
      </c>
      <c r="AE147" s="40">
        <v>84.397153384686078</v>
      </c>
      <c r="AF147" s="40">
        <v>33.75</v>
      </c>
      <c r="AG147" s="39">
        <v>33.75</v>
      </c>
      <c r="AH147" s="40">
        <v>53.3916460551185</v>
      </c>
      <c r="AI147" s="40">
        <v>0</v>
      </c>
      <c r="AJ147" s="40">
        <v>48.361089098984621</v>
      </c>
      <c r="AK147" s="38">
        <v>144</v>
      </c>
      <c r="AM147" s="41"/>
      <c r="AN147" s="48"/>
      <c r="AV147" s="69"/>
    </row>
    <row r="148" spans="1:48" x14ac:dyDescent="0.25">
      <c r="A148" s="38" t="s">
        <v>40</v>
      </c>
      <c r="B148" s="38">
        <v>1</v>
      </c>
      <c r="C148" s="39">
        <v>56.25</v>
      </c>
      <c r="D148" s="40">
        <v>56.403940659417636</v>
      </c>
      <c r="E148" s="40">
        <v>50</v>
      </c>
      <c r="F148" s="39">
        <v>42.5</v>
      </c>
      <c r="G148" s="40">
        <v>53.561904110877499</v>
      </c>
      <c r="H148" s="40">
        <v>53.708488196895146</v>
      </c>
      <c r="I148" s="40">
        <v>12.5</v>
      </c>
      <c r="J148" s="40">
        <v>48.264183410641586</v>
      </c>
      <c r="K148" s="38">
        <v>145</v>
      </c>
      <c r="N148" s="60"/>
      <c r="O148" s="59" t="s">
        <v>80</v>
      </c>
      <c r="P148" s="38">
        <v>2</v>
      </c>
      <c r="Q148" s="40">
        <v>40.428716114068791</v>
      </c>
      <c r="R148" s="48">
        <v>3</v>
      </c>
      <c r="T148" s="57" t="s">
        <v>196</v>
      </c>
      <c r="U148" s="59" t="s">
        <v>196</v>
      </c>
      <c r="V148" s="38">
        <v>3</v>
      </c>
      <c r="AC148" s="38" t="s">
        <v>40</v>
      </c>
      <c r="AD148" s="38">
        <v>1</v>
      </c>
      <c r="AE148" s="40">
        <v>56.403940659417636</v>
      </c>
      <c r="AF148" s="40">
        <v>50</v>
      </c>
      <c r="AG148" s="39">
        <v>42.5</v>
      </c>
      <c r="AH148" s="40">
        <v>53.708488196895146</v>
      </c>
      <c r="AI148" s="40">
        <v>12.5</v>
      </c>
      <c r="AJ148" s="40">
        <v>48.264183410641586</v>
      </c>
      <c r="AK148" s="38">
        <v>145</v>
      </c>
      <c r="AM148" s="41"/>
      <c r="AN148" s="48"/>
      <c r="AV148" s="69"/>
    </row>
    <row r="149" spans="1:48" x14ac:dyDescent="0.25">
      <c r="A149" s="38" t="s">
        <v>217</v>
      </c>
      <c r="B149" s="38">
        <v>3</v>
      </c>
      <c r="C149" s="39">
        <v>63.75</v>
      </c>
      <c r="D149" s="40">
        <v>67.253981603421721</v>
      </c>
      <c r="E149" s="40">
        <v>38.75</v>
      </c>
      <c r="F149" s="39">
        <v>41.25</v>
      </c>
      <c r="G149" s="40">
        <v>45.055406980070146</v>
      </c>
      <c r="H149" s="40">
        <v>47.531851171330445</v>
      </c>
      <c r="I149" s="40">
        <v>37.5</v>
      </c>
      <c r="J149" s="40">
        <v>48.088536789216526</v>
      </c>
      <c r="K149" s="38">
        <v>146</v>
      </c>
      <c r="N149" s="60"/>
      <c r="O149" s="59" t="s">
        <v>164</v>
      </c>
      <c r="P149" s="38">
        <v>2</v>
      </c>
      <c r="Q149" s="40">
        <v>39.45441235645967</v>
      </c>
      <c r="R149" s="48">
        <v>3</v>
      </c>
      <c r="T149" s="57" t="s">
        <v>262</v>
      </c>
      <c r="U149" s="59" t="s">
        <v>262</v>
      </c>
      <c r="V149" s="38">
        <v>3</v>
      </c>
      <c r="AC149" s="38" t="s">
        <v>217</v>
      </c>
      <c r="AD149" s="38">
        <v>3</v>
      </c>
      <c r="AE149" s="40">
        <v>67.253981603421721</v>
      </c>
      <c r="AF149" s="40">
        <v>38.75</v>
      </c>
      <c r="AG149" s="39">
        <v>41.25</v>
      </c>
      <c r="AH149" s="40">
        <v>47.531851171330445</v>
      </c>
      <c r="AI149" s="40">
        <v>37.5</v>
      </c>
      <c r="AJ149" s="40">
        <v>48.088536789216526</v>
      </c>
      <c r="AK149" s="38">
        <v>146</v>
      </c>
      <c r="AM149" s="41"/>
      <c r="AN149" s="48"/>
      <c r="AV149" s="69"/>
    </row>
    <row r="150" spans="1:48" x14ac:dyDescent="0.25">
      <c r="A150" s="38" t="s">
        <v>214</v>
      </c>
      <c r="B150" s="38">
        <v>3</v>
      </c>
      <c r="C150" s="39">
        <v>78.75</v>
      </c>
      <c r="D150" s="40">
        <v>83.078447863050357</v>
      </c>
      <c r="E150" s="40">
        <v>35</v>
      </c>
      <c r="F150" s="39">
        <v>42.5</v>
      </c>
      <c r="G150" s="40">
        <v>41.945426876831149</v>
      </c>
      <c r="H150" s="40">
        <v>44.250932823875651</v>
      </c>
      <c r="I150" s="40">
        <v>25</v>
      </c>
      <c r="J150" s="40">
        <v>48.066062702160337</v>
      </c>
      <c r="K150" s="38">
        <v>147</v>
      </c>
      <c r="N150" s="60"/>
      <c r="O150" s="59" t="s">
        <v>186</v>
      </c>
      <c r="P150" s="38">
        <v>2</v>
      </c>
      <c r="Q150" s="40">
        <v>39.411053392882174</v>
      </c>
      <c r="R150" s="48">
        <v>3</v>
      </c>
      <c r="T150" s="57" t="s">
        <v>82</v>
      </c>
      <c r="U150" s="59" t="s">
        <v>82</v>
      </c>
      <c r="V150" s="38">
        <v>3</v>
      </c>
      <c r="AC150" s="38" t="s">
        <v>214</v>
      </c>
      <c r="AD150" s="38">
        <v>3</v>
      </c>
      <c r="AE150" s="40">
        <v>83.078447863050357</v>
      </c>
      <c r="AF150" s="40">
        <v>35</v>
      </c>
      <c r="AG150" s="39">
        <v>42.5</v>
      </c>
      <c r="AH150" s="40">
        <v>44.250932823875651</v>
      </c>
      <c r="AI150" s="40">
        <v>25</v>
      </c>
      <c r="AJ150" s="40">
        <v>48.066062702160337</v>
      </c>
      <c r="AK150" s="38">
        <v>147</v>
      </c>
      <c r="AM150" s="41"/>
      <c r="AN150" s="48"/>
      <c r="AV150" s="69"/>
    </row>
    <row r="151" spans="1:48" x14ac:dyDescent="0.25">
      <c r="A151" s="38" t="s">
        <v>227</v>
      </c>
      <c r="B151" s="38">
        <v>4</v>
      </c>
      <c r="C151" s="39">
        <v>91.25</v>
      </c>
      <c r="D151" s="40">
        <v>96.265503079407551</v>
      </c>
      <c r="E151" s="40">
        <v>28.75</v>
      </c>
      <c r="F151" s="39">
        <v>33.75</v>
      </c>
      <c r="G151" s="40">
        <v>40.480438341191146</v>
      </c>
      <c r="H151" s="40">
        <v>42.705422047010451</v>
      </c>
      <c r="I151" s="40">
        <v>25</v>
      </c>
      <c r="J151" s="40">
        <v>47.960269434685692</v>
      </c>
      <c r="K151" s="38">
        <v>148</v>
      </c>
      <c r="N151" s="60"/>
      <c r="O151" s="59" t="s">
        <v>101</v>
      </c>
      <c r="P151" s="38">
        <v>2</v>
      </c>
      <c r="Q151" s="40">
        <v>39.31564938855945</v>
      </c>
      <c r="R151" s="48">
        <v>3</v>
      </c>
      <c r="T151" s="57" t="s">
        <v>226</v>
      </c>
      <c r="U151" s="59" t="s">
        <v>226</v>
      </c>
      <c r="V151" s="38">
        <v>3</v>
      </c>
      <c r="AC151" s="38" t="s">
        <v>227</v>
      </c>
      <c r="AD151" s="38">
        <v>4</v>
      </c>
      <c r="AE151" s="40">
        <v>96.265503079407551</v>
      </c>
      <c r="AF151" s="40">
        <v>28.75</v>
      </c>
      <c r="AG151" s="39">
        <v>33.75</v>
      </c>
      <c r="AH151" s="40">
        <v>42.705422047010451</v>
      </c>
      <c r="AI151" s="40">
        <v>25</v>
      </c>
      <c r="AJ151" s="40">
        <v>47.960269434685692</v>
      </c>
      <c r="AK151" s="38">
        <v>148</v>
      </c>
      <c r="AM151" s="41"/>
      <c r="AN151" s="48"/>
      <c r="AV151" s="69"/>
    </row>
    <row r="152" spans="1:48" x14ac:dyDescent="0.25">
      <c r="A152" s="38" t="s">
        <v>159</v>
      </c>
      <c r="B152" s="38">
        <v>4</v>
      </c>
      <c r="C152" s="39">
        <v>81.25</v>
      </c>
      <c r="D152" s="40">
        <v>85.715858906321799</v>
      </c>
      <c r="E152" s="40">
        <v>28.75</v>
      </c>
      <c r="F152" s="39">
        <v>42.5</v>
      </c>
      <c r="G152" s="40">
        <v>43.33859192960989</v>
      </c>
      <c r="H152" s="40">
        <v>45.720672381995051</v>
      </c>
      <c r="I152" s="40">
        <v>25</v>
      </c>
      <c r="J152" s="40">
        <v>47.931440734062377</v>
      </c>
      <c r="K152" s="38">
        <v>149</v>
      </c>
      <c r="N152" s="60"/>
      <c r="O152" s="59" t="s">
        <v>359</v>
      </c>
      <c r="P152" s="38">
        <v>3</v>
      </c>
      <c r="Q152" s="40">
        <v>51.724299699364892</v>
      </c>
      <c r="R152" s="48">
        <v>3</v>
      </c>
      <c r="T152" s="57" t="s">
        <v>353</v>
      </c>
      <c r="U152" s="59" t="s">
        <v>353</v>
      </c>
      <c r="V152" s="38">
        <v>3</v>
      </c>
      <c r="AC152" s="38" t="s">
        <v>159</v>
      </c>
      <c r="AD152" s="38">
        <v>4</v>
      </c>
      <c r="AE152" s="40">
        <v>85.715858906321799</v>
      </c>
      <c r="AF152" s="40">
        <v>28.75</v>
      </c>
      <c r="AG152" s="39">
        <v>42.5</v>
      </c>
      <c r="AH152" s="40">
        <v>45.720672381995051</v>
      </c>
      <c r="AI152" s="40">
        <v>25</v>
      </c>
      <c r="AJ152" s="40">
        <v>47.931440734062377</v>
      </c>
      <c r="AK152" s="38">
        <v>149</v>
      </c>
      <c r="AM152" s="41"/>
      <c r="AN152" s="48"/>
      <c r="AV152" s="69"/>
    </row>
    <row r="153" spans="1:48" x14ac:dyDescent="0.25">
      <c r="A153" s="38" t="s">
        <v>365</v>
      </c>
      <c r="B153" s="38">
        <v>3</v>
      </c>
      <c r="C153" s="39">
        <v>83.75</v>
      </c>
      <c r="D153" s="40">
        <v>88.353269949593241</v>
      </c>
      <c r="E153" s="40">
        <v>28.75</v>
      </c>
      <c r="F153" s="39">
        <v>50</v>
      </c>
      <c r="G153" s="40">
        <v>40.142683141405307</v>
      </c>
      <c r="H153" s="40">
        <v>42.349102329475443</v>
      </c>
      <c r="I153" s="40">
        <v>25</v>
      </c>
      <c r="J153" s="40">
        <v>47.860294921708828</v>
      </c>
      <c r="K153" s="38">
        <v>150</v>
      </c>
      <c r="N153" s="60"/>
      <c r="O153" s="59" t="s">
        <v>183</v>
      </c>
      <c r="P153" s="38">
        <v>3</v>
      </c>
      <c r="Q153" s="40">
        <v>51.637711380264911</v>
      </c>
      <c r="R153" s="48">
        <v>3</v>
      </c>
      <c r="T153" s="57" t="s">
        <v>204</v>
      </c>
      <c r="U153" s="59" t="s">
        <v>204</v>
      </c>
      <c r="V153" s="38">
        <v>3</v>
      </c>
      <c r="AC153" s="38" t="s">
        <v>365</v>
      </c>
      <c r="AD153" s="38">
        <v>3</v>
      </c>
      <c r="AE153" s="40">
        <v>88.353269949593241</v>
      </c>
      <c r="AF153" s="40">
        <v>28.75</v>
      </c>
      <c r="AG153" s="39">
        <v>50</v>
      </c>
      <c r="AH153" s="40">
        <v>42.349102329475443</v>
      </c>
      <c r="AI153" s="40">
        <v>25</v>
      </c>
      <c r="AJ153" s="40">
        <v>47.860294921708828</v>
      </c>
      <c r="AK153" s="38">
        <v>150</v>
      </c>
      <c r="AM153" s="41"/>
      <c r="AN153" s="48"/>
      <c r="AV153" s="69"/>
    </row>
    <row r="154" spans="1:48" x14ac:dyDescent="0.25">
      <c r="A154" s="38" t="s">
        <v>148</v>
      </c>
      <c r="B154" s="38">
        <v>3</v>
      </c>
      <c r="C154" s="39">
        <v>80</v>
      </c>
      <c r="D154" s="40">
        <v>84.397153384686078</v>
      </c>
      <c r="E154" s="40">
        <v>21.25</v>
      </c>
      <c r="F154" s="39">
        <v>35</v>
      </c>
      <c r="G154" s="40">
        <v>48.99486808046624</v>
      </c>
      <c r="H154" s="40">
        <v>51.687842455619617</v>
      </c>
      <c r="I154" s="40">
        <v>25</v>
      </c>
      <c r="J154" s="40">
        <v>47.804567659185068</v>
      </c>
      <c r="K154" s="38">
        <v>151</v>
      </c>
      <c r="N154" s="60"/>
      <c r="O154" s="59" t="s">
        <v>135</v>
      </c>
      <c r="P154" s="38">
        <v>3</v>
      </c>
      <c r="Q154" s="40">
        <v>51.367465155814671</v>
      </c>
      <c r="R154" s="48">
        <v>3</v>
      </c>
      <c r="T154" s="57" t="s">
        <v>294</v>
      </c>
      <c r="U154" s="59" t="s">
        <v>294</v>
      </c>
      <c r="V154" s="38">
        <v>3</v>
      </c>
      <c r="AC154" s="38" t="s">
        <v>148</v>
      </c>
      <c r="AD154" s="38">
        <v>3</v>
      </c>
      <c r="AE154" s="40">
        <v>84.397153384686078</v>
      </c>
      <c r="AF154" s="40">
        <v>21.25</v>
      </c>
      <c r="AG154" s="39">
        <v>35</v>
      </c>
      <c r="AH154" s="40">
        <v>51.687842455619617</v>
      </c>
      <c r="AI154" s="40">
        <v>25</v>
      </c>
      <c r="AJ154" s="40">
        <v>47.804567659185068</v>
      </c>
      <c r="AK154" s="38">
        <v>151</v>
      </c>
      <c r="AM154" s="41"/>
      <c r="AN154" s="48"/>
      <c r="AV154" s="69"/>
    </row>
    <row r="155" spans="1:48" x14ac:dyDescent="0.25">
      <c r="A155" s="38" t="s">
        <v>75</v>
      </c>
      <c r="B155" s="38">
        <v>2</v>
      </c>
      <c r="C155" s="39">
        <v>67.5</v>
      </c>
      <c r="D155" s="40">
        <v>71.210098168328869</v>
      </c>
      <c r="E155" s="40">
        <v>35</v>
      </c>
      <c r="F155" s="39">
        <v>50</v>
      </c>
      <c r="G155" s="40">
        <v>50.856384855060966</v>
      </c>
      <c r="H155" s="40">
        <v>53.651676415040079</v>
      </c>
      <c r="I155" s="40">
        <v>0</v>
      </c>
      <c r="J155" s="40">
        <v>47.702690199681811</v>
      </c>
      <c r="K155" s="38">
        <v>152</v>
      </c>
      <c r="N155" s="60"/>
      <c r="O155" s="59" t="s">
        <v>177</v>
      </c>
      <c r="P155" s="38">
        <v>3</v>
      </c>
      <c r="Q155" s="40">
        <v>51.338356804704446</v>
      </c>
      <c r="R155" s="48">
        <v>3</v>
      </c>
      <c r="T155" s="57" t="s">
        <v>252</v>
      </c>
      <c r="U155" s="59" t="s">
        <v>252</v>
      </c>
      <c r="V155" s="38">
        <v>3</v>
      </c>
      <c r="AC155" s="38" t="s">
        <v>75</v>
      </c>
      <c r="AD155" s="38">
        <v>2</v>
      </c>
      <c r="AE155" s="40">
        <v>71.210098168328869</v>
      </c>
      <c r="AF155" s="40">
        <v>35</v>
      </c>
      <c r="AG155" s="39">
        <v>50</v>
      </c>
      <c r="AH155" s="40">
        <v>53.651676415040079</v>
      </c>
      <c r="AI155" s="40">
        <v>0</v>
      </c>
      <c r="AJ155" s="40">
        <v>47.702690199681811</v>
      </c>
      <c r="AK155" s="38">
        <v>152</v>
      </c>
      <c r="AM155" s="41"/>
      <c r="AN155" s="48"/>
      <c r="AV155" s="69"/>
    </row>
    <row r="156" spans="1:48" x14ac:dyDescent="0.25">
      <c r="A156" s="38" t="s">
        <v>143</v>
      </c>
      <c r="B156" s="38">
        <v>3</v>
      </c>
      <c r="C156" s="39">
        <v>81.25</v>
      </c>
      <c r="D156" s="40">
        <v>85.715858906321799</v>
      </c>
      <c r="E156" s="40">
        <v>22.5</v>
      </c>
      <c r="F156" s="39">
        <v>48.75</v>
      </c>
      <c r="G156" s="40">
        <v>47.235465565533595</v>
      </c>
      <c r="H156" s="40">
        <v>49.831735406642451</v>
      </c>
      <c r="I156" s="40">
        <v>12.5</v>
      </c>
      <c r="J156" s="40">
        <v>47.700865943921343</v>
      </c>
      <c r="K156" s="38">
        <v>153</v>
      </c>
      <c r="N156" s="60"/>
      <c r="O156" s="59" t="s">
        <v>81</v>
      </c>
      <c r="P156" s="38">
        <v>3</v>
      </c>
      <c r="Q156" s="40">
        <v>51.074930174692724</v>
      </c>
      <c r="R156" s="48">
        <v>3</v>
      </c>
      <c r="T156" s="57" t="s">
        <v>244</v>
      </c>
      <c r="U156" s="59" t="s">
        <v>244</v>
      </c>
      <c r="V156" s="38">
        <v>3</v>
      </c>
      <c r="AC156" s="38" t="s">
        <v>143</v>
      </c>
      <c r="AD156" s="38">
        <v>3</v>
      </c>
      <c r="AE156" s="40">
        <v>85.715858906321799</v>
      </c>
      <c r="AF156" s="40">
        <v>22.5</v>
      </c>
      <c r="AG156" s="39">
        <v>48.75</v>
      </c>
      <c r="AH156" s="40">
        <v>49.831735406642451</v>
      </c>
      <c r="AI156" s="40">
        <v>12.5</v>
      </c>
      <c r="AJ156" s="40">
        <v>47.700865943921343</v>
      </c>
      <c r="AK156" s="38">
        <v>153</v>
      </c>
      <c r="AM156" s="41"/>
      <c r="AN156" s="48"/>
      <c r="AV156" s="69"/>
    </row>
    <row r="157" spans="1:48" x14ac:dyDescent="0.25">
      <c r="A157" s="38" t="s">
        <v>272</v>
      </c>
      <c r="B157" s="38">
        <v>3</v>
      </c>
      <c r="C157" s="39">
        <v>58.75</v>
      </c>
      <c r="D157" s="40">
        <v>61.979159516878838</v>
      </c>
      <c r="E157" s="40">
        <v>40</v>
      </c>
      <c r="F157" s="39">
        <v>50</v>
      </c>
      <c r="G157" s="40">
        <v>46.79121864547804</v>
      </c>
      <c r="H157" s="40">
        <v>49.363070713484916</v>
      </c>
      <c r="I157" s="40">
        <v>25</v>
      </c>
      <c r="J157" s="40">
        <v>47.641060188769735</v>
      </c>
      <c r="K157" s="38">
        <v>154</v>
      </c>
      <c r="N157" s="60"/>
      <c r="O157" s="59" t="s">
        <v>168</v>
      </c>
      <c r="P157" s="38">
        <v>3</v>
      </c>
      <c r="Q157" s="40">
        <v>50.573503175570693</v>
      </c>
      <c r="R157" s="48">
        <v>3</v>
      </c>
      <c r="T157" s="57" t="s">
        <v>152</v>
      </c>
      <c r="U157" s="59" t="s">
        <v>152</v>
      </c>
      <c r="V157" s="38">
        <v>3</v>
      </c>
      <c r="AC157" s="38" t="s">
        <v>272</v>
      </c>
      <c r="AD157" s="38">
        <v>3</v>
      </c>
      <c r="AE157" s="40">
        <v>61.979159516878838</v>
      </c>
      <c r="AF157" s="40">
        <v>40</v>
      </c>
      <c r="AG157" s="39">
        <v>50</v>
      </c>
      <c r="AH157" s="40">
        <v>49.363070713484916</v>
      </c>
      <c r="AI157" s="40">
        <v>25</v>
      </c>
      <c r="AJ157" s="40">
        <v>47.641060188769735</v>
      </c>
      <c r="AK157" s="38">
        <v>154</v>
      </c>
      <c r="AM157" s="41"/>
      <c r="AN157" s="48"/>
      <c r="AV157" s="69"/>
    </row>
    <row r="158" spans="1:48" x14ac:dyDescent="0.25">
      <c r="A158" s="38" t="s">
        <v>218</v>
      </c>
      <c r="B158" s="38">
        <v>4</v>
      </c>
      <c r="C158" s="39">
        <v>62.5</v>
      </c>
      <c r="D158" s="40">
        <v>65.935276081786</v>
      </c>
      <c r="E158" s="40">
        <v>41.25</v>
      </c>
      <c r="F158" s="39">
        <v>58.75</v>
      </c>
      <c r="G158" s="40">
        <v>42.080377704190539</v>
      </c>
      <c r="H158" s="40">
        <v>44.393301144826161</v>
      </c>
      <c r="I158" s="40">
        <v>25</v>
      </c>
      <c r="J158" s="40">
        <v>47.56937567428767</v>
      </c>
      <c r="K158" s="38">
        <v>155</v>
      </c>
      <c r="N158" s="60"/>
      <c r="O158" s="59" t="s">
        <v>356</v>
      </c>
      <c r="P158" s="38">
        <v>3</v>
      </c>
      <c r="Q158" s="40">
        <v>50.544168617689607</v>
      </c>
      <c r="R158" s="48">
        <v>3</v>
      </c>
      <c r="T158" s="57" t="s">
        <v>273</v>
      </c>
      <c r="U158" s="59" t="s">
        <v>273</v>
      </c>
      <c r="V158" s="38">
        <v>3</v>
      </c>
      <c r="AC158" s="38" t="s">
        <v>218</v>
      </c>
      <c r="AD158" s="38">
        <v>4</v>
      </c>
      <c r="AE158" s="40">
        <v>65.935276081786</v>
      </c>
      <c r="AF158" s="40">
        <v>41.25</v>
      </c>
      <c r="AG158" s="39">
        <v>58.75</v>
      </c>
      <c r="AH158" s="40">
        <v>44.393301144826161</v>
      </c>
      <c r="AI158" s="40">
        <v>25</v>
      </c>
      <c r="AJ158" s="40">
        <v>47.56937567428767</v>
      </c>
      <c r="AK158" s="38">
        <v>155</v>
      </c>
      <c r="AM158" s="41"/>
      <c r="AN158" s="48"/>
      <c r="AV158" s="69"/>
    </row>
    <row r="159" spans="1:48" x14ac:dyDescent="0.25">
      <c r="A159" s="38" t="s">
        <v>175</v>
      </c>
      <c r="B159" s="38">
        <v>3</v>
      </c>
      <c r="C159" s="39">
        <v>73.75</v>
      </c>
      <c r="D159" s="40">
        <v>77.803625776507474</v>
      </c>
      <c r="E159" s="40">
        <v>41.25</v>
      </c>
      <c r="F159" s="39">
        <v>33.75</v>
      </c>
      <c r="G159" s="40">
        <v>42.22719779601028</v>
      </c>
      <c r="H159" s="40">
        <v>44.548191117441966</v>
      </c>
      <c r="I159" s="40">
        <v>25</v>
      </c>
      <c r="J159" s="40">
        <v>47.505001602278284</v>
      </c>
      <c r="K159" s="38">
        <v>156</v>
      </c>
      <c r="N159" s="60"/>
      <c r="O159" s="59" t="s">
        <v>96</v>
      </c>
      <c r="P159" s="38">
        <v>3</v>
      </c>
      <c r="Q159" s="40">
        <v>50.42563398197737</v>
      </c>
      <c r="R159" s="48">
        <v>3</v>
      </c>
      <c r="T159" s="57" t="s">
        <v>77</v>
      </c>
      <c r="U159" s="59" t="s">
        <v>77</v>
      </c>
      <c r="V159" s="38">
        <v>3</v>
      </c>
      <c r="AC159" s="38" t="s">
        <v>175</v>
      </c>
      <c r="AD159" s="38">
        <v>3</v>
      </c>
      <c r="AE159" s="40">
        <v>77.803625776507474</v>
      </c>
      <c r="AF159" s="40">
        <v>41.25</v>
      </c>
      <c r="AG159" s="39">
        <v>33.75</v>
      </c>
      <c r="AH159" s="40">
        <v>44.548191117441966</v>
      </c>
      <c r="AI159" s="40">
        <v>25</v>
      </c>
      <c r="AJ159" s="40">
        <v>47.505001602278284</v>
      </c>
      <c r="AK159" s="38">
        <v>156</v>
      </c>
      <c r="AM159" s="41"/>
      <c r="AN159" s="48"/>
      <c r="AV159" s="69"/>
    </row>
    <row r="160" spans="1:48" x14ac:dyDescent="0.25">
      <c r="A160" s="38" t="s">
        <v>290</v>
      </c>
      <c r="B160" s="38">
        <v>4</v>
      </c>
      <c r="C160" s="39">
        <v>66.25</v>
      </c>
      <c r="D160" s="40">
        <v>69.891392646693149</v>
      </c>
      <c r="E160" s="40">
        <v>51.25</v>
      </c>
      <c r="F160" s="39">
        <v>58.75</v>
      </c>
      <c r="G160" s="40">
        <v>35.153050386766886</v>
      </c>
      <c r="H160" s="40">
        <v>37.085217317894539</v>
      </c>
      <c r="I160" s="40">
        <v>25</v>
      </c>
      <c r="J160" s="40">
        <v>47.437365456496451</v>
      </c>
      <c r="K160" s="38">
        <v>157</v>
      </c>
      <c r="N160" s="60"/>
      <c r="O160" s="59" t="s">
        <v>282</v>
      </c>
      <c r="P160" s="38">
        <v>3</v>
      </c>
      <c r="Q160" s="40">
        <v>50.38904355891372</v>
      </c>
      <c r="R160" s="48">
        <v>3</v>
      </c>
      <c r="T160" s="57" t="s">
        <v>213</v>
      </c>
      <c r="U160" s="59" t="s">
        <v>213</v>
      </c>
      <c r="V160" s="38">
        <v>3</v>
      </c>
      <c r="AC160" s="38" t="s">
        <v>290</v>
      </c>
      <c r="AD160" s="38">
        <v>4</v>
      </c>
      <c r="AE160" s="40">
        <v>69.891392646693149</v>
      </c>
      <c r="AF160" s="40">
        <v>51.25</v>
      </c>
      <c r="AG160" s="39">
        <v>58.75</v>
      </c>
      <c r="AH160" s="40">
        <v>37.085217317894539</v>
      </c>
      <c r="AI160" s="40">
        <v>25</v>
      </c>
      <c r="AJ160" s="40">
        <v>47.437365456496451</v>
      </c>
      <c r="AK160" s="38">
        <v>157</v>
      </c>
      <c r="AM160" s="41"/>
      <c r="AN160" s="48"/>
      <c r="AV160" s="69"/>
    </row>
    <row r="161" spans="1:48" x14ac:dyDescent="0.25">
      <c r="A161" s="38" t="s">
        <v>99</v>
      </c>
      <c r="B161" s="38">
        <v>3</v>
      </c>
      <c r="C161" s="39">
        <v>85</v>
      </c>
      <c r="D161" s="40">
        <v>89.671975471228947</v>
      </c>
      <c r="E161" s="40">
        <v>33.75</v>
      </c>
      <c r="F161" s="39">
        <v>26.25</v>
      </c>
      <c r="G161" s="40">
        <v>41.671418120530348</v>
      </c>
      <c r="H161" s="40">
        <v>43.961863335947328</v>
      </c>
      <c r="I161" s="40">
        <v>25</v>
      </c>
      <c r="J161" s="40">
        <v>47.394140428624723</v>
      </c>
      <c r="K161" s="38">
        <v>158</v>
      </c>
      <c r="N161" s="60"/>
      <c r="O161" s="59" t="s">
        <v>354</v>
      </c>
      <c r="P161" s="38">
        <v>3</v>
      </c>
      <c r="Q161" s="40">
        <v>49.634662828314362</v>
      </c>
      <c r="R161" s="48">
        <v>3</v>
      </c>
      <c r="T161" s="57" t="s">
        <v>132</v>
      </c>
      <c r="U161" s="59" t="s">
        <v>132</v>
      </c>
      <c r="V161" s="38">
        <v>3</v>
      </c>
      <c r="AC161" s="38" t="s">
        <v>99</v>
      </c>
      <c r="AD161" s="38">
        <v>3</v>
      </c>
      <c r="AE161" s="40">
        <v>89.671975471228947</v>
      </c>
      <c r="AF161" s="40">
        <v>33.75</v>
      </c>
      <c r="AG161" s="39">
        <v>26.25</v>
      </c>
      <c r="AH161" s="40">
        <v>43.961863335947328</v>
      </c>
      <c r="AI161" s="40">
        <v>25</v>
      </c>
      <c r="AJ161" s="40">
        <v>47.394140428624723</v>
      </c>
      <c r="AK161" s="38">
        <v>158</v>
      </c>
      <c r="AM161" s="41"/>
      <c r="AN161" s="48"/>
      <c r="AV161" s="69"/>
    </row>
    <row r="162" spans="1:48" x14ac:dyDescent="0.25">
      <c r="A162" s="38" t="s">
        <v>197</v>
      </c>
      <c r="B162" s="38">
        <v>3</v>
      </c>
      <c r="C162" s="39">
        <v>75</v>
      </c>
      <c r="D162" s="40">
        <v>79.122331298143195</v>
      </c>
      <c r="E162" s="40">
        <v>27.5</v>
      </c>
      <c r="F162" s="39">
        <v>66.25</v>
      </c>
      <c r="G162" s="40">
        <v>40.101074915577506</v>
      </c>
      <c r="H162" s="40">
        <v>42.305207131759772</v>
      </c>
      <c r="I162" s="40">
        <v>25</v>
      </c>
      <c r="J162" s="40">
        <v>47.371549112332545</v>
      </c>
      <c r="K162" s="38">
        <v>159</v>
      </c>
      <c r="N162" s="60"/>
      <c r="O162" s="59" t="s">
        <v>154</v>
      </c>
      <c r="P162" s="38">
        <v>3</v>
      </c>
      <c r="Q162" s="40">
        <v>49.597388387840596</v>
      </c>
      <c r="R162" s="48">
        <v>3</v>
      </c>
      <c r="T162" s="57" t="s">
        <v>123</v>
      </c>
      <c r="U162" s="59" t="s">
        <v>123</v>
      </c>
      <c r="V162" s="38">
        <v>3</v>
      </c>
      <c r="AC162" s="38" t="s">
        <v>197</v>
      </c>
      <c r="AD162" s="38">
        <v>3</v>
      </c>
      <c r="AE162" s="40">
        <v>79.122331298143195</v>
      </c>
      <c r="AF162" s="40">
        <v>27.5</v>
      </c>
      <c r="AG162" s="39">
        <v>66.25</v>
      </c>
      <c r="AH162" s="40">
        <v>42.305207131759772</v>
      </c>
      <c r="AI162" s="40">
        <v>25</v>
      </c>
      <c r="AJ162" s="40">
        <v>47.371549112332545</v>
      </c>
      <c r="AK162" s="38">
        <v>159</v>
      </c>
      <c r="AM162" s="41"/>
      <c r="AN162" s="48"/>
      <c r="AV162" s="69"/>
    </row>
    <row r="163" spans="1:48" x14ac:dyDescent="0.25">
      <c r="A163" s="38" t="s">
        <v>253</v>
      </c>
      <c r="B163" s="38">
        <v>4</v>
      </c>
      <c r="C163" s="39">
        <v>91.25</v>
      </c>
      <c r="D163" s="40">
        <v>96.265503079407551</v>
      </c>
      <c r="E163" s="40">
        <v>22.5</v>
      </c>
      <c r="F163" s="39">
        <v>33.75</v>
      </c>
      <c r="G163" s="40">
        <v>47.96843289799309</v>
      </c>
      <c r="H163" s="40">
        <v>50.604989861436806</v>
      </c>
      <c r="I163" s="40">
        <v>0</v>
      </c>
      <c r="J163" s="40">
        <v>47.370096560456233</v>
      </c>
      <c r="K163" s="38">
        <v>160</v>
      </c>
      <c r="N163" s="60"/>
      <c r="O163" s="59" t="s">
        <v>274</v>
      </c>
      <c r="P163" s="38">
        <v>3</v>
      </c>
      <c r="Q163" s="40">
        <v>49.488483242753354</v>
      </c>
      <c r="R163" s="48">
        <v>3</v>
      </c>
      <c r="T163" s="57" t="s">
        <v>130</v>
      </c>
      <c r="U163" s="59" t="s">
        <v>130</v>
      </c>
      <c r="V163" s="38">
        <v>3</v>
      </c>
      <c r="AC163" s="38" t="s">
        <v>253</v>
      </c>
      <c r="AD163" s="38">
        <v>4</v>
      </c>
      <c r="AE163" s="40">
        <v>96.265503079407551</v>
      </c>
      <c r="AF163" s="40">
        <v>22.5</v>
      </c>
      <c r="AG163" s="39">
        <v>33.75</v>
      </c>
      <c r="AH163" s="40">
        <v>50.604989861436806</v>
      </c>
      <c r="AI163" s="40">
        <v>0</v>
      </c>
      <c r="AJ163" s="40">
        <v>47.370096560456233</v>
      </c>
      <c r="AK163" s="38">
        <v>160</v>
      </c>
      <c r="AM163" s="41"/>
      <c r="AN163" s="48"/>
      <c r="AV163" s="69"/>
    </row>
    <row r="164" spans="1:48" x14ac:dyDescent="0.25">
      <c r="A164" s="38" t="s">
        <v>126</v>
      </c>
      <c r="B164" s="38">
        <v>3</v>
      </c>
      <c r="C164" s="39">
        <v>76.25</v>
      </c>
      <c r="D164" s="40">
        <v>80.441036819778915</v>
      </c>
      <c r="E164" s="40">
        <v>22.5</v>
      </c>
      <c r="F164" s="39">
        <v>33.75</v>
      </c>
      <c r="G164" s="40">
        <v>46.140596443323879</v>
      </c>
      <c r="H164" s="40">
        <v>48.676687441101329</v>
      </c>
      <c r="I164" s="40">
        <v>37.5</v>
      </c>
      <c r="J164" s="40">
        <v>47.183882340396323</v>
      </c>
      <c r="K164" s="38">
        <v>161</v>
      </c>
      <c r="N164" s="60"/>
      <c r="O164" s="59" t="s">
        <v>142</v>
      </c>
      <c r="P164" s="38">
        <v>3</v>
      </c>
      <c r="Q164" s="40">
        <v>49.062964789287733</v>
      </c>
      <c r="R164" s="48">
        <v>3</v>
      </c>
      <c r="T164" s="57" t="s">
        <v>364</v>
      </c>
      <c r="U164" s="59" t="s">
        <v>364</v>
      </c>
      <c r="V164" s="38">
        <v>3</v>
      </c>
      <c r="AC164" s="38" t="s">
        <v>126</v>
      </c>
      <c r="AD164" s="38">
        <v>3</v>
      </c>
      <c r="AE164" s="40">
        <v>80.441036819778915</v>
      </c>
      <c r="AF164" s="40">
        <v>22.5</v>
      </c>
      <c r="AG164" s="39">
        <v>33.75</v>
      </c>
      <c r="AH164" s="40">
        <v>48.676687441101329</v>
      </c>
      <c r="AI164" s="40">
        <v>37.5</v>
      </c>
      <c r="AJ164" s="40">
        <v>47.183882340396323</v>
      </c>
      <c r="AK164" s="38">
        <v>161</v>
      </c>
      <c r="AM164" s="41"/>
      <c r="AN164" s="48"/>
      <c r="AV164" s="69"/>
    </row>
    <row r="165" spans="1:48" x14ac:dyDescent="0.25">
      <c r="A165" s="38" t="s">
        <v>165</v>
      </c>
      <c r="B165" s="38">
        <v>3</v>
      </c>
      <c r="C165" s="39">
        <v>58.75</v>
      </c>
      <c r="D165" s="40">
        <v>61.979159516878838</v>
      </c>
      <c r="E165" s="40">
        <v>28.75</v>
      </c>
      <c r="F165" s="39">
        <v>83.75</v>
      </c>
      <c r="G165" s="40">
        <v>45.930494550876006</v>
      </c>
      <c r="H165" s="40">
        <v>48.455037420559627</v>
      </c>
      <c r="I165" s="40">
        <v>12.5</v>
      </c>
      <c r="J165" s="40">
        <v>47.152846871599621</v>
      </c>
      <c r="K165" s="38">
        <v>162</v>
      </c>
      <c r="N165" s="60"/>
      <c r="O165" s="59" t="s">
        <v>206</v>
      </c>
      <c r="P165" s="38">
        <v>3</v>
      </c>
      <c r="Q165" s="40">
        <v>48.908506240988473</v>
      </c>
      <c r="R165" s="48">
        <v>3</v>
      </c>
      <c r="T165" s="57" t="s">
        <v>234</v>
      </c>
      <c r="U165" s="59" t="s">
        <v>234</v>
      </c>
      <c r="V165" s="38">
        <v>3</v>
      </c>
      <c r="AC165" s="38" t="s">
        <v>165</v>
      </c>
      <c r="AD165" s="38">
        <v>3</v>
      </c>
      <c r="AE165" s="40">
        <v>61.979159516878838</v>
      </c>
      <c r="AF165" s="40">
        <v>28.75</v>
      </c>
      <c r="AG165" s="39">
        <v>83.75</v>
      </c>
      <c r="AH165" s="40">
        <v>48.455037420559627</v>
      </c>
      <c r="AI165" s="40">
        <v>12.5</v>
      </c>
      <c r="AJ165" s="40">
        <v>47.152846871599621</v>
      </c>
      <c r="AK165" s="38">
        <v>162</v>
      </c>
      <c r="AM165" s="41"/>
      <c r="AN165" s="48"/>
      <c r="AV165" s="69"/>
    </row>
    <row r="166" spans="1:48" x14ac:dyDescent="0.25">
      <c r="A166" s="38" t="s">
        <v>86</v>
      </c>
      <c r="B166" s="38">
        <v>4</v>
      </c>
      <c r="C166" s="39">
        <v>67.5</v>
      </c>
      <c r="D166" s="40">
        <v>71.210098168328869</v>
      </c>
      <c r="E166" s="40">
        <v>28.75</v>
      </c>
      <c r="F166" s="39">
        <v>33.75</v>
      </c>
      <c r="G166" s="40">
        <v>44.503798378648163</v>
      </c>
      <c r="H166" s="40">
        <v>46.949923724548903</v>
      </c>
      <c r="I166" s="40">
        <v>50</v>
      </c>
      <c r="J166" s="40">
        <v>47.146989123485341</v>
      </c>
      <c r="K166" s="38">
        <v>163</v>
      </c>
      <c r="N166" s="60"/>
      <c r="O166" s="59" t="s">
        <v>120</v>
      </c>
      <c r="P166" s="38">
        <v>3</v>
      </c>
      <c r="Q166" s="40">
        <v>48.753204343063089</v>
      </c>
      <c r="R166" s="48">
        <v>3</v>
      </c>
      <c r="T166" s="57" t="s">
        <v>144</v>
      </c>
      <c r="U166" s="59" t="s">
        <v>144</v>
      </c>
      <c r="V166" s="38">
        <v>3</v>
      </c>
      <c r="AC166" s="38" t="s">
        <v>86</v>
      </c>
      <c r="AD166" s="38">
        <v>4</v>
      </c>
      <c r="AE166" s="40">
        <v>71.210098168328869</v>
      </c>
      <c r="AF166" s="40">
        <v>28.75</v>
      </c>
      <c r="AG166" s="39">
        <v>33.75</v>
      </c>
      <c r="AH166" s="40">
        <v>46.949923724548903</v>
      </c>
      <c r="AI166" s="40">
        <v>50</v>
      </c>
      <c r="AJ166" s="40">
        <v>47.146989123485341</v>
      </c>
      <c r="AK166" s="38">
        <v>163</v>
      </c>
      <c r="AM166" s="41"/>
      <c r="AN166" s="48"/>
      <c r="AV166" s="69"/>
    </row>
    <row r="167" spans="1:48" x14ac:dyDescent="0.25">
      <c r="A167" s="38" t="s">
        <v>149</v>
      </c>
      <c r="B167" s="38">
        <v>3</v>
      </c>
      <c r="C167" s="39">
        <v>75</v>
      </c>
      <c r="D167" s="40">
        <v>79.122331298143195</v>
      </c>
      <c r="E167" s="40">
        <v>16.25</v>
      </c>
      <c r="F167" s="39">
        <v>42.5</v>
      </c>
      <c r="G167" s="40">
        <v>44.191914795121974</v>
      </c>
      <c r="H167" s="40">
        <v>46.62089764158609</v>
      </c>
      <c r="I167" s="40">
        <v>50</v>
      </c>
      <c r="J167" s="40">
        <v>46.972825316263076</v>
      </c>
      <c r="K167" s="38">
        <v>164</v>
      </c>
      <c r="N167" s="60"/>
      <c r="O167" s="59" t="s">
        <v>217</v>
      </c>
      <c r="P167" s="38">
        <v>3</v>
      </c>
      <c r="Q167" s="40">
        <v>48.088536789216526</v>
      </c>
      <c r="R167" s="48">
        <v>3</v>
      </c>
      <c r="T167" s="57" t="s">
        <v>367</v>
      </c>
      <c r="U167" s="59" t="s">
        <v>367</v>
      </c>
      <c r="V167" s="38">
        <v>3</v>
      </c>
      <c r="AC167" s="38" t="s">
        <v>149</v>
      </c>
      <c r="AD167" s="38">
        <v>3</v>
      </c>
      <c r="AE167" s="40">
        <v>79.122331298143195</v>
      </c>
      <c r="AF167" s="40">
        <v>16.25</v>
      </c>
      <c r="AG167" s="39">
        <v>42.5</v>
      </c>
      <c r="AH167" s="40">
        <v>46.62089764158609</v>
      </c>
      <c r="AI167" s="40">
        <v>50</v>
      </c>
      <c r="AJ167" s="40">
        <v>46.972825316263076</v>
      </c>
      <c r="AK167" s="38">
        <v>164</v>
      </c>
      <c r="AM167" s="41"/>
      <c r="AN167" s="48"/>
      <c r="AV167" s="69"/>
    </row>
    <row r="168" spans="1:48" x14ac:dyDescent="0.25">
      <c r="A168" s="38" t="s">
        <v>72</v>
      </c>
      <c r="B168" s="38">
        <v>3</v>
      </c>
      <c r="C168" s="39">
        <v>66.25</v>
      </c>
      <c r="D168" s="40">
        <v>69.891392646693149</v>
      </c>
      <c r="E168" s="40">
        <v>22.5</v>
      </c>
      <c r="F168" s="39">
        <v>41.25</v>
      </c>
      <c r="G168" s="40">
        <v>54.777613752210357</v>
      </c>
      <c r="H168" s="40">
        <v>57.788433373654833</v>
      </c>
      <c r="I168" s="40">
        <v>12.5</v>
      </c>
      <c r="J168" s="40">
        <v>46.968651878800564</v>
      </c>
      <c r="K168" s="38">
        <v>165</v>
      </c>
      <c r="N168" s="60"/>
      <c r="O168" s="59" t="s">
        <v>214</v>
      </c>
      <c r="P168" s="38">
        <v>3</v>
      </c>
      <c r="Q168" s="40">
        <v>48.066062702160337</v>
      </c>
      <c r="R168" s="48">
        <v>3</v>
      </c>
      <c r="T168" s="57" t="s">
        <v>361</v>
      </c>
      <c r="U168" s="59" t="s">
        <v>361</v>
      </c>
      <c r="V168" s="38">
        <v>3</v>
      </c>
      <c r="AC168" s="38" t="s">
        <v>72</v>
      </c>
      <c r="AD168" s="38">
        <v>3</v>
      </c>
      <c r="AE168" s="40">
        <v>69.891392646693149</v>
      </c>
      <c r="AF168" s="40">
        <v>22.5</v>
      </c>
      <c r="AG168" s="39">
        <v>41.25</v>
      </c>
      <c r="AH168" s="40">
        <v>57.788433373654833</v>
      </c>
      <c r="AI168" s="40">
        <v>12.5</v>
      </c>
      <c r="AJ168" s="40">
        <v>46.968651878800564</v>
      </c>
      <c r="AK168" s="38">
        <v>165</v>
      </c>
      <c r="AM168" s="41"/>
      <c r="AN168" s="48"/>
      <c r="AV168" s="69"/>
    </row>
    <row r="169" spans="1:48" x14ac:dyDescent="0.25">
      <c r="A169" s="38" t="s">
        <v>268</v>
      </c>
      <c r="B169" s="38">
        <v>3</v>
      </c>
      <c r="C169" s="39">
        <v>71.25</v>
      </c>
      <c r="D169" s="40">
        <v>75.166214733236032</v>
      </c>
      <c r="E169" s="40">
        <v>43.75</v>
      </c>
      <c r="F169" s="39">
        <v>17.5</v>
      </c>
      <c r="G169" s="40">
        <v>41.878460190080773</v>
      </c>
      <c r="H169" s="40">
        <v>44.180285352208955</v>
      </c>
      <c r="I169" s="40">
        <v>37.5</v>
      </c>
      <c r="J169" s="40">
        <v>46.955357087530786</v>
      </c>
      <c r="K169" s="38">
        <v>166</v>
      </c>
      <c r="N169" s="60"/>
      <c r="O169" s="59" t="s">
        <v>365</v>
      </c>
      <c r="P169" s="38">
        <v>3</v>
      </c>
      <c r="Q169" s="40">
        <v>47.860294921708828</v>
      </c>
      <c r="R169" s="48">
        <v>3</v>
      </c>
      <c r="T169" s="57" t="s">
        <v>191</v>
      </c>
      <c r="U169" s="59" t="s">
        <v>191</v>
      </c>
      <c r="V169" s="38">
        <v>3</v>
      </c>
      <c r="AC169" s="38" t="s">
        <v>268</v>
      </c>
      <c r="AD169" s="38">
        <v>3</v>
      </c>
      <c r="AE169" s="40">
        <v>75.166214733236032</v>
      </c>
      <c r="AF169" s="40">
        <v>43.75</v>
      </c>
      <c r="AG169" s="39">
        <v>17.5</v>
      </c>
      <c r="AH169" s="40">
        <v>44.180285352208955</v>
      </c>
      <c r="AI169" s="40">
        <v>37.5</v>
      </c>
      <c r="AJ169" s="40">
        <v>46.955357087530786</v>
      </c>
      <c r="AK169" s="38">
        <v>166</v>
      </c>
      <c r="AM169" s="41"/>
      <c r="AN169" s="48"/>
      <c r="AU169" s="70"/>
      <c r="AV169" s="69"/>
    </row>
    <row r="170" spans="1:48" x14ac:dyDescent="0.25">
      <c r="A170" s="38" t="s">
        <v>212</v>
      </c>
      <c r="B170" s="38">
        <v>4</v>
      </c>
      <c r="C170" s="39">
        <v>66.25</v>
      </c>
      <c r="D170" s="40">
        <v>69.891392646693149</v>
      </c>
      <c r="E170" s="40">
        <v>33.75</v>
      </c>
      <c r="F170" s="39">
        <v>58.75</v>
      </c>
      <c r="G170" s="40">
        <v>39.233499035921966</v>
      </c>
      <c r="H170" s="40">
        <v>41.389945449407989</v>
      </c>
      <c r="I170" s="40">
        <v>37.5</v>
      </c>
      <c r="J170" s="40">
        <v>46.909256709101825</v>
      </c>
      <c r="K170" s="38">
        <v>167</v>
      </c>
      <c r="N170" s="60"/>
      <c r="O170" s="59" t="s">
        <v>148</v>
      </c>
      <c r="P170" s="38">
        <v>3</v>
      </c>
      <c r="Q170" s="40">
        <v>47.804567659185068</v>
      </c>
      <c r="R170" s="48">
        <v>3</v>
      </c>
      <c r="T170" s="57" t="s">
        <v>192</v>
      </c>
      <c r="U170" s="59" t="s">
        <v>192</v>
      </c>
      <c r="V170" s="38">
        <v>3</v>
      </c>
      <c r="AC170" s="38" t="s">
        <v>212</v>
      </c>
      <c r="AD170" s="38">
        <v>4</v>
      </c>
      <c r="AE170" s="40">
        <v>69.891392646693149</v>
      </c>
      <c r="AF170" s="40">
        <v>33.75</v>
      </c>
      <c r="AG170" s="39">
        <v>58.75</v>
      </c>
      <c r="AH170" s="40">
        <v>41.389945449407989</v>
      </c>
      <c r="AI170" s="40">
        <v>37.5</v>
      </c>
      <c r="AJ170" s="40">
        <v>46.909256709101825</v>
      </c>
      <c r="AK170" s="38">
        <v>167</v>
      </c>
      <c r="AM170" s="41"/>
      <c r="AN170" s="48"/>
      <c r="AV170" s="69"/>
    </row>
    <row r="171" spans="1:48" x14ac:dyDescent="0.25">
      <c r="A171" s="38" t="s">
        <v>181</v>
      </c>
      <c r="B171" s="38">
        <v>3</v>
      </c>
      <c r="C171" s="39">
        <v>91.25</v>
      </c>
      <c r="D171" s="40">
        <v>96.265503079407551</v>
      </c>
      <c r="E171" s="40">
        <v>16.25</v>
      </c>
      <c r="F171" s="39">
        <v>26.25</v>
      </c>
      <c r="G171" s="40">
        <v>48.418489951853971</v>
      </c>
      <c r="H171" s="40">
        <v>51.079784039018762</v>
      </c>
      <c r="I171" s="40">
        <v>12.5</v>
      </c>
      <c r="J171" s="40">
        <v>46.810014231489021</v>
      </c>
      <c r="K171" s="38">
        <v>168</v>
      </c>
      <c r="N171" s="60"/>
      <c r="O171" s="59" t="s">
        <v>143</v>
      </c>
      <c r="P171" s="38">
        <v>3</v>
      </c>
      <c r="Q171" s="40">
        <v>47.700865943921343</v>
      </c>
      <c r="R171" s="48">
        <v>3</v>
      </c>
      <c r="T171" s="57" t="s">
        <v>100</v>
      </c>
      <c r="U171" s="59" t="s">
        <v>100</v>
      </c>
      <c r="V171" s="38">
        <v>3</v>
      </c>
      <c r="AC171" s="38" t="s">
        <v>181</v>
      </c>
      <c r="AD171" s="38">
        <v>3</v>
      </c>
      <c r="AE171" s="40">
        <v>96.265503079407551</v>
      </c>
      <c r="AF171" s="40">
        <v>16.25</v>
      </c>
      <c r="AG171" s="39">
        <v>26.25</v>
      </c>
      <c r="AH171" s="40">
        <v>51.079784039018762</v>
      </c>
      <c r="AI171" s="40">
        <v>12.5</v>
      </c>
      <c r="AJ171" s="40">
        <v>46.810014231489021</v>
      </c>
      <c r="AK171" s="38">
        <v>168</v>
      </c>
      <c r="AM171" s="41"/>
      <c r="AN171" s="48"/>
      <c r="AV171" s="69"/>
    </row>
    <row r="172" spans="1:48" x14ac:dyDescent="0.25">
      <c r="A172" s="38" t="s">
        <v>366</v>
      </c>
      <c r="B172" s="38">
        <v>4</v>
      </c>
      <c r="C172" s="39">
        <v>78.75</v>
      </c>
      <c r="D172" s="40">
        <v>83.078447863050357</v>
      </c>
      <c r="E172" s="40">
        <v>22.5</v>
      </c>
      <c r="F172" s="39">
        <v>50</v>
      </c>
      <c r="G172" s="40">
        <v>42.808759791196628</v>
      </c>
      <c r="H172" s="40">
        <v>45.161718328822545</v>
      </c>
      <c r="I172" s="40">
        <v>25</v>
      </c>
      <c r="J172" s="40">
        <v>46.680376904139095</v>
      </c>
      <c r="K172" s="38">
        <v>169</v>
      </c>
      <c r="N172" s="60"/>
      <c r="O172" s="59" t="s">
        <v>272</v>
      </c>
      <c r="P172" s="38">
        <v>3</v>
      </c>
      <c r="Q172" s="40">
        <v>47.641060188769735</v>
      </c>
      <c r="R172" s="48">
        <v>3</v>
      </c>
      <c r="T172" s="57" t="s">
        <v>259</v>
      </c>
      <c r="U172" s="59" t="s">
        <v>94</v>
      </c>
      <c r="V172" s="38">
        <v>3</v>
      </c>
      <c r="AC172" s="38" t="s">
        <v>366</v>
      </c>
      <c r="AD172" s="38">
        <v>4</v>
      </c>
      <c r="AE172" s="40">
        <v>83.078447863050357</v>
      </c>
      <c r="AF172" s="40">
        <v>22.5</v>
      </c>
      <c r="AG172" s="39">
        <v>50</v>
      </c>
      <c r="AH172" s="40">
        <v>45.161718328822545</v>
      </c>
      <c r="AI172" s="40">
        <v>25</v>
      </c>
      <c r="AJ172" s="40">
        <v>46.680376904139095</v>
      </c>
      <c r="AK172" s="38">
        <v>169</v>
      </c>
      <c r="AM172" s="41"/>
      <c r="AN172" s="48"/>
      <c r="AV172" s="69"/>
    </row>
    <row r="173" spans="1:48" x14ac:dyDescent="0.25">
      <c r="A173" s="38" t="s">
        <v>112</v>
      </c>
      <c r="B173" s="38">
        <v>2</v>
      </c>
      <c r="C173" s="39">
        <v>78.75</v>
      </c>
      <c r="D173" s="40">
        <v>83.078447863050357</v>
      </c>
      <c r="E173" s="40">
        <v>16.25</v>
      </c>
      <c r="F173" s="39">
        <v>33.75</v>
      </c>
      <c r="G173" s="40">
        <v>52.517130028864692</v>
      </c>
      <c r="H173" s="40">
        <v>55.403703479619956</v>
      </c>
      <c r="I173" s="40">
        <v>12.5</v>
      </c>
      <c r="J173" s="40">
        <v>46.652170964458058</v>
      </c>
      <c r="K173" s="38">
        <v>170</v>
      </c>
      <c r="N173" s="60"/>
      <c r="O173" s="59" t="s">
        <v>175</v>
      </c>
      <c r="P173" s="38">
        <v>3</v>
      </c>
      <c r="Q173" s="40">
        <v>47.505001602278284</v>
      </c>
      <c r="R173" s="48">
        <v>3</v>
      </c>
      <c r="T173" s="57" t="s">
        <v>94</v>
      </c>
      <c r="U173" s="59" t="s">
        <v>249</v>
      </c>
      <c r="V173" s="38">
        <v>3</v>
      </c>
      <c r="AC173" s="38" t="s">
        <v>112</v>
      </c>
      <c r="AD173" s="38">
        <v>2</v>
      </c>
      <c r="AE173" s="40">
        <v>83.078447863050357</v>
      </c>
      <c r="AF173" s="40">
        <v>16.25</v>
      </c>
      <c r="AG173" s="39">
        <v>33.75</v>
      </c>
      <c r="AH173" s="40">
        <v>55.403703479619956</v>
      </c>
      <c r="AI173" s="40">
        <v>12.5</v>
      </c>
      <c r="AJ173" s="40">
        <v>46.652170964458058</v>
      </c>
      <c r="AK173" s="38">
        <v>170</v>
      </c>
      <c r="AM173" s="41"/>
      <c r="AN173" s="48"/>
      <c r="AV173" s="69"/>
    </row>
    <row r="174" spans="1:48" x14ac:dyDescent="0.25">
      <c r="A174" s="38" t="s">
        <v>89</v>
      </c>
      <c r="B174" s="38">
        <v>2</v>
      </c>
      <c r="C174" s="39">
        <v>81.25</v>
      </c>
      <c r="D174" s="40">
        <v>85.715858906321799</v>
      </c>
      <c r="E174" s="40">
        <v>17.5</v>
      </c>
      <c r="F174" s="39">
        <v>42.5</v>
      </c>
      <c r="G174" s="40">
        <v>45.43214642125114</v>
      </c>
      <c r="H174" s="40">
        <v>47.929297876373113</v>
      </c>
      <c r="I174" s="40">
        <v>25</v>
      </c>
      <c r="J174" s="40">
        <v>46.564890931813608</v>
      </c>
      <c r="K174" s="38">
        <v>171</v>
      </c>
      <c r="N174" s="60"/>
      <c r="O174" s="59" t="s">
        <v>99</v>
      </c>
      <c r="P174" s="38">
        <v>3</v>
      </c>
      <c r="Q174" s="40">
        <v>47.394140428624723</v>
      </c>
      <c r="R174" s="48">
        <v>3</v>
      </c>
      <c r="T174" s="57" t="s">
        <v>249</v>
      </c>
      <c r="U174" s="59" t="s">
        <v>223</v>
      </c>
      <c r="V174" s="38">
        <v>3</v>
      </c>
      <c r="AC174" s="38" t="s">
        <v>89</v>
      </c>
      <c r="AD174" s="38">
        <v>2</v>
      </c>
      <c r="AE174" s="40">
        <v>85.715858906321799</v>
      </c>
      <c r="AF174" s="40">
        <v>17.5</v>
      </c>
      <c r="AG174" s="39">
        <v>42.5</v>
      </c>
      <c r="AH174" s="40">
        <v>47.929297876373113</v>
      </c>
      <c r="AI174" s="40">
        <v>25</v>
      </c>
      <c r="AJ174" s="40">
        <v>46.564890931813608</v>
      </c>
      <c r="AK174" s="38">
        <v>171</v>
      </c>
      <c r="AM174" s="41"/>
      <c r="AN174" s="48"/>
      <c r="AV174" s="69"/>
    </row>
    <row r="175" spans="1:48" x14ac:dyDescent="0.25">
      <c r="A175" s="38" t="s">
        <v>134</v>
      </c>
      <c r="B175" s="38">
        <v>3</v>
      </c>
      <c r="C175" s="39">
        <v>66.25</v>
      </c>
      <c r="D175" s="40">
        <v>69.891392646693149</v>
      </c>
      <c r="E175" s="40">
        <v>18.75</v>
      </c>
      <c r="F175" s="39">
        <v>41.25</v>
      </c>
      <c r="G175" s="40">
        <v>52.484160921121124</v>
      </c>
      <c r="H175" s="40">
        <v>55.368922244080075</v>
      </c>
      <c r="I175" s="40">
        <v>25</v>
      </c>
      <c r="J175" s="40">
        <v>46.500847426970665</v>
      </c>
      <c r="K175" s="38">
        <v>172</v>
      </c>
      <c r="N175" s="60"/>
      <c r="O175" s="59" t="s">
        <v>197</v>
      </c>
      <c r="P175" s="38">
        <v>3</v>
      </c>
      <c r="Q175" s="40">
        <v>47.371549112332545</v>
      </c>
      <c r="R175" s="48">
        <v>3</v>
      </c>
      <c r="T175" s="57" t="s">
        <v>223</v>
      </c>
      <c r="U175" s="59" t="s">
        <v>237</v>
      </c>
      <c r="V175" s="38">
        <v>3</v>
      </c>
      <c r="AC175" s="38" t="s">
        <v>134</v>
      </c>
      <c r="AD175" s="38">
        <v>3</v>
      </c>
      <c r="AE175" s="40">
        <v>69.891392646693149</v>
      </c>
      <c r="AF175" s="40">
        <v>18.75</v>
      </c>
      <c r="AG175" s="39">
        <v>41.25</v>
      </c>
      <c r="AH175" s="40">
        <v>55.368922244080075</v>
      </c>
      <c r="AI175" s="40">
        <v>25</v>
      </c>
      <c r="AJ175" s="40">
        <v>46.500847426970665</v>
      </c>
      <c r="AK175" s="38">
        <v>172</v>
      </c>
      <c r="AM175" s="41"/>
      <c r="AN175" s="48"/>
      <c r="AV175" s="69"/>
    </row>
    <row r="176" spans="1:48" x14ac:dyDescent="0.25">
      <c r="A176" s="38" t="s">
        <v>202</v>
      </c>
      <c r="B176" s="38">
        <v>4</v>
      </c>
      <c r="C176" s="39">
        <v>70</v>
      </c>
      <c r="D176" s="40">
        <v>73.847509211600311</v>
      </c>
      <c r="E176" s="40">
        <v>28.75</v>
      </c>
      <c r="F176" s="39">
        <v>35</v>
      </c>
      <c r="G176" s="40">
        <v>41.329462912717389</v>
      </c>
      <c r="H176" s="40">
        <v>43.601112759391299</v>
      </c>
      <c r="I176" s="40">
        <v>50</v>
      </c>
      <c r="J176" s="40">
        <v>46.459946946076585</v>
      </c>
      <c r="K176" s="38">
        <v>173</v>
      </c>
      <c r="N176" s="60"/>
      <c r="O176" s="59" t="s">
        <v>126</v>
      </c>
      <c r="P176" s="38">
        <v>3</v>
      </c>
      <c r="Q176" s="40">
        <v>47.183882340396323</v>
      </c>
      <c r="R176" s="48">
        <v>3</v>
      </c>
      <c r="T176" s="57" t="s">
        <v>237</v>
      </c>
      <c r="U176" s="59" t="s">
        <v>133</v>
      </c>
      <c r="V176" s="38">
        <v>3</v>
      </c>
      <c r="AC176" s="38" t="s">
        <v>202</v>
      </c>
      <c r="AD176" s="38">
        <v>4</v>
      </c>
      <c r="AE176" s="40">
        <v>73.847509211600311</v>
      </c>
      <c r="AF176" s="40">
        <v>28.75</v>
      </c>
      <c r="AG176" s="39">
        <v>35</v>
      </c>
      <c r="AH176" s="40">
        <v>43.601112759391299</v>
      </c>
      <c r="AI176" s="40">
        <v>50</v>
      </c>
      <c r="AJ176" s="40">
        <v>46.459946946076585</v>
      </c>
      <c r="AK176" s="38">
        <v>173</v>
      </c>
      <c r="AM176" s="41"/>
      <c r="AN176" s="48"/>
      <c r="AV176" s="69"/>
    </row>
    <row r="177" spans="1:48" x14ac:dyDescent="0.25">
      <c r="A177" s="38" t="s">
        <v>188</v>
      </c>
      <c r="B177" s="38">
        <v>3</v>
      </c>
      <c r="C177" s="39">
        <v>56.25</v>
      </c>
      <c r="D177" s="40">
        <v>59.341748473607396</v>
      </c>
      <c r="E177" s="40">
        <v>31.25</v>
      </c>
      <c r="F177" s="39">
        <v>57.5</v>
      </c>
      <c r="G177" s="40">
        <v>44.642141724615186</v>
      </c>
      <c r="H177" s="40">
        <v>47.095871031915522</v>
      </c>
      <c r="I177" s="40">
        <v>37.5</v>
      </c>
      <c r="J177" s="40">
        <v>46.456698107487689</v>
      </c>
      <c r="K177" s="38">
        <v>174</v>
      </c>
      <c r="N177" s="60"/>
      <c r="O177" s="59" t="s">
        <v>165</v>
      </c>
      <c r="P177" s="38">
        <v>3</v>
      </c>
      <c r="Q177" s="40">
        <v>47.152846871599621</v>
      </c>
      <c r="R177" s="48">
        <v>3</v>
      </c>
      <c r="T177" s="57" t="s">
        <v>133</v>
      </c>
      <c r="AC177" s="38" t="s">
        <v>188</v>
      </c>
      <c r="AD177" s="38">
        <v>3</v>
      </c>
      <c r="AE177" s="40">
        <v>59.341748473607396</v>
      </c>
      <c r="AF177" s="40">
        <v>31.25</v>
      </c>
      <c r="AG177" s="39">
        <v>57.5</v>
      </c>
      <c r="AH177" s="40">
        <v>47.095871031915522</v>
      </c>
      <c r="AI177" s="40">
        <v>37.5</v>
      </c>
      <c r="AJ177" s="40">
        <v>46.456698107487689</v>
      </c>
      <c r="AK177" s="38">
        <v>174</v>
      </c>
      <c r="AM177" s="41"/>
      <c r="AN177" s="48"/>
      <c r="AV177" s="69"/>
    </row>
    <row r="178" spans="1:48" x14ac:dyDescent="0.25">
      <c r="A178" s="38" t="s">
        <v>187</v>
      </c>
      <c r="B178" s="38">
        <v>4</v>
      </c>
      <c r="C178" s="39">
        <v>57.5</v>
      </c>
      <c r="D178" s="40">
        <v>60.660453995243117</v>
      </c>
      <c r="E178" s="40">
        <v>33.75</v>
      </c>
      <c r="F178" s="39">
        <v>67.5</v>
      </c>
      <c r="G178" s="40">
        <v>49.17016994830324</v>
      </c>
      <c r="H178" s="40">
        <v>51.872779688475376</v>
      </c>
      <c r="I178" s="40">
        <v>0</v>
      </c>
      <c r="J178" s="40">
        <v>46.381202674438782</v>
      </c>
      <c r="K178" s="38">
        <v>175</v>
      </c>
      <c r="N178" s="60"/>
      <c r="O178" s="59" t="s">
        <v>149</v>
      </c>
      <c r="P178" s="38">
        <v>3</v>
      </c>
      <c r="Q178" s="40">
        <v>46.972825316263076</v>
      </c>
      <c r="R178" s="48">
        <v>3</v>
      </c>
      <c r="AC178" s="38" t="s">
        <v>187</v>
      </c>
      <c r="AD178" s="38">
        <v>4</v>
      </c>
      <c r="AE178" s="40">
        <v>60.660453995243117</v>
      </c>
      <c r="AF178" s="40">
        <v>33.75</v>
      </c>
      <c r="AG178" s="39">
        <v>67.5</v>
      </c>
      <c r="AH178" s="40">
        <v>51.872779688475376</v>
      </c>
      <c r="AI178" s="40">
        <v>0</v>
      </c>
      <c r="AJ178" s="40">
        <v>46.381202674438782</v>
      </c>
      <c r="AK178" s="38">
        <v>175</v>
      </c>
      <c r="AM178" s="41"/>
      <c r="AN178" s="48"/>
      <c r="AV178" s="69"/>
    </row>
    <row r="179" spans="1:48" x14ac:dyDescent="0.25">
      <c r="A179" s="38" t="s">
        <v>355</v>
      </c>
      <c r="B179" s="38">
        <v>2</v>
      </c>
      <c r="C179" s="39">
        <v>26.25</v>
      </c>
      <c r="D179" s="40">
        <v>27.692815954350117</v>
      </c>
      <c r="E179" s="40">
        <v>47.5</v>
      </c>
      <c r="F179" s="39">
        <v>82.5</v>
      </c>
      <c r="G179" s="40">
        <v>45.663089802895861</v>
      </c>
      <c r="H179" s="40">
        <v>48.172934926421206</v>
      </c>
      <c r="I179" s="40">
        <v>37.5</v>
      </c>
      <c r="J179" s="40">
        <v>46.30773716143851</v>
      </c>
      <c r="K179" s="38">
        <v>176</v>
      </c>
      <c r="N179" s="60"/>
      <c r="O179" s="59" t="s">
        <v>72</v>
      </c>
      <c r="P179" s="38">
        <v>3</v>
      </c>
      <c r="Q179" s="40">
        <v>46.968651878800564</v>
      </c>
      <c r="R179" s="48">
        <v>3</v>
      </c>
      <c r="AC179" s="38" t="s">
        <v>355</v>
      </c>
      <c r="AD179" s="38">
        <v>2</v>
      </c>
      <c r="AE179" s="40">
        <v>27.692815954350117</v>
      </c>
      <c r="AF179" s="40">
        <v>47.5</v>
      </c>
      <c r="AG179" s="39">
        <v>82.5</v>
      </c>
      <c r="AH179" s="40">
        <v>48.172934926421206</v>
      </c>
      <c r="AI179" s="40">
        <v>37.5</v>
      </c>
      <c r="AJ179" s="40">
        <v>46.30773716143851</v>
      </c>
      <c r="AK179" s="38">
        <v>176</v>
      </c>
      <c r="AM179" s="41"/>
      <c r="AN179" s="48"/>
      <c r="AV179" s="69"/>
    </row>
    <row r="180" spans="1:48" x14ac:dyDescent="0.25">
      <c r="A180" s="38" t="s">
        <v>106</v>
      </c>
      <c r="B180" s="38">
        <v>2</v>
      </c>
      <c r="C180" s="39">
        <v>71.25</v>
      </c>
      <c r="D180" s="40">
        <v>75.166214733236032</v>
      </c>
      <c r="E180" s="40">
        <v>28.75</v>
      </c>
      <c r="F180" s="39">
        <v>35</v>
      </c>
      <c r="G180" s="40">
        <v>46.210820680299868</v>
      </c>
      <c r="H180" s="40">
        <v>48.75077151234364</v>
      </c>
      <c r="I180" s="40">
        <v>25</v>
      </c>
      <c r="J180" s="40">
        <v>46.283551551584665</v>
      </c>
      <c r="K180" s="38">
        <v>177</v>
      </c>
      <c r="N180" s="60"/>
      <c r="O180" s="59" t="s">
        <v>268</v>
      </c>
      <c r="P180" s="38">
        <v>3</v>
      </c>
      <c r="Q180" s="40">
        <v>46.955357087530786</v>
      </c>
      <c r="R180" s="48">
        <v>3</v>
      </c>
      <c r="AC180" s="38" t="s">
        <v>106</v>
      </c>
      <c r="AD180" s="38">
        <v>2</v>
      </c>
      <c r="AE180" s="40">
        <v>75.166214733236032</v>
      </c>
      <c r="AF180" s="40">
        <v>28.75</v>
      </c>
      <c r="AG180" s="39">
        <v>35</v>
      </c>
      <c r="AH180" s="40">
        <v>48.75077151234364</v>
      </c>
      <c r="AI180" s="40">
        <v>25</v>
      </c>
      <c r="AJ180" s="40">
        <v>46.283551551584665</v>
      </c>
      <c r="AK180" s="38">
        <v>177</v>
      </c>
      <c r="AM180" s="41"/>
      <c r="AN180" s="48"/>
      <c r="AV180" s="69"/>
    </row>
    <row r="181" spans="1:48" x14ac:dyDescent="0.25">
      <c r="A181" s="38" t="s">
        <v>138</v>
      </c>
      <c r="B181" s="38">
        <v>2</v>
      </c>
      <c r="C181" s="39">
        <v>63.75</v>
      </c>
      <c r="D181" s="40">
        <v>67.253981603421721</v>
      </c>
      <c r="E181" s="40">
        <v>45</v>
      </c>
      <c r="F181" s="39">
        <v>33.75</v>
      </c>
      <c r="G181" s="40">
        <v>45.404653589128152</v>
      </c>
      <c r="H181" s="40">
        <v>47.900293916752325</v>
      </c>
      <c r="I181" s="40">
        <v>12.5</v>
      </c>
      <c r="J181" s="40">
        <v>46.23591388738528</v>
      </c>
      <c r="K181" s="38">
        <v>178</v>
      </c>
      <c r="N181" s="60"/>
      <c r="O181" s="59" t="s">
        <v>181</v>
      </c>
      <c r="P181" s="38">
        <v>3</v>
      </c>
      <c r="Q181" s="40">
        <v>46.810014231489021</v>
      </c>
      <c r="R181" s="48">
        <v>3</v>
      </c>
      <c r="AC181" s="38" t="s">
        <v>138</v>
      </c>
      <c r="AD181" s="38">
        <v>2</v>
      </c>
      <c r="AE181" s="40">
        <v>67.253981603421721</v>
      </c>
      <c r="AF181" s="40">
        <v>45</v>
      </c>
      <c r="AG181" s="39">
        <v>33.75</v>
      </c>
      <c r="AH181" s="40">
        <v>47.900293916752325</v>
      </c>
      <c r="AI181" s="40">
        <v>12.5</v>
      </c>
      <c r="AJ181" s="40">
        <v>46.23591388738528</v>
      </c>
      <c r="AK181" s="38">
        <v>178</v>
      </c>
      <c r="AM181" s="41"/>
      <c r="AN181" s="48"/>
      <c r="AV181" s="69"/>
    </row>
    <row r="182" spans="1:48" x14ac:dyDescent="0.25">
      <c r="A182" s="38" t="s">
        <v>93</v>
      </c>
      <c r="B182" s="38">
        <v>2</v>
      </c>
      <c r="C182" s="39">
        <v>81.25</v>
      </c>
      <c r="D182" s="40">
        <v>85.715858906321799</v>
      </c>
      <c r="E182" s="40">
        <v>16.25</v>
      </c>
      <c r="F182" s="39">
        <v>41.25</v>
      </c>
      <c r="G182" s="40">
        <v>45.520133271899809</v>
      </c>
      <c r="H182" s="40">
        <v>48.022120872998499</v>
      </c>
      <c r="I182" s="40">
        <v>25</v>
      </c>
      <c r="J182" s="40">
        <v>46.227020130463757</v>
      </c>
      <c r="K182" s="38">
        <v>179</v>
      </c>
      <c r="N182" s="60"/>
      <c r="O182" s="59" t="s">
        <v>134</v>
      </c>
      <c r="P182" s="38">
        <v>3</v>
      </c>
      <c r="Q182" s="40">
        <v>46.500847426970665</v>
      </c>
      <c r="R182" s="48">
        <v>3</v>
      </c>
      <c r="AC182" s="38" t="s">
        <v>93</v>
      </c>
      <c r="AD182" s="38">
        <v>2</v>
      </c>
      <c r="AE182" s="40">
        <v>85.715858906321799</v>
      </c>
      <c r="AF182" s="40">
        <v>16.25</v>
      </c>
      <c r="AG182" s="39">
        <v>41.25</v>
      </c>
      <c r="AH182" s="40">
        <v>48.022120872998499</v>
      </c>
      <c r="AI182" s="40">
        <v>25</v>
      </c>
      <c r="AJ182" s="40">
        <v>46.227020130463757</v>
      </c>
      <c r="AK182" s="38">
        <v>179</v>
      </c>
      <c r="AM182" s="41"/>
      <c r="AN182" s="48"/>
      <c r="AV182" s="69"/>
    </row>
    <row r="183" spans="1:48" x14ac:dyDescent="0.25">
      <c r="A183" s="38" t="s">
        <v>229</v>
      </c>
      <c r="B183" s="38">
        <v>4</v>
      </c>
      <c r="C183" s="39">
        <v>71.25</v>
      </c>
      <c r="D183" s="40">
        <v>75.166214733236032</v>
      </c>
      <c r="E183" s="40">
        <v>22.5</v>
      </c>
      <c r="F183" s="39">
        <v>33.75</v>
      </c>
      <c r="G183" s="40">
        <v>55.198309047233892</v>
      </c>
      <c r="H183" s="40">
        <v>58.232251940433798</v>
      </c>
      <c r="I183" s="40">
        <v>0</v>
      </c>
      <c r="J183" s="40">
        <v>46.201143722820731</v>
      </c>
      <c r="K183" s="38">
        <v>180</v>
      </c>
      <c r="N183" s="60"/>
      <c r="O183" s="59" t="s">
        <v>188</v>
      </c>
      <c r="P183" s="38">
        <v>3</v>
      </c>
      <c r="Q183" s="40">
        <v>46.456698107487689</v>
      </c>
      <c r="R183" s="48">
        <v>3</v>
      </c>
      <c r="AC183" s="38" t="s">
        <v>229</v>
      </c>
      <c r="AD183" s="38">
        <v>4</v>
      </c>
      <c r="AE183" s="40">
        <v>75.166214733236032</v>
      </c>
      <c r="AF183" s="40">
        <v>22.5</v>
      </c>
      <c r="AG183" s="39">
        <v>33.75</v>
      </c>
      <c r="AH183" s="40">
        <v>58.232251940433798</v>
      </c>
      <c r="AI183" s="40">
        <v>0</v>
      </c>
      <c r="AJ183" s="40">
        <v>46.201143722820731</v>
      </c>
      <c r="AK183" s="38">
        <v>180</v>
      </c>
      <c r="AM183" s="41"/>
      <c r="AN183" s="48"/>
      <c r="AV183" s="69"/>
    </row>
    <row r="184" spans="1:48" x14ac:dyDescent="0.25">
      <c r="A184" s="38" t="s">
        <v>242</v>
      </c>
      <c r="B184" s="38">
        <v>4</v>
      </c>
      <c r="C184" s="39">
        <v>70</v>
      </c>
      <c r="D184" s="40">
        <v>73.847509211600311</v>
      </c>
      <c r="E184" s="40">
        <v>22.5</v>
      </c>
      <c r="F184" s="39">
        <v>25</v>
      </c>
      <c r="G184" s="40">
        <v>51.971207939015557</v>
      </c>
      <c r="H184" s="40">
        <v>54.827775100206381</v>
      </c>
      <c r="I184" s="40">
        <v>25</v>
      </c>
      <c r="J184" s="40">
        <v>46.200611882402612</v>
      </c>
      <c r="K184" s="38">
        <v>181</v>
      </c>
      <c r="N184" s="60"/>
      <c r="O184" s="59" t="s">
        <v>190</v>
      </c>
      <c r="P184" s="38">
        <v>3</v>
      </c>
      <c r="Q184" s="40">
        <v>46.071173188944407</v>
      </c>
      <c r="R184" s="48">
        <v>3</v>
      </c>
      <c r="AC184" s="38" t="s">
        <v>242</v>
      </c>
      <c r="AD184" s="38">
        <v>4</v>
      </c>
      <c r="AE184" s="40">
        <v>73.847509211600311</v>
      </c>
      <c r="AF184" s="40">
        <v>22.5</v>
      </c>
      <c r="AG184" s="39">
        <v>25</v>
      </c>
      <c r="AH184" s="40">
        <v>54.827775100206381</v>
      </c>
      <c r="AI184" s="40">
        <v>25</v>
      </c>
      <c r="AJ184" s="40">
        <v>46.200611882402612</v>
      </c>
      <c r="AK184" s="38">
        <v>181</v>
      </c>
      <c r="AM184" s="41"/>
      <c r="AN184" s="48"/>
      <c r="AV184" s="69"/>
    </row>
    <row r="185" spans="1:48" x14ac:dyDescent="0.25">
      <c r="A185" s="38" t="s">
        <v>235</v>
      </c>
      <c r="B185" s="38">
        <v>4</v>
      </c>
      <c r="C185" s="39">
        <v>51.25</v>
      </c>
      <c r="D185" s="40">
        <v>54.06692638706452</v>
      </c>
      <c r="E185" s="40">
        <v>28.75</v>
      </c>
      <c r="F185" s="39">
        <v>50</v>
      </c>
      <c r="G185" s="40">
        <v>52.44510344070261</v>
      </c>
      <c r="H185" s="40">
        <v>55.327717992008822</v>
      </c>
      <c r="I185" s="40">
        <v>25</v>
      </c>
      <c r="J185" s="40">
        <v>46.19447247421644</v>
      </c>
      <c r="K185" s="38">
        <v>182</v>
      </c>
      <c r="N185" s="60"/>
      <c r="O185" s="59" t="s">
        <v>251</v>
      </c>
      <c r="P185" s="38">
        <v>3</v>
      </c>
      <c r="Q185" s="40">
        <v>45.609174290235224</v>
      </c>
      <c r="R185" s="48">
        <v>3</v>
      </c>
      <c r="AC185" s="38" t="s">
        <v>235</v>
      </c>
      <c r="AD185" s="38">
        <v>4</v>
      </c>
      <c r="AE185" s="40">
        <v>54.06692638706452</v>
      </c>
      <c r="AF185" s="40">
        <v>28.75</v>
      </c>
      <c r="AG185" s="39">
        <v>50</v>
      </c>
      <c r="AH185" s="40">
        <v>55.327717992008822</v>
      </c>
      <c r="AI185" s="40">
        <v>25</v>
      </c>
      <c r="AJ185" s="40">
        <v>46.19447247421644</v>
      </c>
      <c r="AK185" s="38">
        <v>182</v>
      </c>
      <c r="AM185" s="41"/>
      <c r="AN185" s="48"/>
      <c r="AV185" s="69"/>
    </row>
    <row r="186" spans="1:48" x14ac:dyDescent="0.25">
      <c r="A186" s="38" t="s">
        <v>225</v>
      </c>
      <c r="B186" s="38">
        <v>4</v>
      </c>
      <c r="C186" s="39">
        <v>48.75</v>
      </c>
      <c r="D186" s="40">
        <v>51.429515343793078</v>
      </c>
      <c r="E186" s="40">
        <v>36.25</v>
      </c>
      <c r="F186" s="39">
        <v>33.75</v>
      </c>
      <c r="G186" s="40">
        <v>47.962530900246129</v>
      </c>
      <c r="H186" s="40">
        <v>50.598763463822728</v>
      </c>
      <c r="I186" s="40">
        <v>50</v>
      </c>
      <c r="J186" s="40">
        <v>46.150408454287707</v>
      </c>
      <c r="K186" s="38">
        <v>183</v>
      </c>
      <c r="N186" s="60"/>
      <c r="O186" s="59" t="s">
        <v>211</v>
      </c>
      <c r="P186" s="38">
        <v>3</v>
      </c>
      <c r="Q186" s="40">
        <v>45.149788031885521</v>
      </c>
      <c r="R186" s="48">
        <v>3</v>
      </c>
      <c r="AC186" s="38" t="s">
        <v>225</v>
      </c>
      <c r="AD186" s="38">
        <v>4</v>
      </c>
      <c r="AE186" s="40">
        <v>51.429515343793078</v>
      </c>
      <c r="AF186" s="40">
        <v>36.25</v>
      </c>
      <c r="AG186" s="39">
        <v>33.75</v>
      </c>
      <c r="AH186" s="40">
        <v>50.598763463822728</v>
      </c>
      <c r="AI186" s="40">
        <v>50</v>
      </c>
      <c r="AJ186" s="40">
        <v>46.150408454287707</v>
      </c>
      <c r="AK186" s="38">
        <v>183</v>
      </c>
      <c r="AM186" s="41"/>
      <c r="AN186" s="48"/>
      <c r="AV186" s="69"/>
    </row>
    <row r="187" spans="1:48" x14ac:dyDescent="0.25">
      <c r="A187" s="38" t="s">
        <v>50</v>
      </c>
      <c r="B187" s="38">
        <v>2</v>
      </c>
      <c r="C187" s="39">
        <v>66.25</v>
      </c>
      <c r="D187" s="40">
        <v>69.495406356784741</v>
      </c>
      <c r="E187" s="40">
        <v>21.25</v>
      </c>
      <c r="F187" s="39">
        <v>48.75</v>
      </c>
      <c r="G187" s="40">
        <v>52.054005477027047</v>
      </c>
      <c r="H187" s="40">
        <v>54.603988877347824</v>
      </c>
      <c r="I187" s="40">
        <v>12.5</v>
      </c>
      <c r="J187" s="40">
        <v>46.115676822296081</v>
      </c>
      <c r="K187" s="38">
        <v>184</v>
      </c>
      <c r="N187" s="60"/>
      <c r="O187" s="59" t="s">
        <v>87</v>
      </c>
      <c r="P187" s="38">
        <v>3</v>
      </c>
      <c r="Q187" s="40">
        <v>45.092438260802197</v>
      </c>
      <c r="R187" s="48">
        <v>3</v>
      </c>
      <c r="AC187" s="38" t="s">
        <v>50</v>
      </c>
      <c r="AD187" s="38">
        <v>2</v>
      </c>
      <c r="AE187" s="40">
        <v>69.495406356784741</v>
      </c>
      <c r="AF187" s="40">
        <v>21.25</v>
      </c>
      <c r="AG187" s="39">
        <v>48.75</v>
      </c>
      <c r="AH187" s="40">
        <v>54.603988877347824</v>
      </c>
      <c r="AI187" s="40">
        <v>12.5</v>
      </c>
      <c r="AJ187" s="40">
        <v>46.115676822296081</v>
      </c>
      <c r="AK187" s="38">
        <v>184</v>
      </c>
      <c r="AM187" s="41"/>
      <c r="AN187" s="48"/>
      <c r="AV187" s="69"/>
    </row>
    <row r="188" spans="1:48" x14ac:dyDescent="0.25">
      <c r="A188" s="38" t="s">
        <v>190</v>
      </c>
      <c r="B188" s="38">
        <v>3</v>
      </c>
      <c r="C188" s="39">
        <v>71.25</v>
      </c>
      <c r="D188" s="40">
        <v>75.166214733236032</v>
      </c>
      <c r="E188" s="40">
        <v>22.5</v>
      </c>
      <c r="F188" s="39">
        <v>58.75</v>
      </c>
      <c r="G188" s="40">
        <v>43.041570749453442</v>
      </c>
      <c r="H188" s="40">
        <v>45.407325605742997</v>
      </c>
      <c r="I188" s="40">
        <v>25</v>
      </c>
      <c r="J188" s="40">
        <v>46.071173188944407</v>
      </c>
      <c r="K188" s="38">
        <v>185</v>
      </c>
      <c r="N188" s="60"/>
      <c r="O188" s="59" t="s">
        <v>287</v>
      </c>
      <c r="P188" s="38">
        <v>3</v>
      </c>
      <c r="Q188" s="40">
        <v>44.988746429338988</v>
      </c>
      <c r="R188" s="48">
        <v>3</v>
      </c>
      <c r="AC188" s="38" t="s">
        <v>190</v>
      </c>
      <c r="AD188" s="38">
        <v>3</v>
      </c>
      <c r="AE188" s="40">
        <v>75.166214733236032</v>
      </c>
      <c r="AF188" s="40">
        <v>22.5</v>
      </c>
      <c r="AG188" s="39">
        <v>58.75</v>
      </c>
      <c r="AH188" s="40">
        <v>45.407325605742997</v>
      </c>
      <c r="AI188" s="40">
        <v>25</v>
      </c>
      <c r="AJ188" s="40">
        <v>46.071173188944407</v>
      </c>
      <c r="AK188" s="38">
        <v>185</v>
      </c>
      <c r="AM188" s="41"/>
      <c r="AN188" s="48"/>
      <c r="AV188" s="69"/>
    </row>
    <row r="189" spans="1:48" x14ac:dyDescent="0.25">
      <c r="A189" s="38" t="s">
        <v>286</v>
      </c>
      <c r="B189" s="38">
        <v>4</v>
      </c>
      <c r="C189" s="39">
        <v>82.5</v>
      </c>
      <c r="D189" s="40">
        <v>87.03456442795752</v>
      </c>
      <c r="E189" s="40">
        <v>28.75</v>
      </c>
      <c r="F189" s="39">
        <v>50</v>
      </c>
      <c r="G189" s="40">
        <v>42.096059003351222</v>
      </c>
      <c r="H189" s="40">
        <v>44.409844357457857</v>
      </c>
      <c r="I189" s="40">
        <v>0</v>
      </c>
      <c r="J189" s="40">
        <v>45.920850628574648</v>
      </c>
      <c r="K189" s="38">
        <v>186</v>
      </c>
      <c r="N189" s="60"/>
      <c r="O189" s="59" t="s">
        <v>157</v>
      </c>
      <c r="P189" s="38">
        <v>3</v>
      </c>
      <c r="Q189" s="40">
        <v>44.474545234857345</v>
      </c>
      <c r="R189" s="48">
        <v>3</v>
      </c>
      <c r="AC189" s="38" t="s">
        <v>286</v>
      </c>
      <c r="AD189" s="38">
        <v>4</v>
      </c>
      <c r="AE189" s="40">
        <v>87.03456442795752</v>
      </c>
      <c r="AF189" s="40">
        <v>28.75</v>
      </c>
      <c r="AG189" s="39">
        <v>50</v>
      </c>
      <c r="AH189" s="40">
        <v>44.409844357457857</v>
      </c>
      <c r="AI189" s="40">
        <v>0</v>
      </c>
      <c r="AJ189" s="40">
        <v>45.920850628574648</v>
      </c>
      <c r="AK189" s="38">
        <v>186</v>
      </c>
      <c r="AM189" s="41"/>
      <c r="AN189" s="48"/>
      <c r="AV189" s="69"/>
    </row>
    <row r="190" spans="1:48" x14ac:dyDescent="0.25">
      <c r="A190" s="38" t="s">
        <v>198</v>
      </c>
      <c r="B190" s="38">
        <v>4</v>
      </c>
      <c r="C190" s="39">
        <v>80</v>
      </c>
      <c r="D190" s="40">
        <v>84.397153384686078</v>
      </c>
      <c r="E190" s="40">
        <v>21.25</v>
      </c>
      <c r="F190" s="39">
        <v>25</v>
      </c>
      <c r="G190" s="40">
        <v>46.514734679959943</v>
      </c>
      <c r="H190" s="40">
        <v>49.071389967906953</v>
      </c>
      <c r="I190" s="40">
        <v>25</v>
      </c>
      <c r="J190" s="40">
        <v>45.757986664100002</v>
      </c>
      <c r="K190" s="38">
        <v>187</v>
      </c>
      <c r="N190" s="60"/>
      <c r="O190" s="59" t="s">
        <v>109</v>
      </c>
      <c r="P190" s="38">
        <v>3</v>
      </c>
      <c r="Q190" s="40">
        <v>44.394478314495323</v>
      </c>
      <c r="R190" s="48">
        <v>3</v>
      </c>
      <c r="AC190" s="38" t="s">
        <v>198</v>
      </c>
      <c r="AD190" s="38">
        <v>4</v>
      </c>
      <c r="AE190" s="40">
        <v>84.397153384686078</v>
      </c>
      <c r="AF190" s="40">
        <v>21.25</v>
      </c>
      <c r="AG190" s="39">
        <v>25</v>
      </c>
      <c r="AH190" s="40">
        <v>49.071389967906953</v>
      </c>
      <c r="AI190" s="40">
        <v>25</v>
      </c>
      <c r="AJ190" s="40">
        <v>45.757986664100002</v>
      </c>
      <c r="AK190" s="38">
        <v>187</v>
      </c>
      <c r="AM190" s="41"/>
      <c r="AN190" s="48"/>
      <c r="AV190" s="69"/>
    </row>
    <row r="191" spans="1:48" x14ac:dyDescent="0.25">
      <c r="A191" s="38" t="s">
        <v>203</v>
      </c>
      <c r="B191" s="38">
        <v>4</v>
      </c>
      <c r="C191" s="39">
        <v>90</v>
      </c>
      <c r="D191" s="40">
        <v>94.946797557771831</v>
      </c>
      <c r="E191" s="40">
        <v>28.75</v>
      </c>
      <c r="F191" s="39">
        <v>42.5</v>
      </c>
      <c r="G191" s="40">
        <v>36.481718977028862</v>
      </c>
      <c r="H191" s="40">
        <v>38.486915403016468</v>
      </c>
      <c r="I191" s="40">
        <v>12.5</v>
      </c>
      <c r="J191" s="40">
        <v>45.634125672760952</v>
      </c>
      <c r="K191" s="38">
        <v>188</v>
      </c>
      <c r="N191" s="60"/>
      <c r="O191" s="59" t="s">
        <v>119</v>
      </c>
      <c r="P191" s="38">
        <v>3</v>
      </c>
      <c r="Q191" s="40">
        <v>44.332659701127042</v>
      </c>
      <c r="R191" s="48">
        <v>3</v>
      </c>
      <c r="AC191" s="38" t="s">
        <v>203</v>
      </c>
      <c r="AD191" s="38">
        <v>4</v>
      </c>
      <c r="AE191" s="40">
        <v>94.946797557771831</v>
      </c>
      <c r="AF191" s="40">
        <v>28.75</v>
      </c>
      <c r="AG191" s="39">
        <v>42.5</v>
      </c>
      <c r="AH191" s="40">
        <v>38.486915403016468</v>
      </c>
      <c r="AI191" s="40">
        <v>12.5</v>
      </c>
      <c r="AJ191" s="40">
        <v>45.634125672760952</v>
      </c>
      <c r="AK191" s="38">
        <v>188</v>
      </c>
      <c r="AM191" s="41"/>
      <c r="AN191" s="48"/>
      <c r="AV191" s="69"/>
    </row>
    <row r="192" spans="1:48" x14ac:dyDescent="0.25">
      <c r="A192" s="38" t="s">
        <v>251</v>
      </c>
      <c r="B192" s="38">
        <v>3</v>
      </c>
      <c r="C192" s="39">
        <v>67.5</v>
      </c>
      <c r="D192" s="40">
        <v>71.210098168328869</v>
      </c>
      <c r="E192" s="40">
        <v>35</v>
      </c>
      <c r="F192" s="39">
        <v>41.25</v>
      </c>
      <c r="G192" s="40">
        <v>39.082253358469217</v>
      </c>
      <c r="H192" s="40">
        <v>41.230386641423614</v>
      </c>
      <c r="I192" s="40">
        <v>37.5</v>
      </c>
      <c r="J192" s="40">
        <v>45.609174290235224</v>
      </c>
      <c r="K192" s="38">
        <v>189</v>
      </c>
      <c r="N192" s="60"/>
      <c r="O192" s="59" t="s">
        <v>55</v>
      </c>
      <c r="P192" s="38">
        <v>3</v>
      </c>
      <c r="Q192" s="40">
        <v>44.228587436819765</v>
      </c>
      <c r="R192" s="48">
        <v>3</v>
      </c>
      <c r="AC192" s="38" t="s">
        <v>251</v>
      </c>
      <c r="AD192" s="38">
        <v>3</v>
      </c>
      <c r="AE192" s="40">
        <v>71.210098168328869</v>
      </c>
      <c r="AF192" s="40">
        <v>35</v>
      </c>
      <c r="AG192" s="39">
        <v>41.25</v>
      </c>
      <c r="AH192" s="40">
        <v>41.230386641423614</v>
      </c>
      <c r="AI192" s="40">
        <v>37.5</v>
      </c>
      <c r="AJ192" s="40">
        <v>45.609174290235224</v>
      </c>
      <c r="AK192" s="38">
        <v>189</v>
      </c>
      <c r="AM192" s="41"/>
      <c r="AN192" s="48"/>
      <c r="AV192" s="69"/>
    </row>
    <row r="193" spans="1:48" x14ac:dyDescent="0.25">
      <c r="A193" s="38" t="s">
        <v>131</v>
      </c>
      <c r="B193" s="38">
        <v>2</v>
      </c>
      <c r="C193" s="39">
        <v>80</v>
      </c>
      <c r="D193" s="40">
        <v>84.397153384686078</v>
      </c>
      <c r="E193" s="40">
        <v>16.25</v>
      </c>
      <c r="F193" s="39">
        <v>67.5</v>
      </c>
      <c r="G193" s="40">
        <v>38.356615525387539</v>
      </c>
      <c r="H193" s="40">
        <v>40.464864547669542</v>
      </c>
      <c r="I193" s="40">
        <v>25</v>
      </c>
      <c r="J193" s="40">
        <v>45.56537649600503</v>
      </c>
      <c r="K193" s="38">
        <v>190</v>
      </c>
      <c r="N193" s="60"/>
      <c r="O193" s="59" t="s">
        <v>166</v>
      </c>
      <c r="P193" s="38">
        <v>3</v>
      </c>
      <c r="Q193" s="40">
        <v>44.159760532475332</v>
      </c>
      <c r="R193" s="48">
        <v>3</v>
      </c>
      <c r="AC193" s="38" t="s">
        <v>131</v>
      </c>
      <c r="AD193" s="38">
        <v>2</v>
      </c>
      <c r="AE193" s="40">
        <v>84.397153384686078</v>
      </c>
      <c r="AF193" s="40">
        <v>16.25</v>
      </c>
      <c r="AG193" s="39">
        <v>67.5</v>
      </c>
      <c r="AH193" s="40">
        <v>40.464864547669542</v>
      </c>
      <c r="AI193" s="40">
        <v>25</v>
      </c>
      <c r="AJ193" s="40">
        <v>45.56537649600503</v>
      </c>
      <c r="AK193" s="38">
        <v>190</v>
      </c>
      <c r="AM193" s="41"/>
      <c r="AN193" s="48"/>
      <c r="AV193" s="69"/>
    </row>
    <row r="194" spans="1:48" x14ac:dyDescent="0.25">
      <c r="A194" s="38" t="s">
        <v>167</v>
      </c>
      <c r="B194" s="38">
        <v>4</v>
      </c>
      <c r="C194" s="39">
        <v>85</v>
      </c>
      <c r="D194" s="40">
        <v>89.671975471228947</v>
      </c>
      <c r="E194" s="40">
        <v>16.25</v>
      </c>
      <c r="F194" s="39">
        <v>35</v>
      </c>
      <c r="G194" s="40">
        <v>42.717373282137657</v>
      </c>
      <c r="H194" s="40">
        <v>45.065308813543282</v>
      </c>
      <c r="I194" s="40">
        <v>25</v>
      </c>
      <c r="J194" s="40">
        <v>45.210518619663105</v>
      </c>
      <c r="K194" s="38">
        <v>191</v>
      </c>
      <c r="N194" s="60"/>
      <c r="O194" s="59" t="s">
        <v>267</v>
      </c>
      <c r="P194" s="38">
        <v>3</v>
      </c>
      <c r="Q194" s="40">
        <v>44.06712371635939</v>
      </c>
      <c r="R194" s="48">
        <v>3</v>
      </c>
      <c r="AC194" s="38" t="s">
        <v>167</v>
      </c>
      <c r="AD194" s="38">
        <v>4</v>
      </c>
      <c r="AE194" s="40">
        <v>89.671975471228947</v>
      </c>
      <c r="AF194" s="40">
        <v>16.25</v>
      </c>
      <c r="AG194" s="39">
        <v>35</v>
      </c>
      <c r="AH194" s="40">
        <v>45.065308813543282</v>
      </c>
      <c r="AI194" s="40">
        <v>25</v>
      </c>
      <c r="AJ194" s="40">
        <v>45.210518619663105</v>
      </c>
      <c r="AK194" s="38">
        <v>191</v>
      </c>
      <c r="AM194" s="41"/>
      <c r="AN194" s="48"/>
      <c r="AV194" s="69"/>
    </row>
    <row r="195" spans="1:48" x14ac:dyDescent="0.25">
      <c r="A195" s="38" t="s">
        <v>362</v>
      </c>
      <c r="B195" s="38">
        <v>4</v>
      </c>
      <c r="C195" s="39">
        <v>71.25</v>
      </c>
      <c r="D195" s="40">
        <v>75.166214733236032</v>
      </c>
      <c r="E195" s="40">
        <v>16.25</v>
      </c>
      <c r="F195" s="39">
        <v>46.25</v>
      </c>
      <c r="G195" s="40">
        <v>46.923774640143911</v>
      </c>
      <c r="H195" s="40">
        <v>49.502912571158355</v>
      </c>
      <c r="I195" s="40">
        <v>25</v>
      </c>
      <c r="J195" s="40">
        <v>45.209407975110551</v>
      </c>
      <c r="K195" s="38">
        <v>192</v>
      </c>
      <c r="N195" s="60"/>
      <c r="O195" s="59" t="s">
        <v>90</v>
      </c>
      <c r="P195" s="38">
        <v>3</v>
      </c>
      <c r="Q195" s="40">
        <v>43.981607476290449</v>
      </c>
      <c r="R195" s="48">
        <v>3</v>
      </c>
      <c r="AC195" s="38" t="s">
        <v>362</v>
      </c>
      <c r="AD195" s="38">
        <v>4</v>
      </c>
      <c r="AE195" s="40">
        <v>75.166214733236032</v>
      </c>
      <c r="AF195" s="40">
        <v>16.25</v>
      </c>
      <c r="AG195" s="39">
        <v>46.25</v>
      </c>
      <c r="AH195" s="40">
        <v>49.502912571158355</v>
      </c>
      <c r="AI195" s="40">
        <v>25</v>
      </c>
      <c r="AJ195" s="40">
        <v>45.209407975110551</v>
      </c>
      <c r="AK195" s="38">
        <v>192</v>
      </c>
      <c r="AM195" s="41"/>
      <c r="AN195" s="48"/>
      <c r="AV195" s="69"/>
    </row>
    <row r="196" spans="1:48" x14ac:dyDescent="0.25">
      <c r="A196" s="38" t="s">
        <v>211</v>
      </c>
      <c r="B196" s="38">
        <v>3</v>
      </c>
      <c r="C196" s="39">
        <v>78.75</v>
      </c>
      <c r="D196" s="40">
        <v>83.078447863050357</v>
      </c>
      <c r="E196" s="40">
        <v>33.75</v>
      </c>
      <c r="F196" s="39">
        <v>33.75</v>
      </c>
      <c r="G196" s="40">
        <v>37.700557000450132</v>
      </c>
      <c r="H196" s="40">
        <v>39.772746148188624</v>
      </c>
      <c r="I196" s="40">
        <v>25</v>
      </c>
      <c r="J196" s="40">
        <v>45.149788031885521</v>
      </c>
      <c r="K196" s="38">
        <v>193</v>
      </c>
      <c r="N196" s="60"/>
      <c r="O196" s="59" t="s">
        <v>196</v>
      </c>
      <c r="P196" s="38">
        <v>3</v>
      </c>
      <c r="Q196" s="40">
        <v>43.950582061893982</v>
      </c>
      <c r="R196" s="48">
        <v>3</v>
      </c>
      <c r="AC196" s="38" t="s">
        <v>211</v>
      </c>
      <c r="AD196" s="38">
        <v>3</v>
      </c>
      <c r="AE196" s="40">
        <v>83.078447863050357</v>
      </c>
      <c r="AF196" s="40">
        <v>33.75</v>
      </c>
      <c r="AG196" s="39">
        <v>33.75</v>
      </c>
      <c r="AH196" s="40">
        <v>39.772746148188624</v>
      </c>
      <c r="AI196" s="40">
        <v>25</v>
      </c>
      <c r="AJ196" s="40">
        <v>45.149788031885521</v>
      </c>
      <c r="AK196" s="38">
        <v>193</v>
      </c>
      <c r="AM196" s="41"/>
      <c r="AN196" s="48"/>
      <c r="AV196" s="69"/>
    </row>
    <row r="197" spans="1:48" x14ac:dyDescent="0.25">
      <c r="A197" s="38" t="s">
        <v>357</v>
      </c>
      <c r="B197" s="38">
        <v>2</v>
      </c>
      <c r="C197" s="39">
        <v>85</v>
      </c>
      <c r="D197" s="40">
        <v>89.671975471228947</v>
      </c>
      <c r="E197" s="40">
        <v>15</v>
      </c>
      <c r="F197" s="39">
        <v>51.25</v>
      </c>
      <c r="G197" s="40">
        <v>45.171072288807615</v>
      </c>
      <c r="H197" s="40">
        <v>47.653873956365487</v>
      </c>
      <c r="I197" s="40">
        <v>0</v>
      </c>
      <c r="J197" s="40">
        <v>45.120944676791986</v>
      </c>
      <c r="K197" s="38">
        <v>194</v>
      </c>
      <c r="N197" s="60"/>
      <c r="O197" s="59" t="s">
        <v>262</v>
      </c>
      <c r="P197" s="38">
        <v>3</v>
      </c>
      <c r="Q197" s="40">
        <v>43.851976111827923</v>
      </c>
      <c r="R197" s="48">
        <v>3</v>
      </c>
      <c r="AC197" s="38" t="s">
        <v>357</v>
      </c>
      <c r="AD197" s="38">
        <v>2</v>
      </c>
      <c r="AE197" s="40">
        <v>89.671975471228947</v>
      </c>
      <c r="AF197" s="40">
        <v>15</v>
      </c>
      <c r="AG197" s="39">
        <v>51.25</v>
      </c>
      <c r="AH197" s="40">
        <v>47.653873956365487</v>
      </c>
      <c r="AI197" s="40">
        <v>0</v>
      </c>
      <c r="AJ197" s="40">
        <v>45.120944676791986</v>
      </c>
      <c r="AK197" s="38">
        <v>194</v>
      </c>
      <c r="AM197" s="41"/>
      <c r="AN197" s="48"/>
      <c r="AV197" s="69"/>
    </row>
    <row r="198" spans="1:48" x14ac:dyDescent="0.25">
      <c r="A198" s="38" t="s">
        <v>87</v>
      </c>
      <c r="B198" s="38">
        <v>3</v>
      </c>
      <c r="C198" s="39">
        <v>81.25</v>
      </c>
      <c r="D198" s="40">
        <v>85.715858906321799</v>
      </c>
      <c r="E198" s="40">
        <v>15</v>
      </c>
      <c r="F198" s="39">
        <v>17.5</v>
      </c>
      <c r="G198" s="40">
        <v>54.976419343895458</v>
      </c>
      <c r="H198" s="40">
        <v>57.998166198844594</v>
      </c>
      <c r="I198" s="40">
        <v>0</v>
      </c>
      <c r="J198" s="40">
        <v>45.092438260802197</v>
      </c>
      <c r="K198" s="38">
        <v>195</v>
      </c>
      <c r="N198" s="60"/>
      <c r="O198" s="59" t="s">
        <v>82</v>
      </c>
      <c r="P198" s="38">
        <v>3</v>
      </c>
      <c r="Q198" s="40">
        <v>43.829776445640093</v>
      </c>
      <c r="R198" s="48">
        <v>3</v>
      </c>
      <c r="AC198" s="38" t="s">
        <v>87</v>
      </c>
      <c r="AD198" s="38">
        <v>3</v>
      </c>
      <c r="AE198" s="40">
        <v>85.715858906321799</v>
      </c>
      <c r="AF198" s="40">
        <v>15</v>
      </c>
      <c r="AG198" s="39">
        <v>17.5</v>
      </c>
      <c r="AH198" s="40">
        <v>57.998166198844594</v>
      </c>
      <c r="AI198" s="40">
        <v>0</v>
      </c>
      <c r="AJ198" s="40">
        <v>45.092438260802197</v>
      </c>
      <c r="AK198" s="38">
        <v>195</v>
      </c>
      <c r="AM198" s="41"/>
      <c r="AN198" s="48"/>
      <c r="AV198" s="69"/>
    </row>
    <row r="199" spans="1:48" x14ac:dyDescent="0.25">
      <c r="A199" s="38" t="s">
        <v>287</v>
      </c>
      <c r="B199" s="38">
        <v>3</v>
      </c>
      <c r="C199" s="39">
        <v>47.5</v>
      </c>
      <c r="D199" s="40">
        <v>50.110809822157357</v>
      </c>
      <c r="E199" s="40">
        <v>35</v>
      </c>
      <c r="F199" s="39">
        <v>83.75</v>
      </c>
      <c r="G199" s="40">
        <v>40.502751051337704</v>
      </c>
      <c r="H199" s="40">
        <v>42.728961162268789</v>
      </c>
      <c r="I199" s="40">
        <v>25</v>
      </c>
      <c r="J199" s="40">
        <v>44.988746429338988</v>
      </c>
      <c r="K199" s="38">
        <v>196</v>
      </c>
      <c r="N199" s="60"/>
      <c r="O199" s="59" t="s">
        <v>226</v>
      </c>
      <c r="P199" s="38">
        <v>3</v>
      </c>
      <c r="Q199" s="40">
        <v>43.773622682147476</v>
      </c>
      <c r="R199" s="48">
        <v>3</v>
      </c>
      <c r="AC199" s="38" t="s">
        <v>287</v>
      </c>
      <c r="AD199" s="38">
        <v>3</v>
      </c>
      <c r="AE199" s="40">
        <v>50.110809822157357</v>
      </c>
      <c r="AF199" s="40">
        <v>35</v>
      </c>
      <c r="AG199" s="39">
        <v>83.75</v>
      </c>
      <c r="AH199" s="40">
        <v>42.728961162268789</v>
      </c>
      <c r="AI199" s="40">
        <v>25</v>
      </c>
      <c r="AJ199" s="40">
        <v>44.988746429338988</v>
      </c>
      <c r="AK199" s="38">
        <v>196</v>
      </c>
      <c r="AM199" s="41"/>
      <c r="AN199" s="48"/>
      <c r="AV199" s="69"/>
    </row>
    <row r="200" spans="1:48" x14ac:dyDescent="0.25">
      <c r="A200" s="38" t="s">
        <v>245</v>
      </c>
      <c r="B200" s="38">
        <v>2</v>
      </c>
      <c r="C200" s="39">
        <v>81.25</v>
      </c>
      <c r="D200" s="40">
        <v>85.715858906321799</v>
      </c>
      <c r="E200" s="40">
        <v>26.25</v>
      </c>
      <c r="F200" s="39">
        <v>50</v>
      </c>
      <c r="G200" s="40">
        <v>38.550754530588513</v>
      </c>
      <c r="H200" s="40">
        <v>40.669674290168253</v>
      </c>
      <c r="I200" s="40">
        <v>12.5</v>
      </c>
      <c r="J200" s="40">
        <v>44.911041497331667</v>
      </c>
      <c r="K200" s="38">
        <v>197</v>
      </c>
      <c r="N200" s="60"/>
      <c r="O200" s="59" t="s">
        <v>353</v>
      </c>
      <c r="P200" s="38">
        <v>3</v>
      </c>
      <c r="Q200" s="40">
        <v>43.39378291827316</v>
      </c>
      <c r="R200" s="48">
        <v>3</v>
      </c>
      <c r="AC200" s="38" t="s">
        <v>245</v>
      </c>
      <c r="AD200" s="38">
        <v>2</v>
      </c>
      <c r="AE200" s="40">
        <v>85.715858906321799</v>
      </c>
      <c r="AF200" s="40">
        <v>26.25</v>
      </c>
      <c r="AG200" s="39">
        <v>50</v>
      </c>
      <c r="AH200" s="40">
        <v>40.669674290168253</v>
      </c>
      <c r="AI200" s="40">
        <v>12.5</v>
      </c>
      <c r="AJ200" s="40">
        <v>44.911041497331667</v>
      </c>
      <c r="AK200" s="38">
        <v>197</v>
      </c>
      <c r="AM200" s="41"/>
      <c r="AN200" s="48"/>
      <c r="AV200" s="69"/>
    </row>
    <row r="201" spans="1:48" x14ac:dyDescent="0.25">
      <c r="A201" s="38" t="s">
        <v>125</v>
      </c>
      <c r="B201" s="38">
        <v>2</v>
      </c>
      <c r="C201" s="39">
        <v>80</v>
      </c>
      <c r="D201" s="40">
        <v>84.397153384686078</v>
      </c>
      <c r="E201" s="40">
        <v>16.25</v>
      </c>
      <c r="F201" s="39">
        <v>33.75</v>
      </c>
      <c r="G201" s="40">
        <v>44.70507639854155</v>
      </c>
      <c r="H201" s="40">
        <v>47.162264873522759</v>
      </c>
      <c r="I201" s="40">
        <v>25</v>
      </c>
      <c r="J201" s="40">
        <v>44.869336626346318</v>
      </c>
      <c r="K201" s="38">
        <v>198</v>
      </c>
      <c r="N201" s="60"/>
      <c r="O201" s="59" t="s">
        <v>204</v>
      </c>
      <c r="P201" s="38">
        <v>3</v>
      </c>
      <c r="Q201" s="40">
        <v>42.959603095031511</v>
      </c>
      <c r="R201" s="48">
        <v>3</v>
      </c>
      <c r="AC201" s="38" t="s">
        <v>125</v>
      </c>
      <c r="AD201" s="38">
        <v>2</v>
      </c>
      <c r="AE201" s="40">
        <v>84.397153384686078</v>
      </c>
      <c r="AF201" s="40">
        <v>16.25</v>
      </c>
      <c r="AG201" s="39">
        <v>33.75</v>
      </c>
      <c r="AH201" s="40">
        <v>47.162264873522759</v>
      </c>
      <c r="AI201" s="40">
        <v>25</v>
      </c>
      <c r="AJ201" s="40">
        <v>44.869336626346318</v>
      </c>
      <c r="AK201" s="38">
        <v>198</v>
      </c>
      <c r="AM201" s="41"/>
      <c r="AN201" s="48"/>
      <c r="AV201" s="69"/>
    </row>
    <row r="202" spans="1:48" x14ac:dyDescent="0.25">
      <c r="A202" s="38" t="s">
        <v>222</v>
      </c>
      <c r="B202" s="38">
        <v>4</v>
      </c>
      <c r="C202" s="39">
        <v>78.75</v>
      </c>
      <c r="D202" s="40">
        <v>83.078447863050357</v>
      </c>
      <c r="E202" s="40">
        <v>16.25</v>
      </c>
      <c r="F202" s="39">
        <v>42.5</v>
      </c>
      <c r="G202" s="40">
        <v>48.985852479157046</v>
      </c>
      <c r="H202" s="40">
        <v>51.678331317037774</v>
      </c>
      <c r="I202" s="40">
        <v>0</v>
      </c>
      <c r="J202" s="40">
        <v>44.787022099425187</v>
      </c>
      <c r="K202" s="38">
        <v>199</v>
      </c>
      <c r="N202" s="60"/>
      <c r="O202" s="59" t="s">
        <v>294</v>
      </c>
      <c r="P202" s="38">
        <v>3</v>
      </c>
      <c r="Q202" s="40">
        <v>42.669242061955543</v>
      </c>
      <c r="R202" s="48">
        <v>3</v>
      </c>
      <c r="AC202" s="38" t="s">
        <v>222</v>
      </c>
      <c r="AD202" s="38">
        <v>4</v>
      </c>
      <c r="AE202" s="40">
        <v>83.078447863050357</v>
      </c>
      <c r="AF202" s="40">
        <v>16.25</v>
      </c>
      <c r="AG202" s="39">
        <v>42.5</v>
      </c>
      <c r="AH202" s="40">
        <v>51.678331317037774</v>
      </c>
      <c r="AI202" s="40">
        <v>0</v>
      </c>
      <c r="AJ202" s="40">
        <v>44.787022099425187</v>
      </c>
      <c r="AK202" s="38">
        <v>199</v>
      </c>
      <c r="AM202" s="41"/>
      <c r="AN202" s="48"/>
      <c r="AV202" s="69"/>
    </row>
    <row r="203" spans="1:48" x14ac:dyDescent="0.25">
      <c r="A203" s="38" t="s">
        <v>56</v>
      </c>
      <c r="B203" s="38">
        <v>2</v>
      </c>
      <c r="C203" s="39">
        <v>77.5</v>
      </c>
      <c r="D203" s="40">
        <v>81.759742341414636</v>
      </c>
      <c r="E203" s="40">
        <v>10</v>
      </c>
      <c r="F203" s="39">
        <v>42.5</v>
      </c>
      <c r="G203" s="40">
        <v>46.283266828987806</v>
      </c>
      <c r="H203" s="40">
        <v>48.827199621380458</v>
      </c>
      <c r="I203" s="40">
        <v>25</v>
      </c>
      <c r="J203" s="40">
        <v>44.632828316835116</v>
      </c>
      <c r="K203" s="38">
        <v>200</v>
      </c>
      <c r="N203" s="60"/>
      <c r="O203" s="59" t="s">
        <v>252</v>
      </c>
      <c r="P203" s="38">
        <v>3</v>
      </c>
      <c r="Q203" s="40">
        <v>42.330115011548557</v>
      </c>
      <c r="R203" s="48">
        <v>3</v>
      </c>
      <c r="AC203" s="38" t="s">
        <v>56</v>
      </c>
      <c r="AD203" s="38">
        <v>2</v>
      </c>
      <c r="AE203" s="40">
        <v>81.759742341414636</v>
      </c>
      <c r="AF203" s="40">
        <v>10</v>
      </c>
      <c r="AG203" s="39">
        <v>42.5</v>
      </c>
      <c r="AH203" s="40">
        <v>48.827199621380458</v>
      </c>
      <c r="AI203" s="40">
        <v>25</v>
      </c>
      <c r="AJ203" s="40">
        <v>44.632828316835116</v>
      </c>
      <c r="AK203" s="38">
        <v>200</v>
      </c>
      <c r="AM203" s="41"/>
      <c r="AN203" s="48"/>
      <c r="AV203" s="69"/>
    </row>
    <row r="204" spans="1:48" x14ac:dyDescent="0.25">
      <c r="A204" s="38" t="s">
        <v>157</v>
      </c>
      <c r="B204" s="38">
        <v>3</v>
      </c>
      <c r="C204" s="39">
        <v>58.75</v>
      </c>
      <c r="D204" s="40">
        <v>61.979159516878838</v>
      </c>
      <c r="E204" s="40">
        <v>30</v>
      </c>
      <c r="F204" s="39">
        <v>51.25</v>
      </c>
      <c r="G204" s="40">
        <v>43.730653443650425</v>
      </c>
      <c r="H204" s="40">
        <v>46.134283328703937</v>
      </c>
      <c r="I204" s="40">
        <v>25</v>
      </c>
      <c r="J204" s="40">
        <v>44.474545234857345</v>
      </c>
      <c r="K204" s="38">
        <v>201</v>
      </c>
      <c r="N204" s="60"/>
      <c r="O204" s="59" t="s">
        <v>244</v>
      </c>
      <c r="P204" s="38">
        <v>3</v>
      </c>
      <c r="Q204" s="40">
        <v>42.265529383754881</v>
      </c>
      <c r="R204" s="48">
        <v>3</v>
      </c>
      <c r="AC204" s="38" t="s">
        <v>157</v>
      </c>
      <c r="AD204" s="38">
        <v>3</v>
      </c>
      <c r="AE204" s="40">
        <v>61.979159516878838</v>
      </c>
      <c r="AF204" s="40">
        <v>30</v>
      </c>
      <c r="AG204" s="39">
        <v>51.25</v>
      </c>
      <c r="AH204" s="40">
        <v>46.134283328703937</v>
      </c>
      <c r="AI204" s="40">
        <v>25</v>
      </c>
      <c r="AJ204" s="40">
        <v>44.474545234857345</v>
      </c>
      <c r="AK204" s="38">
        <v>201</v>
      </c>
      <c r="AM204" s="41"/>
      <c r="AN204" s="48"/>
      <c r="AV204" s="69"/>
    </row>
    <row r="205" spans="1:48" x14ac:dyDescent="0.25">
      <c r="A205" s="38" t="s">
        <v>248</v>
      </c>
      <c r="B205" s="38">
        <v>4</v>
      </c>
      <c r="C205" s="39">
        <v>75</v>
      </c>
      <c r="D205" s="40">
        <v>79.122331298143195</v>
      </c>
      <c r="E205" s="40">
        <v>27.5</v>
      </c>
      <c r="F205" s="39">
        <v>41.25</v>
      </c>
      <c r="G205" s="40">
        <v>42.020953588183517</v>
      </c>
      <c r="H205" s="40">
        <v>44.330610816908738</v>
      </c>
      <c r="I205" s="40">
        <v>12.5</v>
      </c>
      <c r="J205" s="40">
        <v>44.431710586392136</v>
      </c>
      <c r="K205" s="38">
        <v>202</v>
      </c>
      <c r="N205" s="60"/>
      <c r="O205" s="59" t="s">
        <v>152</v>
      </c>
      <c r="P205" s="38">
        <v>3</v>
      </c>
      <c r="Q205" s="40">
        <v>41.684971869926578</v>
      </c>
      <c r="R205" s="48">
        <v>3</v>
      </c>
      <c r="AC205" s="38" t="s">
        <v>248</v>
      </c>
      <c r="AD205" s="38">
        <v>4</v>
      </c>
      <c r="AE205" s="40">
        <v>79.122331298143195</v>
      </c>
      <c r="AF205" s="40">
        <v>27.5</v>
      </c>
      <c r="AG205" s="39">
        <v>41.25</v>
      </c>
      <c r="AH205" s="40">
        <v>44.330610816908738</v>
      </c>
      <c r="AI205" s="40">
        <v>12.5</v>
      </c>
      <c r="AJ205" s="40">
        <v>44.431710586392136</v>
      </c>
      <c r="AK205" s="38">
        <v>202</v>
      </c>
      <c r="AM205" s="41"/>
      <c r="AN205" s="48"/>
      <c r="AV205" s="69"/>
    </row>
    <row r="206" spans="1:48" x14ac:dyDescent="0.25">
      <c r="A206" s="38" t="s">
        <v>109</v>
      </c>
      <c r="B206" s="38">
        <v>3</v>
      </c>
      <c r="C206" s="39">
        <v>87.5</v>
      </c>
      <c r="D206" s="40">
        <v>92.309386514500389</v>
      </c>
      <c r="E206" s="40">
        <v>10</v>
      </c>
      <c r="F206" s="39">
        <v>33.75</v>
      </c>
      <c r="G206" s="40">
        <v>45.754152213144721</v>
      </c>
      <c r="H206" s="40">
        <v>48.269002528988111</v>
      </c>
      <c r="I206" s="40">
        <v>12.5</v>
      </c>
      <c r="J206" s="40">
        <v>44.394478314495323</v>
      </c>
      <c r="K206" s="38">
        <v>203</v>
      </c>
      <c r="N206" s="60"/>
      <c r="O206" s="59" t="s">
        <v>273</v>
      </c>
      <c r="P206" s="38">
        <v>3</v>
      </c>
      <c r="Q206" s="40">
        <v>41.417662614221072</v>
      </c>
      <c r="R206" s="48">
        <v>3</v>
      </c>
      <c r="AC206" s="38" t="s">
        <v>109</v>
      </c>
      <c r="AD206" s="38">
        <v>3</v>
      </c>
      <c r="AE206" s="40">
        <v>92.309386514500389</v>
      </c>
      <c r="AF206" s="40">
        <v>10</v>
      </c>
      <c r="AG206" s="39">
        <v>33.75</v>
      </c>
      <c r="AH206" s="40">
        <v>48.269002528988111</v>
      </c>
      <c r="AI206" s="40">
        <v>12.5</v>
      </c>
      <c r="AJ206" s="40">
        <v>44.394478314495323</v>
      </c>
      <c r="AK206" s="38">
        <v>203</v>
      </c>
      <c r="AM206" s="41"/>
      <c r="AN206" s="48"/>
      <c r="AV206" s="69"/>
    </row>
    <row r="207" spans="1:48" x14ac:dyDescent="0.25">
      <c r="A207" s="38" t="s">
        <v>115</v>
      </c>
      <c r="B207" s="38">
        <v>2</v>
      </c>
      <c r="C207" s="39">
        <v>78.75</v>
      </c>
      <c r="D207" s="40">
        <v>83.078447863050357</v>
      </c>
      <c r="E207" s="40">
        <v>28.75</v>
      </c>
      <c r="F207" s="39">
        <v>26.25</v>
      </c>
      <c r="G207" s="40">
        <v>39.996899301611329</v>
      </c>
      <c r="H207" s="40">
        <v>42.195305565874186</v>
      </c>
      <c r="I207" s="40">
        <v>25</v>
      </c>
      <c r="J207" s="40">
        <v>44.368811798959747</v>
      </c>
      <c r="K207" s="38">
        <v>204</v>
      </c>
      <c r="N207" s="60"/>
      <c r="O207" s="59" t="s">
        <v>77</v>
      </c>
      <c r="P207" s="38">
        <v>3</v>
      </c>
      <c r="Q207" s="40">
        <v>41.100875939666274</v>
      </c>
      <c r="R207" s="48">
        <v>3</v>
      </c>
      <c r="AC207" s="38" t="s">
        <v>115</v>
      </c>
      <c r="AD207" s="38">
        <v>2</v>
      </c>
      <c r="AE207" s="40">
        <v>83.078447863050357</v>
      </c>
      <c r="AF207" s="40">
        <v>28.75</v>
      </c>
      <c r="AG207" s="39">
        <v>26.25</v>
      </c>
      <c r="AH207" s="40">
        <v>42.195305565874186</v>
      </c>
      <c r="AI207" s="40">
        <v>25</v>
      </c>
      <c r="AJ207" s="40">
        <v>44.368811798959747</v>
      </c>
      <c r="AK207" s="38">
        <v>204</v>
      </c>
      <c r="AM207" s="41"/>
      <c r="AN207" s="48"/>
      <c r="AV207" s="69"/>
    </row>
    <row r="208" spans="1:48" x14ac:dyDescent="0.25">
      <c r="A208" s="38" t="s">
        <v>119</v>
      </c>
      <c r="B208" s="38">
        <v>3</v>
      </c>
      <c r="C208" s="39">
        <v>75</v>
      </c>
      <c r="D208" s="40">
        <v>79.122331298143195</v>
      </c>
      <c r="E208" s="40">
        <v>22.5</v>
      </c>
      <c r="F208" s="39">
        <v>26.25</v>
      </c>
      <c r="G208" s="40">
        <v>44.748413149500294</v>
      </c>
      <c r="H208" s="40">
        <v>47.207983603745994</v>
      </c>
      <c r="I208" s="40">
        <v>25</v>
      </c>
      <c r="J208" s="40">
        <v>44.332659701127042</v>
      </c>
      <c r="K208" s="38">
        <v>205</v>
      </c>
      <c r="N208" s="60"/>
      <c r="O208" s="59" t="s">
        <v>213</v>
      </c>
      <c r="P208" s="38">
        <v>3</v>
      </c>
      <c r="Q208" s="40">
        <v>40.937250429168387</v>
      </c>
      <c r="R208" s="48">
        <v>3</v>
      </c>
      <c r="AC208" s="38" t="s">
        <v>119</v>
      </c>
      <c r="AD208" s="38">
        <v>3</v>
      </c>
      <c r="AE208" s="40">
        <v>79.122331298143195</v>
      </c>
      <c r="AF208" s="40">
        <v>22.5</v>
      </c>
      <c r="AG208" s="39">
        <v>26.25</v>
      </c>
      <c r="AH208" s="40">
        <v>47.207983603745994</v>
      </c>
      <c r="AI208" s="40">
        <v>25</v>
      </c>
      <c r="AJ208" s="40">
        <v>44.332659701127042</v>
      </c>
      <c r="AK208" s="38">
        <v>205</v>
      </c>
      <c r="AM208" s="41"/>
      <c r="AN208" s="48"/>
      <c r="AV208" s="69"/>
    </row>
    <row r="209" spans="1:48" x14ac:dyDescent="0.25">
      <c r="A209" s="38" t="s">
        <v>363</v>
      </c>
      <c r="B209" s="38">
        <v>4</v>
      </c>
      <c r="C209" s="39">
        <v>81.25</v>
      </c>
      <c r="D209" s="40">
        <v>85.715858906321799</v>
      </c>
      <c r="E209" s="40">
        <v>15</v>
      </c>
      <c r="F209" s="39">
        <v>33.75</v>
      </c>
      <c r="G209" s="40">
        <v>43.33444823194742</v>
      </c>
      <c r="H209" s="40">
        <v>45.716300928405055</v>
      </c>
      <c r="I209" s="40">
        <v>25</v>
      </c>
      <c r="J209" s="40">
        <v>44.304692152626387</v>
      </c>
      <c r="K209" s="38">
        <v>206</v>
      </c>
      <c r="N209" s="60"/>
      <c r="O209" s="59" t="s">
        <v>132</v>
      </c>
      <c r="P209" s="38">
        <v>3</v>
      </c>
      <c r="Q209" s="40">
        <v>40.836933006914521</v>
      </c>
      <c r="R209" s="48">
        <v>3</v>
      </c>
      <c r="AC209" s="38" t="s">
        <v>363</v>
      </c>
      <c r="AD209" s="38">
        <v>4</v>
      </c>
      <c r="AE209" s="40">
        <v>85.715858906321799</v>
      </c>
      <c r="AF209" s="40">
        <v>15</v>
      </c>
      <c r="AG209" s="39">
        <v>33.75</v>
      </c>
      <c r="AH209" s="40">
        <v>45.716300928405055</v>
      </c>
      <c r="AI209" s="40">
        <v>25</v>
      </c>
      <c r="AJ209" s="40">
        <v>44.304692152626387</v>
      </c>
      <c r="AK209" s="38">
        <v>206</v>
      </c>
      <c r="AM209" s="41"/>
      <c r="AN209" s="48"/>
      <c r="AV209" s="69"/>
    </row>
    <row r="210" spans="1:48" x14ac:dyDescent="0.25">
      <c r="A210" s="38" t="s">
        <v>55</v>
      </c>
      <c r="B210" s="38">
        <v>3</v>
      </c>
      <c r="C210" s="39">
        <v>52.5</v>
      </c>
      <c r="D210" s="40">
        <v>55.385631908700233</v>
      </c>
      <c r="E210" s="40">
        <v>41.25</v>
      </c>
      <c r="F210" s="39">
        <v>41.25</v>
      </c>
      <c r="G210" s="40">
        <v>49.234980616892763</v>
      </c>
      <c r="H210" s="40">
        <v>51.941152637699304</v>
      </c>
      <c r="I210" s="40">
        <v>0</v>
      </c>
      <c r="J210" s="40">
        <v>44.228587436819765</v>
      </c>
      <c r="K210" s="38">
        <v>207</v>
      </c>
      <c r="N210" s="60"/>
      <c r="O210" s="59" t="s">
        <v>123</v>
      </c>
      <c r="P210" s="38">
        <v>3</v>
      </c>
      <c r="Q210" s="40">
        <v>40.796865986955709</v>
      </c>
      <c r="R210" s="48">
        <v>3</v>
      </c>
      <c r="AC210" s="38" t="s">
        <v>55</v>
      </c>
      <c r="AD210" s="38">
        <v>3</v>
      </c>
      <c r="AE210" s="40">
        <v>55.385631908700233</v>
      </c>
      <c r="AF210" s="40">
        <v>41.25</v>
      </c>
      <c r="AG210" s="39">
        <v>41.25</v>
      </c>
      <c r="AH210" s="40">
        <v>51.941152637699304</v>
      </c>
      <c r="AI210" s="40">
        <v>0</v>
      </c>
      <c r="AJ210" s="40">
        <v>44.228587436819765</v>
      </c>
      <c r="AK210" s="38">
        <v>207</v>
      </c>
      <c r="AM210" s="41"/>
      <c r="AN210" s="48"/>
      <c r="AV210" s="69"/>
    </row>
    <row r="211" spans="1:48" x14ac:dyDescent="0.25">
      <c r="A211" s="38" t="s">
        <v>256</v>
      </c>
      <c r="B211" s="38">
        <v>4</v>
      </c>
      <c r="C211" s="39">
        <v>85</v>
      </c>
      <c r="D211" s="40">
        <v>89.671975471228947</v>
      </c>
      <c r="E211" s="40">
        <v>10</v>
      </c>
      <c r="F211" s="39">
        <v>8.75</v>
      </c>
      <c r="G211" s="40">
        <v>49.426069705013745</v>
      </c>
      <c r="H211" s="40">
        <v>52.142744826202886</v>
      </c>
      <c r="I211" s="40">
        <v>25</v>
      </c>
      <c r="J211" s="40">
        <v>44.166493024726947</v>
      </c>
      <c r="K211" s="38">
        <v>208</v>
      </c>
      <c r="N211" s="60"/>
      <c r="O211" s="59" t="s">
        <v>130</v>
      </c>
      <c r="P211" s="38">
        <v>3</v>
      </c>
      <c r="Q211" s="40">
        <v>40.197857848702782</v>
      </c>
      <c r="R211" s="48">
        <v>3</v>
      </c>
      <c r="AC211" s="38" t="s">
        <v>256</v>
      </c>
      <c r="AD211" s="38">
        <v>4</v>
      </c>
      <c r="AE211" s="40">
        <v>89.671975471228947</v>
      </c>
      <c r="AF211" s="40">
        <v>10</v>
      </c>
      <c r="AG211" s="39">
        <v>8.75</v>
      </c>
      <c r="AH211" s="40">
        <v>52.142744826202886</v>
      </c>
      <c r="AI211" s="40">
        <v>25</v>
      </c>
      <c r="AJ211" s="40">
        <v>44.166493024726947</v>
      </c>
      <c r="AK211" s="38">
        <v>208</v>
      </c>
      <c r="AM211" s="41"/>
      <c r="AN211" s="48"/>
      <c r="AV211" s="69"/>
    </row>
    <row r="212" spans="1:48" x14ac:dyDescent="0.25">
      <c r="A212" s="38" t="s">
        <v>166</v>
      </c>
      <c r="B212" s="38">
        <v>3</v>
      </c>
      <c r="C212" s="39">
        <v>63.75</v>
      </c>
      <c r="D212" s="40">
        <v>67.253981603421721</v>
      </c>
      <c r="E212" s="40">
        <v>35</v>
      </c>
      <c r="F212" s="39">
        <v>26.25</v>
      </c>
      <c r="G212" s="40">
        <v>41.077130013572813</v>
      </c>
      <c r="H212" s="40">
        <v>43.334910529477455</v>
      </c>
      <c r="I212" s="40">
        <v>37.5</v>
      </c>
      <c r="J212" s="40">
        <v>44.159760532475332</v>
      </c>
      <c r="K212" s="38">
        <v>209</v>
      </c>
      <c r="N212" s="60"/>
      <c r="O212" s="59" t="s">
        <v>364</v>
      </c>
      <c r="P212" s="38">
        <v>3</v>
      </c>
      <c r="Q212" s="40">
        <v>40.186086999612684</v>
      </c>
      <c r="R212" s="48">
        <v>3</v>
      </c>
      <c r="AC212" s="38" t="s">
        <v>166</v>
      </c>
      <c r="AD212" s="38">
        <v>3</v>
      </c>
      <c r="AE212" s="40">
        <v>67.253981603421721</v>
      </c>
      <c r="AF212" s="40">
        <v>35</v>
      </c>
      <c r="AG212" s="39">
        <v>26.25</v>
      </c>
      <c r="AH212" s="40">
        <v>43.334910529477455</v>
      </c>
      <c r="AI212" s="40">
        <v>37.5</v>
      </c>
      <c r="AJ212" s="40">
        <v>44.159760532475332</v>
      </c>
      <c r="AK212" s="38">
        <v>209</v>
      </c>
      <c r="AM212" s="41"/>
      <c r="AN212" s="48"/>
      <c r="AV212" s="69"/>
    </row>
    <row r="213" spans="1:48" x14ac:dyDescent="0.25">
      <c r="A213" s="38" t="s">
        <v>267</v>
      </c>
      <c r="B213" s="38">
        <v>3</v>
      </c>
      <c r="C213" s="39">
        <v>63.75</v>
      </c>
      <c r="D213" s="40">
        <v>67.253981603421721</v>
      </c>
      <c r="E213" s="40">
        <v>35</v>
      </c>
      <c r="F213" s="39">
        <v>50</v>
      </c>
      <c r="G213" s="40">
        <v>41.153822609439288</v>
      </c>
      <c r="H213" s="40">
        <v>43.415818489187615</v>
      </c>
      <c r="I213" s="40">
        <v>12.5</v>
      </c>
      <c r="J213" s="40">
        <v>44.06712371635939</v>
      </c>
      <c r="K213" s="38">
        <v>210</v>
      </c>
      <c r="N213" s="60"/>
      <c r="O213" s="59" t="s">
        <v>234</v>
      </c>
      <c r="P213" s="38">
        <v>3</v>
      </c>
      <c r="Q213" s="40">
        <v>40.130886705948811</v>
      </c>
      <c r="R213" s="48">
        <v>3</v>
      </c>
      <c r="AC213" s="38" t="s">
        <v>267</v>
      </c>
      <c r="AD213" s="38">
        <v>3</v>
      </c>
      <c r="AE213" s="40">
        <v>67.253981603421721</v>
      </c>
      <c r="AF213" s="40">
        <v>35</v>
      </c>
      <c r="AG213" s="39">
        <v>50</v>
      </c>
      <c r="AH213" s="40">
        <v>43.415818489187615</v>
      </c>
      <c r="AI213" s="40">
        <v>12.5</v>
      </c>
      <c r="AJ213" s="40">
        <v>44.06712371635939</v>
      </c>
      <c r="AK213" s="38">
        <v>210</v>
      </c>
      <c r="AM213" s="41"/>
      <c r="AN213" s="48"/>
      <c r="AV213" s="69"/>
    </row>
    <row r="214" spans="1:48" x14ac:dyDescent="0.25">
      <c r="A214" s="38" t="s">
        <v>90</v>
      </c>
      <c r="B214" s="38">
        <v>3</v>
      </c>
      <c r="C214" s="39">
        <v>78.75</v>
      </c>
      <c r="D214" s="40">
        <v>83.078447863050357</v>
      </c>
      <c r="E214" s="40">
        <v>26.25</v>
      </c>
      <c r="F214" s="39">
        <v>26.25</v>
      </c>
      <c r="G214" s="40">
        <v>46.188567083157139</v>
      </c>
      <c r="H214" s="40">
        <v>48.727294759200944</v>
      </c>
      <c r="I214" s="40">
        <v>0</v>
      </c>
      <c r="J214" s="40">
        <v>43.981607476290449</v>
      </c>
      <c r="K214" s="38">
        <v>211</v>
      </c>
      <c r="M214" s="41"/>
      <c r="N214" s="41"/>
      <c r="O214" s="59" t="s">
        <v>144</v>
      </c>
      <c r="P214" s="38">
        <v>3</v>
      </c>
      <c r="Q214" s="40">
        <v>40.123811566628149</v>
      </c>
      <c r="R214" s="48">
        <v>3</v>
      </c>
      <c r="AC214" s="38" t="s">
        <v>90</v>
      </c>
      <c r="AD214" s="38">
        <v>3</v>
      </c>
      <c r="AE214" s="40">
        <v>83.078447863050357</v>
      </c>
      <c r="AF214" s="40">
        <v>26.25</v>
      </c>
      <c r="AG214" s="39">
        <v>26.25</v>
      </c>
      <c r="AH214" s="40">
        <v>48.727294759200944</v>
      </c>
      <c r="AI214" s="40">
        <v>0</v>
      </c>
      <c r="AJ214" s="40">
        <v>43.981607476290449</v>
      </c>
      <c r="AK214" s="38">
        <v>211</v>
      </c>
      <c r="AM214" s="41"/>
      <c r="AN214" s="48"/>
      <c r="AV214" s="69"/>
    </row>
    <row r="215" spans="1:48" x14ac:dyDescent="0.25">
      <c r="A215" s="38" t="s">
        <v>196</v>
      </c>
      <c r="B215" s="38">
        <v>3</v>
      </c>
      <c r="C215" s="39">
        <v>71.25</v>
      </c>
      <c r="D215" s="40">
        <v>75.166214733236032</v>
      </c>
      <c r="E215" s="40">
        <v>27.5</v>
      </c>
      <c r="F215" s="39">
        <v>42.5</v>
      </c>
      <c r="G215" s="40">
        <v>42.459581624936391</v>
      </c>
      <c r="H215" s="40">
        <v>44.79334778811694</v>
      </c>
      <c r="I215" s="40">
        <v>12.5</v>
      </c>
      <c r="J215" s="40">
        <v>43.950582061893982</v>
      </c>
      <c r="K215" s="38">
        <v>212</v>
      </c>
      <c r="M215" s="41"/>
      <c r="N215" s="41"/>
      <c r="O215" s="59" t="s">
        <v>367</v>
      </c>
      <c r="P215" s="38">
        <v>3</v>
      </c>
      <c r="Q215" s="40">
        <v>39.725637663517368</v>
      </c>
      <c r="R215" s="48">
        <v>3</v>
      </c>
      <c r="AC215" s="38" t="s">
        <v>196</v>
      </c>
      <c r="AD215" s="38">
        <v>3</v>
      </c>
      <c r="AE215" s="40">
        <v>75.166214733236032</v>
      </c>
      <c r="AF215" s="40">
        <v>27.5</v>
      </c>
      <c r="AG215" s="39">
        <v>42.5</v>
      </c>
      <c r="AH215" s="40">
        <v>44.79334778811694</v>
      </c>
      <c r="AI215" s="40">
        <v>12.5</v>
      </c>
      <c r="AJ215" s="40">
        <v>43.950582061893982</v>
      </c>
      <c r="AK215" s="38">
        <v>212</v>
      </c>
      <c r="AM215" s="41"/>
      <c r="AN215" s="48"/>
      <c r="AV215" s="69"/>
    </row>
    <row r="216" spans="1:48" x14ac:dyDescent="0.25">
      <c r="A216" s="38" t="s">
        <v>176</v>
      </c>
      <c r="B216" s="38">
        <v>4</v>
      </c>
      <c r="C216" s="39">
        <v>60</v>
      </c>
      <c r="D216" s="40">
        <v>63.297865038514558</v>
      </c>
      <c r="E216" s="40">
        <v>28.75</v>
      </c>
      <c r="F216" s="39">
        <v>50</v>
      </c>
      <c r="G216" s="40">
        <v>42.739233278199002</v>
      </c>
      <c r="H216" s="40">
        <v>45.088370331550507</v>
      </c>
      <c r="I216" s="40">
        <v>25</v>
      </c>
      <c r="J216" s="40">
        <v>43.944921140323117</v>
      </c>
      <c r="K216" s="38">
        <v>213</v>
      </c>
      <c r="M216" s="41"/>
      <c r="N216" s="41"/>
      <c r="O216" s="59" t="s">
        <v>361</v>
      </c>
      <c r="P216" s="38">
        <v>3</v>
      </c>
      <c r="Q216" s="40">
        <v>39.291751860427908</v>
      </c>
      <c r="R216" s="48">
        <v>3</v>
      </c>
      <c r="AC216" s="38" t="s">
        <v>176</v>
      </c>
      <c r="AD216" s="38">
        <v>4</v>
      </c>
      <c r="AE216" s="40">
        <v>63.297865038514558</v>
      </c>
      <c r="AF216" s="40">
        <v>28.75</v>
      </c>
      <c r="AG216" s="39">
        <v>50</v>
      </c>
      <c r="AH216" s="40">
        <v>45.088370331550507</v>
      </c>
      <c r="AI216" s="40">
        <v>25</v>
      </c>
      <c r="AJ216" s="40">
        <v>43.944921140323117</v>
      </c>
      <c r="AK216" s="38">
        <v>213</v>
      </c>
      <c r="AM216" s="41"/>
      <c r="AN216" s="48"/>
      <c r="AV216" s="69"/>
    </row>
    <row r="217" spans="1:48" x14ac:dyDescent="0.25">
      <c r="A217" s="38" t="s">
        <v>262</v>
      </c>
      <c r="B217" s="38">
        <v>3</v>
      </c>
      <c r="C217" s="39">
        <v>60</v>
      </c>
      <c r="D217" s="40">
        <v>63.297865038514558</v>
      </c>
      <c r="E217" s="40">
        <v>16.25</v>
      </c>
      <c r="F217" s="39">
        <v>57.5</v>
      </c>
      <c r="G217" s="40">
        <v>43.703851053041326</v>
      </c>
      <c r="H217" s="40">
        <v>46.106007760312536</v>
      </c>
      <c r="I217" s="40">
        <v>37.5</v>
      </c>
      <c r="J217" s="40">
        <v>43.851976111827923</v>
      </c>
      <c r="K217" s="38">
        <v>214</v>
      </c>
      <c r="M217" s="41"/>
      <c r="N217" s="41"/>
      <c r="O217" s="59" t="s">
        <v>298</v>
      </c>
      <c r="P217" s="38">
        <v>4</v>
      </c>
      <c r="Q217" s="40">
        <v>51.682102233357611</v>
      </c>
      <c r="R217" s="48">
        <v>3</v>
      </c>
      <c r="AC217" s="38" t="s">
        <v>262</v>
      </c>
      <c r="AD217" s="38">
        <v>3</v>
      </c>
      <c r="AE217" s="40">
        <v>63.297865038514558</v>
      </c>
      <c r="AF217" s="40">
        <v>16.25</v>
      </c>
      <c r="AG217" s="39">
        <v>57.5</v>
      </c>
      <c r="AH217" s="40">
        <v>46.106007760312536</v>
      </c>
      <c r="AI217" s="40">
        <v>37.5</v>
      </c>
      <c r="AJ217" s="40">
        <v>43.851976111827923</v>
      </c>
      <c r="AK217" s="38">
        <v>214</v>
      </c>
      <c r="AM217" s="41"/>
      <c r="AN217" s="48"/>
      <c r="AV217" s="69"/>
    </row>
    <row r="218" spans="1:48" x14ac:dyDescent="0.25">
      <c r="A218" s="38" t="s">
        <v>82</v>
      </c>
      <c r="B218" s="38">
        <v>3</v>
      </c>
      <c r="C218" s="39">
        <v>78.75</v>
      </c>
      <c r="D218" s="40">
        <v>83.078447863050357</v>
      </c>
      <c r="E218" s="40">
        <v>10</v>
      </c>
      <c r="F218" s="39">
        <v>33.75</v>
      </c>
      <c r="G218" s="40">
        <v>51.753136207062489</v>
      </c>
      <c r="H218" s="40">
        <v>54.597717182575046</v>
      </c>
      <c r="I218" s="40">
        <v>0</v>
      </c>
      <c r="J218" s="40">
        <v>43.829776445640093</v>
      </c>
      <c r="K218" s="38">
        <v>215</v>
      </c>
      <c r="M218" s="41"/>
      <c r="N218" s="41"/>
      <c r="O218" s="59" t="s">
        <v>246</v>
      </c>
      <c r="P218" s="38">
        <v>4</v>
      </c>
      <c r="Q218" s="40">
        <v>51.148628540857992</v>
      </c>
      <c r="R218" s="48">
        <v>3</v>
      </c>
      <c r="AC218" s="38" t="s">
        <v>82</v>
      </c>
      <c r="AD218" s="38">
        <v>3</v>
      </c>
      <c r="AE218" s="40">
        <v>83.078447863050357</v>
      </c>
      <c r="AF218" s="40">
        <v>10</v>
      </c>
      <c r="AG218" s="39">
        <v>33.75</v>
      </c>
      <c r="AH218" s="40">
        <v>54.597717182575046</v>
      </c>
      <c r="AI218" s="40">
        <v>0</v>
      </c>
      <c r="AJ218" s="40">
        <v>43.829776445640093</v>
      </c>
      <c r="AK218" s="38">
        <v>215</v>
      </c>
      <c r="AM218" s="41"/>
      <c r="AN218" s="48"/>
      <c r="AV218" s="69"/>
    </row>
    <row r="219" spans="1:48" x14ac:dyDescent="0.25">
      <c r="A219" s="38" t="s">
        <v>226</v>
      </c>
      <c r="B219" s="38">
        <v>3</v>
      </c>
      <c r="C219" s="39">
        <v>73.75</v>
      </c>
      <c r="D219" s="40">
        <v>77.803625776507474</v>
      </c>
      <c r="E219" s="40">
        <v>16.25</v>
      </c>
      <c r="F219" s="39">
        <v>50</v>
      </c>
      <c r="G219" s="40">
        <v>47.307039932624683</v>
      </c>
      <c r="H219" s="40">
        <v>49.907243817114932</v>
      </c>
      <c r="I219" s="40">
        <v>0</v>
      </c>
      <c r="J219" s="40">
        <v>43.773622682147476</v>
      </c>
      <c r="K219" s="38">
        <v>216</v>
      </c>
      <c r="M219" s="41"/>
      <c r="N219" s="41"/>
      <c r="O219" s="59" t="s">
        <v>209</v>
      </c>
      <c r="P219" s="38">
        <v>4</v>
      </c>
      <c r="Q219" s="40">
        <v>49.622042838564681</v>
      </c>
      <c r="R219" s="48">
        <v>3</v>
      </c>
      <c r="AC219" s="38" t="s">
        <v>226</v>
      </c>
      <c r="AD219" s="38">
        <v>3</v>
      </c>
      <c r="AE219" s="40">
        <v>77.803625776507474</v>
      </c>
      <c r="AF219" s="40">
        <v>16.25</v>
      </c>
      <c r="AG219" s="39">
        <v>50</v>
      </c>
      <c r="AH219" s="40">
        <v>49.907243817114932</v>
      </c>
      <c r="AI219" s="40">
        <v>0</v>
      </c>
      <c r="AJ219" s="40">
        <v>43.773622682147476</v>
      </c>
      <c r="AK219" s="38">
        <v>216</v>
      </c>
      <c r="AM219" s="41"/>
      <c r="AN219" s="48"/>
      <c r="AV219" s="69"/>
    </row>
    <row r="220" spans="1:48" x14ac:dyDescent="0.25">
      <c r="A220" s="38" t="s">
        <v>284</v>
      </c>
      <c r="B220" s="38">
        <v>4</v>
      </c>
      <c r="C220" s="39">
        <v>81.25</v>
      </c>
      <c r="D220" s="40">
        <v>85.715858906321799</v>
      </c>
      <c r="E220" s="40">
        <v>21.25</v>
      </c>
      <c r="F220" s="39">
        <v>66.25</v>
      </c>
      <c r="G220" s="40">
        <v>37.184033468314489</v>
      </c>
      <c r="H220" s="40">
        <v>39.227832201082983</v>
      </c>
      <c r="I220" s="40">
        <v>0</v>
      </c>
      <c r="J220" s="40">
        <v>43.709304661697558</v>
      </c>
      <c r="K220" s="38">
        <v>217</v>
      </c>
      <c r="M220" s="41"/>
      <c r="N220" s="41"/>
      <c r="O220" s="59" t="s">
        <v>297</v>
      </c>
      <c r="P220" s="38">
        <v>4</v>
      </c>
      <c r="Q220" s="40">
        <v>49.26779208222888</v>
      </c>
      <c r="R220" s="48">
        <v>3</v>
      </c>
      <c r="AC220" s="38" t="s">
        <v>284</v>
      </c>
      <c r="AD220" s="38">
        <v>4</v>
      </c>
      <c r="AE220" s="40">
        <v>85.715858906321799</v>
      </c>
      <c r="AF220" s="40">
        <v>21.25</v>
      </c>
      <c r="AG220" s="39">
        <v>66.25</v>
      </c>
      <c r="AH220" s="40">
        <v>39.227832201082983</v>
      </c>
      <c r="AI220" s="40">
        <v>0</v>
      </c>
      <c r="AJ220" s="40">
        <v>43.709304661697558</v>
      </c>
      <c r="AK220" s="38">
        <v>217</v>
      </c>
      <c r="AM220" s="41"/>
      <c r="AN220" s="48"/>
      <c r="AV220" s="69"/>
    </row>
    <row r="221" spans="1:48" x14ac:dyDescent="0.25">
      <c r="A221" s="38" t="s">
        <v>280</v>
      </c>
      <c r="B221" s="38">
        <v>4</v>
      </c>
      <c r="C221" s="39">
        <v>71.25</v>
      </c>
      <c r="D221" s="40">
        <v>75.166214733236032</v>
      </c>
      <c r="E221" s="40">
        <v>28.75</v>
      </c>
      <c r="F221" s="39">
        <v>26.25</v>
      </c>
      <c r="G221" s="40">
        <v>41.957632730506603</v>
      </c>
      <c r="H221" s="40">
        <v>44.263809565186129</v>
      </c>
      <c r="I221" s="40">
        <v>25</v>
      </c>
      <c r="J221" s="40">
        <v>43.613766772721661</v>
      </c>
      <c r="K221" s="38">
        <v>218</v>
      </c>
      <c r="M221" s="41"/>
      <c r="N221" s="41"/>
      <c r="O221" s="59" t="s">
        <v>247</v>
      </c>
      <c r="P221" s="38">
        <v>4</v>
      </c>
      <c r="Q221" s="40">
        <v>49.237348711195835</v>
      </c>
      <c r="R221" s="48">
        <v>3</v>
      </c>
      <c r="AC221" s="38" t="s">
        <v>280</v>
      </c>
      <c r="AD221" s="38">
        <v>4</v>
      </c>
      <c r="AE221" s="40">
        <v>75.166214733236032</v>
      </c>
      <c r="AF221" s="40">
        <v>28.75</v>
      </c>
      <c r="AG221" s="39">
        <v>26.25</v>
      </c>
      <c r="AH221" s="40">
        <v>44.263809565186129</v>
      </c>
      <c r="AI221" s="40">
        <v>25</v>
      </c>
      <c r="AJ221" s="40">
        <v>43.613766772721661</v>
      </c>
      <c r="AK221" s="38">
        <v>218</v>
      </c>
      <c r="AM221" s="41"/>
      <c r="AN221" s="48"/>
      <c r="AV221" s="69"/>
    </row>
    <row r="222" spans="1:48" x14ac:dyDescent="0.25">
      <c r="A222" s="38" t="s">
        <v>34</v>
      </c>
      <c r="B222" s="38">
        <v>2</v>
      </c>
      <c r="C222" s="39">
        <v>66.25</v>
      </c>
      <c r="D222" s="40">
        <v>69.495406356784741</v>
      </c>
      <c r="E222" s="40">
        <v>12.5</v>
      </c>
      <c r="F222" s="39">
        <v>32.5</v>
      </c>
      <c r="G222" s="40">
        <v>51.143221904984145</v>
      </c>
      <c r="H222" s="40">
        <v>53.648588508408871</v>
      </c>
      <c r="I222" s="40">
        <v>25</v>
      </c>
      <c r="J222" s="40">
        <v>43.608516674720498</v>
      </c>
      <c r="K222" s="38">
        <v>219</v>
      </c>
      <c r="M222" s="41"/>
      <c r="N222" s="41"/>
      <c r="O222" s="59" t="s">
        <v>283</v>
      </c>
      <c r="P222" s="38">
        <v>4</v>
      </c>
      <c r="Q222" s="40">
        <v>49.185276346926031</v>
      </c>
      <c r="R222" s="48">
        <v>3</v>
      </c>
      <c r="AC222" s="38" t="s">
        <v>34</v>
      </c>
      <c r="AD222" s="38">
        <v>2</v>
      </c>
      <c r="AE222" s="40">
        <v>69.495406356784741</v>
      </c>
      <c r="AF222" s="40">
        <v>12.5</v>
      </c>
      <c r="AG222" s="39">
        <v>32.5</v>
      </c>
      <c r="AH222" s="40">
        <v>53.648588508408871</v>
      </c>
      <c r="AI222" s="40">
        <v>25</v>
      </c>
      <c r="AJ222" s="40">
        <v>43.608516674720498</v>
      </c>
      <c r="AK222" s="38">
        <v>219</v>
      </c>
      <c r="AM222" s="41"/>
      <c r="AN222" s="48"/>
      <c r="AV222" s="69"/>
    </row>
    <row r="223" spans="1:48" x14ac:dyDescent="0.25">
      <c r="A223" s="38" t="s">
        <v>353</v>
      </c>
      <c r="B223" s="38">
        <v>3</v>
      </c>
      <c r="C223" s="39">
        <v>52.5</v>
      </c>
      <c r="D223" s="40">
        <v>55.385631908700233</v>
      </c>
      <c r="E223" s="40">
        <v>15</v>
      </c>
      <c r="F223" s="39">
        <v>51.25</v>
      </c>
      <c r="G223" s="40">
        <v>51.403763436573641</v>
      </c>
      <c r="H223" s="40">
        <v>54.229141341332792</v>
      </c>
      <c r="I223" s="40">
        <v>25</v>
      </c>
      <c r="J223" s="40">
        <v>43.39378291827316</v>
      </c>
      <c r="K223" s="38">
        <v>220</v>
      </c>
      <c r="M223" s="41"/>
      <c r="N223" s="41"/>
      <c r="O223" s="59" t="s">
        <v>261</v>
      </c>
      <c r="P223" s="38">
        <v>4</v>
      </c>
      <c r="Q223" s="40">
        <v>49.089668888182345</v>
      </c>
      <c r="R223" s="48">
        <v>3</v>
      </c>
      <c r="AC223" s="38" t="s">
        <v>353</v>
      </c>
      <c r="AD223" s="38">
        <v>3</v>
      </c>
      <c r="AE223" s="40">
        <v>55.385631908700233</v>
      </c>
      <c r="AF223" s="40">
        <v>15</v>
      </c>
      <c r="AG223" s="39">
        <v>51.25</v>
      </c>
      <c r="AH223" s="40">
        <v>54.229141341332792</v>
      </c>
      <c r="AI223" s="40">
        <v>25</v>
      </c>
      <c r="AJ223" s="40">
        <v>43.39378291827316</v>
      </c>
      <c r="AK223" s="38">
        <v>220</v>
      </c>
      <c r="AM223" s="41"/>
      <c r="AN223" s="48"/>
      <c r="AV223" s="69"/>
    </row>
    <row r="224" spans="1:48" x14ac:dyDescent="0.25">
      <c r="A224" s="38" t="s">
        <v>266</v>
      </c>
      <c r="B224" s="38">
        <v>4</v>
      </c>
      <c r="C224" s="39">
        <v>85</v>
      </c>
      <c r="D224" s="40">
        <v>89.671975471228947</v>
      </c>
      <c r="E224" s="40">
        <v>16.25</v>
      </c>
      <c r="F224" s="39">
        <v>25</v>
      </c>
      <c r="G224" s="40">
        <v>40.688442407077261</v>
      </c>
      <c r="H224" s="40">
        <v>42.924858935175813</v>
      </c>
      <c r="I224" s="40">
        <v>25</v>
      </c>
      <c r="J224" s="40">
        <v>43.354338668316117</v>
      </c>
      <c r="K224" s="38">
        <v>221</v>
      </c>
      <c r="M224" s="41"/>
      <c r="N224" s="41"/>
      <c r="O224" s="59" t="s">
        <v>278</v>
      </c>
      <c r="P224" s="38">
        <v>4</v>
      </c>
      <c r="Q224" s="40">
        <v>48.962540587184527</v>
      </c>
      <c r="R224" s="48">
        <v>3</v>
      </c>
      <c r="AC224" s="38" t="s">
        <v>266</v>
      </c>
      <c r="AD224" s="38">
        <v>4</v>
      </c>
      <c r="AE224" s="40">
        <v>89.671975471228947</v>
      </c>
      <c r="AF224" s="40">
        <v>16.25</v>
      </c>
      <c r="AG224" s="39">
        <v>25</v>
      </c>
      <c r="AH224" s="40">
        <v>42.924858935175813</v>
      </c>
      <c r="AI224" s="40">
        <v>25</v>
      </c>
      <c r="AJ224" s="40">
        <v>43.354338668316117</v>
      </c>
      <c r="AK224" s="38">
        <v>221</v>
      </c>
      <c r="AM224" s="41"/>
      <c r="AN224" s="48"/>
      <c r="AV224" s="69"/>
    </row>
    <row r="225" spans="1:48" x14ac:dyDescent="0.25">
      <c r="A225" s="38" t="s">
        <v>216</v>
      </c>
      <c r="B225" s="38">
        <v>2</v>
      </c>
      <c r="C225" s="39">
        <v>60</v>
      </c>
      <c r="D225" s="40">
        <v>63.297865038514558</v>
      </c>
      <c r="E225" s="40">
        <v>28.75</v>
      </c>
      <c r="F225" s="39">
        <v>50</v>
      </c>
      <c r="G225" s="40">
        <v>35.144863989148817</v>
      </c>
      <c r="H225" s="40">
        <v>37.076580959701538</v>
      </c>
      <c r="I225" s="40">
        <v>50</v>
      </c>
      <c r="J225" s="40">
        <v>43.24020539158353</v>
      </c>
      <c r="K225" s="38">
        <v>222</v>
      </c>
      <c r="M225" s="41"/>
      <c r="N225" s="41"/>
      <c r="O225" s="59" t="s">
        <v>289</v>
      </c>
      <c r="P225" s="38">
        <v>4</v>
      </c>
      <c r="Q225" s="40">
        <v>48.830570679826643</v>
      </c>
      <c r="R225" s="48">
        <v>3</v>
      </c>
      <c r="AC225" s="38" t="s">
        <v>216</v>
      </c>
      <c r="AD225" s="38">
        <v>2</v>
      </c>
      <c r="AE225" s="40">
        <v>63.297865038514558</v>
      </c>
      <c r="AF225" s="40">
        <v>28.75</v>
      </c>
      <c r="AG225" s="39">
        <v>50</v>
      </c>
      <c r="AH225" s="40">
        <v>37.076580959701538</v>
      </c>
      <c r="AI225" s="40">
        <v>50</v>
      </c>
      <c r="AJ225" s="40">
        <v>43.24020539158353</v>
      </c>
      <c r="AK225" s="38">
        <v>222</v>
      </c>
      <c r="AM225" s="41"/>
      <c r="AN225" s="48"/>
      <c r="AV225" s="69"/>
    </row>
    <row r="226" spans="1:48" x14ac:dyDescent="0.25">
      <c r="A226" s="38" t="s">
        <v>265</v>
      </c>
      <c r="B226" s="38">
        <v>4</v>
      </c>
      <c r="C226" s="39">
        <v>71.25</v>
      </c>
      <c r="D226" s="40">
        <v>75.166214733236032</v>
      </c>
      <c r="E226" s="40">
        <v>16.25</v>
      </c>
      <c r="F226" s="39">
        <v>41.25</v>
      </c>
      <c r="G226" s="40">
        <v>43.037804022207645</v>
      </c>
      <c r="H226" s="40">
        <v>45.403351842528977</v>
      </c>
      <c r="I226" s="40">
        <v>25</v>
      </c>
      <c r="J226" s="40">
        <v>43.069583683658799</v>
      </c>
      <c r="K226" s="38">
        <v>223</v>
      </c>
      <c r="M226" s="41"/>
      <c r="N226" s="41"/>
      <c r="O226" s="59" t="s">
        <v>70</v>
      </c>
      <c r="P226" s="38">
        <v>4</v>
      </c>
      <c r="Q226" s="40">
        <v>48.361089098984621</v>
      </c>
      <c r="R226" s="48">
        <v>3</v>
      </c>
      <c r="AC226" s="38" t="s">
        <v>265</v>
      </c>
      <c r="AD226" s="38">
        <v>4</v>
      </c>
      <c r="AE226" s="40">
        <v>75.166214733236032</v>
      </c>
      <c r="AF226" s="40">
        <v>16.25</v>
      </c>
      <c r="AG226" s="39">
        <v>41.25</v>
      </c>
      <c r="AH226" s="40">
        <v>45.403351842528977</v>
      </c>
      <c r="AI226" s="40">
        <v>25</v>
      </c>
      <c r="AJ226" s="40">
        <v>43.069583683658799</v>
      </c>
      <c r="AK226" s="38">
        <v>223</v>
      </c>
      <c r="AM226" s="41"/>
      <c r="AN226" s="48"/>
      <c r="AV226" s="69"/>
    </row>
    <row r="227" spans="1:48" x14ac:dyDescent="0.25">
      <c r="A227" s="38" t="s">
        <v>44</v>
      </c>
      <c r="B227" s="38">
        <v>2</v>
      </c>
      <c r="C227" s="39">
        <v>66.25</v>
      </c>
      <c r="D227" s="40">
        <v>69.891392646693149</v>
      </c>
      <c r="E227" s="40">
        <v>28.75</v>
      </c>
      <c r="F227" s="39">
        <v>26.25</v>
      </c>
      <c r="G227" s="40">
        <v>46.06163757352352</v>
      </c>
      <c r="H227" s="40">
        <v>48.593388643031048</v>
      </c>
      <c r="I227" s="40">
        <v>12.5</v>
      </c>
      <c r="J227" s="40">
        <v>43.04063398655105</v>
      </c>
      <c r="K227" s="38">
        <v>224</v>
      </c>
      <c r="M227" s="41"/>
      <c r="N227" s="41"/>
      <c r="O227" s="59" t="s">
        <v>227</v>
      </c>
      <c r="P227" s="38">
        <v>4</v>
      </c>
      <c r="Q227" s="40">
        <v>47.960269434685692</v>
      </c>
      <c r="R227" s="48">
        <v>3</v>
      </c>
      <c r="AC227" s="38" t="s">
        <v>44</v>
      </c>
      <c r="AD227" s="38">
        <v>2</v>
      </c>
      <c r="AE227" s="40">
        <v>69.891392646693149</v>
      </c>
      <c r="AF227" s="40">
        <v>28.75</v>
      </c>
      <c r="AG227" s="39">
        <v>26.25</v>
      </c>
      <c r="AH227" s="40">
        <v>48.593388643031048</v>
      </c>
      <c r="AI227" s="40">
        <v>12.5</v>
      </c>
      <c r="AJ227" s="40">
        <v>43.04063398655105</v>
      </c>
      <c r="AK227" s="38">
        <v>224</v>
      </c>
      <c r="AM227" s="41"/>
      <c r="AN227" s="48"/>
      <c r="AV227" s="69"/>
    </row>
    <row r="228" spans="1:48" x14ac:dyDescent="0.25">
      <c r="A228" s="38" t="s">
        <v>204</v>
      </c>
      <c r="B228" s="38">
        <v>3</v>
      </c>
      <c r="C228" s="39">
        <v>73.75</v>
      </c>
      <c r="D228" s="40">
        <v>77.803625776507474</v>
      </c>
      <c r="E228" s="40">
        <v>25</v>
      </c>
      <c r="F228" s="39">
        <v>42.5</v>
      </c>
      <c r="G228" s="40">
        <v>40.046085115463917</v>
      </c>
      <c r="H228" s="40">
        <v>42.247194849325027</v>
      </c>
      <c r="I228" s="40">
        <v>12.5</v>
      </c>
      <c r="J228" s="40">
        <v>42.959603095031511</v>
      </c>
      <c r="K228" s="38">
        <v>225</v>
      </c>
      <c r="M228" s="41"/>
      <c r="N228" s="41"/>
      <c r="O228" s="59" t="s">
        <v>159</v>
      </c>
      <c r="P228" s="38">
        <v>4</v>
      </c>
      <c r="Q228" s="40">
        <v>47.931440734062377</v>
      </c>
      <c r="R228" s="48">
        <v>3</v>
      </c>
      <c r="AC228" s="38" t="s">
        <v>204</v>
      </c>
      <c r="AD228" s="38">
        <v>3</v>
      </c>
      <c r="AE228" s="40">
        <v>77.803625776507474</v>
      </c>
      <c r="AF228" s="40">
        <v>25</v>
      </c>
      <c r="AG228" s="39">
        <v>42.5</v>
      </c>
      <c r="AH228" s="40">
        <v>42.247194849325027</v>
      </c>
      <c r="AI228" s="40">
        <v>12.5</v>
      </c>
      <c r="AJ228" s="40">
        <v>42.959603095031511</v>
      </c>
      <c r="AK228" s="38">
        <v>225</v>
      </c>
      <c r="AM228" s="41"/>
      <c r="AN228" s="48"/>
      <c r="AV228" s="69"/>
    </row>
    <row r="229" spans="1:48" x14ac:dyDescent="0.25">
      <c r="A229" s="38" t="s">
        <v>91</v>
      </c>
      <c r="B229" s="38">
        <v>2</v>
      </c>
      <c r="C229" s="39">
        <v>56.25</v>
      </c>
      <c r="D229" s="40">
        <v>59.341748473607396</v>
      </c>
      <c r="E229" s="40">
        <v>28.75</v>
      </c>
      <c r="F229" s="39">
        <v>58.75</v>
      </c>
      <c r="G229" s="40">
        <v>42.965574768903522</v>
      </c>
      <c r="H229" s="40">
        <v>45.327152550404357</v>
      </c>
      <c r="I229" s="40">
        <v>12.5</v>
      </c>
      <c r="J229" s="40">
        <v>42.874210714883219</v>
      </c>
      <c r="K229" s="38">
        <v>226</v>
      </c>
      <c r="M229" s="41"/>
      <c r="N229" s="41"/>
      <c r="O229" s="59" t="s">
        <v>218</v>
      </c>
      <c r="P229" s="38">
        <v>4</v>
      </c>
      <c r="Q229" s="40">
        <v>47.56937567428767</v>
      </c>
      <c r="R229" s="48">
        <v>3</v>
      </c>
      <c r="AC229" s="38" t="s">
        <v>91</v>
      </c>
      <c r="AD229" s="38">
        <v>2</v>
      </c>
      <c r="AE229" s="40">
        <v>59.341748473607396</v>
      </c>
      <c r="AF229" s="40">
        <v>28.75</v>
      </c>
      <c r="AG229" s="39">
        <v>58.75</v>
      </c>
      <c r="AH229" s="40">
        <v>45.327152550404357</v>
      </c>
      <c r="AI229" s="40">
        <v>12.5</v>
      </c>
      <c r="AJ229" s="40">
        <v>42.874210714883219</v>
      </c>
      <c r="AK229" s="38">
        <v>226</v>
      </c>
      <c r="AM229" s="41"/>
      <c r="AN229" s="48"/>
      <c r="AV229" s="69"/>
    </row>
    <row r="230" spans="1:48" x14ac:dyDescent="0.25">
      <c r="A230" s="38" t="s">
        <v>121</v>
      </c>
      <c r="B230" s="38">
        <v>2</v>
      </c>
      <c r="C230" s="39">
        <v>75</v>
      </c>
      <c r="D230" s="40">
        <v>79.122331298143195</v>
      </c>
      <c r="E230" s="40">
        <v>22.5</v>
      </c>
      <c r="F230" s="39">
        <v>33.75</v>
      </c>
      <c r="G230" s="40">
        <v>42.325895823949807</v>
      </c>
      <c r="H230" s="40">
        <v>44.652314024976697</v>
      </c>
      <c r="I230" s="40">
        <v>12.5</v>
      </c>
      <c r="J230" s="40">
        <v>42.810391869619323</v>
      </c>
      <c r="K230" s="38">
        <v>227</v>
      </c>
      <c r="M230" s="41"/>
      <c r="N230" s="41"/>
      <c r="O230" s="59" t="s">
        <v>290</v>
      </c>
      <c r="P230" s="38">
        <v>4</v>
      </c>
      <c r="Q230" s="40">
        <v>47.437365456496451</v>
      </c>
      <c r="R230" s="48">
        <v>3</v>
      </c>
      <c r="AC230" s="38" t="s">
        <v>121</v>
      </c>
      <c r="AD230" s="38">
        <v>2</v>
      </c>
      <c r="AE230" s="40">
        <v>79.122331298143195</v>
      </c>
      <c r="AF230" s="40">
        <v>22.5</v>
      </c>
      <c r="AG230" s="39">
        <v>33.75</v>
      </c>
      <c r="AH230" s="40">
        <v>44.652314024976697</v>
      </c>
      <c r="AI230" s="40">
        <v>12.5</v>
      </c>
      <c r="AJ230" s="40">
        <v>42.810391869619323</v>
      </c>
      <c r="AK230" s="38">
        <v>227</v>
      </c>
      <c r="AM230" s="41"/>
      <c r="AN230" s="48"/>
      <c r="AV230" s="69"/>
    </row>
    <row r="231" spans="1:48" x14ac:dyDescent="0.25">
      <c r="A231" s="38" t="s">
        <v>219</v>
      </c>
      <c r="B231" s="38">
        <v>4</v>
      </c>
      <c r="C231" s="39">
        <v>78.75</v>
      </c>
      <c r="D231" s="40">
        <v>83.078447863050357</v>
      </c>
      <c r="E231" s="40">
        <v>6.25</v>
      </c>
      <c r="F231" s="39">
        <v>8.75</v>
      </c>
      <c r="G231" s="40">
        <v>50.983822361693917</v>
      </c>
      <c r="H231" s="40">
        <v>53.78611844996837</v>
      </c>
      <c r="I231" s="40">
        <v>25</v>
      </c>
      <c r="J231" s="40">
        <v>42.755136952597425</v>
      </c>
      <c r="K231" s="38">
        <v>228</v>
      </c>
      <c r="M231" s="41"/>
      <c r="N231" s="41"/>
      <c r="O231" s="59" t="s">
        <v>253</v>
      </c>
      <c r="P231" s="38">
        <v>4</v>
      </c>
      <c r="Q231" s="40">
        <v>47.370096560456233</v>
      </c>
      <c r="R231" s="48">
        <v>3</v>
      </c>
      <c r="AC231" s="38" t="s">
        <v>219</v>
      </c>
      <c r="AD231" s="38">
        <v>4</v>
      </c>
      <c r="AE231" s="40">
        <v>83.078447863050357</v>
      </c>
      <c r="AF231" s="40">
        <v>6.25</v>
      </c>
      <c r="AG231" s="39">
        <v>8.75</v>
      </c>
      <c r="AH231" s="40">
        <v>53.78611844996837</v>
      </c>
      <c r="AI231" s="40">
        <v>25</v>
      </c>
      <c r="AJ231" s="40">
        <v>42.755136952597425</v>
      </c>
      <c r="AK231" s="38">
        <v>228</v>
      </c>
      <c r="AM231" s="41"/>
      <c r="AN231" s="48"/>
      <c r="AV231" s="69"/>
    </row>
    <row r="232" spans="1:48" x14ac:dyDescent="0.25">
      <c r="A232" s="38" t="s">
        <v>294</v>
      </c>
      <c r="B232" s="38">
        <v>3</v>
      </c>
      <c r="C232" s="39">
        <v>73.75</v>
      </c>
      <c r="D232" s="40">
        <v>77.803625776507474</v>
      </c>
      <c r="E232" s="40">
        <v>28.75</v>
      </c>
      <c r="F232" s="39">
        <v>25</v>
      </c>
      <c r="G232" s="40">
        <v>38.765565544826337</v>
      </c>
      <c r="H232" s="40">
        <v>40.896292266635122</v>
      </c>
      <c r="I232" s="40">
        <v>25</v>
      </c>
      <c r="J232" s="40">
        <v>42.669242061955543</v>
      </c>
      <c r="K232" s="38">
        <v>229</v>
      </c>
      <c r="M232" s="41"/>
      <c r="N232" s="41"/>
      <c r="O232" s="59" t="s">
        <v>86</v>
      </c>
      <c r="P232" s="38">
        <v>4</v>
      </c>
      <c r="Q232" s="40">
        <v>47.146989123485341</v>
      </c>
      <c r="R232" s="48">
        <v>3</v>
      </c>
      <c r="AC232" s="38" t="s">
        <v>294</v>
      </c>
      <c r="AD232" s="38">
        <v>3</v>
      </c>
      <c r="AE232" s="40">
        <v>77.803625776507474</v>
      </c>
      <c r="AF232" s="40">
        <v>28.75</v>
      </c>
      <c r="AG232" s="39">
        <v>25</v>
      </c>
      <c r="AH232" s="40">
        <v>40.896292266635122</v>
      </c>
      <c r="AI232" s="40">
        <v>25</v>
      </c>
      <c r="AJ232" s="40">
        <v>42.669242061955543</v>
      </c>
      <c r="AK232" s="38">
        <v>229</v>
      </c>
      <c r="AM232" s="41"/>
      <c r="AN232" s="48"/>
      <c r="AV232" s="69"/>
    </row>
    <row r="233" spans="1:48" x14ac:dyDescent="0.25">
      <c r="A233" s="38" t="s">
        <v>145</v>
      </c>
      <c r="B233" s="38">
        <v>2</v>
      </c>
      <c r="C233" s="39">
        <v>76.25</v>
      </c>
      <c r="D233" s="40">
        <v>80.441036819778915</v>
      </c>
      <c r="E233" s="40">
        <v>22.5</v>
      </c>
      <c r="F233" s="39">
        <v>42.5</v>
      </c>
      <c r="G233" s="40">
        <v>42.005157898596849</v>
      </c>
      <c r="H233" s="40">
        <v>44.313946926447947</v>
      </c>
      <c r="I233" s="40">
        <v>0</v>
      </c>
      <c r="J233" s="40">
        <v>42.563786134534965</v>
      </c>
      <c r="K233" s="38">
        <v>230</v>
      </c>
      <c r="M233" s="41"/>
      <c r="N233" s="41"/>
      <c r="O233" s="59" t="s">
        <v>212</v>
      </c>
      <c r="P233" s="38">
        <v>4</v>
      </c>
      <c r="Q233" s="40">
        <v>46.909256709101825</v>
      </c>
      <c r="R233" s="48">
        <v>3</v>
      </c>
      <c r="AC233" s="38" t="s">
        <v>145</v>
      </c>
      <c r="AD233" s="38">
        <v>2</v>
      </c>
      <c r="AE233" s="40">
        <v>80.441036819778915</v>
      </c>
      <c r="AF233" s="40">
        <v>22.5</v>
      </c>
      <c r="AG233" s="39">
        <v>42.5</v>
      </c>
      <c r="AH233" s="40">
        <v>44.313946926447947</v>
      </c>
      <c r="AI233" s="40">
        <v>0</v>
      </c>
      <c r="AJ233" s="40">
        <v>42.563786134534965</v>
      </c>
      <c r="AK233" s="38">
        <v>230</v>
      </c>
      <c r="AM233" s="41"/>
      <c r="AN233" s="48"/>
      <c r="AV233" s="69"/>
    </row>
    <row r="234" spans="1:48" x14ac:dyDescent="0.25">
      <c r="A234" s="38" t="s">
        <v>271</v>
      </c>
      <c r="B234" s="38">
        <v>4</v>
      </c>
      <c r="C234" s="39">
        <v>85</v>
      </c>
      <c r="D234" s="40">
        <v>89.671975471228947</v>
      </c>
      <c r="E234" s="40">
        <v>16.25</v>
      </c>
      <c r="F234" s="39">
        <v>25</v>
      </c>
      <c r="G234" s="40">
        <v>44.69385922121478</v>
      </c>
      <c r="H234" s="40">
        <v>47.150431150580374</v>
      </c>
      <c r="I234" s="40">
        <v>0</v>
      </c>
      <c r="J234" s="40">
        <v>42.544567554477936</v>
      </c>
      <c r="K234" s="38">
        <v>231</v>
      </c>
      <c r="M234" s="41"/>
      <c r="N234" s="41"/>
      <c r="O234" s="59" t="s">
        <v>366</v>
      </c>
      <c r="P234" s="38">
        <v>4</v>
      </c>
      <c r="Q234" s="40">
        <v>46.680376904139095</v>
      </c>
      <c r="R234" s="48">
        <v>3</v>
      </c>
      <c r="AC234" s="38" t="s">
        <v>271</v>
      </c>
      <c r="AD234" s="38">
        <v>4</v>
      </c>
      <c r="AE234" s="40">
        <v>89.671975471228947</v>
      </c>
      <c r="AF234" s="40">
        <v>16.25</v>
      </c>
      <c r="AG234" s="39">
        <v>25</v>
      </c>
      <c r="AH234" s="40">
        <v>47.150431150580374</v>
      </c>
      <c r="AI234" s="40">
        <v>0</v>
      </c>
      <c r="AJ234" s="40">
        <v>42.544567554477936</v>
      </c>
      <c r="AK234" s="38">
        <v>231</v>
      </c>
      <c r="AM234" s="41"/>
      <c r="AN234" s="48"/>
      <c r="AV234" s="69"/>
    </row>
    <row r="235" spans="1:48" x14ac:dyDescent="0.25">
      <c r="A235" s="38" t="s">
        <v>285</v>
      </c>
      <c r="B235" s="38">
        <v>4</v>
      </c>
      <c r="C235" s="39">
        <v>73.75</v>
      </c>
      <c r="D235" s="40">
        <v>77.803625776507474</v>
      </c>
      <c r="E235" s="40">
        <v>22.5</v>
      </c>
      <c r="F235" s="39">
        <v>17.5</v>
      </c>
      <c r="G235" s="40">
        <v>48.734445433420078</v>
      </c>
      <c r="H235" s="40">
        <v>51.413105829524604</v>
      </c>
      <c r="I235" s="40">
        <v>0</v>
      </c>
      <c r="J235" s="40">
        <v>42.375967487111339</v>
      </c>
      <c r="K235" s="38">
        <v>232</v>
      </c>
      <c r="M235" s="41"/>
      <c r="N235" s="41"/>
      <c r="O235" s="59" t="s">
        <v>202</v>
      </c>
      <c r="P235" s="38">
        <v>4</v>
      </c>
      <c r="Q235" s="40">
        <v>46.459946946076585</v>
      </c>
      <c r="R235" s="48">
        <v>3</v>
      </c>
      <c r="AC235" s="38" t="s">
        <v>285</v>
      </c>
      <c r="AD235" s="38">
        <v>4</v>
      </c>
      <c r="AE235" s="40">
        <v>77.803625776507474</v>
      </c>
      <c r="AF235" s="40">
        <v>22.5</v>
      </c>
      <c r="AG235" s="39">
        <v>17.5</v>
      </c>
      <c r="AH235" s="40">
        <v>51.413105829524604</v>
      </c>
      <c r="AI235" s="40">
        <v>0</v>
      </c>
      <c r="AJ235" s="40">
        <v>42.375967487111339</v>
      </c>
      <c r="AK235" s="38">
        <v>232</v>
      </c>
      <c r="AM235" s="41"/>
      <c r="AN235" s="48"/>
      <c r="AV235" s="69"/>
    </row>
    <row r="236" spans="1:48" x14ac:dyDescent="0.25">
      <c r="A236" s="38" t="s">
        <v>252</v>
      </c>
      <c r="B236" s="38">
        <v>3</v>
      </c>
      <c r="C236" s="39">
        <v>68.75</v>
      </c>
      <c r="D236" s="40">
        <v>72.52880368996459</v>
      </c>
      <c r="E236" s="40">
        <v>22.5</v>
      </c>
      <c r="F236" s="39">
        <v>42.5</v>
      </c>
      <c r="G236" s="40">
        <v>42.239230966265922</v>
      </c>
      <c r="H236" s="40">
        <v>44.560885683889083</v>
      </c>
      <c r="I236" s="40">
        <v>12.5</v>
      </c>
      <c r="J236" s="40">
        <v>42.330115011548557</v>
      </c>
      <c r="K236" s="38">
        <v>233</v>
      </c>
      <c r="M236" s="41"/>
      <c r="N236" s="41"/>
      <c r="O236" s="59" t="s">
        <v>187</v>
      </c>
      <c r="P236" s="38">
        <v>4</v>
      </c>
      <c r="Q236" s="40">
        <v>46.381202674438782</v>
      </c>
      <c r="R236" s="48">
        <v>3</v>
      </c>
      <c r="AC236" s="38" t="s">
        <v>252</v>
      </c>
      <c r="AD236" s="38">
        <v>3</v>
      </c>
      <c r="AE236" s="40">
        <v>72.52880368996459</v>
      </c>
      <c r="AF236" s="40">
        <v>22.5</v>
      </c>
      <c r="AG236" s="39">
        <v>42.5</v>
      </c>
      <c r="AH236" s="40">
        <v>44.560885683889083</v>
      </c>
      <c r="AI236" s="40">
        <v>12.5</v>
      </c>
      <c r="AJ236" s="40">
        <v>42.330115011548557</v>
      </c>
      <c r="AK236" s="38">
        <v>233</v>
      </c>
      <c r="AM236" s="41"/>
      <c r="AN236" s="48"/>
      <c r="AV236" s="69"/>
    </row>
    <row r="237" spans="1:48" x14ac:dyDescent="0.25">
      <c r="A237" s="38" t="s">
        <v>239</v>
      </c>
      <c r="B237" s="38">
        <v>4</v>
      </c>
      <c r="C237" s="39">
        <v>85</v>
      </c>
      <c r="D237" s="40">
        <v>89.671975471228947</v>
      </c>
      <c r="E237" s="40">
        <v>16.25</v>
      </c>
      <c r="F237" s="39">
        <v>25</v>
      </c>
      <c r="G237" s="40">
        <v>44.133467178075293</v>
      </c>
      <c r="H237" s="40">
        <v>46.559237485325362</v>
      </c>
      <c r="I237" s="40">
        <v>0</v>
      </c>
      <c r="J237" s="40">
        <v>42.308090088375934</v>
      </c>
      <c r="K237" s="38">
        <v>234</v>
      </c>
      <c r="M237" s="41"/>
      <c r="N237" s="41"/>
      <c r="O237" s="59" t="s">
        <v>229</v>
      </c>
      <c r="P237" s="38">
        <v>4</v>
      </c>
      <c r="Q237" s="40">
        <v>46.201143722820731</v>
      </c>
      <c r="R237" s="48">
        <v>3</v>
      </c>
      <c r="AC237" s="38" t="s">
        <v>239</v>
      </c>
      <c r="AD237" s="38">
        <v>4</v>
      </c>
      <c r="AE237" s="40">
        <v>89.671975471228947</v>
      </c>
      <c r="AF237" s="40">
        <v>16.25</v>
      </c>
      <c r="AG237" s="39">
        <v>25</v>
      </c>
      <c r="AH237" s="40">
        <v>46.559237485325362</v>
      </c>
      <c r="AI237" s="40">
        <v>0</v>
      </c>
      <c r="AJ237" s="40">
        <v>42.308090088375934</v>
      </c>
      <c r="AK237" s="38">
        <v>234</v>
      </c>
      <c r="AM237" s="41"/>
      <c r="AN237" s="48"/>
      <c r="AV237" s="69"/>
    </row>
    <row r="238" spans="1:48" x14ac:dyDescent="0.25">
      <c r="A238" s="38" t="s">
        <v>244</v>
      </c>
      <c r="B238" s="38">
        <v>3</v>
      </c>
      <c r="C238" s="39">
        <v>78.75</v>
      </c>
      <c r="D238" s="40">
        <v>83.078447863050357</v>
      </c>
      <c r="E238" s="40">
        <v>10</v>
      </c>
      <c r="F238" s="39">
        <v>35</v>
      </c>
      <c r="G238" s="40">
        <v>44.787860853549113</v>
      </c>
      <c r="H238" s="40">
        <v>47.249599527862017</v>
      </c>
      <c r="I238" s="40">
        <v>12.5</v>
      </c>
      <c r="J238" s="40">
        <v>42.265529383754881</v>
      </c>
      <c r="K238" s="38">
        <v>235</v>
      </c>
      <c r="M238" s="41"/>
      <c r="N238" s="41"/>
      <c r="O238" s="59" t="s">
        <v>242</v>
      </c>
      <c r="P238" s="38">
        <v>4</v>
      </c>
      <c r="Q238" s="40">
        <v>46.200611882402612</v>
      </c>
      <c r="R238" s="48">
        <v>3</v>
      </c>
      <c r="AC238" s="38" t="s">
        <v>244</v>
      </c>
      <c r="AD238" s="38">
        <v>3</v>
      </c>
      <c r="AE238" s="40">
        <v>83.078447863050357</v>
      </c>
      <c r="AF238" s="40">
        <v>10</v>
      </c>
      <c r="AG238" s="39">
        <v>35</v>
      </c>
      <c r="AH238" s="40">
        <v>47.249599527862017</v>
      </c>
      <c r="AI238" s="40">
        <v>12.5</v>
      </c>
      <c r="AJ238" s="40">
        <v>42.265529383754881</v>
      </c>
      <c r="AK238" s="38">
        <v>235</v>
      </c>
      <c r="AM238" s="41"/>
      <c r="AN238" s="48"/>
      <c r="AV238" s="69"/>
    </row>
    <row r="239" spans="1:48" x14ac:dyDescent="0.25">
      <c r="A239" s="38" t="s">
        <v>76</v>
      </c>
      <c r="B239" s="38">
        <v>2</v>
      </c>
      <c r="C239" s="39">
        <v>78.75</v>
      </c>
      <c r="D239" s="40">
        <v>83.078447863050357</v>
      </c>
      <c r="E239" s="40">
        <v>22.5</v>
      </c>
      <c r="F239" s="39">
        <v>42.5</v>
      </c>
      <c r="G239" s="40">
        <v>37.032454093101904</v>
      </c>
      <c r="H239" s="40">
        <v>39.067921353835835</v>
      </c>
      <c r="I239" s="40">
        <v>12.5</v>
      </c>
      <c r="J239" s="40">
        <v>42.242858114144411</v>
      </c>
      <c r="K239" s="38">
        <v>236</v>
      </c>
      <c r="M239" s="41"/>
      <c r="N239" s="41"/>
      <c r="O239" s="59" t="s">
        <v>235</v>
      </c>
      <c r="P239" s="38">
        <v>4</v>
      </c>
      <c r="Q239" s="40">
        <v>46.19447247421644</v>
      </c>
      <c r="R239" s="48">
        <v>3</v>
      </c>
      <c r="AC239" s="38" t="s">
        <v>76</v>
      </c>
      <c r="AD239" s="38">
        <v>2</v>
      </c>
      <c r="AE239" s="40">
        <v>83.078447863050357</v>
      </c>
      <c r="AF239" s="40">
        <v>22.5</v>
      </c>
      <c r="AG239" s="39">
        <v>42.5</v>
      </c>
      <c r="AH239" s="40">
        <v>39.067921353835835</v>
      </c>
      <c r="AI239" s="40">
        <v>12.5</v>
      </c>
      <c r="AJ239" s="40">
        <v>42.242858114144411</v>
      </c>
      <c r="AK239" s="38">
        <v>236</v>
      </c>
      <c r="AM239" s="41"/>
      <c r="AN239" s="48"/>
      <c r="AV239" s="69"/>
    </row>
    <row r="240" spans="1:48" x14ac:dyDescent="0.25">
      <c r="A240" s="38" t="s">
        <v>200</v>
      </c>
      <c r="B240" s="38">
        <v>2</v>
      </c>
      <c r="C240" s="39">
        <v>71.25</v>
      </c>
      <c r="D240" s="40">
        <v>75.166214733236032</v>
      </c>
      <c r="E240" s="40">
        <v>22.5</v>
      </c>
      <c r="F240" s="39">
        <v>8.75</v>
      </c>
      <c r="G240" s="40">
        <v>47.929834876056759</v>
      </c>
      <c r="H240" s="40">
        <v>50.564270321715476</v>
      </c>
      <c r="I240" s="40">
        <v>12.5</v>
      </c>
      <c r="J240" s="40">
        <v>41.8839510753334</v>
      </c>
      <c r="K240" s="38">
        <v>237</v>
      </c>
      <c r="M240" s="41"/>
      <c r="N240" s="41"/>
      <c r="O240" s="59" t="s">
        <v>225</v>
      </c>
      <c r="P240" s="38">
        <v>4</v>
      </c>
      <c r="Q240" s="40">
        <v>46.150408454287707</v>
      </c>
      <c r="R240" s="48">
        <v>3</v>
      </c>
      <c r="AC240" s="38" t="s">
        <v>200</v>
      </c>
      <c r="AD240" s="38">
        <v>2</v>
      </c>
      <c r="AE240" s="40">
        <v>75.166214733236032</v>
      </c>
      <c r="AF240" s="40">
        <v>22.5</v>
      </c>
      <c r="AG240" s="39">
        <v>8.75</v>
      </c>
      <c r="AH240" s="40">
        <v>50.564270321715476</v>
      </c>
      <c r="AI240" s="40">
        <v>12.5</v>
      </c>
      <c r="AJ240" s="40">
        <v>41.8839510753334</v>
      </c>
      <c r="AK240" s="38">
        <v>237</v>
      </c>
      <c r="AM240" s="41"/>
      <c r="AN240" s="48"/>
      <c r="AV240" s="69"/>
    </row>
    <row r="241" spans="1:48" x14ac:dyDescent="0.25">
      <c r="A241" s="38" t="s">
        <v>152</v>
      </c>
      <c r="B241" s="38">
        <v>3</v>
      </c>
      <c r="C241" s="39">
        <v>55</v>
      </c>
      <c r="D241" s="40">
        <v>58.023042951971675</v>
      </c>
      <c r="E241" s="40">
        <v>33.75</v>
      </c>
      <c r="F241" s="39">
        <v>57.5</v>
      </c>
      <c r="G241" s="40">
        <v>35.736663322743269</v>
      </c>
      <c r="H241" s="40">
        <v>37.700908198830611</v>
      </c>
      <c r="I241" s="40">
        <v>25</v>
      </c>
      <c r="J241" s="40">
        <v>41.684971869926578</v>
      </c>
      <c r="K241" s="38">
        <v>238</v>
      </c>
      <c r="M241" s="41"/>
      <c r="N241" s="41"/>
      <c r="O241" s="59" t="s">
        <v>286</v>
      </c>
      <c r="P241" s="38">
        <v>4</v>
      </c>
      <c r="Q241" s="40">
        <v>45.920850628574648</v>
      </c>
      <c r="R241" s="48">
        <v>3</v>
      </c>
      <c r="AC241" s="38" t="s">
        <v>152</v>
      </c>
      <c r="AD241" s="38">
        <v>3</v>
      </c>
      <c r="AE241" s="40">
        <v>58.023042951971675</v>
      </c>
      <c r="AF241" s="40">
        <v>33.75</v>
      </c>
      <c r="AG241" s="39">
        <v>57.5</v>
      </c>
      <c r="AH241" s="40">
        <v>37.700908198830611</v>
      </c>
      <c r="AI241" s="40">
        <v>25</v>
      </c>
      <c r="AJ241" s="40">
        <v>41.684971869926578</v>
      </c>
      <c r="AK241" s="38">
        <v>238</v>
      </c>
      <c r="AM241" s="41"/>
      <c r="AN241" s="48"/>
      <c r="AV241" s="69"/>
    </row>
    <row r="242" spans="1:48" x14ac:dyDescent="0.25">
      <c r="A242" s="38" t="s">
        <v>122</v>
      </c>
      <c r="B242" s="38">
        <v>2</v>
      </c>
      <c r="C242" s="39">
        <v>65</v>
      </c>
      <c r="D242" s="40">
        <v>68.572687125057442</v>
      </c>
      <c r="E242" s="40">
        <v>35</v>
      </c>
      <c r="F242" s="39">
        <v>17.5</v>
      </c>
      <c r="G242" s="40">
        <v>42.2740333410446</v>
      </c>
      <c r="H242" s="40">
        <v>44.597600950918427</v>
      </c>
      <c r="I242" s="40">
        <v>12.5</v>
      </c>
      <c r="J242" s="40">
        <v>41.553577805378865</v>
      </c>
      <c r="K242" s="38">
        <v>239</v>
      </c>
      <c r="M242" s="41"/>
      <c r="N242" s="41"/>
      <c r="O242" s="59" t="s">
        <v>198</v>
      </c>
      <c r="P242" s="38">
        <v>4</v>
      </c>
      <c r="Q242" s="40">
        <v>45.757986664100002</v>
      </c>
      <c r="R242" s="48">
        <v>3</v>
      </c>
      <c r="AC242" s="38" t="s">
        <v>122</v>
      </c>
      <c r="AD242" s="38">
        <v>2</v>
      </c>
      <c r="AE242" s="40">
        <v>68.572687125057442</v>
      </c>
      <c r="AF242" s="40">
        <v>35</v>
      </c>
      <c r="AG242" s="39">
        <v>17.5</v>
      </c>
      <c r="AH242" s="40">
        <v>44.597600950918427</v>
      </c>
      <c r="AI242" s="40">
        <v>12.5</v>
      </c>
      <c r="AJ242" s="40">
        <v>41.553577805378865</v>
      </c>
      <c r="AK242" s="38">
        <v>239</v>
      </c>
      <c r="AM242" s="41"/>
      <c r="AN242" s="48"/>
      <c r="AV242" s="69"/>
    </row>
    <row r="243" spans="1:48" x14ac:dyDescent="0.25">
      <c r="A243" s="38" t="s">
        <v>279</v>
      </c>
      <c r="B243" s="38">
        <v>4</v>
      </c>
      <c r="C243" s="39">
        <v>81.25</v>
      </c>
      <c r="D243" s="40">
        <v>85.715858906321799</v>
      </c>
      <c r="E243" s="40">
        <v>11.25</v>
      </c>
      <c r="F243" s="39">
        <v>41.25</v>
      </c>
      <c r="G243" s="40">
        <v>36.639953659977628</v>
      </c>
      <c r="H243" s="40">
        <v>38.653847363111524</v>
      </c>
      <c r="I243" s="40">
        <v>25</v>
      </c>
      <c r="J243" s="40">
        <v>41.479710726508969</v>
      </c>
      <c r="K243" s="38">
        <v>240</v>
      </c>
      <c r="M243" s="41"/>
      <c r="N243" s="41"/>
      <c r="O243" s="59" t="s">
        <v>203</v>
      </c>
      <c r="P243" s="38">
        <v>4</v>
      </c>
      <c r="Q243" s="40">
        <v>45.634125672760952</v>
      </c>
      <c r="R243" s="48">
        <v>3</v>
      </c>
      <c r="AC243" s="38" t="s">
        <v>279</v>
      </c>
      <c r="AD243" s="38">
        <v>4</v>
      </c>
      <c r="AE243" s="40">
        <v>85.715858906321799</v>
      </c>
      <c r="AF243" s="40">
        <v>11.25</v>
      </c>
      <c r="AG243" s="39">
        <v>41.25</v>
      </c>
      <c r="AH243" s="40">
        <v>38.653847363111524</v>
      </c>
      <c r="AI243" s="40">
        <v>25</v>
      </c>
      <c r="AJ243" s="40">
        <v>41.479710726508969</v>
      </c>
      <c r="AK243" s="38">
        <v>240</v>
      </c>
      <c r="AM243" s="41"/>
      <c r="AN243" s="48"/>
      <c r="AV243" s="69"/>
    </row>
    <row r="244" spans="1:48" x14ac:dyDescent="0.25">
      <c r="A244" s="38" t="s">
        <v>273</v>
      </c>
      <c r="B244" s="38">
        <v>3</v>
      </c>
      <c r="C244" s="39">
        <v>66.25</v>
      </c>
      <c r="D244" s="40">
        <v>69.891392646693149</v>
      </c>
      <c r="E244" s="40">
        <v>16.25</v>
      </c>
      <c r="F244" s="39">
        <v>41.25</v>
      </c>
      <c r="G244" s="40">
        <v>41.623167086745632</v>
      </c>
      <c r="H244" s="40">
        <v>43.910960212206099</v>
      </c>
      <c r="I244" s="40">
        <v>25</v>
      </c>
      <c r="J244" s="40">
        <v>41.417662614221072</v>
      </c>
      <c r="K244" s="38">
        <v>241</v>
      </c>
      <c r="M244" s="41"/>
      <c r="N244" s="41"/>
      <c r="O244" s="59" t="s">
        <v>167</v>
      </c>
      <c r="P244" s="38">
        <v>4</v>
      </c>
      <c r="Q244" s="40">
        <v>45.210518619663105</v>
      </c>
      <c r="R244" s="48">
        <v>3</v>
      </c>
      <c r="AC244" s="38" t="s">
        <v>273</v>
      </c>
      <c r="AD244" s="38">
        <v>3</v>
      </c>
      <c r="AE244" s="40">
        <v>69.891392646693149</v>
      </c>
      <c r="AF244" s="40">
        <v>16.25</v>
      </c>
      <c r="AG244" s="39">
        <v>41.25</v>
      </c>
      <c r="AH244" s="40">
        <v>43.910960212206099</v>
      </c>
      <c r="AI244" s="40">
        <v>25</v>
      </c>
      <c r="AJ244" s="40">
        <v>41.417662614221072</v>
      </c>
      <c r="AK244" s="38">
        <v>241</v>
      </c>
      <c r="AM244" s="41"/>
      <c r="AN244" s="48"/>
      <c r="AV244" s="69"/>
    </row>
    <row r="245" spans="1:48" x14ac:dyDescent="0.25">
      <c r="A245" s="38" t="s">
        <v>105</v>
      </c>
      <c r="B245" s="38">
        <v>4</v>
      </c>
      <c r="C245" s="39">
        <v>62.5</v>
      </c>
      <c r="D245" s="40">
        <v>65.935276081786</v>
      </c>
      <c r="E245" s="40">
        <v>16.25</v>
      </c>
      <c r="F245" s="39">
        <v>41.25</v>
      </c>
      <c r="G245" s="40">
        <v>45.834875696897122</v>
      </c>
      <c r="H245" s="40">
        <v>48.354162931988078</v>
      </c>
      <c r="I245" s="40">
        <v>12.5</v>
      </c>
      <c r="J245" s="40">
        <v>41.153720389152433</v>
      </c>
      <c r="K245" s="38">
        <v>242</v>
      </c>
      <c r="M245" s="41"/>
      <c r="N245" s="41"/>
      <c r="O245" s="59" t="s">
        <v>362</v>
      </c>
      <c r="P245" s="38">
        <v>4</v>
      </c>
      <c r="Q245" s="40">
        <v>45.209407975110551</v>
      </c>
      <c r="R245" s="48">
        <v>3</v>
      </c>
      <c r="AC245" s="38" t="s">
        <v>105</v>
      </c>
      <c r="AD245" s="38">
        <v>4</v>
      </c>
      <c r="AE245" s="40">
        <v>65.935276081786</v>
      </c>
      <c r="AF245" s="40">
        <v>16.25</v>
      </c>
      <c r="AG245" s="39">
        <v>41.25</v>
      </c>
      <c r="AH245" s="40">
        <v>48.354162931988078</v>
      </c>
      <c r="AI245" s="40">
        <v>12.5</v>
      </c>
      <c r="AJ245" s="40">
        <v>41.153720389152433</v>
      </c>
      <c r="AK245" s="38">
        <v>242</v>
      </c>
      <c r="AM245" s="41"/>
      <c r="AN245" s="48"/>
      <c r="AV245" s="69"/>
    </row>
    <row r="246" spans="1:48" x14ac:dyDescent="0.25">
      <c r="A246" s="38" t="s">
        <v>231</v>
      </c>
      <c r="B246" s="38">
        <v>4</v>
      </c>
      <c r="C246" s="39">
        <v>51.25</v>
      </c>
      <c r="D246" s="40">
        <v>54.06692638706452</v>
      </c>
      <c r="E246" s="40">
        <v>37.5</v>
      </c>
      <c r="F246" s="39">
        <v>25</v>
      </c>
      <c r="G246" s="40">
        <v>45.133951336614935</v>
      </c>
      <c r="H246" s="40">
        <v>47.614712672665597</v>
      </c>
      <c r="I246" s="40">
        <v>12.5</v>
      </c>
      <c r="J246" s="40">
        <v>41.10927034647915</v>
      </c>
      <c r="K246" s="38">
        <v>243</v>
      </c>
      <c r="M246" s="41"/>
      <c r="N246" s="41"/>
      <c r="O246" s="59" t="s">
        <v>222</v>
      </c>
      <c r="P246" s="38">
        <v>4</v>
      </c>
      <c r="Q246" s="40">
        <v>44.787022099425187</v>
      </c>
      <c r="R246" s="48">
        <v>3</v>
      </c>
      <c r="AC246" s="38" t="s">
        <v>231</v>
      </c>
      <c r="AD246" s="38">
        <v>4</v>
      </c>
      <c r="AE246" s="40">
        <v>54.06692638706452</v>
      </c>
      <c r="AF246" s="40">
        <v>37.5</v>
      </c>
      <c r="AG246" s="39">
        <v>25</v>
      </c>
      <c r="AH246" s="40">
        <v>47.614712672665597</v>
      </c>
      <c r="AI246" s="40">
        <v>12.5</v>
      </c>
      <c r="AJ246" s="40">
        <v>41.10927034647915</v>
      </c>
      <c r="AK246" s="38">
        <v>243</v>
      </c>
      <c r="AM246" s="41"/>
      <c r="AN246" s="48"/>
      <c r="AV246" s="69"/>
    </row>
    <row r="247" spans="1:48" x14ac:dyDescent="0.25">
      <c r="A247" s="38" t="s">
        <v>77</v>
      </c>
      <c r="B247" s="38">
        <v>3</v>
      </c>
      <c r="C247" s="39">
        <v>73.75</v>
      </c>
      <c r="D247" s="40">
        <v>77.803625776507474</v>
      </c>
      <c r="E247" s="40">
        <v>15</v>
      </c>
      <c r="F247" s="39">
        <v>8.75</v>
      </c>
      <c r="G247" s="40">
        <v>48.378766263150098</v>
      </c>
      <c r="H247" s="40">
        <v>51.037876960911937</v>
      </c>
      <c r="I247" s="40">
        <v>12.5</v>
      </c>
      <c r="J247" s="40">
        <v>41.100875939666274</v>
      </c>
      <c r="K247" s="38">
        <v>244</v>
      </c>
      <c r="M247" s="41"/>
      <c r="N247" s="41"/>
      <c r="O247" s="59" t="s">
        <v>248</v>
      </c>
      <c r="P247" s="38">
        <v>4</v>
      </c>
      <c r="Q247" s="40">
        <v>44.431710586392136</v>
      </c>
      <c r="R247" s="48">
        <v>3</v>
      </c>
      <c r="AC247" s="38" t="s">
        <v>77</v>
      </c>
      <c r="AD247" s="38">
        <v>3</v>
      </c>
      <c r="AE247" s="40">
        <v>77.803625776507474</v>
      </c>
      <c r="AF247" s="40">
        <v>15</v>
      </c>
      <c r="AG247" s="39">
        <v>8.75</v>
      </c>
      <c r="AH247" s="40">
        <v>51.037876960911937</v>
      </c>
      <c r="AI247" s="40">
        <v>12.5</v>
      </c>
      <c r="AJ247" s="40">
        <v>41.100875939666274</v>
      </c>
      <c r="AK247" s="38">
        <v>244</v>
      </c>
      <c r="AM247" s="41"/>
      <c r="AN247" s="48"/>
      <c r="AU247" s="70"/>
      <c r="AV247" s="69"/>
    </row>
    <row r="248" spans="1:48" x14ac:dyDescent="0.25">
      <c r="A248" s="38" t="s">
        <v>255</v>
      </c>
      <c r="B248" s="38">
        <v>4</v>
      </c>
      <c r="C248" s="39">
        <v>75</v>
      </c>
      <c r="D248" s="40">
        <v>79.122331298143195</v>
      </c>
      <c r="E248" s="40">
        <v>16.25</v>
      </c>
      <c r="F248" s="39">
        <v>25</v>
      </c>
      <c r="G248" s="40">
        <v>43.310159429598443</v>
      </c>
      <c r="H248" s="40">
        <v>45.690677106187849</v>
      </c>
      <c r="I248" s="40">
        <v>12.5</v>
      </c>
      <c r="J248" s="40">
        <v>41.100737102103778</v>
      </c>
      <c r="K248" s="38">
        <v>245</v>
      </c>
      <c r="M248" s="41"/>
      <c r="N248" s="41"/>
      <c r="O248" s="59" t="s">
        <v>363</v>
      </c>
      <c r="P248" s="38">
        <v>4</v>
      </c>
      <c r="Q248" s="40">
        <v>44.304692152626387</v>
      </c>
      <c r="R248" s="48">
        <v>3</v>
      </c>
      <c r="AC248" s="38" t="s">
        <v>255</v>
      </c>
      <c r="AD248" s="38">
        <v>4</v>
      </c>
      <c r="AE248" s="40">
        <v>79.122331298143195</v>
      </c>
      <c r="AF248" s="40">
        <v>16.25</v>
      </c>
      <c r="AG248" s="39">
        <v>25</v>
      </c>
      <c r="AH248" s="40">
        <v>45.690677106187849</v>
      </c>
      <c r="AI248" s="40">
        <v>12.5</v>
      </c>
      <c r="AJ248" s="40">
        <v>41.100737102103778</v>
      </c>
      <c r="AK248" s="38">
        <v>245</v>
      </c>
      <c r="AM248" s="41"/>
      <c r="AN248" s="48"/>
      <c r="AV248" s="69"/>
    </row>
    <row r="249" spans="1:48" x14ac:dyDescent="0.25">
      <c r="A249" s="38" t="s">
        <v>213</v>
      </c>
      <c r="B249" s="38">
        <v>3</v>
      </c>
      <c r="C249" s="39">
        <v>73.75</v>
      </c>
      <c r="D249" s="40">
        <v>77.803625776507474</v>
      </c>
      <c r="E249" s="40">
        <v>10</v>
      </c>
      <c r="F249" s="39">
        <v>42.5</v>
      </c>
      <c r="G249" s="40">
        <v>45.325048314573621</v>
      </c>
      <c r="H249" s="40">
        <v>47.816313184667209</v>
      </c>
      <c r="I249" s="40">
        <v>0</v>
      </c>
      <c r="J249" s="40">
        <v>40.937250429168387</v>
      </c>
      <c r="K249" s="38">
        <v>246</v>
      </c>
      <c r="M249" s="41"/>
      <c r="N249" s="41"/>
      <c r="O249" s="59" t="s">
        <v>256</v>
      </c>
      <c r="P249" s="38">
        <v>4</v>
      </c>
      <c r="Q249" s="40">
        <v>44.166493024726947</v>
      </c>
      <c r="R249" s="48">
        <v>3</v>
      </c>
      <c r="AC249" s="38" t="s">
        <v>213</v>
      </c>
      <c r="AD249" s="38">
        <v>3</v>
      </c>
      <c r="AE249" s="40">
        <v>77.803625776507474</v>
      </c>
      <c r="AF249" s="40">
        <v>10</v>
      </c>
      <c r="AG249" s="39">
        <v>42.5</v>
      </c>
      <c r="AH249" s="40">
        <v>47.816313184667209</v>
      </c>
      <c r="AI249" s="40">
        <v>0</v>
      </c>
      <c r="AJ249" s="40">
        <v>40.937250429168387</v>
      </c>
      <c r="AK249" s="38">
        <v>246</v>
      </c>
      <c r="AM249" s="41"/>
      <c r="AN249" s="48"/>
      <c r="AV249" s="69"/>
    </row>
    <row r="250" spans="1:48" x14ac:dyDescent="0.25">
      <c r="A250" s="38" t="s">
        <v>207</v>
      </c>
      <c r="B250" s="38">
        <v>4</v>
      </c>
      <c r="C250" s="39">
        <v>78.75</v>
      </c>
      <c r="D250" s="40">
        <v>83.078447863050357</v>
      </c>
      <c r="E250" s="40">
        <v>6.25</v>
      </c>
      <c r="F250" s="39">
        <v>8.75</v>
      </c>
      <c r="G250" s="40">
        <v>52.535780931332717</v>
      </c>
      <c r="H250" s="40">
        <v>55.423379518074412</v>
      </c>
      <c r="I250" s="40">
        <v>0</v>
      </c>
      <c r="J250" s="40">
        <v>40.910041379839839</v>
      </c>
      <c r="K250" s="38">
        <v>247</v>
      </c>
      <c r="M250" s="41"/>
      <c r="N250" s="41"/>
      <c r="O250" s="59" t="s">
        <v>176</v>
      </c>
      <c r="P250" s="38">
        <v>4</v>
      </c>
      <c r="Q250" s="40">
        <v>43.944921140323117</v>
      </c>
      <c r="R250" s="48">
        <v>3</v>
      </c>
      <c r="AC250" s="38" t="s">
        <v>207</v>
      </c>
      <c r="AD250" s="38">
        <v>4</v>
      </c>
      <c r="AE250" s="40">
        <v>83.078447863050357</v>
      </c>
      <c r="AF250" s="40">
        <v>6.25</v>
      </c>
      <c r="AG250" s="39">
        <v>8.75</v>
      </c>
      <c r="AH250" s="40">
        <v>55.423379518074412</v>
      </c>
      <c r="AI250" s="40">
        <v>0</v>
      </c>
      <c r="AJ250" s="40">
        <v>40.910041379839839</v>
      </c>
      <c r="AK250" s="38">
        <v>247</v>
      </c>
      <c r="AM250" s="41"/>
      <c r="AN250" s="48"/>
      <c r="AV250" s="69"/>
    </row>
    <row r="251" spans="1:48" x14ac:dyDescent="0.25">
      <c r="A251" s="38" t="s">
        <v>132</v>
      </c>
      <c r="B251" s="38">
        <v>3</v>
      </c>
      <c r="C251" s="39">
        <v>85</v>
      </c>
      <c r="D251" s="40">
        <v>89.671975471228947</v>
      </c>
      <c r="E251" s="40">
        <v>10</v>
      </c>
      <c r="F251" s="39">
        <v>17.5</v>
      </c>
      <c r="G251" s="40">
        <v>45.386691717836953</v>
      </c>
      <c r="H251" s="40">
        <v>47.881344781671828</v>
      </c>
      <c r="I251" s="40">
        <v>0</v>
      </c>
      <c r="J251" s="40">
        <v>40.836933006914521</v>
      </c>
      <c r="K251" s="38">
        <v>248</v>
      </c>
      <c r="M251" s="41"/>
      <c r="N251" s="41"/>
      <c r="O251" s="59" t="s">
        <v>284</v>
      </c>
      <c r="P251" s="38">
        <v>4</v>
      </c>
      <c r="Q251" s="40">
        <v>43.709304661697558</v>
      </c>
      <c r="R251" s="48">
        <v>3</v>
      </c>
      <c r="AC251" s="38" t="s">
        <v>132</v>
      </c>
      <c r="AD251" s="38">
        <v>3</v>
      </c>
      <c r="AE251" s="40">
        <v>89.671975471228947</v>
      </c>
      <c r="AF251" s="40">
        <v>10</v>
      </c>
      <c r="AG251" s="39">
        <v>17.5</v>
      </c>
      <c r="AH251" s="40">
        <v>47.881344781671828</v>
      </c>
      <c r="AI251" s="40">
        <v>0</v>
      </c>
      <c r="AJ251" s="40">
        <v>40.836933006914521</v>
      </c>
      <c r="AK251" s="38">
        <v>248</v>
      </c>
      <c r="AM251" s="41"/>
      <c r="AN251" s="48"/>
      <c r="AV251" s="69"/>
    </row>
    <row r="252" spans="1:48" x14ac:dyDescent="0.25">
      <c r="A252" s="38" t="s">
        <v>123</v>
      </c>
      <c r="B252" s="38">
        <v>3</v>
      </c>
      <c r="C252" s="39">
        <v>71.25</v>
      </c>
      <c r="D252" s="40">
        <v>75.166214733236032</v>
      </c>
      <c r="E252" s="40">
        <v>16.25</v>
      </c>
      <c r="F252" s="39">
        <v>35</v>
      </c>
      <c r="G252" s="40">
        <v>42.095313237263099</v>
      </c>
      <c r="H252" s="40">
        <v>44.409057600771249</v>
      </c>
      <c r="I252" s="40">
        <v>12.5</v>
      </c>
      <c r="J252" s="40">
        <v>40.796865986955709</v>
      </c>
      <c r="K252" s="38">
        <v>249</v>
      </c>
      <c r="M252" s="41"/>
      <c r="N252" s="41"/>
      <c r="O252" s="59" t="s">
        <v>280</v>
      </c>
      <c r="P252" s="38">
        <v>4</v>
      </c>
      <c r="Q252" s="40">
        <v>43.613766772721661</v>
      </c>
      <c r="R252" s="48">
        <v>3</v>
      </c>
      <c r="AC252" s="38" t="s">
        <v>123</v>
      </c>
      <c r="AD252" s="38">
        <v>3</v>
      </c>
      <c r="AE252" s="40">
        <v>75.166214733236032</v>
      </c>
      <c r="AF252" s="40">
        <v>16.25</v>
      </c>
      <c r="AG252" s="39">
        <v>35</v>
      </c>
      <c r="AH252" s="40">
        <v>44.409057600771249</v>
      </c>
      <c r="AI252" s="40">
        <v>12.5</v>
      </c>
      <c r="AJ252" s="40">
        <v>40.796865986955709</v>
      </c>
      <c r="AK252" s="38">
        <v>249</v>
      </c>
      <c r="AM252" s="41"/>
      <c r="AN252" s="48"/>
      <c r="AV252" s="69"/>
    </row>
    <row r="253" spans="1:48" x14ac:dyDescent="0.25">
      <c r="A253" s="38" t="s">
        <v>241</v>
      </c>
      <c r="B253" s="38">
        <v>4</v>
      </c>
      <c r="C253" s="39">
        <v>83.75</v>
      </c>
      <c r="D253" s="40">
        <v>88.353269949593241</v>
      </c>
      <c r="E253" s="40">
        <v>10</v>
      </c>
      <c r="F253" s="39">
        <v>8.75</v>
      </c>
      <c r="G253" s="40">
        <v>47.97455198336791</v>
      </c>
      <c r="H253" s="40">
        <v>50.611445278773715</v>
      </c>
      <c r="I253" s="40">
        <v>0</v>
      </c>
      <c r="J253" s="40">
        <v>40.790232101428131</v>
      </c>
      <c r="K253" s="38">
        <v>250</v>
      </c>
      <c r="M253" s="41"/>
      <c r="N253" s="41"/>
      <c r="O253" s="59" t="s">
        <v>266</v>
      </c>
      <c r="P253" s="38">
        <v>4</v>
      </c>
      <c r="Q253" s="40">
        <v>43.354338668316117</v>
      </c>
      <c r="R253" s="48">
        <v>3</v>
      </c>
      <c r="AC253" s="38" t="s">
        <v>241</v>
      </c>
      <c r="AD253" s="38">
        <v>4</v>
      </c>
      <c r="AE253" s="40">
        <v>88.353269949593241</v>
      </c>
      <c r="AF253" s="40">
        <v>10</v>
      </c>
      <c r="AG253" s="39">
        <v>8.75</v>
      </c>
      <c r="AH253" s="40">
        <v>50.611445278773715</v>
      </c>
      <c r="AI253" s="40">
        <v>0</v>
      </c>
      <c r="AJ253" s="40">
        <v>40.790232101428131</v>
      </c>
      <c r="AK253" s="38">
        <v>250</v>
      </c>
      <c r="AM253" s="41"/>
      <c r="AN253" s="48"/>
      <c r="AV253" s="69"/>
    </row>
    <row r="254" spans="1:48" x14ac:dyDescent="0.25">
      <c r="A254" s="38" t="s">
        <v>360</v>
      </c>
      <c r="B254" s="38">
        <v>4</v>
      </c>
      <c r="C254" s="39">
        <v>31.25</v>
      </c>
      <c r="D254" s="40">
        <v>32.967638040893</v>
      </c>
      <c r="E254" s="40">
        <v>28.75</v>
      </c>
      <c r="F254" s="39">
        <v>41.25</v>
      </c>
      <c r="G254" s="40">
        <v>45.349229146901791</v>
      </c>
      <c r="H254" s="40">
        <v>47.841823102354333</v>
      </c>
      <c r="I254" s="40">
        <v>50</v>
      </c>
      <c r="J254" s="40">
        <v>40.605256849120337</v>
      </c>
      <c r="K254" s="38">
        <v>251</v>
      </c>
      <c r="M254" s="41"/>
      <c r="N254" s="41"/>
      <c r="O254" s="59" t="s">
        <v>265</v>
      </c>
      <c r="P254" s="38">
        <v>4</v>
      </c>
      <c r="Q254" s="40">
        <v>43.069583683658799</v>
      </c>
      <c r="R254" s="48">
        <v>3</v>
      </c>
      <c r="AC254" s="38" t="s">
        <v>360</v>
      </c>
      <c r="AD254" s="38">
        <v>4</v>
      </c>
      <c r="AE254" s="40">
        <v>32.967638040893</v>
      </c>
      <c r="AF254" s="40">
        <v>28.75</v>
      </c>
      <c r="AG254" s="39">
        <v>41.25</v>
      </c>
      <c r="AH254" s="40">
        <v>47.841823102354333</v>
      </c>
      <c r="AI254" s="40">
        <v>50</v>
      </c>
      <c r="AJ254" s="40">
        <v>40.605256849120337</v>
      </c>
      <c r="AK254" s="38">
        <v>251</v>
      </c>
      <c r="AM254" s="41"/>
      <c r="AN254" s="48"/>
      <c r="AV254" s="69"/>
    </row>
    <row r="255" spans="1:48" x14ac:dyDescent="0.25">
      <c r="A255" s="38" t="s">
        <v>80</v>
      </c>
      <c r="B255" s="38">
        <v>2</v>
      </c>
      <c r="C255" s="39">
        <v>35</v>
      </c>
      <c r="D255" s="40">
        <v>36.923754605800156</v>
      </c>
      <c r="E255" s="40">
        <v>22.5</v>
      </c>
      <c r="F255" s="39">
        <v>67.5</v>
      </c>
      <c r="G255" s="40">
        <v>45.721838756731479</v>
      </c>
      <c r="H255" s="40">
        <v>48.234912982271887</v>
      </c>
      <c r="I255" s="40">
        <v>25</v>
      </c>
      <c r="J255" s="40">
        <v>40.428716114068791</v>
      </c>
      <c r="K255" s="38">
        <v>252</v>
      </c>
      <c r="M255" s="41"/>
      <c r="N255" s="41"/>
      <c r="O255" s="59" t="s">
        <v>219</v>
      </c>
      <c r="P255" s="38">
        <v>4</v>
      </c>
      <c r="Q255" s="40">
        <v>42.755136952597425</v>
      </c>
      <c r="R255" s="48">
        <v>3</v>
      </c>
      <c r="AC255" s="38" t="s">
        <v>80</v>
      </c>
      <c r="AD255" s="38">
        <v>2</v>
      </c>
      <c r="AE255" s="40">
        <v>36.923754605800156</v>
      </c>
      <c r="AF255" s="40">
        <v>22.5</v>
      </c>
      <c r="AG255" s="39">
        <v>67.5</v>
      </c>
      <c r="AH255" s="40">
        <v>48.234912982271887</v>
      </c>
      <c r="AI255" s="40">
        <v>25</v>
      </c>
      <c r="AJ255" s="40">
        <v>40.428716114068791</v>
      </c>
      <c r="AK255" s="38">
        <v>252</v>
      </c>
      <c r="AM255" s="41"/>
      <c r="AN255" s="48"/>
      <c r="AV255" s="69"/>
    </row>
    <row r="256" spans="1:48" x14ac:dyDescent="0.25">
      <c r="A256" s="38" t="s">
        <v>130</v>
      </c>
      <c r="B256" s="38">
        <v>3</v>
      </c>
      <c r="C256" s="39">
        <v>70</v>
      </c>
      <c r="D256" s="40">
        <v>73.847509211600311</v>
      </c>
      <c r="E256" s="40">
        <v>18.75</v>
      </c>
      <c r="F256" s="39">
        <v>8.75</v>
      </c>
      <c r="G256" s="40">
        <v>43.374344447271085</v>
      </c>
      <c r="H256" s="40">
        <v>45.758390015956806</v>
      </c>
      <c r="I256" s="40">
        <v>25</v>
      </c>
      <c r="J256" s="40">
        <v>40.197857848702782</v>
      </c>
      <c r="K256" s="38">
        <v>253</v>
      </c>
      <c r="M256" s="41"/>
      <c r="N256" s="41"/>
      <c r="O256" s="59" t="s">
        <v>271</v>
      </c>
      <c r="P256" s="38">
        <v>4</v>
      </c>
      <c r="Q256" s="40">
        <v>42.544567554477936</v>
      </c>
      <c r="R256" s="48">
        <v>3</v>
      </c>
      <c r="AC256" s="38" t="s">
        <v>130</v>
      </c>
      <c r="AD256" s="38">
        <v>3</v>
      </c>
      <c r="AE256" s="40">
        <v>73.847509211600311</v>
      </c>
      <c r="AF256" s="40">
        <v>18.75</v>
      </c>
      <c r="AG256" s="39">
        <v>8.75</v>
      </c>
      <c r="AH256" s="40">
        <v>45.758390015956806</v>
      </c>
      <c r="AI256" s="40">
        <v>25</v>
      </c>
      <c r="AJ256" s="40">
        <v>40.197857848702782</v>
      </c>
      <c r="AK256" s="38">
        <v>253</v>
      </c>
      <c r="AM256" s="41"/>
      <c r="AN256" s="48"/>
      <c r="AV256" s="69"/>
    </row>
    <row r="257" spans="1:48" x14ac:dyDescent="0.25">
      <c r="A257" s="38" t="s">
        <v>364</v>
      </c>
      <c r="B257" s="38">
        <v>3</v>
      </c>
      <c r="C257" s="39">
        <v>91.25</v>
      </c>
      <c r="D257" s="40">
        <v>96.265503079407551</v>
      </c>
      <c r="E257" s="40">
        <v>21.25</v>
      </c>
      <c r="F257" s="39">
        <v>26.25</v>
      </c>
      <c r="G257" s="40">
        <v>27.389517110960696</v>
      </c>
      <c r="H257" s="40">
        <v>28.894965959327919</v>
      </c>
      <c r="I257" s="40">
        <v>25</v>
      </c>
      <c r="J257" s="40">
        <v>40.186086999612684</v>
      </c>
      <c r="K257" s="38">
        <v>254</v>
      </c>
      <c r="M257" s="41"/>
      <c r="N257" s="41"/>
      <c r="O257" s="59" t="s">
        <v>285</v>
      </c>
      <c r="P257" s="38">
        <v>4</v>
      </c>
      <c r="Q257" s="40">
        <v>42.375967487111339</v>
      </c>
      <c r="R257" s="48">
        <v>3</v>
      </c>
      <c r="AC257" s="38" t="s">
        <v>364</v>
      </c>
      <c r="AD257" s="38">
        <v>3</v>
      </c>
      <c r="AE257" s="40">
        <v>96.265503079407551</v>
      </c>
      <c r="AF257" s="40">
        <v>21.25</v>
      </c>
      <c r="AG257" s="39">
        <v>26.25</v>
      </c>
      <c r="AH257" s="40">
        <v>28.894965959327919</v>
      </c>
      <c r="AI257" s="40">
        <v>25</v>
      </c>
      <c r="AJ257" s="40">
        <v>40.186086999612684</v>
      </c>
      <c r="AK257" s="38">
        <v>254</v>
      </c>
      <c r="AM257" s="41"/>
      <c r="AN257" s="48"/>
      <c r="AV257" s="69"/>
    </row>
    <row r="258" spans="1:48" x14ac:dyDescent="0.25">
      <c r="A258" s="38" t="s">
        <v>234</v>
      </c>
      <c r="B258" s="38">
        <v>3</v>
      </c>
      <c r="C258" s="39">
        <v>75</v>
      </c>
      <c r="D258" s="40">
        <v>79.122331298143195</v>
      </c>
      <c r="E258" s="40">
        <v>10</v>
      </c>
      <c r="F258" s="39">
        <v>17.5</v>
      </c>
      <c r="G258" s="40">
        <v>45.751354570741562</v>
      </c>
      <c r="H258" s="40">
        <v>48.266051115800423</v>
      </c>
      <c r="I258" s="40">
        <v>12.5</v>
      </c>
      <c r="J258" s="40">
        <v>40.130886705948811</v>
      </c>
      <c r="K258" s="38">
        <v>255</v>
      </c>
      <c r="M258" s="41"/>
      <c r="N258" s="41"/>
      <c r="O258" s="59" t="s">
        <v>239</v>
      </c>
      <c r="P258" s="38">
        <v>4</v>
      </c>
      <c r="Q258" s="40">
        <v>42.308090088375934</v>
      </c>
      <c r="R258" s="48">
        <v>3</v>
      </c>
      <c r="AC258" s="38" t="s">
        <v>234</v>
      </c>
      <c r="AD258" s="38">
        <v>3</v>
      </c>
      <c r="AE258" s="40">
        <v>79.122331298143195</v>
      </c>
      <c r="AF258" s="40">
        <v>10</v>
      </c>
      <c r="AG258" s="39">
        <v>17.5</v>
      </c>
      <c r="AH258" s="40">
        <v>48.266051115800423</v>
      </c>
      <c r="AI258" s="40">
        <v>12.5</v>
      </c>
      <c r="AJ258" s="40">
        <v>40.130886705948811</v>
      </c>
      <c r="AK258" s="38">
        <v>255</v>
      </c>
      <c r="AM258" s="41"/>
      <c r="AN258" s="48"/>
      <c r="AV258" s="69"/>
    </row>
    <row r="259" spans="1:48" x14ac:dyDescent="0.25">
      <c r="A259" s="38" t="s">
        <v>144</v>
      </c>
      <c r="B259" s="38">
        <v>3</v>
      </c>
      <c r="C259" s="39">
        <v>85</v>
      </c>
      <c r="D259" s="40">
        <v>89.671975471228947</v>
      </c>
      <c r="E259" s="40">
        <v>16.25</v>
      </c>
      <c r="F259" s="39">
        <v>8.75</v>
      </c>
      <c r="G259" s="40">
        <v>42.808117923228828</v>
      </c>
      <c r="H259" s="40">
        <v>45.161041180955905</v>
      </c>
      <c r="I259" s="40">
        <v>0</v>
      </c>
      <c r="J259" s="40">
        <v>40.123811566628149</v>
      </c>
      <c r="K259" s="38">
        <v>256</v>
      </c>
      <c r="M259" s="41"/>
      <c r="N259" s="41"/>
      <c r="O259" s="59" t="s">
        <v>279</v>
      </c>
      <c r="P259" s="38">
        <v>4</v>
      </c>
      <c r="Q259" s="40">
        <v>41.479710726508969</v>
      </c>
      <c r="R259" s="48">
        <v>3</v>
      </c>
      <c r="AC259" s="38" t="s">
        <v>144</v>
      </c>
      <c r="AD259" s="38">
        <v>3</v>
      </c>
      <c r="AE259" s="40">
        <v>89.671975471228947</v>
      </c>
      <c r="AF259" s="40">
        <v>16.25</v>
      </c>
      <c r="AG259" s="39">
        <v>8.75</v>
      </c>
      <c r="AH259" s="40">
        <v>45.161041180955905</v>
      </c>
      <c r="AI259" s="40">
        <v>0</v>
      </c>
      <c r="AJ259" s="40">
        <v>40.123811566628149</v>
      </c>
      <c r="AK259" s="38">
        <v>256</v>
      </c>
      <c r="AM259" s="41"/>
      <c r="AN259" s="48"/>
      <c r="AV259" s="69"/>
    </row>
    <row r="260" spans="1:48" x14ac:dyDescent="0.25">
      <c r="A260" s="38" t="s">
        <v>367</v>
      </c>
      <c r="B260" s="38">
        <v>3</v>
      </c>
      <c r="C260" s="39">
        <v>75</v>
      </c>
      <c r="D260" s="40">
        <v>79.122331298143195</v>
      </c>
      <c r="E260" s="40">
        <v>11.25</v>
      </c>
      <c r="F260" s="39">
        <v>45</v>
      </c>
      <c r="G260" s="40">
        <v>34.719586659772801</v>
      </c>
      <c r="H260" s="40">
        <v>36.627928509721819</v>
      </c>
      <c r="I260" s="40">
        <v>25</v>
      </c>
      <c r="J260" s="40">
        <v>39.725637663517368</v>
      </c>
      <c r="K260" s="38">
        <v>257</v>
      </c>
      <c r="M260" s="41"/>
      <c r="N260" s="41"/>
      <c r="O260" s="59" t="s">
        <v>105</v>
      </c>
      <c r="P260" s="38">
        <v>4</v>
      </c>
      <c r="Q260" s="40">
        <v>41.153720389152433</v>
      </c>
      <c r="R260" s="48">
        <v>3</v>
      </c>
      <c r="AC260" s="38" t="s">
        <v>367</v>
      </c>
      <c r="AD260" s="38">
        <v>3</v>
      </c>
      <c r="AE260" s="40">
        <v>79.122331298143195</v>
      </c>
      <c r="AF260" s="40">
        <v>11.25</v>
      </c>
      <c r="AG260" s="39">
        <v>45</v>
      </c>
      <c r="AH260" s="40">
        <v>36.627928509721819</v>
      </c>
      <c r="AI260" s="40">
        <v>25</v>
      </c>
      <c r="AJ260" s="40">
        <v>39.725637663517368</v>
      </c>
      <c r="AK260" s="38">
        <v>257</v>
      </c>
      <c r="AM260" s="41"/>
      <c r="AN260" s="48"/>
      <c r="AV260" s="69"/>
    </row>
    <row r="261" spans="1:48" x14ac:dyDescent="0.25">
      <c r="A261" s="38" t="s">
        <v>164</v>
      </c>
      <c r="B261" s="38">
        <v>2</v>
      </c>
      <c r="C261" s="39">
        <v>68.75</v>
      </c>
      <c r="D261" s="40">
        <v>72.52880368996459</v>
      </c>
      <c r="E261" s="40">
        <v>10</v>
      </c>
      <c r="F261" s="39">
        <v>8.75</v>
      </c>
      <c r="G261" s="40">
        <v>49.34681036823978</v>
      </c>
      <c r="H261" s="40">
        <v>52.059129046166873</v>
      </c>
      <c r="I261" s="40">
        <v>12.5</v>
      </c>
      <c r="J261" s="40">
        <v>39.45441235645967</v>
      </c>
      <c r="K261" s="38">
        <v>258</v>
      </c>
      <c r="M261" s="41"/>
      <c r="N261" s="41"/>
      <c r="O261" s="59" t="s">
        <v>231</v>
      </c>
      <c r="P261" s="38">
        <v>4</v>
      </c>
      <c r="Q261" s="40">
        <v>41.10927034647915</v>
      </c>
      <c r="R261" s="48">
        <v>3</v>
      </c>
      <c r="AC261" s="38" t="s">
        <v>164</v>
      </c>
      <c r="AD261" s="38">
        <v>2</v>
      </c>
      <c r="AE261" s="40">
        <v>72.52880368996459</v>
      </c>
      <c r="AF261" s="40">
        <v>10</v>
      </c>
      <c r="AG261" s="39">
        <v>8.75</v>
      </c>
      <c r="AH261" s="40">
        <v>52.059129046166873</v>
      </c>
      <c r="AI261" s="40">
        <v>12.5</v>
      </c>
      <c r="AJ261" s="40">
        <v>39.45441235645967</v>
      </c>
      <c r="AK261" s="38">
        <v>258</v>
      </c>
      <c r="AM261" s="41"/>
      <c r="AN261" s="48"/>
      <c r="AV261" s="69"/>
    </row>
    <row r="262" spans="1:48" x14ac:dyDescent="0.25">
      <c r="A262" s="38" t="s">
        <v>186</v>
      </c>
      <c r="B262" s="38">
        <v>2</v>
      </c>
      <c r="C262" s="39">
        <v>52.5</v>
      </c>
      <c r="D262" s="40">
        <v>55.385631908700233</v>
      </c>
      <c r="E262" s="40">
        <v>22.5</v>
      </c>
      <c r="F262" s="39">
        <v>26.25</v>
      </c>
      <c r="G262" s="40">
        <v>44.335445594630386</v>
      </c>
      <c r="H262" s="40">
        <v>46.772317527855314</v>
      </c>
      <c r="I262" s="40">
        <v>25</v>
      </c>
      <c r="J262" s="40">
        <v>39.411053392882174</v>
      </c>
      <c r="K262" s="38">
        <v>259</v>
      </c>
      <c r="M262" s="41"/>
      <c r="N262" s="41"/>
      <c r="O262" s="59" t="s">
        <v>255</v>
      </c>
      <c r="P262" s="38">
        <v>4</v>
      </c>
      <c r="Q262" s="40">
        <v>41.100737102103778</v>
      </c>
      <c r="R262" s="48">
        <v>3</v>
      </c>
      <c r="AC262" s="38" t="s">
        <v>186</v>
      </c>
      <c r="AD262" s="38">
        <v>2</v>
      </c>
      <c r="AE262" s="40">
        <v>55.385631908700233</v>
      </c>
      <c r="AF262" s="40">
        <v>22.5</v>
      </c>
      <c r="AG262" s="39">
        <v>26.25</v>
      </c>
      <c r="AH262" s="40">
        <v>46.772317527855314</v>
      </c>
      <c r="AI262" s="40">
        <v>25</v>
      </c>
      <c r="AJ262" s="40">
        <v>39.411053392882174</v>
      </c>
      <c r="AK262" s="38">
        <v>259</v>
      </c>
      <c r="AM262" s="41"/>
      <c r="AN262" s="48"/>
      <c r="AV262" s="69"/>
    </row>
    <row r="263" spans="1:48" x14ac:dyDescent="0.25">
      <c r="A263" s="38" t="s">
        <v>118</v>
      </c>
      <c r="B263" s="38">
        <v>4</v>
      </c>
      <c r="C263" s="39">
        <v>53.75</v>
      </c>
      <c r="D263" s="40">
        <v>56.704337430335954</v>
      </c>
      <c r="E263" s="40">
        <v>21.25</v>
      </c>
      <c r="F263" s="39">
        <v>33.75</v>
      </c>
      <c r="G263" s="40">
        <v>48.421722002550652</v>
      </c>
      <c r="H263" s="40">
        <v>51.083193737498696</v>
      </c>
      <c r="I263" s="40">
        <v>0</v>
      </c>
      <c r="J263" s="40">
        <v>39.399144981066669</v>
      </c>
      <c r="K263" s="38">
        <v>260</v>
      </c>
      <c r="M263" s="41"/>
      <c r="N263" s="41"/>
      <c r="O263" s="59" t="s">
        <v>207</v>
      </c>
      <c r="P263" s="38">
        <v>4</v>
      </c>
      <c r="Q263" s="40">
        <v>40.910041379839839</v>
      </c>
      <c r="R263" s="48">
        <v>3</v>
      </c>
      <c r="AC263" s="38" t="s">
        <v>118</v>
      </c>
      <c r="AD263" s="38">
        <v>4</v>
      </c>
      <c r="AE263" s="40">
        <v>56.704337430335954</v>
      </c>
      <c r="AF263" s="40">
        <v>21.25</v>
      </c>
      <c r="AG263" s="39">
        <v>33.75</v>
      </c>
      <c r="AH263" s="40">
        <v>51.083193737498696</v>
      </c>
      <c r="AI263" s="40">
        <v>0</v>
      </c>
      <c r="AJ263" s="40">
        <v>39.399144981066669</v>
      </c>
      <c r="AK263" s="38">
        <v>260</v>
      </c>
      <c r="AM263" s="41"/>
      <c r="AN263" s="48"/>
      <c r="AV263" s="69"/>
    </row>
    <row r="264" spans="1:48" x14ac:dyDescent="0.25">
      <c r="A264" s="38" t="s">
        <v>43</v>
      </c>
      <c r="B264" s="38">
        <v>1</v>
      </c>
      <c r="C264" s="39">
        <v>76.25</v>
      </c>
      <c r="D264" s="40">
        <v>76.686709468682096</v>
      </c>
      <c r="E264" s="40">
        <v>12.5</v>
      </c>
      <c r="F264" s="39">
        <v>25</v>
      </c>
      <c r="G264" s="40">
        <v>47.355581762856872</v>
      </c>
      <c r="H264" s="40">
        <v>47.626803152375416</v>
      </c>
      <c r="I264" s="40">
        <v>0</v>
      </c>
      <c r="J264" s="40">
        <v>39.388063154686591</v>
      </c>
      <c r="K264" s="38">
        <v>261</v>
      </c>
      <c r="M264" s="41"/>
      <c r="N264" s="41"/>
      <c r="O264" s="59" t="s">
        <v>241</v>
      </c>
      <c r="P264" s="38">
        <v>4</v>
      </c>
      <c r="Q264" s="40">
        <v>40.790232101428131</v>
      </c>
      <c r="R264" s="48">
        <v>3</v>
      </c>
      <c r="AC264" s="38" t="s">
        <v>43</v>
      </c>
      <c r="AD264" s="38">
        <v>1</v>
      </c>
      <c r="AE264" s="40">
        <v>76.686709468682096</v>
      </c>
      <c r="AF264" s="40">
        <v>12.5</v>
      </c>
      <c r="AG264" s="39">
        <v>25</v>
      </c>
      <c r="AH264" s="40">
        <v>47.626803152375416</v>
      </c>
      <c r="AI264" s="40">
        <v>0</v>
      </c>
      <c r="AJ264" s="40">
        <v>39.388063154686591</v>
      </c>
      <c r="AK264" s="38">
        <v>261</v>
      </c>
      <c r="AM264" s="41"/>
      <c r="AN264" s="48"/>
      <c r="AV264" s="69"/>
    </row>
    <row r="265" spans="1:48" x14ac:dyDescent="0.25">
      <c r="A265" s="38" t="s">
        <v>101</v>
      </c>
      <c r="B265" s="38">
        <v>2</v>
      </c>
      <c r="C265" s="39">
        <v>67.5</v>
      </c>
      <c r="D265" s="40">
        <v>71.210098168328869</v>
      </c>
      <c r="E265" s="40">
        <v>12.5</v>
      </c>
      <c r="F265" s="39">
        <v>17.5</v>
      </c>
      <c r="G265" s="40">
        <v>43.422388125755212</v>
      </c>
      <c r="H265" s="40">
        <v>45.809074387234176</v>
      </c>
      <c r="I265" s="40">
        <v>25</v>
      </c>
      <c r="J265" s="40">
        <v>39.31564938855945</v>
      </c>
      <c r="K265" s="38">
        <v>262</v>
      </c>
      <c r="M265" s="41"/>
      <c r="N265" s="41"/>
      <c r="O265" s="59" t="s">
        <v>360</v>
      </c>
      <c r="P265" s="38">
        <v>4</v>
      </c>
      <c r="Q265" s="40">
        <v>40.605256849120337</v>
      </c>
      <c r="R265" s="48">
        <v>3</v>
      </c>
      <c r="AC265" s="38" t="s">
        <v>101</v>
      </c>
      <c r="AD265" s="38">
        <v>2</v>
      </c>
      <c r="AE265" s="40">
        <v>71.210098168328869</v>
      </c>
      <c r="AF265" s="40">
        <v>12.5</v>
      </c>
      <c r="AG265" s="39">
        <v>17.5</v>
      </c>
      <c r="AH265" s="40">
        <v>45.809074387234176</v>
      </c>
      <c r="AI265" s="40">
        <v>25</v>
      </c>
      <c r="AJ265" s="40">
        <v>39.31564938855945</v>
      </c>
      <c r="AK265" s="38">
        <v>262</v>
      </c>
      <c r="AM265" s="41"/>
      <c r="AN265" s="48"/>
      <c r="AV265" s="69"/>
    </row>
    <row r="266" spans="1:48" x14ac:dyDescent="0.25">
      <c r="A266" s="38" t="s">
        <v>361</v>
      </c>
      <c r="B266" s="38">
        <v>3</v>
      </c>
      <c r="C266" s="39">
        <v>20</v>
      </c>
      <c r="D266" s="40">
        <v>21.099288346171519</v>
      </c>
      <c r="E266" s="40">
        <v>40</v>
      </c>
      <c r="F266" s="39">
        <v>51.25</v>
      </c>
      <c r="G266" s="40">
        <v>43.122056755282564</v>
      </c>
      <c r="H266" s="40">
        <v>45.492235477984011</v>
      </c>
      <c r="I266" s="40">
        <v>37.5</v>
      </c>
      <c r="J266" s="40">
        <v>39.291751860427908</v>
      </c>
      <c r="K266" s="38">
        <v>263</v>
      </c>
      <c r="M266" s="41"/>
      <c r="N266" s="41"/>
      <c r="O266" s="59" t="s">
        <v>118</v>
      </c>
      <c r="P266" s="38">
        <v>4</v>
      </c>
      <c r="Q266" s="40">
        <v>39.399144981066669</v>
      </c>
      <c r="R266" s="48">
        <v>3</v>
      </c>
      <c r="AC266" s="38" t="s">
        <v>361</v>
      </c>
      <c r="AD266" s="38">
        <v>3</v>
      </c>
      <c r="AE266" s="40">
        <v>21.099288346171519</v>
      </c>
      <c r="AF266" s="40">
        <v>40</v>
      </c>
      <c r="AG266" s="39">
        <v>51.25</v>
      </c>
      <c r="AH266" s="40">
        <v>45.492235477984011</v>
      </c>
      <c r="AI266" s="40">
        <v>37.5</v>
      </c>
      <c r="AJ266" s="40">
        <v>39.291751860427908</v>
      </c>
      <c r="AK266" s="38">
        <v>263</v>
      </c>
      <c r="AM266" s="41"/>
      <c r="AN266" s="48"/>
      <c r="AU266" s="72"/>
      <c r="AV266" s="73"/>
    </row>
    <row r="267" spans="1:48" x14ac:dyDescent="0.25">
      <c r="A267" s="38" t="s">
        <v>288</v>
      </c>
      <c r="B267" s="38">
        <v>4</v>
      </c>
      <c r="C267" s="39">
        <v>51.25</v>
      </c>
      <c r="D267" s="40">
        <v>54.06692638706452</v>
      </c>
      <c r="E267" s="40">
        <v>41.25</v>
      </c>
      <c r="F267" s="39">
        <v>33.75</v>
      </c>
      <c r="G267" s="40">
        <v>36.958494377144206</v>
      </c>
      <c r="H267" s="40">
        <v>38.989896485186215</v>
      </c>
      <c r="I267" s="40">
        <v>12.5</v>
      </c>
      <c r="J267" s="40">
        <v>39.284343871487394</v>
      </c>
      <c r="K267" s="38">
        <v>264</v>
      </c>
      <c r="M267" s="41"/>
      <c r="N267" s="41"/>
      <c r="O267" s="59" t="s">
        <v>288</v>
      </c>
      <c r="P267" s="38">
        <v>4</v>
      </c>
      <c r="Q267" s="40">
        <v>39.284343871487394</v>
      </c>
      <c r="R267" s="48">
        <v>3</v>
      </c>
      <c r="AC267" s="38" t="s">
        <v>220</v>
      </c>
      <c r="AD267" s="38">
        <v>4</v>
      </c>
      <c r="AE267" s="40">
        <v>89.671975471228947</v>
      </c>
      <c r="AF267" s="40">
        <v>0</v>
      </c>
      <c r="AG267" s="39">
        <v>0</v>
      </c>
      <c r="AH267" s="40">
        <v>53.392364629335319</v>
      </c>
      <c r="AI267" s="40">
        <v>0</v>
      </c>
      <c r="AJ267" s="40">
        <v>39.29</v>
      </c>
      <c r="AK267" s="38">
        <v>264</v>
      </c>
      <c r="AM267" s="41"/>
      <c r="AN267" s="48"/>
      <c r="AV267" s="69"/>
    </row>
    <row r="268" spans="1:48" x14ac:dyDescent="0.25">
      <c r="A268" s="38" t="s">
        <v>191</v>
      </c>
      <c r="B268" s="38">
        <v>3</v>
      </c>
      <c r="C268" s="39">
        <v>80</v>
      </c>
      <c r="D268" s="40">
        <v>84.397153384686078</v>
      </c>
      <c r="E268" s="40">
        <v>16.25</v>
      </c>
      <c r="F268" s="39">
        <v>33.75</v>
      </c>
      <c r="G268" s="40">
        <v>36.906422536014333</v>
      </c>
      <c r="H268" s="40">
        <v>38.934962545650457</v>
      </c>
      <c r="I268" s="40">
        <v>0</v>
      </c>
      <c r="J268" s="40">
        <v>39.0784156951974</v>
      </c>
      <c r="K268" s="38">
        <v>265</v>
      </c>
      <c r="M268" s="41"/>
      <c r="N268" s="41"/>
      <c r="O268" s="59" t="s">
        <v>220</v>
      </c>
      <c r="P268" s="38">
        <v>4</v>
      </c>
      <c r="Q268" s="40">
        <v>39.29</v>
      </c>
      <c r="R268" s="48">
        <v>3</v>
      </c>
      <c r="AC268" s="38" t="s">
        <v>288</v>
      </c>
      <c r="AD268" s="38">
        <v>4</v>
      </c>
      <c r="AE268" s="40">
        <v>54.06692638706452</v>
      </c>
      <c r="AF268" s="40">
        <v>41.25</v>
      </c>
      <c r="AG268" s="39">
        <v>33.75</v>
      </c>
      <c r="AH268" s="40">
        <v>38.989896485186215</v>
      </c>
      <c r="AI268" s="40">
        <v>12.5</v>
      </c>
      <c r="AJ268" s="40">
        <v>39.284343871487394</v>
      </c>
      <c r="AK268" s="38">
        <v>265</v>
      </c>
      <c r="AM268" s="41"/>
      <c r="AN268" s="48"/>
      <c r="AV268" s="69"/>
    </row>
    <row r="269" spans="1:48" x14ac:dyDescent="0.25">
      <c r="A269" s="38" t="s">
        <v>192</v>
      </c>
      <c r="B269" s="38">
        <v>3</v>
      </c>
      <c r="C269" s="39">
        <v>83.75</v>
      </c>
      <c r="D269" s="40">
        <v>88.353269949593241</v>
      </c>
      <c r="E269" s="40">
        <v>10</v>
      </c>
      <c r="F269" s="39">
        <v>8.75</v>
      </c>
      <c r="G269" s="40">
        <v>43.729884438848018</v>
      </c>
      <c r="H269" s="40">
        <v>46.133472056000663</v>
      </c>
      <c r="I269" s="40">
        <v>0</v>
      </c>
      <c r="J269" s="40">
        <v>38.999042812318919</v>
      </c>
      <c r="K269" s="38">
        <v>266</v>
      </c>
      <c r="M269" s="41"/>
      <c r="N269" s="41"/>
      <c r="O269" s="59"/>
      <c r="P269" s="38"/>
      <c r="Q269" s="40"/>
      <c r="R269" s="48"/>
      <c r="AC269" s="38" t="s">
        <v>191</v>
      </c>
      <c r="AD269" s="38">
        <v>3</v>
      </c>
      <c r="AE269" s="40">
        <v>84.397153384686078</v>
      </c>
      <c r="AF269" s="40">
        <v>16.25</v>
      </c>
      <c r="AG269" s="39">
        <v>33.75</v>
      </c>
      <c r="AH269" s="40">
        <v>38.934962545650457</v>
      </c>
      <c r="AI269" s="40">
        <v>0</v>
      </c>
      <c r="AJ269" s="40">
        <v>39.0784156951974</v>
      </c>
      <c r="AK269" s="38">
        <v>266</v>
      </c>
      <c r="AM269" s="41"/>
      <c r="AN269" s="48"/>
      <c r="AV269" s="69"/>
    </row>
    <row r="270" spans="1:48" x14ac:dyDescent="0.25">
      <c r="A270" s="38" t="s">
        <v>291</v>
      </c>
      <c r="B270" s="38">
        <v>4</v>
      </c>
      <c r="C270" s="39">
        <v>45</v>
      </c>
      <c r="D270" s="40">
        <v>47.473398778885915</v>
      </c>
      <c r="E270" s="40">
        <v>22.5</v>
      </c>
      <c r="F270" s="39">
        <v>51.25</v>
      </c>
      <c r="G270" s="40">
        <v>46.465642494714572</v>
      </c>
      <c r="H270" s="40">
        <v>49.019599459305162</v>
      </c>
      <c r="I270" s="40">
        <v>0</v>
      </c>
      <c r="J270" s="40">
        <v>38.727519539499255</v>
      </c>
      <c r="K270" s="38">
        <v>267</v>
      </c>
      <c r="M270" s="41"/>
      <c r="N270" s="41"/>
      <c r="O270" s="59" t="s">
        <v>140</v>
      </c>
      <c r="P270" s="38">
        <v>2</v>
      </c>
      <c r="Q270" s="40">
        <v>37.651841191328231</v>
      </c>
      <c r="R270" s="54">
        <v>4</v>
      </c>
      <c r="AC270" s="38" t="s">
        <v>192</v>
      </c>
      <c r="AD270" s="38">
        <v>3</v>
      </c>
      <c r="AE270" s="40">
        <v>88.353269949593241</v>
      </c>
      <c r="AF270" s="40">
        <v>10</v>
      </c>
      <c r="AG270" s="39">
        <v>8.75</v>
      </c>
      <c r="AH270" s="40">
        <v>46.133472056000663</v>
      </c>
      <c r="AI270" s="40">
        <v>0</v>
      </c>
      <c r="AJ270" s="40">
        <v>38.999042812318919</v>
      </c>
      <c r="AK270" s="38">
        <v>267</v>
      </c>
      <c r="AM270" s="41"/>
      <c r="AN270" s="48"/>
      <c r="AV270" s="69"/>
    </row>
    <row r="271" spans="1:48" x14ac:dyDescent="0.25">
      <c r="A271" s="38" t="s">
        <v>263</v>
      </c>
      <c r="B271" s="38">
        <v>4</v>
      </c>
      <c r="C271" s="39">
        <v>43.75</v>
      </c>
      <c r="D271" s="40">
        <v>46.154693257250194</v>
      </c>
      <c r="E271" s="40">
        <v>16.25</v>
      </c>
      <c r="F271" s="39">
        <v>17.5</v>
      </c>
      <c r="G271" s="40">
        <v>50.823584319761437</v>
      </c>
      <c r="H271" s="40">
        <v>53.6170730174304</v>
      </c>
      <c r="I271" s="40">
        <v>25</v>
      </c>
      <c r="J271" s="40">
        <v>38.1777678584222</v>
      </c>
      <c r="K271" s="38">
        <v>268</v>
      </c>
      <c r="M271" s="41"/>
      <c r="N271" s="41"/>
      <c r="O271" s="59" t="s">
        <v>63</v>
      </c>
      <c r="P271" s="38">
        <v>2</v>
      </c>
      <c r="Q271" s="40">
        <v>37.072962969750307</v>
      </c>
      <c r="R271" s="48">
        <v>4</v>
      </c>
      <c r="AC271" s="38" t="s">
        <v>291</v>
      </c>
      <c r="AD271" s="38">
        <v>4</v>
      </c>
      <c r="AE271" s="40">
        <v>47.473398778885915</v>
      </c>
      <c r="AF271" s="40">
        <v>22.5</v>
      </c>
      <c r="AG271" s="39">
        <v>51.25</v>
      </c>
      <c r="AH271" s="40">
        <v>49.019599459305162</v>
      </c>
      <c r="AI271" s="40">
        <v>0</v>
      </c>
      <c r="AJ271" s="40">
        <v>38.727519539499255</v>
      </c>
      <c r="AK271" s="38">
        <v>268</v>
      </c>
      <c r="AM271" s="41"/>
      <c r="AN271" s="48"/>
      <c r="AV271" s="69"/>
    </row>
    <row r="272" spans="1:48" x14ac:dyDescent="0.25">
      <c r="A272" s="38" t="s">
        <v>100</v>
      </c>
      <c r="B272" s="38">
        <v>3</v>
      </c>
      <c r="C272" s="39">
        <v>26.25</v>
      </c>
      <c r="D272" s="40">
        <v>27.692815954350117</v>
      </c>
      <c r="E272" s="40">
        <v>16.25</v>
      </c>
      <c r="F272" s="39">
        <v>33.75</v>
      </c>
      <c r="G272" s="40">
        <v>49.3205291860762</v>
      </c>
      <c r="H272" s="40">
        <v>52.03140333413949</v>
      </c>
      <c r="I272" s="40">
        <v>50</v>
      </c>
      <c r="J272" s="40">
        <v>37.976124524525822</v>
      </c>
      <c r="K272" s="38">
        <v>269</v>
      </c>
      <c r="M272" s="41"/>
      <c r="N272" s="41"/>
      <c r="O272" s="59" t="s">
        <v>194</v>
      </c>
      <c r="P272" s="38">
        <v>2</v>
      </c>
      <c r="Q272" s="40">
        <v>32.183749533998302</v>
      </c>
      <c r="R272" s="48">
        <v>4</v>
      </c>
      <c r="AC272" s="38" t="s">
        <v>263</v>
      </c>
      <c r="AD272" s="38">
        <v>4</v>
      </c>
      <c r="AE272" s="40">
        <v>46.154693257250194</v>
      </c>
      <c r="AF272" s="40">
        <v>16.25</v>
      </c>
      <c r="AG272" s="39">
        <v>17.5</v>
      </c>
      <c r="AH272" s="40">
        <v>53.6170730174304</v>
      </c>
      <c r="AI272" s="40">
        <v>25</v>
      </c>
      <c r="AJ272" s="40">
        <v>38.1777678584222</v>
      </c>
      <c r="AK272" s="38">
        <v>269</v>
      </c>
      <c r="AM272" s="41"/>
      <c r="AN272" s="48"/>
      <c r="AV272" s="69"/>
    </row>
    <row r="273" spans="1:48" x14ac:dyDescent="0.25">
      <c r="A273" s="38" t="s">
        <v>270</v>
      </c>
      <c r="B273" s="38">
        <v>4</v>
      </c>
      <c r="C273" s="39">
        <v>52.5</v>
      </c>
      <c r="D273" s="40">
        <v>55.385631908700233</v>
      </c>
      <c r="E273" s="40">
        <v>11.25</v>
      </c>
      <c r="F273" s="39">
        <v>26.25</v>
      </c>
      <c r="G273" s="40">
        <v>46.237590719454957</v>
      </c>
      <c r="H273" s="40">
        <v>48.779012951102217</v>
      </c>
      <c r="I273" s="40">
        <v>25</v>
      </c>
      <c r="J273" s="40">
        <v>37.963731562180939</v>
      </c>
      <c r="K273" s="38">
        <v>270</v>
      </c>
      <c r="M273" s="41"/>
      <c r="N273" s="41"/>
      <c r="O273" s="59" t="s">
        <v>74</v>
      </c>
      <c r="P273" s="38">
        <v>2</v>
      </c>
      <c r="Q273" s="40">
        <v>27.992909474622074</v>
      </c>
      <c r="R273" s="48">
        <v>4</v>
      </c>
      <c r="AC273" s="38" t="s">
        <v>100</v>
      </c>
      <c r="AD273" s="38">
        <v>3</v>
      </c>
      <c r="AE273" s="40">
        <v>27.692815954350117</v>
      </c>
      <c r="AF273" s="40">
        <v>16.25</v>
      </c>
      <c r="AG273" s="39">
        <v>33.75</v>
      </c>
      <c r="AH273" s="40">
        <v>52.03140333413949</v>
      </c>
      <c r="AI273" s="40">
        <v>50</v>
      </c>
      <c r="AJ273" s="40">
        <v>37.976124524525822</v>
      </c>
      <c r="AK273" s="38">
        <v>270</v>
      </c>
      <c r="AM273" s="41"/>
      <c r="AN273" s="48"/>
      <c r="AV273" s="69"/>
    </row>
    <row r="274" spans="1:48" x14ac:dyDescent="0.25">
      <c r="A274" s="38" t="s">
        <v>293</v>
      </c>
      <c r="B274" s="38">
        <v>4</v>
      </c>
      <c r="C274" s="39">
        <v>78.75</v>
      </c>
      <c r="D274" s="40">
        <v>83.078447863050357</v>
      </c>
      <c r="E274" s="40">
        <v>10</v>
      </c>
      <c r="F274" s="39">
        <v>16.25</v>
      </c>
      <c r="G274" s="40">
        <v>32.779203342989426</v>
      </c>
      <c r="H274" s="40">
        <v>34.580893154576167</v>
      </c>
      <c r="I274" s="40">
        <v>37.5</v>
      </c>
      <c r="J274" s="40">
        <v>37.823046834440539</v>
      </c>
      <c r="K274" s="38">
        <v>271</v>
      </c>
      <c r="M274" s="41"/>
      <c r="N274" s="41"/>
      <c r="O274" s="59" t="s">
        <v>191</v>
      </c>
      <c r="P274" s="38">
        <v>3</v>
      </c>
      <c r="Q274" s="40">
        <v>39.0784156951974</v>
      </c>
      <c r="R274" s="48">
        <v>4</v>
      </c>
      <c r="AC274" s="38" t="s">
        <v>270</v>
      </c>
      <c r="AD274" s="38">
        <v>4</v>
      </c>
      <c r="AE274" s="40">
        <v>55.385631908700233</v>
      </c>
      <c r="AF274" s="40">
        <v>11.25</v>
      </c>
      <c r="AG274" s="39">
        <v>26.25</v>
      </c>
      <c r="AH274" s="40">
        <v>48.779012951102217</v>
      </c>
      <c r="AI274" s="40">
        <v>25</v>
      </c>
      <c r="AJ274" s="40">
        <v>37.963731562180939</v>
      </c>
      <c r="AK274" s="38">
        <v>271</v>
      </c>
      <c r="AM274" s="41"/>
      <c r="AN274" s="48"/>
      <c r="AV274" s="69"/>
    </row>
    <row r="275" spans="1:48" x14ac:dyDescent="0.25">
      <c r="A275" s="38" t="s">
        <v>140</v>
      </c>
      <c r="B275" s="38">
        <v>2</v>
      </c>
      <c r="C275" s="39">
        <v>66.25</v>
      </c>
      <c r="D275" s="40">
        <v>69.891392646693149</v>
      </c>
      <c r="E275" s="40">
        <v>28.75</v>
      </c>
      <c r="F275" s="39">
        <v>17.5</v>
      </c>
      <c r="G275" s="40">
        <v>38.3272705615313</v>
      </c>
      <c r="H275" s="40">
        <v>40.433906654974002</v>
      </c>
      <c r="I275" s="40">
        <v>0</v>
      </c>
      <c r="J275" s="40">
        <v>37.651841191328231</v>
      </c>
      <c r="K275" s="38">
        <v>272</v>
      </c>
      <c r="M275" s="41"/>
      <c r="N275" s="41"/>
      <c r="O275" s="59" t="s">
        <v>192</v>
      </c>
      <c r="P275" s="38">
        <v>3</v>
      </c>
      <c r="Q275" s="40">
        <v>38.999042812318919</v>
      </c>
      <c r="R275" s="48">
        <v>4</v>
      </c>
      <c r="AC275" s="38" t="s">
        <v>293</v>
      </c>
      <c r="AD275" s="38">
        <v>4</v>
      </c>
      <c r="AE275" s="40">
        <v>83.078447863050357</v>
      </c>
      <c r="AF275" s="40">
        <v>10</v>
      </c>
      <c r="AG275" s="39">
        <v>16.25</v>
      </c>
      <c r="AH275" s="40">
        <v>34.580893154576167</v>
      </c>
      <c r="AI275" s="40">
        <v>37.5</v>
      </c>
      <c r="AJ275" s="40">
        <v>37.823046834440539</v>
      </c>
      <c r="AK275" s="38">
        <v>272</v>
      </c>
      <c r="AM275" s="41"/>
      <c r="AN275" s="48"/>
      <c r="AV275" s="69"/>
    </row>
    <row r="276" spans="1:48" x14ac:dyDescent="0.25">
      <c r="A276" s="38" t="s">
        <v>264</v>
      </c>
      <c r="B276" s="38">
        <v>4</v>
      </c>
      <c r="C276" s="39">
        <v>63.75</v>
      </c>
      <c r="D276" s="40">
        <v>67.253981603421721</v>
      </c>
      <c r="E276" s="40">
        <v>35</v>
      </c>
      <c r="F276" s="39">
        <v>35</v>
      </c>
      <c r="G276" s="40">
        <v>31.966782523287495</v>
      </c>
      <c r="H276" s="40">
        <v>33.723818097909962</v>
      </c>
      <c r="I276" s="40">
        <v>0</v>
      </c>
      <c r="J276" s="40">
        <v>37.440323559848331</v>
      </c>
      <c r="K276" s="38">
        <v>273</v>
      </c>
      <c r="M276" s="41"/>
      <c r="N276" s="41"/>
      <c r="O276" s="59" t="s">
        <v>100</v>
      </c>
      <c r="P276" s="38">
        <v>3</v>
      </c>
      <c r="Q276" s="40">
        <v>37.976124524525822</v>
      </c>
      <c r="R276" s="48">
        <v>4</v>
      </c>
      <c r="AC276" s="38" t="s">
        <v>140</v>
      </c>
      <c r="AD276" s="38">
        <v>2</v>
      </c>
      <c r="AE276" s="40">
        <v>69.891392646693149</v>
      </c>
      <c r="AF276" s="40">
        <v>28.75</v>
      </c>
      <c r="AG276" s="39">
        <v>17.5</v>
      </c>
      <c r="AH276" s="40">
        <v>40.433906654974002</v>
      </c>
      <c r="AI276" s="40">
        <v>0</v>
      </c>
      <c r="AJ276" s="40">
        <v>37.651841191328231</v>
      </c>
      <c r="AK276" s="38">
        <v>273</v>
      </c>
      <c r="AM276" s="41"/>
      <c r="AN276" s="48"/>
      <c r="AV276" s="69"/>
    </row>
    <row r="277" spans="1:48" x14ac:dyDescent="0.25">
      <c r="A277" s="38" t="s">
        <v>221</v>
      </c>
      <c r="B277" s="38">
        <v>4</v>
      </c>
      <c r="C277" s="39">
        <v>53.75</v>
      </c>
      <c r="D277" s="40">
        <v>56.704337430335954</v>
      </c>
      <c r="E277" s="40">
        <v>10</v>
      </c>
      <c r="F277" s="39">
        <v>16.25</v>
      </c>
      <c r="G277" s="40">
        <v>47.101772105646553</v>
      </c>
      <c r="H277" s="40">
        <v>49.690693563634753</v>
      </c>
      <c r="I277" s="40">
        <v>25</v>
      </c>
      <c r="J277" s="40">
        <v>37.342144911521096</v>
      </c>
      <c r="K277" s="38">
        <v>274</v>
      </c>
      <c r="M277" s="41"/>
      <c r="N277" s="41"/>
      <c r="O277" s="38" t="s">
        <v>259</v>
      </c>
      <c r="P277" s="38">
        <v>3</v>
      </c>
      <c r="Q277" s="40">
        <v>35.397075061421134</v>
      </c>
      <c r="R277" s="48">
        <v>4</v>
      </c>
      <c r="AC277" s="38" t="s">
        <v>264</v>
      </c>
      <c r="AD277" s="38">
        <v>4</v>
      </c>
      <c r="AE277" s="40">
        <v>67.253981603421721</v>
      </c>
      <c r="AF277" s="40">
        <v>35</v>
      </c>
      <c r="AG277" s="39">
        <v>35</v>
      </c>
      <c r="AH277" s="40">
        <v>33.723818097909962</v>
      </c>
      <c r="AI277" s="40">
        <v>0</v>
      </c>
      <c r="AJ277" s="40">
        <v>37.440323559848331</v>
      </c>
      <c r="AK277" s="38">
        <v>274</v>
      </c>
      <c r="AM277" s="41"/>
      <c r="AN277" s="48"/>
      <c r="AV277" s="69"/>
    </row>
    <row r="278" spans="1:48" x14ac:dyDescent="0.25">
      <c r="A278" s="38" t="s">
        <v>243</v>
      </c>
      <c r="B278" s="38">
        <v>4</v>
      </c>
      <c r="C278" s="39">
        <v>70</v>
      </c>
      <c r="D278" s="40">
        <v>73.847509211600311</v>
      </c>
      <c r="E278" s="40">
        <v>5</v>
      </c>
      <c r="F278" s="39">
        <v>8.75</v>
      </c>
      <c r="G278" s="40">
        <v>48.811750100254208</v>
      </c>
      <c r="H278" s="40">
        <v>51.494659502326506</v>
      </c>
      <c r="I278" s="40">
        <v>0</v>
      </c>
      <c r="J278" s="40">
        <v>37.242365643250665</v>
      </c>
      <c r="K278" s="38">
        <v>275</v>
      </c>
      <c r="M278" s="41"/>
      <c r="N278" s="41"/>
      <c r="O278" s="59" t="s">
        <v>94</v>
      </c>
      <c r="P278" s="38">
        <v>3</v>
      </c>
      <c r="Q278" s="40">
        <v>35.118405818161577</v>
      </c>
      <c r="R278" s="48">
        <v>4</v>
      </c>
      <c r="U278" s="41"/>
      <c r="V278" s="41"/>
      <c r="AC278" s="38" t="s">
        <v>221</v>
      </c>
      <c r="AD278" s="38">
        <v>4</v>
      </c>
      <c r="AE278" s="40">
        <v>56.704337430335954</v>
      </c>
      <c r="AF278" s="40">
        <v>10</v>
      </c>
      <c r="AG278" s="39">
        <v>16.25</v>
      </c>
      <c r="AH278" s="40">
        <v>49.690693563634753</v>
      </c>
      <c r="AI278" s="40">
        <v>25</v>
      </c>
      <c r="AJ278" s="40">
        <v>37.342144911521096</v>
      </c>
      <c r="AK278" s="38">
        <v>275</v>
      </c>
      <c r="AM278" s="41"/>
      <c r="AN278" s="48"/>
      <c r="AU278" s="72"/>
      <c r="AV278" s="73"/>
    </row>
    <row r="279" spans="1:48" x14ac:dyDescent="0.25">
      <c r="A279" s="38" t="s">
        <v>63</v>
      </c>
      <c r="B279" s="38">
        <v>2</v>
      </c>
      <c r="C279" s="39">
        <v>21.25</v>
      </c>
      <c r="D279" s="40">
        <v>22.417993867807237</v>
      </c>
      <c r="E279" s="40">
        <v>10</v>
      </c>
      <c r="F279" s="39">
        <v>50</v>
      </c>
      <c r="G279" s="40">
        <v>54.71597860877246</v>
      </c>
      <c r="H279" s="40">
        <v>57.723410490472141</v>
      </c>
      <c r="I279" s="40">
        <v>25</v>
      </c>
      <c r="J279" s="40">
        <v>37.072962969750307</v>
      </c>
      <c r="K279" s="38">
        <v>276</v>
      </c>
      <c r="M279" s="41"/>
      <c r="N279" s="41"/>
      <c r="O279" s="59" t="s">
        <v>249</v>
      </c>
      <c r="P279" s="38">
        <v>3</v>
      </c>
      <c r="Q279" s="40">
        <v>34.447599802476383</v>
      </c>
      <c r="R279" s="48">
        <v>4</v>
      </c>
      <c r="U279" s="41"/>
      <c r="V279" s="41"/>
      <c r="AC279" s="38" t="s">
        <v>243</v>
      </c>
      <c r="AD279" s="38">
        <v>4</v>
      </c>
      <c r="AE279" s="40">
        <v>73.847509211600311</v>
      </c>
      <c r="AF279" s="40">
        <v>5</v>
      </c>
      <c r="AG279" s="39">
        <v>8.75</v>
      </c>
      <c r="AH279" s="40">
        <v>51.494659502326506</v>
      </c>
      <c r="AI279" s="40">
        <v>0</v>
      </c>
      <c r="AJ279" s="40">
        <v>37.242365643250665</v>
      </c>
      <c r="AK279" s="38">
        <v>276</v>
      </c>
      <c r="AM279" s="41"/>
      <c r="AN279" s="48"/>
      <c r="AV279" s="69"/>
    </row>
    <row r="280" spans="1:48" x14ac:dyDescent="0.25">
      <c r="A280" s="38" t="s">
        <v>257</v>
      </c>
      <c r="B280" s="38">
        <v>4</v>
      </c>
      <c r="C280" s="39">
        <v>71.25</v>
      </c>
      <c r="D280" s="40">
        <v>75.166214733236032</v>
      </c>
      <c r="E280" s="40">
        <v>10</v>
      </c>
      <c r="F280" s="39">
        <v>25</v>
      </c>
      <c r="G280" s="40">
        <v>38.531784088792804</v>
      </c>
      <c r="H280" s="40">
        <v>40.649661149093156</v>
      </c>
      <c r="I280" s="40">
        <v>12.5</v>
      </c>
      <c r="J280" s="40">
        <v>37.04310740628447</v>
      </c>
      <c r="K280" s="38">
        <v>277</v>
      </c>
      <c r="M280" s="41"/>
      <c r="N280" s="41"/>
      <c r="O280" s="59" t="s">
        <v>223</v>
      </c>
      <c r="P280" s="38">
        <v>3</v>
      </c>
      <c r="Q280" s="40">
        <v>34.157878175643859</v>
      </c>
      <c r="R280" s="48">
        <v>4</v>
      </c>
      <c r="U280" s="41"/>
      <c r="V280" s="41"/>
      <c r="AC280" s="38" t="s">
        <v>63</v>
      </c>
      <c r="AD280" s="38">
        <v>2</v>
      </c>
      <c r="AE280" s="40">
        <v>22.417993867807237</v>
      </c>
      <c r="AF280" s="40">
        <v>10</v>
      </c>
      <c r="AG280" s="39">
        <v>50</v>
      </c>
      <c r="AH280" s="40">
        <v>57.723410490472141</v>
      </c>
      <c r="AI280" s="40">
        <v>25</v>
      </c>
      <c r="AJ280" s="40">
        <v>37.072962969750307</v>
      </c>
      <c r="AK280" s="38">
        <v>277</v>
      </c>
      <c r="AM280" s="41"/>
      <c r="AN280" s="48"/>
      <c r="AV280" s="69"/>
    </row>
    <row r="281" spans="1:48" x14ac:dyDescent="0.25">
      <c r="A281" s="38" t="s">
        <v>369</v>
      </c>
      <c r="B281" s="38">
        <v>4</v>
      </c>
      <c r="C281" s="39">
        <v>60</v>
      </c>
      <c r="D281" s="40">
        <v>63.297865038514558</v>
      </c>
      <c r="E281" s="40">
        <v>18.75</v>
      </c>
      <c r="F281" s="39">
        <v>17.5</v>
      </c>
      <c r="G281" s="40">
        <v>37.02543558390208</v>
      </c>
      <c r="H281" s="40">
        <v>39.060517076367468</v>
      </c>
      <c r="I281" s="40">
        <v>25</v>
      </c>
      <c r="J281" s="40">
        <v>36.283779838249899</v>
      </c>
      <c r="K281" s="38">
        <v>278</v>
      </c>
      <c r="M281" s="41"/>
      <c r="N281" s="41"/>
      <c r="O281" s="59" t="s">
        <v>237</v>
      </c>
      <c r="P281" s="38">
        <v>3</v>
      </c>
      <c r="Q281" s="40">
        <v>31.334884465994172</v>
      </c>
      <c r="R281" s="48">
        <v>4</v>
      </c>
      <c r="U281" s="41"/>
      <c r="V281" s="41"/>
      <c r="AC281" s="38" t="s">
        <v>257</v>
      </c>
      <c r="AD281" s="38">
        <v>4</v>
      </c>
      <c r="AE281" s="40">
        <v>75.166214733236032</v>
      </c>
      <c r="AF281" s="40">
        <v>10</v>
      </c>
      <c r="AG281" s="39">
        <v>25</v>
      </c>
      <c r="AH281" s="40">
        <v>40.649661149093156</v>
      </c>
      <c r="AI281" s="40">
        <v>12.5</v>
      </c>
      <c r="AJ281" s="40">
        <v>37.04310740628447</v>
      </c>
      <c r="AK281" s="38">
        <v>278</v>
      </c>
      <c r="AM281" s="41"/>
      <c r="AN281" s="48"/>
      <c r="AV281" s="69"/>
    </row>
    <row r="282" spans="1:48" x14ac:dyDescent="0.25">
      <c r="A282" s="38" t="s">
        <v>155</v>
      </c>
      <c r="B282" s="38">
        <v>4</v>
      </c>
      <c r="C282" s="39">
        <v>67.5</v>
      </c>
      <c r="D282" s="40">
        <v>71.210098168328869</v>
      </c>
      <c r="E282" s="40">
        <v>6.25</v>
      </c>
      <c r="F282" s="39">
        <v>17.5</v>
      </c>
      <c r="G282" s="40">
        <v>43.620215546284058</v>
      </c>
      <c r="H282" s="40">
        <v>46.017775276660046</v>
      </c>
      <c r="I282" s="40">
        <v>0</v>
      </c>
      <c r="J282" s="40">
        <v>35.649129744329798</v>
      </c>
      <c r="K282" s="38">
        <v>279</v>
      </c>
      <c r="M282" s="41"/>
      <c r="N282" s="41"/>
      <c r="O282" s="59" t="s">
        <v>133</v>
      </c>
      <c r="P282" s="38">
        <v>3</v>
      </c>
      <c r="Q282" s="40">
        <v>31.128093611106305</v>
      </c>
      <c r="R282" s="48">
        <v>4</v>
      </c>
      <c r="U282" s="41"/>
      <c r="V282" s="41"/>
      <c r="AC282" s="38" t="s">
        <v>224</v>
      </c>
      <c r="AD282" s="38">
        <v>4</v>
      </c>
      <c r="AE282" s="40">
        <v>84.397153384686078</v>
      </c>
      <c r="AF282" s="40">
        <v>0</v>
      </c>
      <c r="AG282" s="39">
        <v>0</v>
      </c>
      <c r="AH282" s="40">
        <v>48.99834822854487</v>
      </c>
      <c r="AI282" s="40">
        <v>0</v>
      </c>
      <c r="AJ282" s="40">
        <v>36.479999999999997</v>
      </c>
      <c r="AK282" s="38">
        <v>279</v>
      </c>
      <c r="AM282" s="41"/>
      <c r="AN282" s="48"/>
      <c r="AV282" s="69"/>
    </row>
    <row r="283" spans="1:48" x14ac:dyDescent="0.25">
      <c r="A283" s="38" t="s">
        <v>276</v>
      </c>
      <c r="B283" s="38">
        <v>4</v>
      </c>
      <c r="C283" s="39">
        <v>51.25</v>
      </c>
      <c r="D283" s="40">
        <v>54.06692638706452</v>
      </c>
      <c r="E283" s="40">
        <v>18.75</v>
      </c>
      <c r="F283" s="39">
        <v>16.25</v>
      </c>
      <c r="G283" s="40">
        <v>42.875417031377992</v>
      </c>
      <c r="H283" s="40">
        <v>45.232039345369877</v>
      </c>
      <c r="I283" s="40">
        <v>12.5</v>
      </c>
      <c r="J283" s="40">
        <v>35.531201015560853</v>
      </c>
      <c r="K283" s="38">
        <v>280</v>
      </c>
      <c r="M283" s="41"/>
      <c r="N283" s="41"/>
      <c r="O283" s="59" t="s">
        <v>224</v>
      </c>
      <c r="P283" s="38">
        <v>4</v>
      </c>
      <c r="Q283" s="40">
        <v>36.479999999999997</v>
      </c>
      <c r="R283" s="48">
        <v>4</v>
      </c>
      <c r="U283" s="41"/>
      <c r="V283" s="41"/>
      <c r="AC283" s="38" t="s">
        <v>369</v>
      </c>
      <c r="AD283" s="38">
        <v>4</v>
      </c>
      <c r="AE283" s="40">
        <v>63.297865038514558</v>
      </c>
      <c r="AF283" s="40">
        <v>18.75</v>
      </c>
      <c r="AG283" s="39">
        <v>17.5</v>
      </c>
      <c r="AH283" s="40">
        <v>39.060517076367468</v>
      </c>
      <c r="AI283" s="40">
        <v>25</v>
      </c>
      <c r="AJ283" s="40">
        <v>36.283779838249899</v>
      </c>
      <c r="AK283" s="38">
        <v>280</v>
      </c>
      <c r="AM283" s="41"/>
      <c r="AN283" s="48"/>
      <c r="AV283" s="69"/>
    </row>
    <row r="284" spans="1:48" x14ac:dyDescent="0.25">
      <c r="A284" s="38" t="s">
        <v>259</v>
      </c>
      <c r="B284" s="38">
        <v>3</v>
      </c>
      <c r="C284" s="39">
        <v>55</v>
      </c>
      <c r="D284" s="40">
        <v>58.023042951971675</v>
      </c>
      <c r="E284" s="40">
        <v>10</v>
      </c>
      <c r="F284" s="39">
        <v>8.75</v>
      </c>
      <c r="G284" s="40">
        <v>46.606942727988901</v>
      </c>
      <c r="H284" s="40">
        <v>49.168666177566983</v>
      </c>
      <c r="I284" s="40">
        <v>12.5</v>
      </c>
      <c r="J284" s="40">
        <v>35.397075061421134</v>
      </c>
      <c r="K284" s="38">
        <v>281</v>
      </c>
      <c r="M284" s="41"/>
      <c r="N284" s="41"/>
      <c r="O284" s="59" t="s">
        <v>291</v>
      </c>
      <c r="P284" s="38">
        <v>4</v>
      </c>
      <c r="Q284" s="40">
        <v>38.727519539499255</v>
      </c>
      <c r="R284" s="48">
        <v>4</v>
      </c>
      <c r="U284" s="41"/>
      <c r="V284" s="41"/>
      <c r="AC284" s="38" t="s">
        <v>155</v>
      </c>
      <c r="AD284" s="38">
        <v>4</v>
      </c>
      <c r="AE284" s="40">
        <v>71.210098168328869</v>
      </c>
      <c r="AF284" s="40">
        <v>6.25</v>
      </c>
      <c r="AG284" s="39">
        <v>17.5</v>
      </c>
      <c r="AH284" s="40">
        <v>46.017775276660046</v>
      </c>
      <c r="AI284" s="40">
        <v>0</v>
      </c>
      <c r="AJ284" s="40">
        <v>35.649129744329798</v>
      </c>
      <c r="AK284" s="38">
        <v>281</v>
      </c>
      <c r="AM284" s="41"/>
      <c r="AN284" s="48"/>
      <c r="AV284" s="69"/>
    </row>
    <row r="285" spans="1:48" x14ac:dyDescent="0.25">
      <c r="A285" s="38" t="s">
        <v>94</v>
      </c>
      <c r="B285" s="38">
        <v>3</v>
      </c>
      <c r="C285" s="39">
        <v>71.25</v>
      </c>
      <c r="D285" s="40">
        <v>75.166214733236032</v>
      </c>
      <c r="E285" s="40">
        <v>10</v>
      </c>
      <c r="F285" s="39">
        <v>8.75</v>
      </c>
      <c r="G285" s="40">
        <v>40.78375201369569</v>
      </c>
      <c r="H285" s="40">
        <v>43.025407178785933</v>
      </c>
      <c r="I285" s="40">
        <v>0</v>
      </c>
      <c r="J285" s="40">
        <v>35.118405818161577</v>
      </c>
      <c r="K285" s="38">
        <v>282</v>
      </c>
      <c r="M285" s="41"/>
      <c r="N285" s="41"/>
      <c r="O285" s="59" t="s">
        <v>263</v>
      </c>
      <c r="P285" s="38">
        <v>4</v>
      </c>
      <c r="Q285" s="40">
        <v>38.1777678584222</v>
      </c>
      <c r="R285" s="48">
        <v>4</v>
      </c>
      <c r="U285" s="41"/>
      <c r="V285" s="41"/>
      <c r="AC285" s="38" t="s">
        <v>276</v>
      </c>
      <c r="AD285" s="38">
        <v>4</v>
      </c>
      <c r="AE285" s="40">
        <v>54.06692638706452</v>
      </c>
      <c r="AF285" s="40">
        <v>18.75</v>
      </c>
      <c r="AG285" s="39">
        <v>16.25</v>
      </c>
      <c r="AH285" s="40">
        <v>45.232039345369877</v>
      </c>
      <c r="AI285" s="40">
        <v>12.5</v>
      </c>
      <c r="AJ285" s="40">
        <v>35.531201015560853</v>
      </c>
      <c r="AK285" s="38">
        <v>282</v>
      </c>
      <c r="AM285" s="41"/>
      <c r="AN285" s="48"/>
      <c r="AV285" s="69"/>
    </row>
    <row r="286" spans="1:48" x14ac:dyDescent="0.25">
      <c r="A286" s="38" t="s">
        <v>249</v>
      </c>
      <c r="B286" s="38">
        <v>3</v>
      </c>
      <c r="C286" s="39">
        <v>71.25</v>
      </c>
      <c r="D286" s="40">
        <v>75.166214733236032</v>
      </c>
      <c r="E286" s="40">
        <v>21.25</v>
      </c>
      <c r="F286" s="39">
        <v>26.25</v>
      </c>
      <c r="G286" s="40">
        <v>29.715117993788763</v>
      </c>
      <c r="H286" s="40">
        <v>31.34839213957294</v>
      </c>
      <c r="I286" s="40">
        <v>0</v>
      </c>
      <c r="J286" s="40">
        <v>34.447599802476383</v>
      </c>
      <c r="K286" s="38">
        <v>283</v>
      </c>
      <c r="M286" s="41"/>
      <c r="N286" s="41"/>
      <c r="O286" s="59" t="s">
        <v>270</v>
      </c>
      <c r="P286" s="38">
        <v>4</v>
      </c>
      <c r="Q286" s="40">
        <v>37.963731562180939</v>
      </c>
      <c r="R286" s="48">
        <v>4</v>
      </c>
      <c r="U286" s="41"/>
      <c r="V286" s="41"/>
      <c r="AC286" s="38" t="s">
        <v>259</v>
      </c>
      <c r="AD286" s="38">
        <v>3</v>
      </c>
      <c r="AE286" s="40">
        <v>58.023042951971675</v>
      </c>
      <c r="AF286" s="40">
        <v>10</v>
      </c>
      <c r="AG286" s="39">
        <v>8.75</v>
      </c>
      <c r="AH286" s="40">
        <v>49.168666177566983</v>
      </c>
      <c r="AI286" s="40">
        <v>12.5</v>
      </c>
      <c r="AJ286" s="40">
        <v>35.397075061421134</v>
      </c>
      <c r="AK286" s="38">
        <v>283</v>
      </c>
      <c r="AM286" s="41"/>
      <c r="AN286" s="48"/>
      <c r="AV286" s="69"/>
    </row>
    <row r="287" spans="1:48" x14ac:dyDescent="0.25">
      <c r="A287" s="38" t="s">
        <v>223</v>
      </c>
      <c r="B287" s="38">
        <v>3</v>
      </c>
      <c r="C287" s="39">
        <v>13.75</v>
      </c>
      <c r="D287" s="40">
        <v>14.505760737992919</v>
      </c>
      <c r="E287" s="40">
        <v>22.5</v>
      </c>
      <c r="F287" s="39">
        <v>41.25</v>
      </c>
      <c r="G287" s="40">
        <v>47.707120964812511</v>
      </c>
      <c r="H287" s="40">
        <v>50.329315070113175</v>
      </c>
      <c r="I287" s="40">
        <v>25</v>
      </c>
      <c r="J287" s="40">
        <v>34.157878175643859</v>
      </c>
      <c r="K287" s="38">
        <v>284</v>
      </c>
      <c r="M287" s="41"/>
      <c r="N287" s="41"/>
      <c r="O287" s="59" t="s">
        <v>293</v>
      </c>
      <c r="P287" s="38">
        <v>4</v>
      </c>
      <c r="Q287" s="40">
        <v>37.823046834440539</v>
      </c>
      <c r="R287" s="48">
        <v>4</v>
      </c>
      <c r="U287" s="41"/>
      <c r="V287" s="41"/>
      <c r="AC287" s="38" t="s">
        <v>94</v>
      </c>
      <c r="AD287" s="38">
        <v>3</v>
      </c>
      <c r="AE287" s="40">
        <v>75.166214733236032</v>
      </c>
      <c r="AF287" s="40">
        <v>10</v>
      </c>
      <c r="AG287" s="39">
        <v>8.75</v>
      </c>
      <c r="AH287" s="40">
        <v>43.025407178785933</v>
      </c>
      <c r="AI287" s="40">
        <v>0</v>
      </c>
      <c r="AJ287" s="40">
        <v>35.118405818161577</v>
      </c>
      <c r="AK287" s="38">
        <v>284</v>
      </c>
      <c r="AM287" s="41"/>
      <c r="AN287" s="48"/>
      <c r="AV287" s="69"/>
    </row>
    <row r="288" spans="1:48" x14ac:dyDescent="0.25">
      <c r="A288" s="38" t="s">
        <v>281</v>
      </c>
      <c r="B288" s="38">
        <v>4</v>
      </c>
      <c r="C288" s="39">
        <v>78.75</v>
      </c>
      <c r="D288" s="40">
        <v>83.078447863050357</v>
      </c>
      <c r="E288" s="40">
        <v>10</v>
      </c>
      <c r="F288" s="39">
        <v>16.25</v>
      </c>
      <c r="G288" s="40">
        <v>30.595155113446125</v>
      </c>
      <c r="H288" s="40">
        <v>32.276799986722189</v>
      </c>
      <c r="I288" s="40">
        <v>0</v>
      </c>
      <c r="J288" s="40">
        <v>33.151409567298948</v>
      </c>
      <c r="K288" s="38">
        <v>285</v>
      </c>
      <c r="M288" s="41"/>
      <c r="N288" s="41"/>
      <c r="O288" s="59" t="s">
        <v>264</v>
      </c>
      <c r="P288" s="38">
        <v>4</v>
      </c>
      <c r="Q288" s="40">
        <v>37.440323559848331</v>
      </c>
      <c r="R288" s="48">
        <v>4</v>
      </c>
      <c r="U288" s="41"/>
      <c r="V288" s="41"/>
      <c r="AC288" s="38" t="s">
        <v>249</v>
      </c>
      <c r="AD288" s="38">
        <v>3</v>
      </c>
      <c r="AE288" s="40">
        <v>75.166214733236032</v>
      </c>
      <c r="AF288" s="40">
        <v>21.25</v>
      </c>
      <c r="AG288" s="39">
        <v>26.25</v>
      </c>
      <c r="AH288" s="40">
        <v>31.34839213957294</v>
      </c>
      <c r="AI288" s="40">
        <v>0</v>
      </c>
      <c r="AJ288" s="40">
        <v>34.447599802476383</v>
      </c>
      <c r="AK288" s="38">
        <v>285</v>
      </c>
      <c r="AM288" s="41"/>
      <c r="AN288" s="48"/>
      <c r="AV288" s="69"/>
    </row>
    <row r="289" spans="1:48" x14ac:dyDescent="0.25">
      <c r="A289" s="38" t="s">
        <v>299</v>
      </c>
      <c r="B289" s="38">
        <v>4</v>
      </c>
      <c r="C289" s="39">
        <v>71.25</v>
      </c>
      <c r="D289" s="40">
        <v>75.166214733236032</v>
      </c>
      <c r="E289" s="40">
        <v>11.25</v>
      </c>
      <c r="F289" s="39">
        <v>8.75</v>
      </c>
      <c r="G289" s="40">
        <v>34.636419797617577</v>
      </c>
      <c r="H289" s="40">
        <v>36.540190429448849</v>
      </c>
      <c r="I289" s="40">
        <v>0</v>
      </c>
      <c r="J289" s="40">
        <v>32.774319118426746</v>
      </c>
      <c r="K289" s="38">
        <v>286</v>
      </c>
      <c r="M289" s="41"/>
      <c r="N289" s="41"/>
      <c r="O289" s="59" t="s">
        <v>221</v>
      </c>
      <c r="P289" s="38">
        <v>4</v>
      </c>
      <c r="Q289" s="40">
        <v>37.342144911521096</v>
      </c>
      <c r="R289" s="48">
        <v>4</v>
      </c>
      <c r="U289" s="41"/>
      <c r="V289" s="41"/>
      <c r="AC289" s="38" t="s">
        <v>223</v>
      </c>
      <c r="AD289" s="38">
        <v>3</v>
      </c>
      <c r="AE289" s="40">
        <v>14.505760737992919</v>
      </c>
      <c r="AF289" s="40">
        <v>22.5</v>
      </c>
      <c r="AG289" s="39">
        <v>41.25</v>
      </c>
      <c r="AH289" s="40">
        <v>50.329315070113175</v>
      </c>
      <c r="AI289" s="40">
        <v>25</v>
      </c>
      <c r="AJ289" s="40">
        <v>34.157878175643859</v>
      </c>
      <c r="AK289" s="38">
        <v>286</v>
      </c>
      <c r="AM289" s="41"/>
      <c r="AN289" s="48"/>
      <c r="AV289" s="69"/>
    </row>
    <row r="290" spans="1:48" x14ac:dyDescent="0.25">
      <c r="A290" s="38" t="s">
        <v>194</v>
      </c>
      <c r="B290" s="38">
        <v>2</v>
      </c>
      <c r="C290" s="39">
        <v>60</v>
      </c>
      <c r="D290" s="40">
        <v>63.297865038514558</v>
      </c>
      <c r="E290" s="40">
        <v>10</v>
      </c>
      <c r="F290" s="39">
        <v>8.75</v>
      </c>
      <c r="G290" s="40">
        <v>39.454355647299337</v>
      </c>
      <c r="H290" s="40">
        <v>41.622941315738466</v>
      </c>
      <c r="I290" s="40">
        <v>0</v>
      </c>
      <c r="J290" s="40">
        <v>32.183749533998302</v>
      </c>
      <c r="K290" s="38">
        <v>287</v>
      </c>
      <c r="M290" s="41"/>
      <c r="N290" s="41"/>
      <c r="O290" s="59" t="s">
        <v>243</v>
      </c>
      <c r="P290" s="38">
        <v>4</v>
      </c>
      <c r="Q290" s="40">
        <v>37.242365643250665</v>
      </c>
      <c r="R290" s="48">
        <v>4</v>
      </c>
      <c r="U290" s="41"/>
      <c r="V290" s="41"/>
      <c r="AC290" s="38" t="s">
        <v>281</v>
      </c>
      <c r="AD290" s="38">
        <v>4</v>
      </c>
      <c r="AE290" s="40">
        <v>83.078447863050357</v>
      </c>
      <c r="AF290" s="40">
        <v>10</v>
      </c>
      <c r="AG290" s="39">
        <v>16.25</v>
      </c>
      <c r="AH290" s="40">
        <v>32.276799986722189</v>
      </c>
      <c r="AI290" s="40">
        <v>0</v>
      </c>
      <c r="AJ290" s="40">
        <v>33.151409567298948</v>
      </c>
      <c r="AK290" s="38">
        <v>287</v>
      </c>
      <c r="AM290" s="41"/>
      <c r="AN290" s="48"/>
      <c r="AV290" s="69"/>
    </row>
    <row r="291" spans="1:48" x14ac:dyDescent="0.25">
      <c r="A291" s="38" t="s">
        <v>237</v>
      </c>
      <c r="B291" s="38">
        <v>3</v>
      </c>
      <c r="C291" s="39">
        <v>42.5</v>
      </c>
      <c r="D291" s="40">
        <v>44.835987735614474</v>
      </c>
      <c r="E291" s="40">
        <v>11.25</v>
      </c>
      <c r="F291" s="39">
        <v>8.75</v>
      </c>
      <c r="G291" s="40">
        <v>45.600322160540728</v>
      </c>
      <c r="H291" s="40">
        <v>48.106717297178193</v>
      </c>
      <c r="I291" s="40">
        <v>0</v>
      </c>
      <c r="J291" s="40">
        <v>31.334884465994172</v>
      </c>
      <c r="K291" s="38">
        <v>288</v>
      </c>
      <c r="M291" s="41"/>
      <c r="N291" s="41"/>
      <c r="O291" s="59" t="s">
        <v>257</v>
      </c>
      <c r="P291" s="38">
        <v>4</v>
      </c>
      <c r="Q291" s="40">
        <v>37.04310740628447</v>
      </c>
      <c r="R291" s="48">
        <v>4</v>
      </c>
      <c r="U291" s="41"/>
      <c r="V291" s="41"/>
      <c r="AC291" s="38" t="s">
        <v>299</v>
      </c>
      <c r="AD291" s="38">
        <v>4</v>
      </c>
      <c r="AE291" s="40">
        <v>75.166214733236032</v>
      </c>
      <c r="AF291" s="40">
        <v>11.25</v>
      </c>
      <c r="AG291" s="39">
        <v>8.75</v>
      </c>
      <c r="AH291" s="40">
        <v>36.540190429448849</v>
      </c>
      <c r="AI291" s="40">
        <v>0</v>
      </c>
      <c r="AJ291" s="40">
        <v>32.774319118426746</v>
      </c>
      <c r="AK291" s="38">
        <v>288</v>
      </c>
      <c r="AM291" s="41"/>
      <c r="AN291" s="48"/>
      <c r="AV291" s="69"/>
    </row>
    <row r="292" spans="1:48" x14ac:dyDescent="0.25">
      <c r="A292" s="38" t="s">
        <v>250</v>
      </c>
      <c r="B292" s="38">
        <v>4</v>
      </c>
      <c r="C292" s="39">
        <v>26.25</v>
      </c>
      <c r="D292" s="40">
        <v>27.692815954350117</v>
      </c>
      <c r="E292" s="40">
        <v>16.25</v>
      </c>
      <c r="F292" s="39">
        <v>42.5</v>
      </c>
      <c r="G292" s="40">
        <v>43.210978759773589</v>
      </c>
      <c r="H292" s="40">
        <v>45.586045028637798</v>
      </c>
      <c r="I292" s="40">
        <v>0</v>
      </c>
      <c r="J292" s="40">
        <v>31.272981202325141</v>
      </c>
      <c r="K292" s="38">
        <v>289</v>
      </c>
      <c r="M292" s="41"/>
      <c r="N292" s="41"/>
      <c r="O292" s="59" t="s">
        <v>369</v>
      </c>
      <c r="P292" s="38">
        <v>4</v>
      </c>
      <c r="Q292" s="40">
        <v>36.283779838249899</v>
      </c>
      <c r="R292" s="48">
        <v>4</v>
      </c>
      <c r="U292" s="41"/>
      <c r="V292" s="41"/>
      <c r="AC292" s="38" t="s">
        <v>194</v>
      </c>
      <c r="AD292" s="38">
        <v>2</v>
      </c>
      <c r="AE292" s="40">
        <v>63.297865038514558</v>
      </c>
      <c r="AF292" s="40">
        <v>10</v>
      </c>
      <c r="AG292" s="39">
        <v>8.75</v>
      </c>
      <c r="AH292" s="40">
        <v>41.622941315738466</v>
      </c>
      <c r="AI292" s="40">
        <v>0</v>
      </c>
      <c r="AJ292" s="40">
        <v>32.183749533998302</v>
      </c>
      <c r="AK292" s="38">
        <v>289</v>
      </c>
      <c r="AM292" s="41"/>
      <c r="AN292" s="48"/>
      <c r="AV292" s="69"/>
    </row>
    <row r="293" spans="1:48" x14ac:dyDescent="0.25">
      <c r="A293" s="38" t="s">
        <v>133</v>
      </c>
      <c r="B293" s="38">
        <v>3</v>
      </c>
      <c r="C293" s="39">
        <v>30</v>
      </c>
      <c r="D293" s="40">
        <v>31.648932519257279</v>
      </c>
      <c r="E293" s="40">
        <v>10</v>
      </c>
      <c r="F293" s="39">
        <v>17.5</v>
      </c>
      <c r="G293" s="40">
        <v>46.917002086582855</v>
      </c>
      <c r="H293" s="40">
        <v>49.495767768137121</v>
      </c>
      <c r="I293" s="40">
        <v>12.5</v>
      </c>
      <c r="J293" s="40">
        <v>31.128093611106305</v>
      </c>
      <c r="K293" s="38">
        <v>290</v>
      </c>
      <c r="M293" s="41"/>
      <c r="N293" s="41"/>
      <c r="O293" s="59" t="s">
        <v>155</v>
      </c>
      <c r="P293" s="38">
        <v>4</v>
      </c>
      <c r="Q293" s="40">
        <v>35.649129744329798</v>
      </c>
      <c r="R293" s="48">
        <v>4</v>
      </c>
      <c r="U293" s="41"/>
      <c r="V293" s="41"/>
      <c r="AC293" s="38" t="s">
        <v>237</v>
      </c>
      <c r="AD293" s="38">
        <v>3</v>
      </c>
      <c r="AE293" s="40">
        <v>44.835987735614474</v>
      </c>
      <c r="AF293" s="40">
        <v>11.25</v>
      </c>
      <c r="AG293" s="39">
        <v>8.75</v>
      </c>
      <c r="AH293" s="40">
        <v>48.106717297178193</v>
      </c>
      <c r="AI293" s="40">
        <v>0</v>
      </c>
      <c r="AJ293" s="40">
        <v>31.334884465994172</v>
      </c>
      <c r="AK293" s="38">
        <v>290</v>
      </c>
      <c r="AM293" s="41"/>
      <c r="AN293" s="48"/>
      <c r="AV293" s="69"/>
    </row>
    <row r="294" spans="1:48" x14ac:dyDescent="0.25">
      <c r="A294" s="38" t="s">
        <v>295</v>
      </c>
      <c r="B294" s="38">
        <v>4</v>
      </c>
      <c r="C294" s="39">
        <v>31.25</v>
      </c>
      <c r="D294" s="40">
        <v>32.967638040893</v>
      </c>
      <c r="E294" s="40">
        <v>6.25</v>
      </c>
      <c r="F294" s="39">
        <v>8.75</v>
      </c>
      <c r="G294" s="40">
        <v>46.091670426288246</v>
      </c>
      <c r="H294" s="40">
        <v>48.625072234048098</v>
      </c>
      <c r="I294" s="40">
        <v>25</v>
      </c>
      <c r="J294" s="40">
        <v>30.668556501797841</v>
      </c>
      <c r="K294" s="38">
        <v>291</v>
      </c>
      <c r="M294" s="41"/>
      <c r="N294" s="41"/>
      <c r="O294" s="59" t="s">
        <v>276</v>
      </c>
      <c r="P294" s="38">
        <v>4</v>
      </c>
      <c r="Q294" s="40">
        <v>35.531201015560853</v>
      </c>
      <c r="R294" s="48">
        <v>4</v>
      </c>
      <c r="U294" s="41"/>
      <c r="V294" s="41"/>
      <c r="AC294" s="38" t="s">
        <v>250</v>
      </c>
      <c r="AD294" s="38">
        <v>4</v>
      </c>
      <c r="AE294" s="40">
        <v>27.692815954350117</v>
      </c>
      <c r="AF294" s="40">
        <v>16.25</v>
      </c>
      <c r="AG294" s="39">
        <v>42.5</v>
      </c>
      <c r="AH294" s="40">
        <v>45.586045028637798</v>
      </c>
      <c r="AI294" s="40">
        <v>0</v>
      </c>
      <c r="AJ294" s="40">
        <v>31.272981202325141</v>
      </c>
      <c r="AK294" s="38">
        <v>291</v>
      </c>
      <c r="AM294" s="41"/>
      <c r="AN294" s="48"/>
      <c r="AV294" s="69"/>
    </row>
    <row r="295" spans="1:48" x14ac:dyDescent="0.25">
      <c r="A295" s="38" t="s">
        <v>296</v>
      </c>
      <c r="B295" s="38">
        <v>4</v>
      </c>
      <c r="C295" s="39">
        <v>65</v>
      </c>
      <c r="D295" s="40">
        <v>68.572687125057442</v>
      </c>
      <c r="E295" s="40">
        <v>22.5</v>
      </c>
      <c r="F295" s="39">
        <v>8.75</v>
      </c>
      <c r="G295" s="40">
        <v>24.885035463137086</v>
      </c>
      <c r="H295" s="40">
        <v>26.252826937071664</v>
      </c>
      <c r="I295" s="40">
        <v>0</v>
      </c>
      <c r="J295" s="40">
        <v>29.590668199840199</v>
      </c>
      <c r="K295" s="38">
        <v>292</v>
      </c>
      <c r="M295" s="41"/>
      <c r="N295" s="41"/>
      <c r="O295" s="59" t="s">
        <v>281</v>
      </c>
      <c r="P295" s="38">
        <v>4</v>
      </c>
      <c r="Q295" s="40">
        <v>33.151409567298948</v>
      </c>
      <c r="R295" s="48">
        <v>4</v>
      </c>
      <c r="U295" s="41"/>
      <c r="V295" s="41"/>
      <c r="AC295" s="38" t="s">
        <v>133</v>
      </c>
      <c r="AD295" s="38">
        <v>3</v>
      </c>
      <c r="AE295" s="40">
        <v>31.648932519257279</v>
      </c>
      <c r="AF295" s="40">
        <v>10</v>
      </c>
      <c r="AG295" s="39">
        <v>17.5</v>
      </c>
      <c r="AH295" s="40">
        <v>49.495767768137121</v>
      </c>
      <c r="AI295" s="40">
        <v>12.5</v>
      </c>
      <c r="AJ295" s="40">
        <v>31.128093611106305</v>
      </c>
      <c r="AK295" s="38">
        <v>292</v>
      </c>
      <c r="AM295" s="41"/>
      <c r="AN295" s="48"/>
      <c r="AV295" s="69"/>
    </row>
    <row r="296" spans="1:48" x14ac:dyDescent="0.25">
      <c r="A296" s="38" t="s">
        <v>74</v>
      </c>
      <c r="B296" s="38">
        <v>2</v>
      </c>
      <c r="C296" s="39">
        <v>12.5</v>
      </c>
      <c r="D296" s="40">
        <v>13.1870552163572</v>
      </c>
      <c r="E296" s="40">
        <v>10</v>
      </c>
      <c r="F296" s="39">
        <v>26.25</v>
      </c>
      <c r="G296" s="40">
        <v>49.126060773306122</v>
      </c>
      <c r="H296" s="40">
        <v>51.826246078376585</v>
      </c>
      <c r="I296" s="40">
        <v>0</v>
      </c>
      <c r="J296" s="40">
        <v>27.992909474622074</v>
      </c>
      <c r="K296" s="38">
        <v>293</v>
      </c>
      <c r="M296" s="41"/>
      <c r="N296" s="41"/>
      <c r="O296" s="59" t="s">
        <v>299</v>
      </c>
      <c r="P296" s="38">
        <v>4</v>
      </c>
      <c r="Q296" s="40">
        <v>32.774319118426746</v>
      </c>
      <c r="R296" s="48">
        <v>4</v>
      </c>
      <c r="U296" s="41"/>
      <c r="V296" s="41"/>
      <c r="AC296" s="38" t="s">
        <v>295</v>
      </c>
      <c r="AD296" s="38">
        <v>4</v>
      </c>
      <c r="AE296" s="40">
        <v>32.967638040893</v>
      </c>
      <c r="AF296" s="40">
        <v>6.25</v>
      </c>
      <c r="AG296" s="39">
        <v>8.75</v>
      </c>
      <c r="AH296" s="40">
        <v>48.625072234048098</v>
      </c>
      <c r="AI296" s="40">
        <v>25</v>
      </c>
      <c r="AJ296" s="40">
        <v>30.668556501797841</v>
      </c>
      <c r="AK296" s="38">
        <v>293</v>
      </c>
      <c r="AM296" s="41"/>
      <c r="AN296" s="48"/>
      <c r="AV296" s="69"/>
    </row>
    <row r="297" spans="1:48" x14ac:dyDescent="0.25">
      <c r="A297" s="38" t="s">
        <v>368</v>
      </c>
      <c r="B297" s="38">
        <v>4</v>
      </c>
      <c r="C297" s="39">
        <v>40</v>
      </c>
      <c r="D297" s="40">
        <v>42.198576692343039</v>
      </c>
      <c r="E297" s="40">
        <v>27.5</v>
      </c>
      <c r="F297" s="39">
        <v>35</v>
      </c>
      <c r="G297" s="40">
        <v>12.303161751295606</v>
      </c>
      <c r="H297" s="40">
        <v>12.979397868008729</v>
      </c>
      <c r="I297" s="40">
        <v>37.5</v>
      </c>
      <c r="J297" s="40">
        <v>26.381474485672101</v>
      </c>
      <c r="K297" s="38">
        <v>294</v>
      </c>
      <c r="M297" s="41"/>
      <c r="N297" s="41"/>
      <c r="O297" s="59" t="s">
        <v>250</v>
      </c>
      <c r="P297" s="38">
        <v>4</v>
      </c>
      <c r="Q297" s="40">
        <v>31.272981202325141</v>
      </c>
      <c r="R297" s="48">
        <v>4</v>
      </c>
      <c r="U297" s="41"/>
      <c r="V297" s="41"/>
      <c r="AC297" s="38" t="s">
        <v>296</v>
      </c>
      <c r="AD297" s="38">
        <v>4</v>
      </c>
      <c r="AE297" s="40">
        <v>68.572687125057442</v>
      </c>
      <c r="AF297" s="40">
        <v>22.5</v>
      </c>
      <c r="AG297" s="39">
        <v>8.75</v>
      </c>
      <c r="AH297" s="40">
        <v>26.252826937071664</v>
      </c>
      <c r="AI297" s="40">
        <v>0</v>
      </c>
      <c r="AJ297" s="40">
        <v>29.590668199840156</v>
      </c>
      <c r="AK297" s="38">
        <v>294</v>
      </c>
      <c r="AM297" s="41"/>
      <c r="AN297" s="48"/>
      <c r="AV297" s="69"/>
    </row>
    <row r="298" spans="1:48" x14ac:dyDescent="0.25">
      <c r="A298" s="38" t="s">
        <v>220</v>
      </c>
      <c r="B298" s="38">
        <v>4</v>
      </c>
      <c r="C298" s="39">
        <v>85</v>
      </c>
      <c r="D298" s="40">
        <v>89.671975471228947</v>
      </c>
      <c r="E298" s="40" t="e">
        <v>#N/A</v>
      </c>
      <c r="F298" s="39" t="e">
        <v>#N/A</v>
      </c>
      <c r="G298" s="40">
        <v>50.610583402945345</v>
      </c>
      <c r="H298" s="40">
        <v>53.392364629335319</v>
      </c>
      <c r="I298" s="40" t="e">
        <v>#N/A</v>
      </c>
      <c r="J298" s="40" t="e">
        <v>#N/A</v>
      </c>
      <c r="K298" s="38"/>
      <c r="O298" s="59" t="s">
        <v>295</v>
      </c>
      <c r="P298" s="38">
        <v>4</v>
      </c>
      <c r="Q298" s="40">
        <v>30.668556501797841</v>
      </c>
      <c r="R298" s="48">
        <v>4</v>
      </c>
      <c r="U298" s="41"/>
      <c r="V298" s="41"/>
      <c r="AC298" s="38" t="s">
        <v>74</v>
      </c>
      <c r="AD298" s="38">
        <v>2</v>
      </c>
      <c r="AE298" s="40">
        <v>13.1870552163572</v>
      </c>
      <c r="AF298" s="40">
        <v>10</v>
      </c>
      <c r="AG298" s="39">
        <v>26.25</v>
      </c>
      <c r="AH298" s="40">
        <v>51.826246078376585</v>
      </c>
      <c r="AI298" s="40">
        <v>0</v>
      </c>
      <c r="AJ298" s="40">
        <v>27.992909474622074</v>
      </c>
      <c r="AK298" s="38">
        <v>295</v>
      </c>
      <c r="AM298" s="41"/>
      <c r="AN298" s="48"/>
    </row>
    <row r="299" spans="1:48" x14ac:dyDescent="0.25">
      <c r="A299" s="38" t="s">
        <v>224</v>
      </c>
      <c r="B299" s="38">
        <v>4</v>
      </c>
      <c r="C299" s="39">
        <v>80</v>
      </c>
      <c r="D299" s="40">
        <v>84.397153384686078</v>
      </c>
      <c r="E299" s="40" t="e">
        <v>#N/A</v>
      </c>
      <c r="F299" s="39" t="e">
        <v>#N/A</v>
      </c>
      <c r="G299" s="40">
        <v>46.445498468611298</v>
      </c>
      <c r="H299" s="40">
        <v>48.99834822854487</v>
      </c>
      <c r="I299" s="40" t="e">
        <v>#N/A</v>
      </c>
      <c r="J299" s="40" t="e">
        <v>#N/A</v>
      </c>
      <c r="K299" s="38"/>
      <c r="O299" s="59" t="s">
        <v>296</v>
      </c>
      <c r="P299" s="38">
        <v>4</v>
      </c>
      <c r="Q299" s="40">
        <v>29.590668199840156</v>
      </c>
      <c r="R299" s="48">
        <v>4</v>
      </c>
      <c r="U299" s="41"/>
      <c r="V299" s="41"/>
      <c r="AC299" s="38" t="s">
        <v>368</v>
      </c>
      <c r="AD299" s="38">
        <v>4</v>
      </c>
      <c r="AE299" s="40">
        <v>42.198576692343039</v>
      </c>
      <c r="AF299" s="40">
        <v>27.5</v>
      </c>
      <c r="AG299" s="39">
        <v>35</v>
      </c>
      <c r="AH299" s="40">
        <v>12.979397868008729</v>
      </c>
      <c r="AI299" s="40">
        <v>37.5</v>
      </c>
      <c r="AJ299" s="40">
        <v>26.381474485672101</v>
      </c>
      <c r="AK299" s="38">
        <v>296</v>
      </c>
      <c r="AM299" s="41"/>
      <c r="AN299" s="48"/>
    </row>
    <row r="300" spans="1:48" x14ac:dyDescent="0.25">
      <c r="C300" s="48"/>
      <c r="D300" s="48">
        <f>SUM(AVERAGE(D4:D297))</f>
        <v>77.218917857416599</v>
      </c>
      <c r="E300" s="48">
        <f>SUM(AVERAGE(E4:E297))</f>
        <v>34.175170068027214</v>
      </c>
      <c r="F300" s="48">
        <f>SUM(AVERAGE(F4:F297))</f>
        <v>49.4812925170068</v>
      </c>
      <c r="H300" s="48">
        <f>SUM(AVERAGE(H4:H297))</f>
        <v>47.64771600470695</v>
      </c>
      <c r="I300" s="48">
        <f>SUM(AVERAGE(I4:I297))</f>
        <v>27.465986394557824</v>
      </c>
      <c r="J300" s="48">
        <f>SUM(AVERAGE(J4:J297))</f>
        <v>49.03263187812798</v>
      </c>
      <c r="O300" s="59" t="s">
        <v>368</v>
      </c>
      <c r="P300" s="38">
        <v>4</v>
      </c>
      <c r="Q300" s="40">
        <v>26.381474485672101</v>
      </c>
      <c r="R300" s="48">
        <v>4</v>
      </c>
      <c r="U300" s="41"/>
      <c r="V300" s="41"/>
      <c r="AC300" s="51" t="s">
        <v>421</v>
      </c>
      <c r="AD300" s="38"/>
      <c r="AE300" s="52">
        <f t="shared" ref="AE300:AJ300" si="1">SUM(AVERAGE(AE4:AE299))</f>
        <v>77.285239793704037</v>
      </c>
      <c r="AF300" s="52">
        <f t="shared" si="1"/>
        <v>33.944256756756758</v>
      </c>
      <c r="AG300" s="52">
        <f t="shared" si="1"/>
        <v>49.14695945945946</v>
      </c>
      <c r="AH300" s="52">
        <f t="shared" si="1"/>
        <v>47.671686548113925</v>
      </c>
      <c r="AI300" s="52">
        <f t="shared" si="1"/>
        <v>27.280405405405407</v>
      </c>
      <c r="AJ300" s="52">
        <f t="shared" si="1"/>
        <v>48.957310041113601</v>
      </c>
      <c r="AK300" s="38"/>
    </row>
    <row r="301" spans="1:48" x14ac:dyDescent="0.25">
      <c r="C301" s="41"/>
      <c r="D301" s="41">
        <f>_xlfn.STDEV.P(D4:D297)</f>
        <v>15.878256698081355</v>
      </c>
      <c r="E301" s="41">
        <f>_xlfn.STDEV.P(E4:E297)</f>
        <v>17.910928877933625</v>
      </c>
      <c r="F301" s="41">
        <f>_xlfn.STDEV.P(F4:F297)</f>
        <v>22.580564163041554</v>
      </c>
      <c r="H301" s="41">
        <f>_xlfn.STDEV.P(H4:H297)</f>
        <v>6.3316896545677306</v>
      </c>
      <c r="I301" s="41">
        <f>_xlfn.STDEV.P(I4:I297)</f>
        <v>19.350610377613659</v>
      </c>
      <c r="J301" s="41">
        <f>_xlfn.STDEV.P(J4:J297)</f>
        <v>8.4596456389135763</v>
      </c>
      <c r="U301" s="41"/>
      <c r="V301" s="41"/>
      <c r="AC301" s="51" t="s">
        <v>422</v>
      </c>
      <c r="AD301" s="38"/>
      <c r="AE301" s="40">
        <f t="shared" ref="AE301:AJ301" si="2">_xlfn.STDEV.P(AE4:AE299)</f>
        <v>15.846423016988959</v>
      </c>
      <c r="AF301" s="40">
        <f t="shared" si="2"/>
        <v>18.068535556328083</v>
      </c>
      <c r="AG301" s="40">
        <f t="shared" si="2"/>
        <v>22.866311100015253</v>
      </c>
      <c r="AH301" s="40">
        <f t="shared" si="2"/>
        <v>6.3195325473734325</v>
      </c>
      <c r="AI301" s="40">
        <f t="shared" si="2"/>
        <v>19.415942038465502</v>
      </c>
      <c r="AJ301" s="40">
        <f t="shared" si="2"/>
        <v>8.4811188940131608</v>
      </c>
      <c r="AK301" s="38"/>
    </row>
    <row r="302" spans="1:48" x14ac:dyDescent="0.25">
      <c r="D302" s="41">
        <f>STDEV(D4:D296)/D300</f>
        <v>0.20460957236208818</v>
      </c>
      <c r="E302" s="41">
        <f>STDEV(E4:E296)/E300</f>
        <v>0.52575898353528283</v>
      </c>
      <c r="F302" s="41">
        <f>STDEV(F4:F296)/F300</f>
        <v>0.45758414332942332</v>
      </c>
      <c r="H302" s="41">
        <f>STDEV(H4:H296)/H300</f>
        <v>0.12633411771550701</v>
      </c>
      <c r="I302" s="41">
        <f>STDEV(I4:I296)/I300</f>
        <v>0.7066141724220244</v>
      </c>
      <c r="J302" s="41">
        <f>STDEV(J4:J296)/J300</f>
        <v>0.17098965496489915</v>
      </c>
      <c r="U302" s="41"/>
      <c r="V302" s="41"/>
      <c r="AC302" s="51" t="s">
        <v>423</v>
      </c>
      <c r="AD302" s="38"/>
      <c r="AE302" s="40">
        <f t="shared" ref="AE302:AJ302" si="3">STDEV(AE4:AE299)/AE300</f>
        <v>0.20538538381512589</v>
      </c>
      <c r="AF302" s="40">
        <f t="shared" si="3"/>
        <v>0.53320166687918447</v>
      </c>
      <c r="AG302" s="40">
        <f t="shared" si="3"/>
        <v>0.46605191903060683</v>
      </c>
      <c r="AH302" s="40">
        <f t="shared" si="3"/>
        <v>0.1327881393764295</v>
      </c>
      <c r="AI302" s="40">
        <f t="shared" si="3"/>
        <v>0.71292278411897725</v>
      </c>
      <c r="AJ302" s="40">
        <f t="shared" si="3"/>
        <v>0.17352835568894634</v>
      </c>
      <c r="AK302" s="38"/>
    </row>
    <row r="303" spans="1:48" x14ac:dyDescent="0.25">
      <c r="U303" s="41"/>
      <c r="V303" s="41"/>
    </row>
    <row r="304" spans="1:48" x14ac:dyDescent="0.25">
      <c r="U304" s="41"/>
      <c r="V304" s="41"/>
    </row>
    <row r="305" spans="21:22" x14ac:dyDescent="0.25">
      <c r="U305" s="41"/>
      <c r="V305" s="41"/>
    </row>
    <row r="306" spans="21:22" x14ac:dyDescent="0.25">
      <c r="U306" s="41"/>
      <c r="V306" s="41"/>
    </row>
    <row r="307" spans="21:22" x14ac:dyDescent="0.25">
      <c r="U307" s="41"/>
      <c r="V307" s="41"/>
    </row>
    <row r="308" spans="21:22" x14ac:dyDescent="0.25">
      <c r="U308" s="41"/>
      <c r="V308" s="41"/>
    </row>
    <row r="309" spans="21:22" x14ac:dyDescent="0.25">
      <c r="U309" s="41"/>
      <c r="V309" s="41"/>
    </row>
    <row r="310" spans="21:22" x14ac:dyDescent="0.25">
      <c r="U310" s="41"/>
      <c r="V310" s="41"/>
    </row>
    <row r="311" spans="21:22" x14ac:dyDescent="0.25">
      <c r="U311" s="41"/>
      <c r="V311" s="41"/>
    </row>
    <row r="312" spans="21:22" x14ac:dyDescent="0.25">
      <c r="U312" s="41"/>
      <c r="V312" s="41"/>
    </row>
    <row r="313" spans="21:22" x14ac:dyDescent="0.25">
      <c r="U313" s="41"/>
      <c r="V313" s="41"/>
    </row>
    <row r="314" spans="21:22" x14ac:dyDescent="0.25">
      <c r="U314" s="41"/>
      <c r="V314" s="41"/>
    </row>
    <row r="315" spans="21:22" x14ac:dyDescent="0.25">
      <c r="U315" s="41"/>
      <c r="V315" s="41"/>
    </row>
    <row r="316" spans="21:22" x14ac:dyDescent="0.25">
      <c r="U316" s="41"/>
      <c r="V316" s="41"/>
    </row>
    <row r="317" spans="21:22" x14ac:dyDescent="0.25">
      <c r="U317" s="41"/>
      <c r="V317" s="41"/>
    </row>
    <row r="318" spans="21:22" x14ac:dyDescent="0.25">
      <c r="U318" s="41"/>
      <c r="V318" s="41"/>
    </row>
    <row r="319" spans="21:22" x14ac:dyDescent="0.25">
      <c r="U319" s="41"/>
      <c r="V319" s="41"/>
    </row>
    <row r="320" spans="21:22" x14ac:dyDescent="0.25">
      <c r="U320" s="41"/>
      <c r="V320" s="41"/>
    </row>
    <row r="321" spans="21:22" x14ac:dyDescent="0.25">
      <c r="U321" s="41"/>
      <c r="V321" s="41"/>
    </row>
    <row r="322" spans="21:22" x14ac:dyDescent="0.25">
      <c r="U322" s="41"/>
      <c r="V322" s="41"/>
    </row>
    <row r="323" spans="21:22" x14ac:dyDescent="0.25">
      <c r="U323" s="41"/>
      <c r="V323" s="41"/>
    </row>
    <row r="324" spans="21:22" x14ac:dyDescent="0.25">
      <c r="U324" s="41"/>
      <c r="V324" s="41"/>
    </row>
    <row r="325" spans="21:22" x14ac:dyDescent="0.25">
      <c r="U325" s="41"/>
      <c r="V325" s="41"/>
    </row>
    <row r="326" spans="21:22" x14ac:dyDescent="0.25">
      <c r="U326" s="41"/>
      <c r="V326" s="41"/>
    </row>
    <row r="327" spans="21:22" x14ac:dyDescent="0.25">
      <c r="U327" s="41"/>
      <c r="V327" s="41"/>
    </row>
    <row r="328" spans="21:22" x14ac:dyDescent="0.25">
      <c r="U328" s="41"/>
      <c r="V328" s="41"/>
    </row>
    <row r="329" spans="21:22" x14ac:dyDescent="0.25">
      <c r="U329" s="41"/>
      <c r="V329" s="41"/>
    </row>
    <row r="330" spans="21:22" x14ac:dyDescent="0.25">
      <c r="U330" s="41"/>
      <c r="V330" s="41"/>
    </row>
    <row r="331" spans="21:22" x14ac:dyDescent="0.25">
      <c r="U331" s="41"/>
      <c r="V331" s="41"/>
    </row>
    <row r="332" spans="21:22" x14ac:dyDescent="0.25">
      <c r="U332" s="41"/>
      <c r="V332" s="41"/>
    </row>
    <row r="333" spans="21:22" x14ac:dyDescent="0.25">
      <c r="U333" s="41"/>
      <c r="V333" s="41"/>
    </row>
    <row r="334" spans="21:22" x14ac:dyDescent="0.25">
      <c r="U334" s="41"/>
      <c r="V334" s="41"/>
    </row>
    <row r="335" spans="21:22" x14ac:dyDescent="0.25">
      <c r="U335" s="41"/>
      <c r="V335" s="41"/>
    </row>
    <row r="336" spans="21:22" x14ac:dyDescent="0.25">
      <c r="U336" s="41"/>
      <c r="V336" s="41"/>
    </row>
    <row r="337" spans="21:22" x14ac:dyDescent="0.25">
      <c r="U337" s="41"/>
      <c r="V337" s="41"/>
    </row>
    <row r="338" spans="21:22" x14ac:dyDescent="0.25">
      <c r="U338" s="41"/>
      <c r="V338" s="41"/>
    </row>
    <row r="339" spans="21:22" x14ac:dyDescent="0.25">
      <c r="U339" s="41"/>
      <c r="V339" s="41"/>
    </row>
    <row r="340" spans="21:22" x14ac:dyDescent="0.25">
      <c r="U340" s="41"/>
      <c r="V340" s="41"/>
    </row>
    <row r="341" spans="21:22" x14ac:dyDescent="0.25">
      <c r="U341" s="41"/>
      <c r="V341" s="41"/>
    </row>
    <row r="342" spans="21:22" x14ac:dyDescent="0.25">
      <c r="U342" s="41"/>
      <c r="V342" s="41"/>
    </row>
    <row r="343" spans="21:22" x14ac:dyDescent="0.25">
      <c r="U343" s="41"/>
      <c r="V343" s="41"/>
    </row>
    <row r="344" spans="21:22" x14ac:dyDescent="0.25">
      <c r="U344" s="41"/>
      <c r="V344" s="41"/>
    </row>
    <row r="345" spans="21:22" x14ac:dyDescent="0.25">
      <c r="U345" s="41"/>
      <c r="V345" s="41"/>
    </row>
    <row r="346" spans="21:22" x14ac:dyDescent="0.25">
      <c r="U346" s="41"/>
      <c r="V346" s="41"/>
    </row>
    <row r="347" spans="21:22" x14ac:dyDescent="0.25">
      <c r="U347" s="41"/>
      <c r="V347" s="41"/>
    </row>
    <row r="348" spans="21:22" x14ac:dyDescent="0.25">
      <c r="U348" s="41"/>
      <c r="V348" s="41"/>
    </row>
    <row r="349" spans="21:22" x14ac:dyDescent="0.25">
      <c r="U349" s="41"/>
      <c r="V349" s="41"/>
    </row>
    <row r="350" spans="21:22" x14ac:dyDescent="0.25">
      <c r="U350" s="41"/>
      <c r="V350" s="41"/>
    </row>
    <row r="351" spans="21:22" x14ac:dyDescent="0.25">
      <c r="U351" s="41"/>
      <c r="V351" s="41"/>
    </row>
    <row r="352" spans="21:22" x14ac:dyDescent="0.25">
      <c r="U352" s="41"/>
      <c r="V352" s="41"/>
    </row>
    <row r="353" spans="21:22" x14ac:dyDescent="0.25">
      <c r="U353" s="41"/>
      <c r="V353" s="41"/>
    </row>
    <row r="354" spans="21:22" x14ac:dyDescent="0.25">
      <c r="U354" s="41"/>
      <c r="V354" s="41"/>
    </row>
    <row r="355" spans="21:22" x14ac:dyDescent="0.25">
      <c r="U355" s="41"/>
      <c r="V355" s="41"/>
    </row>
    <row r="356" spans="21:22" x14ac:dyDescent="0.25">
      <c r="U356" s="41"/>
      <c r="V356" s="41"/>
    </row>
    <row r="357" spans="21:22" x14ac:dyDescent="0.25">
      <c r="U357" s="41"/>
      <c r="V357" s="41"/>
    </row>
    <row r="358" spans="21:22" x14ac:dyDescent="0.25">
      <c r="U358" s="41"/>
      <c r="V358" s="41"/>
    </row>
    <row r="359" spans="21:22" x14ac:dyDescent="0.25">
      <c r="U359" s="41"/>
      <c r="V359" s="41"/>
    </row>
    <row r="360" spans="21:22" x14ac:dyDescent="0.25">
      <c r="U360" s="41"/>
      <c r="V360" s="41"/>
    </row>
    <row r="361" spans="21:22" x14ac:dyDescent="0.25">
      <c r="U361" s="41"/>
      <c r="V361" s="41"/>
    </row>
    <row r="362" spans="21:22" x14ac:dyDescent="0.25">
      <c r="U362" s="41"/>
      <c r="V362" s="41"/>
    </row>
    <row r="363" spans="21:22" x14ac:dyDescent="0.25">
      <c r="U363" s="41"/>
      <c r="V363" s="41"/>
    </row>
    <row r="364" spans="21:22" x14ac:dyDescent="0.25">
      <c r="U364" s="41"/>
      <c r="V364" s="41"/>
    </row>
    <row r="1048572" spans="2:36" x14ac:dyDescent="0.25">
      <c r="B1048572" s="41">
        <f t="shared" ref="B1048572:J1048572" si="4">COUNT(B4:B1048571)</f>
        <v>296</v>
      </c>
      <c r="C1048572" s="42">
        <f t="shared" si="4"/>
        <v>296</v>
      </c>
      <c r="D1048572" s="41">
        <f t="shared" si="4"/>
        <v>299</v>
      </c>
      <c r="E1048572" s="41">
        <f t="shared" si="4"/>
        <v>297</v>
      </c>
      <c r="F1048572" s="42">
        <f t="shared" si="4"/>
        <v>297</v>
      </c>
      <c r="G1048572" s="41">
        <f t="shared" si="4"/>
        <v>296</v>
      </c>
      <c r="H1048572" s="41">
        <f t="shared" si="4"/>
        <v>299</v>
      </c>
      <c r="I1048572" s="41">
        <f t="shared" si="4"/>
        <v>297</v>
      </c>
      <c r="J1048572" s="41">
        <f t="shared" si="4"/>
        <v>297</v>
      </c>
    </row>
    <row r="1048574" spans="2:36" x14ac:dyDescent="0.25">
      <c r="AD1048574" s="41">
        <f t="shared" ref="AD1048574:AJ1048574" si="5">COUNT(AD4:AD1048573)</f>
        <v>296</v>
      </c>
      <c r="AE1048574" s="41">
        <f t="shared" si="5"/>
        <v>299</v>
      </c>
      <c r="AF1048574" s="41">
        <f t="shared" si="5"/>
        <v>299</v>
      </c>
      <c r="AG1048574" s="42">
        <f t="shared" si="5"/>
        <v>299</v>
      </c>
      <c r="AH1048574" s="41">
        <f t="shared" si="5"/>
        <v>299</v>
      </c>
      <c r="AI1048574" s="41">
        <f t="shared" si="5"/>
        <v>299</v>
      </c>
      <c r="AJ1048574" s="41">
        <f t="shared" si="5"/>
        <v>299</v>
      </c>
    </row>
    <row r="1048575" spans="2:36" x14ac:dyDescent="0.25">
      <c r="P1048575" s="41">
        <f>COUNT(P2:P1048574)</f>
        <v>296</v>
      </c>
      <c r="Q1048575" s="41">
        <f>COUNT(Q2:Q1048574)</f>
        <v>296</v>
      </c>
    </row>
  </sheetData>
  <sortState xmlns:xlrd2="http://schemas.microsoft.com/office/spreadsheetml/2017/richdata2" ref="AU2:AV1048575">
    <sortCondition descending="1" ref="AV2:AV1048575"/>
  </sortState>
  <mergeCells count="20">
    <mergeCell ref="A1:A3"/>
    <mergeCell ref="B1:I1"/>
    <mergeCell ref="J1:J3"/>
    <mergeCell ref="K1:K3"/>
    <mergeCell ref="B2:B3"/>
    <mergeCell ref="C2:D2"/>
    <mergeCell ref="E2:E3"/>
    <mergeCell ref="F2:F3"/>
    <mergeCell ref="G2:H2"/>
    <mergeCell ref="I2:I3"/>
    <mergeCell ref="AC1:AC3"/>
    <mergeCell ref="AJ1:AJ3"/>
    <mergeCell ref="AK1:AK3"/>
    <mergeCell ref="AF2:AF3"/>
    <mergeCell ref="AG2:AG3"/>
    <mergeCell ref="AI2:AI3"/>
    <mergeCell ref="AE2:AE3"/>
    <mergeCell ref="AH2:AH3"/>
    <mergeCell ref="AE1:AI1"/>
    <mergeCell ref="AD1:A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得分变量数据</vt:lpstr>
      <vt:lpstr>K值</vt:lpstr>
      <vt:lpstr>城市分组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liming</dc:creator>
  <cp:lastModifiedBy>123</cp:lastModifiedBy>
  <dcterms:created xsi:type="dcterms:W3CDTF">2015-06-05T18:17:20Z</dcterms:created>
  <dcterms:modified xsi:type="dcterms:W3CDTF">2023-09-14T04:02:59Z</dcterms:modified>
</cp:coreProperties>
</file>